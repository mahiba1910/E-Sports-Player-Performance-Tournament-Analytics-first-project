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52a3721416e261/ドキュメント/"/>
    </mc:Choice>
  </mc:AlternateContent>
  <xr:revisionPtr revIDLastSave="81" documentId="8_{AE7F7D1A-9030-466E-9CBF-46316417097B}" xr6:coauthVersionLast="47" xr6:coauthVersionMax="47" xr10:uidLastSave="{51F8872D-8FB1-4F63-A7F6-0761BA0C0367}"/>
  <bookViews>
    <workbookView xWindow="-108" yWindow="-108" windowWidth="23256" windowHeight="12456" xr2:uid="{784375F2-A81A-4BE4-8212-DF16A2BD041A}"/>
  </bookViews>
  <sheets>
    <sheet name="Sheet1" sheetId="1" r:id="rId1"/>
    <sheet name="Sheet2" sheetId="2" r:id="rId2"/>
  </sheets>
  <definedNames>
    <definedName name="_xlnm._FilterDatabase" localSheetId="0" hidden="1">Sheet1!$A$1:$P$2800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" i="1"/>
  <c r="W3" i="1" a="1"/>
  <c r="W3" i="1" s="1"/>
  <c r="W4" i="1" a="1"/>
  <c r="W4" i="1"/>
  <c r="W5" i="1" a="1"/>
  <c r="W5" i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/>
  <c r="W17" i="1" a="1"/>
  <c r="W17" i="1" s="1"/>
  <c r="W18" i="1" a="1"/>
  <c r="W18" i="1" s="1"/>
  <c r="W19" i="1" a="1"/>
  <c r="W19" i="1" s="1"/>
  <c r="W20" i="1" a="1"/>
  <c r="W20" i="1"/>
  <c r="W21" i="1" a="1"/>
  <c r="W21" i="1" s="1"/>
  <c r="W22" i="1" a="1"/>
  <c r="W22" i="1"/>
  <c r="W23" i="1" a="1"/>
  <c r="W23" i="1"/>
  <c r="W24" i="1" a="1"/>
  <c r="W24" i="1" s="1"/>
  <c r="W25" i="1" a="1"/>
  <c r="W25" i="1" s="1"/>
  <c r="W26" i="1" a="1"/>
  <c r="W26" i="1"/>
  <c r="W27" i="1" a="1"/>
  <c r="W27" i="1" s="1"/>
  <c r="W28" i="1" a="1"/>
  <c r="W28" i="1" s="1"/>
  <c r="W29" i="1" a="1"/>
  <c r="W29" i="1" s="1"/>
  <c r="W30" i="1" a="1"/>
  <c r="W30" i="1"/>
  <c r="W31" i="1" a="1"/>
  <c r="W31" i="1" s="1"/>
  <c r="W32" i="1" a="1"/>
  <c r="W32" i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/>
  <c r="W53" i="1" a="1"/>
  <c r="W53" i="1" s="1"/>
  <c r="W54" i="1" a="1"/>
  <c r="W54" i="1" s="1"/>
  <c r="W55" i="1" a="1"/>
  <c r="W55" i="1" s="1"/>
  <c r="W56" i="1" a="1"/>
  <c r="W56" i="1"/>
  <c r="W57" i="1" a="1"/>
  <c r="W57" i="1" s="1"/>
  <c r="W58" i="1" a="1"/>
  <c r="W58" i="1" s="1"/>
  <c r="W59" i="1" a="1"/>
  <c r="W59" i="1"/>
  <c r="W60" i="1" a="1"/>
  <c r="W60" i="1" s="1"/>
  <c r="W61" i="1" a="1"/>
  <c r="W61" i="1" s="1"/>
  <c r="W62" i="1" a="1"/>
  <c r="W62" i="1"/>
  <c r="W63" i="1" a="1"/>
  <c r="W63" i="1" s="1"/>
  <c r="W64" i="1" a="1"/>
  <c r="W64" i="1" s="1"/>
  <c r="W65" i="1" a="1"/>
  <c r="W65" i="1" s="1"/>
  <c r="W66" i="1" a="1"/>
  <c r="W66" i="1"/>
  <c r="W67" i="1" a="1"/>
  <c r="W67" i="1" s="1"/>
  <c r="W68" i="1" a="1"/>
  <c r="W68" i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/>
  <c r="W87" i="1" a="1"/>
  <c r="W87" i="1" s="1"/>
  <c r="W88" i="1" a="1"/>
  <c r="W88" i="1"/>
  <c r="W89" i="1" a="1"/>
  <c r="W89" i="1" s="1"/>
  <c r="W90" i="1" a="1"/>
  <c r="W90" i="1" s="1"/>
  <c r="W91" i="1" a="1"/>
  <c r="W91" i="1" s="1"/>
  <c r="W92" i="1" a="1"/>
  <c r="W92" i="1"/>
  <c r="W93" i="1" a="1"/>
  <c r="W93" i="1" s="1"/>
  <c r="W94" i="1" a="1"/>
  <c r="W94" i="1" s="1"/>
  <c r="W95" i="1" a="1"/>
  <c r="W95" i="1"/>
  <c r="W96" i="1" a="1"/>
  <c r="W96" i="1" s="1"/>
  <c r="W97" i="1" a="1"/>
  <c r="W97" i="1" s="1"/>
  <c r="W98" i="1" a="1"/>
  <c r="W98" i="1"/>
  <c r="W99" i="1" a="1"/>
  <c r="W99" i="1" s="1"/>
  <c r="W100" i="1" a="1"/>
  <c r="W100" i="1" s="1"/>
  <c r="W101" i="1" a="1"/>
  <c r="W101" i="1" s="1"/>
  <c r="W102" i="1" a="1"/>
  <c r="W102" i="1"/>
  <c r="W103" i="1" a="1"/>
  <c r="W103" i="1" s="1"/>
  <c r="W104" i="1" a="1"/>
  <c r="W104" i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/>
  <c r="W123" i="1" a="1"/>
  <c r="W123" i="1" s="1"/>
  <c r="W124" i="1" a="1"/>
  <c r="W124" i="1"/>
  <c r="W125" i="1" a="1"/>
  <c r="W125" i="1" s="1"/>
  <c r="W126" i="1" a="1"/>
  <c r="W126" i="1" s="1"/>
  <c r="W127" i="1" a="1"/>
  <c r="W127" i="1" s="1"/>
  <c r="W128" i="1" a="1"/>
  <c r="W128" i="1"/>
  <c r="W129" i="1" a="1"/>
  <c r="W129" i="1" s="1"/>
  <c r="W130" i="1" a="1"/>
  <c r="W130" i="1" s="1"/>
  <c r="W131" i="1" a="1"/>
  <c r="W131" i="1"/>
  <c r="W132" i="1" a="1"/>
  <c r="W132" i="1" s="1"/>
  <c r="W133" i="1" a="1"/>
  <c r="W133" i="1" s="1"/>
  <c r="W134" i="1" a="1"/>
  <c r="W134" i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/>
  <c r="W177" i="1" a="1"/>
  <c r="W177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/>
  <c r="W351" i="1" a="1"/>
  <c r="W351" i="1" s="1"/>
  <c r="W352" i="1" a="1"/>
  <c r="W352" i="1" s="1"/>
  <c r="W353" i="1" a="1"/>
  <c r="W353" i="1" s="1"/>
  <c r="W354" i="1" a="1"/>
  <c r="W354" i="1" s="1"/>
  <c r="W355" i="1" a="1"/>
  <c r="W355" i="1" s="1"/>
  <c r="W356" i="1" a="1"/>
  <c r="W356" i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/>
  <c r="W393" i="1" a="1"/>
  <c r="W393" i="1" s="1"/>
  <c r="W394" i="1" a="1"/>
  <c r="W394" i="1" s="1"/>
  <c r="W395" i="1" a="1"/>
  <c r="W395" i="1" s="1"/>
  <c r="W396" i="1" a="1"/>
  <c r="W396" i="1" s="1"/>
  <c r="W397" i="1" a="1"/>
  <c r="W397" i="1" s="1"/>
  <c r="W398" i="1" a="1"/>
  <c r="W398" i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410" i="1" a="1"/>
  <c r="W410" i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/>
  <c r="W429" i="1" a="1"/>
  <c r="W429" i="1" s="1"/>
  <c r="W430" i="1" a="1"/>
  <c r="W430" i="1" s="1"/>
  <c r="W431" i="1" a="1"/>
  <c r="W431" i="1" s="1"/>
  <c r="W432" i="1" a="1"/>
  <c r="W432" i="1" s="1"/>
  <c r="W433" i="1" a="1"/>
  <c r="W433" i="1" s="1"/>
  <c r="W434" i="1" a="1"/>
  <c r="W434" i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/>
  <c r="W453" i="1" a="1"/>
  <c r="W453" i="1" s="1"/>
  <c r="W454" i="1" a="1"/>
  <c r="W454" i="1" s="1"/>
  <c r="W455" i="1" a="1"/>
  <c r="W455" i="1" s="1"/>
  <c r="W456" i="1" a="1"/>
  <c r="W456" i="1" s="1"/>
  <c r="W457" i="1" a="1"/>
  <c r="W457" i="1" s="1"/>
  <c r="W458" i="1" a="1"/>
  <c r="W458" i="1"/>
  <c r="W459" i="1" a="1"/>
  <c r="W459" i="1" s="1"/>
  <c r="W460" i="1" a="1"/>
  <c r="W460" i="1" s="1"/>
  <c r="W461" i="1" a="1"/>
  <c r="W461" i="1" s="1"/>
  <c r="W462" i="1" a="1"/>
  <c r="W462" i="1" s="1"/>
  <c r="W463" i="1" a="1"/>
  <c r="W463" i="1" s="1"/>
  <c r="W464" i="1" a="1"/>
  <c r="W464" i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/>
  <c r="W483" i="1" a="1"/>
  <c r="W483" i="1" s="1"/>
  <c r="W484" i="1" a="1"/>
  <c r="W484" i="1" s="1"/>
  <c r="W485" i="1" a="1"/>
  <c r="W485" i="1" s="1"/>
  <c r="W486" i="1" a="1"/>
  <c r="W486" i="1" s="1"/>
  <c r="W487" i="1" a="1"/>
  <c r="W487" i="1" s="1"/>
  <c r="W488" i="1" a="1"/>
  <c r="W488" i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/>
  <c r="W513" i="1" a="1"/>
  <c r="W513" i="1"/>
  <c r="W514" i="1" a="1"/>
  <c r="W514" i="1"/>
  <c r="W515" i="1" a="1"/>
  <c r="W515" i="1"/>
  <c r="W516" i="1" a="1"/>
  <c r="W516" i="1"/>
  <c r="W517" i="1" a="1"/>
  <c r="W517" i="1"/>
  <c r="W518" i="1" a="1"/>
  <c r="W518" i="1"/>
  <c r="W519" i="1" a="1"/>
  <c r="W519" i="1"/>
  <c r="W520" i="1" a="1"/>
  <c r="W520" i="1"/>
  <c r="W521" i="1" a="1"/>
  <c r="W521" i="1"/>
  <c r="W522" i="1" a="1"/>
  <c r="W522" i="1"/>
  <c r="W523" i="1" a="1"/>
  <c r="W523" i="1"/>
  <c r="W524" i="1" a="1"/>
  <c r="W524" i="1"/>
  <c r="W525" i="1" a="1"/>
  <c r="W525" i="1"/>
  <c r="W526" i="1" a="1"/>
  <c r="W526" i="1"/>
  <c r="W527" i="1" a="1"/>
  <c r="W527" i="1"/>
  <c r="W528" i="1" a="1"/>
  <c r="W528" i="1"/>
  <c r="W529" i="1" a="1"/>
  <c r="W529" i="1"/>
  <c r="W530" i="1" a="1"/>
  <c r="W530" i="1"/>
  <c r="W531" i="1" a="1"/>
  <c r="W531" i="1"/>
  <c r="W532" i="1" a="1"/>
  <c r="W532" i="1"/>
  <c r="W533" i="1" a="1"/>
  <c r="W533" i="1"/>
  <c r="W534" i="1" a="1"/>
  <c r="W534" i="1"/>
  <c r="W535" i="1" a="1"/>
  <c r="W535" i="1"/>
  <c r="W536" i="1" a="1"/>
  <c r="W536" i="1"/>
  <c r="W537" i="1" a="1"/>
  <c r="W537" i="1"/>
  <c r="W538" i="1" a="1"/>
  <c r="W538" i="1"/>
  <c r="W539" i="1" a="1"/>
  <c r="W539" i="1"/>
  <c r="W540" i="1" a="1"/>
  <c r="W540" i="1"/>
  <c r="W541" i="1" a="1"/>
  <c r="W541" i="1"/>
  <c r="W542" i="1" a="1"/>
  <c r="W542" i="1"/>
  <c r="W543" i="1" a="1"/>
  <c r="W543" i="1"/>
  <c r="W544" i="1" a="1"/>
  <c r="W544" i="1"/>
  <c r="W545" i="1" a="1"/>
  <c r="W545" i="1"/>
  <c r="W546" i="1" a="1"/>
  <c r="W546" i="1"/>
  <c r="W547" i="1" a="1"/>
  <c r="W547" i="1"/>
  <c r="W548" i="1" a="1"/>
  <c r="W548" i="1"/>
  <c r="W549" i="1" a="1"/>
  <c r="W549" i="1"/>
  <c r="W550" i="1" a="1"/>
  <c r="W550" i="1"/>
  <c r="W551" i="1" a="1"/>
  <c r="W551" i="1"/>
  <c r="W552" i="1" a="1"/>
  <c r="W552" i="1"/>
  <c r="W553" i="1" a="1"/>
  <c r="W553" i="1"/>
  <c r="W554" i="1" a="1"/>
  <c r="W554" i="1"/>
  <c r="W555" i="1" a="1"/>
  <c r="W555" i="1"/>
  <c r="W556" i="1" a="1"/>
  <c r="W556" i="1"/>
  <c r="W557" i="1" a="1"/>
  <c r="W557" i="1"/>
  <c r="W558" i="1" a="1"/>
  <c r="W558" i="1"/>
  <c r="W559" i="1" a="1"/>
  <c r="W559" i="1"/>
  <c r="W560" i="1" a="1"/>
  <c r="W560" i="1"/>
  <c r="W561" i="1" a="1"/>
  <c r="W561" i="1"/>
  <c r="W562" i="1" a="1"/>
  <c r="W562" i="1"/>
  <c r="W563" i="1" a="1"/>
  <c r="W563" i="1"/>
  <c r="W564" i="1" a="1"/>
  <c r="W564" i="1"/>
  <c r="W565" i="1" a="1"/>
  <c r="W565" i="1"/>
  <c r="W566" i="1" a="1"/>
  <c r="W566" i="1"/>
  <c r="W567" i="1" a="1"/>
  <c r="W567" i="1"/>
  <c r="W568" i="1" a="1"/>
  <c r="W568" i="1"/>
  <c r="W569" i="1" a="1"/>
  <c r="W569" i="1"/>
  <c r="W570" i="1" a="1"/>
  <c r="W570" i="1"/>
  <c r="W571" i="1" a="1"/>
  <c r="W571" i="1"/>
  <c r="W572" i="1" a="1"/>
  <c r="W572" i="1"/>
  <c r="W573" i="1" a="1"/>
  <c r="W573" i="1"/>
  <c r="W574" i="1" a="1"/>
  <c r="W574" i="1"/>
  <c r="W575" i="1" a="1"/>
  <c r="W575" i="1"/>
  <c r="W576" i="1" a="1"/>
  <c r="W576" i="1"/>
  <c r="W577" i="1" a="1"/>
  <c r="W577" i="1"/>
  <c r="W578" i="1" a="1"/>
  <c r="W578" i="1"/>
  <c r="W579" i="1" a="1"/>
  <c r="W579" i="1"/>
  <c r="W580" i="1" a="1"/>
  <c r="W580" i="1"/>
  <c r="W581" i="1" a="1"/>
  <c r="W581" i="1"/>
  <c r="W582" i="1" a="1"/>
  <c r="W582" i="1"/>
  <c r="W583" i="1" a="1"/>
  <c r="W583" i="1"/>
  <c r="W584" i="1" a="1"/>
  <c r="W584" i="1"/>
  <c r="W585" i="1" a="1"/>
  <c r="W585" i="1"/>
  <c r="W586" i="1" a="1"/>
  <c r="W586" i="1"/>
  <c r="W587" i="1" a="1"/>
  <c r="W587" i="1"/>
  <c r="W588" i="1" a="1"/>
  <c r="W588" i="1"/>
  <c r="W589" i="1" a="1"/>
  <c r="W589" i="1"/>
  <c r="W590" i="1" a="1"/>
  <c r="W590" i="1"/>
  <c r="W591" i="1" a="1"/>
  <c r="W591" i="1"/>
  <c r="W592" i="1" a="1"/>
  <c r="W592" i="1"/>
  <c r="W593" i="1" a="1"/>
  <c r="W593" i="1"/>
  <c r="W594" i="1" a="1"/>
  <c r="W594" i="1"/>
  <c r="W595" i="1" a="1"/>
  <c r="W595" i="1"/>
  <c r="W596" i="1" a="1"/>
  <c r="W596" i="1"/>
  <c r="W597" i="1" a="1"/>
  <c r="W597" i="1"/>
  <c r="W598" i="1" a="1"/>
  <c r="W598" i="1"/>
  <c r="W599" i="1" a="1"/>
  <c r="W599" i="1"/>
  <c r="W600" i="1" a="1"/>
  <c r="W600" i="1"/>
  <c r="W601" i="1" a="1"/>
  <c r="W601" i="1"/>
  <c r="W602" i="1" a="1"/>
  <c r="W602" i="1"/>
  <c r="W603" i="1" a="1"/>
  <c r="W603" i="1"/>
  <c r="W604" i="1" a="1"/>
  <c r="W604" i="1"/>
  <c r="W605" i="1" a="1"/>
  <c r="W605" i="1"/>
  <c r="W606" i="1" a="1"/>
  <c r="W606" i="1"/>
  <c r="W607" i="1" a="1"/>
  <c r="W607" i="1"/>
  <c r="W608" i="1" a="1"/>
  <c r="W608" i="1"/>
  <c r="W609" i="1" a="1"/>
  <c r="W609" i="1"/>
  <c r="W610" i="1" a="1"/>
  <c r="W610" i="1"/>
  <c r="W611" i="1" a="1"/>
  <c r="W611" i="1"/>
  <c r="W612" i="1" a="1"/>
  <c r="W612" i="1"/>
  <c r="W613" i="1" a="1"/>
  <c r="W613" i="1"/>
  <c r="W614" i="1" a="1"/>
  <c r="W614" i="1"/>
  <c r="W615" i="1" a="1"/>
  <c r="W615" i="1"/>
  <c r="W616" i="1" a="1"/>
  <c r="W616" i="1"/>
  <c r="W617" i="1" a="1"/>
  <c r="W617" i="1"/>
  <c r="W618" i="1" a="1"/>
  <c r="W618" i="1"/>
  <c r="W619" i="1" a="1"/>
  <c r="W619" i="1"/>
  <c r="W620" i="1" a="1"/>
  <c r="W620" i="1"/>
  <c r="W621" i="1" a="1"/>
  <c r="W621" i="1"/>
  <c r="W622" i="1" a="1"/>
  <c r="W622" i="1"/>
  <c r="W623" i="1" a="1"/>
  <c r="W623" i="1"/>
  <c r="W624" i="1" a="1"/>
  <c r="W624" i="1"/>
  <c r="W625" i="1" a="1"/>
  <c r="W625" i="1"/>
  <c r="W626" i="1" a="1"/>
  <c r="W626" i="1"/>
  <c r="W627" i="1" a="1"/>
  <c r="W627" i="1"/>
  <c r="W628" i="1" a="1"/>
  <c r="W628" i="1"/>
  <c r="W629" i="1" a="1"/>
  <c r="W629" i="1"/>
  <c r="W630" i="1" a="1"/>
  <c r="W630" i="1"/>
  <c r="W631" i="1" a="1"/>
  <c r="W631" i="1"/>
  <c r="W632" i="1" a="1"/>
  <c r="W632" i="1"/>
  <c r="W633" i="1" a="1"/>
  <c r="W633" i="1"/>
  <c r="W634" i="1" a="1"/>
  <c r="W634" i="1"/>
  <c r="W635" i="1" a="1"/>
  <c r="W635" i="1"/>
  <c r="W636" i="1" a="1"/>
  <c r="W636" i="1"/>
  <c r="W637" i="1" a="1"/>
  <c r="W637" i="1"/>
  <c r="W638" i="1" a="1"/>
  <c r="W638" i="1" s="1"/>
  <c r="W639" i="1" a="1"/>
  <c r="W639" i="1" s="1"/>
  <c r="W640" i="1" a="1"/>
  <c r="W640" i="1"/>
  <c r="W641" i="1" a="1"/>
  <c r="W641" i="1"/>
  <c r="W642" i="1" a="1"/>
  <c r="W642" i="1"/>
  <c r="W643" i="1" a="1"/>
  <c r="W643" i="1" s="1"/>
  <c r="W644" i="1" a="1"/>
  <c r="W644" i="1" s="1"/>
  <c r="W645" i="1" a="1"/>
  <c r="W645" i="1" s="1"/>
  <c r="W646" i="1" a="1"/>
  <c r="W646" i="1"/>
  <c r="W647" i="1" a="1"/>
  <c r="W647" i="1"/>
  <c r="W648" i="1" a="1"/>
  <c r="W648" i="1"/>
  <c r="W649" i="1" a="1"/>
  <c r="W649" i="1" s="1"/>
  <c r="W650" i="1" a="1"/>
  <c r="W650" i="1" s="1"/>
  <c r="W651" i="1" a="1"/>
  <c r="W651" i="1" s="1"/>
  <c r="W652" i="1" a="1"/>
  <c r="W652" i="1"/>
  <c r="W653" i="1" a="1"/>
  <c r="W653" i="1"/>
  <c r="W654" i="1" a="1"/>
  <c r="W654" i="1"/>
  <c r="W655" i="1" a="1"/>
  <c r="W655" i="1" s="1"/>
  <c r="W656" i="1" a="1"/>
  <c r="W656" i="1" s="1"/>
  <c r="W657" i="1" a="1"/>
  <c r="W657" i="1" s="1"/>
  <c r="W658" i="1" a="1"/>
  <c r="W658" i="1"/>
  <c r="W659" i="1" a="1"/>
  <c r="W659" i="1"/>
  <c r="W660" i="1" a="1"/>
  <c r="W660" i="1"/>
  <c r="W661" i="1" a="1"/>
  <c r="W661" i="1" s="1"/>
  <c r="W662" i="1" a="1"/>
  <c r="W662" i="1" s="1"/>
  <c r="W663" i="1" a="1"/>
  <c r="W663" i="1" s="1"/>
  <c r="W664" i="1" a="1"/>
  <c r="W664" i="1"/>
  <c r="W665" i="1" a="1"/>
  <c r="W665" i="1"/>
  <c r="W666" i="1" a="1"/>
  <c r="W666" i="1"/>
  <c r="W667" i="1" a="1"/>
  <c r="W667" i="1" s="1"/>
  <c r="W668" i="1" a="1"/>
  <c r="W668" i="1" s="1"/>
  <c r="W669" i="1" a="1"/>
  <c r="W669" i="1" s="1"/>
  <c r="W670" i="1" a="1"/>
  <c r="W670" i="1"/>
  <c r="W671" i="1" a="1"/>
  <c r="W671" i="1"/>
  <c r="W672" i="1" a="1"/>
  <c r="W672" i="1"/>
  <c r="W673" i="1" a="1"/>
  <c r="W673" i="1" s="1"/>
  <c r="W674" i="1" a="1"/>
  <c r="W674" i="1" s="1"/>
  <c r="W675" i="1" a="1"/>
  <c r="W675" i="1" s="1"/>
  <c r="W676" i="1" a="1"/>
  <c r="W676" i="1"/>
  <c r="W677" i="1" a="1"/>
  <c r="W677" i="1"/>
  <c r="W678" i="1" a="1"/>
  <c r="W678" i="1"/>
  <c r="W679" i="1" a="1"/>
  <c r="W679" i="1" s="1"/>
  <c r="W680" i="1" a="1"/>
  <c r="W680" i="1" s="1"/>
  <c r="W681" i="1" a="1"/>
  <c r="W681" i="1" s="1"/>
  <c r="W682" i="1" a="1"/>
  <c r="W682" i="1"/>
  <c r="W683" i="1" a="1"/>
  <c r="W683" i="1"/>
  <c r="W684" i="1" a="1"/>
  <c r="W684" i="1"/>
  <c r="W685" i="1" a="1"/>
  <c r="W685" i="1" s="1"/>
  <c r="W686" i="1" a="1"/>
  <c r="W686" i="1" s="1"/>
  <c r="W687" i="1" a="1"/>
  <c r="W687" i="1" s="1"/>
  <c r="W688" i="1" a="1"/>
  <c r="W688" i="1"/>
  <c r="W689" i="1" a="1"/>
  <c r="W689" i="1"/>
  <c r="W690" i="1" a="1"/>
  <c r="W690" i="1"/>
  <c r="W691" i="1" a="1"/>
  <c r="W691" i="1" s="1"/>
  <c r="W692" i="1" a="1"/>
  <c r="W692" i="1" s="1"/>
  <c r="W693" i="1" a="1"/>
  <c r="W693" i="1" s="1"/>
  <c r="W694" i="1" a="1"/>
  <c r="W694" i="1"/>
  <c r="W695" i="1" a="1"/>
  <c r="W695" i="1"/>
  <c r="W696" i="1" a="1"/>
  <c r="W696" i="1"/>
  <c r="W697" i="1" a="1"/>
  <c r="W697" i="1" s="1"/>
  <c r="W698" i="1" a="1"/>
  <c r="W698" i="1" s="1"/>
  <c r="W699" i="1" a="1"/>
  <c r="W699" i="1" s="1"/>
  <c r="W700" i="1" a="1"/>
  <c r="W700" i="1" s="1"/>
  <c r="W701" i="1" a="1"/>
  <c r="W701" i="1"/>
  <c r="W702" i="1" a="1"/>
  <c r="W702" i="1"/>
  <c r="W703" i="1" a="1"/>
  <c r="W703" i="1"/>
  <c r="W704" i="1" a="1"/>
  <c r="W704" i="1"/>
  <c r="W705" i="1" a="1"/>
  <c r="W705" i="1"/>
  <c r="W706" i="1" a="1"/>
  <c r="W706" i="1" s="1"/>
  <c r="W707" i="1" a="1"/>
  <c r="W707" i="1"/>
  <c r="W708" i="1" a="1"/>
  <c r="W708" i="1" s="1"/>
  <c r="W709" i="1" a="1"/>
  <c r="W709" i="1"/>
  <c r="W710" i="1" a="1"/>
  <c r="W710" i="1" s="1"/>
  <c r="W711" i="1" a="1"/>
  <c r="W711" i="1" s="1"/>
  <c r="W712" i="1" a="1"/>
  <c r="W712" i="1" s="1"/>
  <c r="W713" i="1" a="1"/>
  <c r="W713" i="1"/>
  <c r="W714" i="1" a="1"/>
  <c r="W714" i="1"/>
  <c r="W715" i="1" a="1"/>
  <c r="W715" i="1"/>
  <c r="W716" i="1" a="1"/>
  <c r="W716" i="1"/>
  <c r="W717" i="1" a="1"/>
  <c r="W717" i="1"/>
  <c r="W718" i="1" a="1"/>
  <c r="W718" i="1" s="1"/>
  <c r="W719" i="1" a="1"/>
  <c r="W719" i="1" s="1"/>
  <c r="W720" i="1" a="1"/>
  <c r="W720" i="1"/>
  <c r="W721" i="1" a="1"/>
  <c r="W721" i="1" s="1"/>
  <c r="W722" i="1" a="1"/>
  <c r="W722" i="1"/>
  <c r="W723" i="1" a="1"/>
  <c r="W723" i="1" s="1"/>
  <c r="W724" i="1" a="1"/>
  <c r="W724" i="1" s="1"/>
  <c r="W725" i="1" a="1"/>
  <c r="W725" i="1"/>
  <c r="W726" i="1" a="1"/>
  <c r="W726" i="1" s="1"/>
  <c r="W727" i="1" a="1"/>
  <c r="W727" i="1"/>
  <c r="W728" i="1" a="1"/>
  <c r="W728" i="1"/>
  <c r="W729" i="1" a="1"/>
  <c r="W729" i="1"/>
  <c r="W730" i="1" a="1"/>
  <c r="W730" i="1" s="1"/>
  <c r="W731" i="1" a="1"/>
  <c r="W731" i="1" s="1"/>
  <c r="W732" i="1" a="1"/>
  <c r="W732" i="1" s="1"/>
  <c r="W733" i="1" a="1"/>
  <c r="W733" i="1"/>
  <c r="W734" i="1" a="1"/>
  <c r="W734" i="1" s="1"/>
  <c r="W735" i="1" a="1"/>
  <c r="W735" i="1"/>
  <c r="W736" i="1" a="1"/>
  <c r="W736" i="1" s="1"/>
  <c r="W737" i="1" a="1"/>
  <c r="W737" i="1"/>
  <c r="W738" i="1" a="1"/>
  <c r="W738" i="1"/>
  <c r="W739" i="1" a="1"/>
  <c r="W739" i="1" s="1"/>
  <c r="W740" i="1" a="1"/>
  <c r="W740" i="1"/>
  <c r="W741" i="1" a="1"/>
  <c r="W741" i="1"/>
  <c r="W742" i="1" a="1"/>
  <c r="W742" i="1" s="1"/>
  <c r="W743" i="1" a="1"/>
  <c r="W743" i="1" s="1"/>
  <c r="W744" i="1" a="1"/>
  <c r="W744" i="1" s="1"/>
  <c r="W745" i="1" a="1"/>
  <c r="W745" i="1" s="1"/>
  <c r="W746" i="1" a="1"/>
  <c r="W746" i="1"/>
  <c r="W747" i="1" a="1"/>
  <c r="W747" i="1" s="1"/>
  <c r="W748" i="1" a="1"/>
  <c r="W748" i="1" s="1"/>
  <c r="W749" i="1" a="1"/>
  <c r="W749" i="1"/>
  <c r="W750" i="1" a="1"/>
  <c r="W750" i="1"/>
  <c r="W751" i="1" a="1"/>
  <c r="W751" i="1"/>
  <c r="W752" i="1" a="1"/>
  <c r="W752" i="1" s="1"/>
  <c r="W753" i="1" a="1"/>
  <c r="W753" i="1"/>
  <c r="W754" i="1" a="1"/>
  <c r="W754" i="1" s="1"/>
  <c r="W755" i="1" a="1"/>
  <c r="W755" i="1"/>
  <c r="W756" i="1" a="1"/>
  <c r="W756" i="1" s="1"/>
  <c r="W757" i="1" a="1"/>
  <c r="W757" i="1" s="1"/>
  <c r="W758" i="1" a="1"/>
  <c r="W758" i="1" s="1"/>
  <c r="W759" i="1" a="1"/>
  <c r="W759" i="1"/>
  <c r="W760" i="1" a="1"/>
  <c r="W760" i="1" s="1"/>
  <c r="W761" i="1" a="1"/>
  <c r="W761" i="1"/>
  <c r="W762" i="1" a="1"/>
  <c r="W762" i="1"/>
  <c r="W763" i="1" a="1"/>
  <c r="W763" i="1"/>
  <c r="W764" i="1" a="1"/>
  <c r="W764" i="1"/>
  <c r="W765" i="1" a="1"/>
  <c r="W765" i="1" s="1"/>
  <c r="W766" i="1" a="1"/>
  <c r="W766" i="1" s="1"/>
  <c r="W767" i="1" a="1"/>
  <c r="W767" i="1" s="1"/>
  <c r="W768" i="1" a="1"/>
  <c r="W768" i="1"/>
  <c r="W769" i="1" a="1"/>
  <c r="W769" i="1" s="1"/>
  <c r="W770" i="1" a="1"/>
  <c r="W770" i="1" s="1"/>
  <c r="W771" i="1" a="1"/>
  <c r="W771" i="1" s="1"/>
  <c r="W772" i="1" a="1"/>
  <c r="W772" i="1" s="1"/>
  <c r="W773" i="1" a="1"/>
  <c r="W773" i="1"/>
  <c r="W774" i="1" a="1"/>
  <c r="W774" i="1"/>
  <c r="W775" i="1" a="1"/>
  <c r="W775" i="1"/>
  <c r="W776" i="1" a="1"/>
  <c r="W776" i="1"/>
  <c r="W777" i="1" a="1"/>
  <c r="W777" i="1"/>
  <c r="W778" i="1" a="1"/>
  <c r="W778" i="1" s="1"/>
  <c r="W779" i="1" a="1"/>
  <c r="W779" i="1"/>
  <c r="W780" i="1" a="1"/>
  <c r="W780" i="1" s="1"/>
  <c r="W781" i="1" a="1"/>
  <c r="W781" i="1"/>
  <c r="W782" i="1" a="1"/>
  <c r="W782" i="1" s="1"/>
  <c r="W783" i="1" a="1"/>
  <c r="W783" i="1" s="1"/>
  <c r="W784" i="1" a="1"/>
  <c r="W784" i="1" s="1"/>
  <c r="W785" i="1" a="1"/>
  <c r="W785" i="1" s="1"/>
  <c r="W786" i="1" a="1"/>
  <c r="W786" i="1"/>
  <c r="W787" i="1" a="1"/>
  <c r="W787" i="1"/>
  <c r="W788" i="1" a="1"/>
  <c r="W788" i="1"/>
  <c r="W789" i="1" a="1"/>
  <c r="W789" i="1"/>
  <c r="W790" i="1" a="1"/>
  <c r="W790" i="1" s="1"/>
  <c r="W791" i="1" a="1"/>
  <c r="W791" i="1" s="1"/>
  <c r="W792" i="1" a="1"/>
  <c r="W792" i="1"/>
  <c r="W793" i="1" a="1"/>
  <c r="W793" i="1" s="1"/>
  <c r="W794" i="1" a="1"/>
  <c r="W794" i="1" s="1"/>
  <c r="W795" i="1" a="1"/>
  <c r="W795" i="1" s="1"/>
  <c r="W796" i="1" a="1"/>
  <c r="W796" i="1" s="1"/>
  <c r="W797" i="1" a="1"/>
  <c r="W797" i="1"/>
  <c r="W798" i="1" a="1"/>
  <c r="W798" i="1" s="1"/>
  <c r="W799" i="1" a="1"/>
  <c r="W799" i="1"/>
  <c r="W800" i="1" a="1"/>
  <c r="W800" i="1"/>
  <c r="W801" i="1" a="1"/>
  <c r="W801" i="1"/>
  <c r="W802" i="1" a="1"/>
  <c r="W802" i="1" s="1"/>
  <c r="W803" i="1" a="1"/>
  <c r="W803" i="1" s="1"/>
  <c r="W804" i="1" a="1"/>
  <c r="W804" i="1" s="1"/>
  <c r="W805" i="1" a="1"/>
  <c r="W805" i="1"/>
  <c r="W806" i="1" a="1"/>
  <c r="W806" i="1" s="1"/>
  <c r="W807" i="1" a="1"/>
  <c r="W807" i="1" s="1"/>
  <c r="W808" i="1" a="1"/>
  <c r="W808" i="1" s="1"/>
  <c r="W809" i="1" a="1"/>
  <c r="W809" i="1"/>
  <c r="W810" i="1" a="1"/>
  <c r="W810" i="1"/>
  <c r="W811" i="1" a="1"/>
  <c r="W811" i="1" s="1"/>
  <c r="W812" i="1" a="1"/>
  <c r="W812" i="1"/>
  <c r="W813" i="1" a="1"/>
  <c r="W813" i="1"/>
  <c r="W814" i="1" a="1"/>
  <c r="W814" i="1" s="1"/>
  <c r="W815" i="1" a="1"/>
  <c r="W815" i="1" s="1"/>
  <c r="W816" i="1" a="1"/>
  <c r="W816" i="1" s="1"/>
  <c r="W817" i="1" a="1"/>
  <c r="W817" i="1" s="1"/>
  <c r="W818" i="1" a="1"/>
  <c r="W818" i="1"/>
  <c r="W819" i="1" a="1"/>
  <c r="W819" i="1" s="1"/>
  <c r="W820" i="1" a="1"/>
  <c r="W820" i="1" s="1"/>
  <c r="W821" i="1" a="1"/>
  <c r="W821" i="1"/>
  <c r="W822" i="1" a="1"/>
  <c r="W822" i="1"/>
  <c r="W823" i="1" a="1"/>
  <c r="W823" i="1"/>
  <c r="W824" i="1" a="1"/>
  <c r="W824" i="1" s="1"/>
  <c r="W825" i="1" a="1"/>
  <c r="W825" i="1"/>
  <c r="W826" i="1" a="1"/>
  <c r="W826" i="1" s="1"/>
  <c r="W827" i="1" a="1"/>
  <c r="W827" i="1" s="1"/>
  <c r="W828" i="1" a="1"/>
  <c r="W828" i="1" s="1"/>
  <c r="W829" i="1" a="1"/>
  <c r="W829" i="1" s="1"/>
  <c r="W830" i="1" a="1"/>
  <c r="W830" i="1" s="1"/>
  <c r="W831" i="1" a="1"/>
  <c r="W831" i="1"/>
  <c r="W832" i="1" a="1"/>
  <c r="W832" i="1" s="1"/>
  <c r="W833" i="1" a="1"/>
  <c r="W833" i="1"/>
  <c r="W834" i="1" a="1"/>
  <c r="W834" i="1"/>
  <c r="W835" i="1" a="1"/>
  <c r="W835" i="1"/>
  <c r="W836" i="1" a="1"/>
  <c r="W836" i="1"/>
  <c r="W837" i="1" a="1"/>
  <c r="W837" i="1" s="1"/>
  <c r="W838" i="1" a="1"/>
  <c r="W838" i="1" s="1"/>
  <c r="W839" i="1" a="1"/>
  <c r="W839" i="1" s="1"/>
  <c r="W840" i="1" a="1"/>
  <c r="W840" i="1" s="1"/>
  <c r="W841" i="1" a="1"/>
  <c r="W841" i="1" s="1"/>
  <c r="W842" i="1" a="1"/>
  <c r="W842" i="1" s="1"/>
  <c r="W843" i="1" a="1"/>
  <c r="W843" i="1" s="1"/>
  <c r="W844" i="1" a="1"/>
  <c r="W844" i="1" s="1"/>
  <c r="W845" i="1" a="1"/>
  <c r="W845" i="1"/>
  <c r="W846" i="1" a="1"/>
  <c r="W846" i="1"/>
  <c r="W847" i="1" a="1"/>
  <c r="W847" i="1"/>
  <c r="W848" i="1" a="1"/>
  <c r="W848" i="1"/>
  <c r="W849" i="1" a="1"/>
  <c r="W849" i="1"/>
  <c r="W850" i="1" a="1"/>
  <c r="W850" i="1" s="1"/>
  <c r="W851" i="1" a="1"/>
  <c r="W851" i="1"/>
  <c r="W852" i="1" a="1"/>
  <c r="W852" i="1" s="1"/>
  <c r="W853" i="1" a="1"/>
  <c r="W853" i="1" s="1"/>
  <c r="W854" i="1" a="1"/>
  <c r="W854" i="1" s="1"/>
  <c r="W855" i="1" a="1"/>
  <c r="W855" i="1" s="1"/>
  <c r="W856" i="1" a="1"/>
  <c r="W856" i="1" s="1"/>
  <c r="W857" i="1" a="1"/>
  <c r="W857" i="1" s="1"/>
  <c r="W858" i="1" a="1"/>
  <c r="W858" i="1"/>
  <c r="W859" i="1" a="1"/>
  <c r="W859" i="1"/>
  <c r="W860" i="1" a="1"/>
  <c r="W860" i="1"/>
  <c r="W861" i="1" a="1"/>
  <c r="W861" i="1"/>
  <c r="W862" i="1" a="1"/>
  <c r="W862" i="1" s="1"/>
  <c r="W863" i="1" a="1"/>
  <c r="W863" i="1" s="1"/>
  <c r="W864" i="1" a="1"/>
  <c r="W864" i="1"/>
  <c r="W865" i="1" a="1"/>
  <c r="W865" i="1" s="1"/>
  <c r="W866" i="1" a="1"/>
  <c r="W866" i="1" s="1"/>
  <c r="W867" i="1" a="1"/>
  <c r="W867" i="1" s="1"/>
  <c r="W868" i="1" a="1"/>
  <c r="W868" i="1" s="1"/>
  <c r="W869" i="1" a="1"/>
  <c r="W869" i="1"/>
  <c r="W870" i="1" a="1"/>
  <c r="W870" i="1" s="1"/>
  <c r="W871" i="1" a="1"/>
  <c r="W871" i="1"/>
  <c r="W872" i="1" a="1"/>
  <c r="W872" i="1"/>
  <c r="W873" i="1" a="1"/>
  <c r="W873" i="1"/>
  <c r="W874" i="1" a="1"/>
  <c r="W874" i="1" s="1"/>
  <c r="W875" i="1" a="1"/>
  <c r="W875" i="1" s="1"/>
  <c r="W876" i="1" a="1"/>
  <c r="W876" i="1" s="1"/>
  <c r="W877" i="1" a="1"/>
  <c r="W877" i="1"/>
  <c r="W878" i="1" a="1"/>
  <c r="W878" i="1" s="1"/>
  <c r="W879" i="1" a="1"/>
  <c r="W879" i="1" s="1"/>
  <c r="W880" i="1" a="1"/>
  <c r="W880" i="1" s="1"/>
  <c r="W881" i="1" a="1"/>
  <c r="W881" i="1"/>
  <c r="W882" i="1" a="1"/>
  <c r="W882" i="1"/>
  <c r="W883" i="1" a="1"/>
  <c r="W883" i="1" s="1"/>
  <c r="W884" i="1" a="1"/>
  <c r="W884" i="1"/>
  <c r="W885" i="1" a="1"/>
  <c r="W885" i="1"/>
  <c r="W886" i="1" a="1"/>
  <c r="W886" i="1" s="1"/>
  <c r="W887" i="1" a="1"/>
  <c r="W887" i="1" s="1"/>
  <c r="W888" i="1" a="1"/>
  <c r="W888" i="1" s="1"/>
  <c r="W889" i="1" a="1"/>
  <c r="W889" i="1" s="1"/>
  <c r="W890" i="1" a="1"/>
  <c r="W890" i="1"/>
  <c r="W891" i="1" a="1"/>
  <c r="W891" i="1" s="1"/>
  <c r="W892" i="1" a="1"/>
  <c r="W892" i="1" s="1"/>
  <c r="W893" i="1" a="1"/>
  <c r="W893" i="1"/>
  <c r="W894" i="1" a="1"/>
  <c r="W894" i="1"/>
  <c r="W895" i="1" a="1"/>
  <c r="W895" i="1"/>
  <c r="W896" i="1" a="1"/>
  <c r="W896" i="1" s="1"/>
  <c r="W897" i="1" a="1"/>
  <c r="W897" i="1"/>
  <c r="W898" i="1" a="1"/>
  <c r="W898" i="1" s="1"/>
  <c r="W899" i="1" a="1"/>
  <c r="W899" i="1" s="1"/>
  <c r="W900" i="1" a="1"/>
  <c r="W900" i="1" s="1"/>
  <c r="W901" i="1" a="1"/>
  <c r="W901" i="1" s="1"/>
  <c r="W902" i="1" a="1"/>
  <c r="W902" i="1" s="1"/>
  <c r="W903" i="1" a="1"/>
  <c r="W903" i="1"/>
  <c r="W904" i="1" a="1"/>
  <c r="W904" i="1" s="1"/>
  <c r="W905" i="1" a="1"/>
  <c r="W905" i="1"/>
  <c r="W906" i="1" a="1"/>
  <c r="W906" i="1"/>
  <c r="W907" i="1" a="1"/>
  <c r="W907" i="1"/>
  <c r="W908" i="1" a="1"/>
  <c r="W908" i="1"/>
  <c r="W909" i="1" a="1"/>
  <c r="W909" i="1" s="1"/>
  <c r="W910" i="1" a="1"/>
  <c r="W910" i="1" s="1"/>
  <c r="W911" i="1" a="1"/>
  <c r="W911" i="1" s="1"/>
  <c r="W912" i="1" a="1"/>
  <c r="W912" i="1"/>
  <c r="W913" i="1" a="1"/>
  <c r="W913" i="1" s="1"/>
  <c r="W914" i="1" a="1"/>
  <c r="W914" i="1" s="1"/>
  <c r="W915" i="1" a="1"/>
  <c r="W915" i="1" s="1"/>
  <c r="W916" i="1" a="1"/>
  <c r="W916" i="1" s="1"/>
  <c r="W917" i="1" a="1"/>
  <c r="W917" i="1"/>
  <c r="W918" i="1" a="1"/>
  <c r="W918" i="1"/>
  <c r="W919" i="1" a="1"/>
  <c r="W919" i="1"/>
  <c r="W920" i="1" a="1"/>
  <c r="W920" i="1"/>
  <c r="W921" i="1" a="1"/>
  <c r="W921" i="1"/>
  <c r="W922" i="1" a="1"/>
  <c r="W922" i="1" s="1"/>
  <c r="W923" i="1" a="1"/>
  <c r="W923" i="1"/>
  <c r="W924" i="1" a="1"/>
  <c r="W924" i="1" s="1"/>
  <c r="W925" i="1" a="1"/>
  <c r="W925" i="1"/>
  <c r="W926" i="1" a="1"/>
  <c r="W926" i="1" s="1"/>
  <c r="W927" i="1" a="1"/>
  <c r="W927" i="1" s="1"/>
  <c r="W928" i="1" a="1"/>
  <c r="W928" i="1" s="1"/>
  <c r="W929" i="1" a="1"/>
  <c r="W929" i="1" s="1"/>
  <c r="W930" i="1" a="1"/>
  <c r="W930" i="1"/>
  <c r="W931" i="1" a="1"/>
  <c r="W931" i="1"/>
  <c r="W932" i="1" a="1"/>
  <c r="W932" i="1"/>
  <c r="W933" i="1" a="1"/>
  <c r="W933" i="1"/>
  <c r="W934" i="1" a="1"/>
  <c r="W934" i="1" s="1"/>
  <c r="W935" i="1" a="1"/>
  <c r="W935" i="1" s="1"/>
  <c r="W936" i="1" a="1"/>
  <c r="W936" i="1"/>
  <c r="W937" i="1" a="1"/>
  <c r="W937" i="1" s="1"/>
  <c r="W938" i="1" a="1"/>
  <c r="W938" i="1" s="1"/>
  <c r="W939" i="1" a="1"/>
  <c r="W939" i="1" s="1"/>
  <c r="W940" i="1" a="1"/>
  <c r="W940" i="1" s="1"/>
  <c r="W941" i="1" a="1"/>
  <c r="W941" i="1"/>
  <c r="W942" i="1" a="1"/>
  <c r="W942" i="1" s="1"/>
  <c r="W943" i="1" a="1"/>
  <c r="W943" i="1"/>
  <c r="W944" i="1" a="1"/>
  <c r="W944" i="1"/>
  <c r="W945" i="1" a="1"/>
  <c r="W945" i="1"/>
  <c r="W946" i="1" a="1"/>
  <c r="W946" i="1" s="1"/>
  <c r="W947" i="1" a="1"/>
  <c r="W947" i="1" s="1"/>
  <c r="W948" i="1" a="1"/>
  <c r="W948" i="1" s="1"/>
  <c r="W949" i="1" a="1"/>
  <c r="W949" i="1"/>
  <c r="W950" i="1" a="1"/>
  <c r="W950" i="1" s="1"/>
  <c r="W951" i="1" a="1"/>
  <c r="W951" i="1" s="1"/>
  <c r="W952" i="1" a="1"/>
  <c r="W952" i="1" s="1"/>
  <c r="W953" i="1" a="1"/>
  <c r="W953" i="1"/>
  <c r="W954" i="1" a="1"/>
  <c r="W954" i="1"/>
  <c r="W955" i="1" a="1"/>
  <c r="W955" i="1" s="1"/>
  <c r="W956" i="1" a="1"/>
  <c r="W956" i="1"/>
  <c r="W957" i="1" a="1"/>
  <c r="W957" i="1"/>
  <c r="W958" i="1" a="1"/>
  <c r="W958" i="1" s="1"/>
  <c r="W959" i="1" a="1"/>
  <c r="W959" i="1" s="1"/>
  <c r="W960" i="1" a="1"/>
  <c r="W960" i="1" s="1"/>
  <c r="W961" i="1" a="1"/>
  <c r="W961" i="1" s="1"/>
  <c r="W962" i="1" a="1"/>
  <c r="W962" i="1"/>
  <c r="W963" i="1" a="1"/>
  <c r="W963" i="1" s="1"/>
  <c r="W964" i="1" a="1"/>
  <c r="W964" i="1" s="1"/>
  <c r="W965" i="1" a="1"/>
  <c r="W965" i="1"/>
  <c r="W966" i="1" a="1"/>
  <c r="W966" i="1"/>
  <c r="W967" i="1" a="1"/>
  <c r="W967" i="1"/>
  <c r="W968" i="1" a="1"/>
  <c r="W968" i="1" s="1"/>
  <c r="W969" i="1" a="1"/>
  <c r="W969" i="1"/>
  <c r="W970" i="1" a="1"/>
  <c r="W970" i="1" s="1"/>
  <c r="W971" i="1" a="1"/>
  <c r="W971" i="1" s="1"/>
  <c r="W972" i="1" a="1"/>
  <c r="W972" i="1" s="1"/>
  <c r="W973" i="1" a="1"/>
  <c r="W973" i="1" s="1"/>
  <c r="W974" i="1" a="1"/>
  <c r="W974" i="1" s="1"/>
  <c r="W975" i="1" a="1"/>
  <c r="W975" i="1"/>
  <c r="W976" i="1" a="1"/>
  <c r="W976" i="1" s="1"/>
  <c r="W977" i="1" a="1"/>
  <c r="W977" i="1"/>
  <c r="W978" i="1" a="1"/>
  <c r="W978" i="1"/>
  <c r="W979" i="1" a="1"/>
  <c r="W979" i="1"/>
  <c r="W980" i="1" a="1"/>
  <c r="W980" i="1"/>
  <c r="W981" i="1" a="1"/>
  <c r="W981" i="1" s="1"/>
  <c r="W982" i="1" a="1"/>
  <c r="W982" i="1" s="1"/>
  <c r="W983" i="1" a="1"/>
  <c r="W983" i="1" s="1"/>
  <c r="W984" i="1" a="1"/>
  <c r="W984" i="1" s="1"/>
  <c r="W985" i="1" a="1"/>
  <c r="W985" i="1" s="1"/>
  <c r="W986" i="1" a="1"/>
  <c r="W986" i="1" s="1"/>
  <c r="W987" i="1" a="1"/>
  <c r="W987" i="1" s="1"/>
  <c r="W988" i="1" a="1"/>
  <c r="W988" i="1" s="1"/>
  <c r="W989" i="1" a="1"/>
  <c r="W989" i="1"/>
  <c r="W990" i="1" a="1"/>
  <c r="W990" i="1"/>
  <c r="W991" i="1" a="1"/>
  <c r="W991" i="1"/>
  <c r="W992" i="1" a="1"/>
  <c r="W992" i="1"/>
  <c r="W993" i="1" a="1"/>
  <c r="W993" i="1"/>
  <c r="W994" i="1" a="1"/>
  <c r="W994" i="1" s="1"/>
  <c r="W995" i="1" a="1"/>
  <c r="W995" i="1"/>
  <c r="W996" i="1" a="1"/>
  <c r="W996" i="1" s="1"/>
  <c r="W997" i="1" a="1"/>
  <c r="W997" i="1" s="1"/>
  <c r="W998" i="1" a="1"/>
  <c r="W998" i="1" s="1"/>
  <c r="W999" i="1" a="1"/>
  <c r="W999" i="1" s="1"/>
  <c r="W1000" i="1" a="1"/>
  <c r="W1000" i="1" s="1"/>
  <c r="W1001" i="1" a="1"/>
  <c r="W1001" i="1" s="1"/>
  <c r="W1002" i="1" a="1"/>
  <c r="W1002" i="1"/>
  <c r="W1003" i="1" a="1"/>
  <c r="W1003" i="1"/>
  <c r="W1004" i="1" a="1"/>
  <c r="W1004" i="1"/>
  <c r="W1005" i="1" a="1"/>
  <c r="W1005" i="1"/>
  <c r="W1006" i="1" a="1"/>
  <c r="W1006" i="1" s="1"/>
  <c r="W1007" i="1" a="1"/>
  <c r="W1007" i="1" s="1"/>
  <c r="W1008" i="1" a="1"/>
  <c r="W1008" i="1"/>
  <c r="W1009" i="1" a="1"/>
  <c r="W1009" i="1" s="1"/>
  <c r="W1010" i="1" a="1"/>
  <c r="W1010" i="1" s="1"/>
  <c r="W1011" i="1" a="1"/>
  <c r="W1011" i="1" s="1"/>
  <c r="W1012" i="1" a="1"/>
  <c r="W1012" i="1" s="1"/>
  <c r="W1013" i="1" a="1"/>
  <c r="W1013" i="1"/>
  <c r="W1014" i="1" a="1"/>
  <c r="W1014" i="1" s="1"/>
  <c r="W1015" i="1" a="1"/>
  <c r="W1015" i="1"/>
  <c r="W1016" i="1" a="1"/>
  <c r="W1016" i="1"/>
  <c r="W1017" i="1" a="1"/>
  <c r="W1017" i="1"/>
  <c r="W1018" i="1" a="1"/>
  <c r="W1018" i="1" s="1"/>
  <c r="W1019" i="1" a="1"/>
  <c r="W1019" i="1" s="1"/>
  <c r="W1020" i="1" a="1"/>
  <c r="W1020" i="1" s="1"/>
  <c r="W1021" i="1" a="1"/>
  <c r="W1021" i="1"/>
  <c r="W1022" i="1" a="1"/>
  <c r="W1022" i="1" s="1"/>
  <c r="W1023" i="1" a="1"/>
  <c r="W1023" i="1" s="1"/>
  <c r="W1024" i="1" a="1"/>
  <c r="W1024" i="1" s="1"/>
  <c r="W1025" i="1" a="1"/>
  <c r="W1025" i="1"/>
  <c r="W1026" i="1" a="1"/>
  <c r="W1026" i="1"/>
  <c r="W1027" i="1" a="1"/>
  <c r="W1027" i="1" s="1"/>
  <c r="W1028" i="1" a="1"/>
  <c r="W1028" i="1"/>
  <c r="W1029" i="1" a="1"/>
  <c r="W1029" i="1"/>
  <c r="W1030" i="1" a="1"/>
  <c r="W1030" i="1" s="1"/>
  <c r="W1031" i="1" a="1"/>
  <c r="W1031" i="1" s="1"/>
  <c r="W1032" i="1" a="1"/>
  <c r="W1032" i="1" s="1"/>
  <c r="W1033" i="1" a="1"/>
  <c r="W1033" i="1" s="1"/>
  <c r="W1034" i="1" a="1"/>
  <c r="W1034" i="1"/>
  <c r="W1035" i="1" a="1"/>
  <c r="W1035" i="1" s="1"/>
  <c r="W1036" i="1" a="1"/>
  <c r="W1036" i="1" s="1"/>
  <c r="W1037" i="1" a="1"/>
  <c r="W1037" i="1"/>
  <c r="W1038" i="1" a="1"/>
  <c r="W1038" i="1"/>
  <c r="W1039" i="1" a="1"/>
  <c r="W1039" i="1"/>
  <c r="W1040" i="1" a="1"/>
  <c r="W1040" i="1" s="1"/>
  <c r="W1041" i="1" a="1"/>
  <c r="W1041" i="1"/>
  <c r="W1042" i="1" a="1"/>
  <c r="W1042" i="1" s="1"/>
  <c r="W1043" i="1" a="1"/>
  <c r="W1043" i="1"/>
  <c r="W1044" i="1" a="1"/>
  <c r="W1044" i="1" s="1"/>
  <c r="W1045" i="1" a="1"/>
  <c r="W1045" i="1" s="1"/>
  <c r="W1046" i="1" a="1"/>
  <c r="W1046" i="1" s="1"/>
  <c r="W1047" i="1" a="1"/>
  <c r="W1047" i="1"/>
  <c r="W1048" i="1" a="1"/>
  <c r="W1048" i="1" s="1"/>
  <c r="W1049" i="1" a="1"/>
  <c r="W1049" i="1"/>
  <c r="W1050" i="1" a="1"/>
  <c r="W1050" i="1"/>
  <c r="W1051" i="1" a="1"/>
  <c r="W1051" i="1"/>
  <c r="W1052" i="1" a="1"/>
  <c r="W1052" i="1"/>
  <c r="W1053" i="1" a="1"/>
  <c r="W1053" i="1" s="1"/>
  <c r="W1054" i="1" a="1"/>
  <c r="W1054" i="1" s="1"/>
  <c r="W1055" i="1" a="1"/>
  <c r="W1055" i="1" s="1"/>
  <c r="W1056" i="1" a="1"/>
  <c r="W1056" i="1"/>
  <c r="W1057" i="1" a="1"/>
  <c r="W1057" i="1" s="1"/>
  <c r="W1058" i="1" a="1"/>
  <c r="W1058" i="1" s="1"/>
  <c r="W1059" i="1" a="1"/>
  <c r="W1059" i="1" s="1"/>
  <c r="W1060" i="1" a="1"/>
  <c r="W1060" i="1" s="1"/>
  <c r="W1061" i="1" a="1"/>
  <c r="W1061" i="1"/>
  <c r="W1062" i="1" a="1"/>
  <c r="W1062" i="1"/>
  <c r="W1063" i="1" a="1"/>
  <c r="W1063" i="1"/>
  <c r="W1064" i="1" a="1"/>
  <c r="W1064" i="1"/>
  <c r="W1065" i="1" a="1"/>
  <c r="W1065" i="1"/>
  <c r="W1066" i="1" a="1"/>
  <c r="W1066" i="1" s="1"/>
  <c r="W1067" i="1" a="1"/>
  <c r="W1067" i="1"/>
  <c r="W1068" i="1" a="1"/>
  <c r="W1068" i="1" s="1"/>
  <c r="W1069" i="1" a="1"/>
  <c r="W1069" i="1"/>
  <c r="W1070" i="1" a="1"/>
  <c r="W1070" i="1" s="1"/>
  <c r="W1071" i="1" a="1"/>
  <c r="W1071" i="1" s="1"/>
  <c r="W1072" i="1" a="1"/>
  <c r="W1072" i="1" s="1"/>
  <c r="W1073" i="1" a="1"/>
  <c r="W1073" i="1" s="1"/>
  <c r="W1074" i="1" a="1"/>
  <c r="W1074" i="1"/>
  <c r="W1075" i="1" a="1"/>
  <c r="W1075" i="1"/>
  <c r="W1076" i="1" a="1"/>
  <c r="W1076" i="1"/>
  <c r="W1077" i="1" a="1"/>
  <c r="W1077" i="1"/>
  <c r="W1078" i="1" a="1"/>
  <c r="W1078" i="1" s="1"/>
  <c r="W1079" i="1" a="1"/>
  <c r="W1079" i="1" s="1"/>
  <c r="W1080" i="1" a="1"/>
  <c r="W1080" i="1"/>
  <c r="W1081" i="1" a="1"/>
  <c r="W1081" i="1" s="1"/>
  <c r="W1082" i="1" a="1"/>
  <c r="W1082" i="1"/>
  <c r="W1083" i="1" a="1"/>
  <c r="W1083" i="1" s="1"/>
  <c r="W1084" i="1" a="1"/>
  <c r="W1084" i="1" s="1"/>
  <c r="W1085" i="1" a="1"/>
  <c r="W1085" i="1"/>
  <c r="W1086" i="1" a="1"/>
  <c r="W1086" i="1" s="1"/>
  <c r="W1087" i="1" a="1"/>
  <c r="W1087" i="1"/>
  <c r="W1088" i="1" a="1"/>
  <c r="W1088" i="1"/>
  <c r="W1089" i="1" a="1"/>
  <c r="W1089" i="1"/>
  <c r="W1090" i="1" a="1"/>
  <c r="W1090" i="1" s="1"/>
  <c r="W1091" i="1" a="1"/>
  <c r="W1091" i="1" s="1"/>
  <c r="W1092" i="1" a="1"/>
  <c r="W1092" i="1" s="1"/>
  <c r="W1093" i="1" a="1"/>
  <c r="W1093" i="1"/>
  <c r="W1094" i="1" a="1"/>
  <c r="W1094" i="1" s="1"/>
  <c r="W1095" i="1" a="1"/>
  <c r="W1095" i="1"/>
  <c r="W1096" i="1" a="1"/>
  <c r="W1096" i="1" s="1"/>
  <c r="W1097" i="1" a="1"/>
  <c r="W1097" i="1"/>
  <c r="W1098" i="1" a="1"/>
  <c r="W1098" i="1"/>
  <c r="W1099" i="1" a="1"/>
  <c r="W1099" i="1" s="1"/>
  <c r="W1100" i="1" a="1"/>
  <c r="W1100" i="1"/>
  <c r="W1101" i="1" a="1"/>
  <c r="W1101" i="1"/>
  <c r="W1102" i="1" a="1"/>
  <c r="W1102" i="1" s="1"/>
  <c r="W1103" i="1" a="1"/>
  <c r="W1103" i="1" s="1"/>
  <c r="W1104" i="1" a="1"/>
  <c r="W1104" i="1" s="1"/>
  <c r="W1105" i="1" a="1"/>
  <c r="W1105" i="1" s="1"/>
  <c r="W1106" i="1" a="1"/>
  <c r="W1106" i="1"/>
  <c r="W1107" i="1" a="1"/>
  <c r="W1107" i="1" s="1"/>
  <c r="W1108" i="1" a="1"/>
  <c r="W1108" i="1" s="1"/>
  <c r="W1109" i="1" a="1"/>
  <c r="W1109" i="1"/>
  <c r="W1110" i="1" a="1"/>
  <c r="W1110" i="1"/>
  <c r="W1111" i="1" a="1"/>
  <c r="W1111" i="1"/>
  <c r="W1112" i="1" a="1"/>
  <c r="W1112" i="1" s="1"/>
  <c r="W1113" i="1" a="1"/>
  <c r="W1113" i="1"/>
  <c r="W1114" i="1" a="1"/>
  <c r="W1114" i="1" s="1"/>
  <c r="W1115" i="1" a="1"/>
  <c r="W1115" i="1"/>
  <c r="W1116" i="1" a="1"/>
  <c r="W1116" i="1" s="1"/>
  <c r="W1117" i="1" a="1"/>
  <c r="W1117" i="1" s="1"/>
  <c r="W1118" i="1" a="1"/>
  <c r="W1118" i="1" s="1"/>
  <c r="W1119" i="1" a="1"/>
  <c r="W1119" i="1"/>
  <c r="W1120" i="1" a="1"/>
  <c r="W1120" i="1" s="1"/>
  <c r="W1121" i="1" a="1"/>
  <c r="W1121" i="1"/>
  <c r="W1122" i="1" a="1"/>
  <c r="W1122" i="1"/>
  <c r="W1123" i="1" a="1"/>
  <c r="W1123" i="1"/>
  <c r="W1124" i="1" a="1"/>
  <c r="W1124" i="1"/>
  <c r="W1125" i="1" a="1"/>
  <c r="W1125" i="1" s="1"/>
  <c r="W1126" i="1" a="1"/>
  <c r="W1126" i="1" s="1"/>
  <c r="W1127" i="1" a="1"/>
  <c r="W1127" i="1" s="1"/>
  <c r="W1128" i="1" a="1"/>
  <c r="W1128" i="1"/>
  <c r="W1129" i="1" a="1"/>
  <c r="W1129" i="1" s="1"/>
  <c r="W1130" i="1" a="1"/>
  <c r="W1130" i="1" s="1"/>
  <c r="W1131" i="1" a="1"/>
  <c r="W1131" i="1" s="1"/>
  <c r="W1132" i="1" a="1"/>
  <c r="W1132" i="1" s="1"/>
  <c r="W1133" i="1" a="1"/>
  <c r="W1133" i="1"/>
  <c r="W1134" i="1" a="1"/>
  <c r="W1134" i="1"/>
  <c r="W1135" i="1" a="1"/>
  <c r="W1135" i="1"/>
  <c r="W1136" i="1" a="1"/>
  <c r="W1136" i="1"/>
  <c r="W1137" i="1" a="1"/>
  <c r="W1137" i="1"/>
  <c r="W1138" i="1" a="1"/>
  <c r="W1138" i="1" s="1"/>
  <c r="W1139" i="1" a="1"/>
  <c r="W1139" i="1"/>
  <c r="W1140" i="1" a="1"/>
  <c r="W1140" i="1" s="1"/>
  <c r="W1141" i="1" a="1"/>
  <c r="W1141" i="1"/>
  <c r="W1142" i="1" a="1"/>
  <c r="W1142" i="1" s="1"/>
  <c r="W1143" i="1" a="1"/>
  <c r="W1143" i="1" s="1"/>
  <c r="W1144" i="1" a="1"/>
  <c r="W1144" i="1" s="1"/>
  <c r="W1145" i="1" a="1"/>
  <c r="W1145" i="1" s="1"/>
  <c r="W1146" i="1" a="1"/>
  <c r="W1146" i="1"/>
  <c r="W1147" i="1" a="1"/>
  <c r="W1147" i="1"/>
  <c r="W1148" i="1" a="1"/>
  <c r="W1148" i="1"/>
  <c r="W1149" i="1" a="1"/>
  <c r="W1149" i="1"/>
  <c r="W1150" i="1" a="1"/>
  <c r="W1150" i="1" s="1"/>
  <c r="W1151" i="1" a="1"/>
  <c r="W1151" i="1" s="1"/>
  <c r="W1152" i="1" a="1"/>
  <c r="W1152" i="1"/>
  <c r="W1153" i="1" a="1"/>
  <c r="W1153" i="1" s="1"/>
  <c r="W1154" i="1" a="1"/>
  <c r="W1154" i="1"/>
  <c r="W1155" i="1" a="1"/>
  <c r="W1155" i="1" s="1"/>
  <c r="W1156" i="1" a="1"/>
  <c r="W1156" i="1" s="1"/>
  <c r="W1157" i="1" a="1"/>
  <c r="W1157" i="1"/>
  <c r="W1158" i="1" a="1"/>
  <c r="W1158" i="1" s="1"/>
  <c r="W1159" i="1" a="1"/>
  <c r="W1159" i="1"/>
  <c r="W1160" i="1" a="1"/>
  <c r="W1160" i="1"/>
  <c r="W1161" i="1" a="1"/>
  <c r="W1161" i="1"/>
  <c r="W1162" i="1" a="1"/>
  <c r="W1162" i="1" s="1"/>
  <c r="W1163" i="1" a="1"/>
  <c r="W1163" i="1" s="1"/>
  <c r="W1164" i="1" a="1"/>
  <c r="W1164" i="1" s="1"/>
  <c r="W1165" i="1" a="1"/>
  <c r="W1165" i="1"/>
  <c r="W1166" i="1" a="1"/>
  <c r="W1166" i="1" s="1"/>
  <c r="W1167" i="1" a="1"/>
  <c r="W1167" i="1"/>
  <c r="W1168" i="1" a="1"/>
  <c r="W1168" i="1" s="1"/>
  <c r="W1169" i="1" a="1"/>
  <c r="W1169" i="1"/>
  <c r="W1170" i="1" a="1"/>
  <c r="W1170" i="1"/>
  <c r="W1171" i="1" a="1"/>
  <c r="W1171" i="1" s="1"/>
  <c r="W1172" i="1" a="1"/>
  <c r="W1172" i="1"/>
  <c r="W1173" i="1" a="1"/>
  <c r="W1173" i="1"/>
  <c r="W1174" i="1" a="1"/>
  <c r="W1174" i="1" s="1"/>
  <c r="W1175" i="1" a="1"/>
  <c r="W1175" i="1" s="1"/>
  <c r="W1176" i="1" a="1"/>
  <c r="W1176" i="1" s="1"/>
  <c r="W1177" i="1" a="1"/>
  <c r="W1177" i="1" s="1"/>
  <c r="W1178" i="1" a="1"/>
  <c r="W1178" i="1"/>
  <c r="W1179" i="1" a="1"/>
  <c r="W1179" i="1" s="1"/>
  <c r="W1180" i="1" a="1"/>
  <c r="W1180" i="1" s="1"/>
  <c r="W1181" i="1" a="1"/>
  <c r="W1181" i="1"/>
  <c r="W1182" i="1" a="1"/>
  <c r="W1182" i="1"/>
  <c r="W1183" i="1" a="1"/>
  <c r="W1183" i="1"/>
  <c r="W1184" i="1" a="1"/>
  <c r="W1184" i="1" s="1"/>
  <c r="W1185" i="1" a="1"/>
  <c r="W1185" i="1"/>
  <c r="W1186" i="1" a="1"/>
  <c r="W1186" i="1" s="1"/>
  <c r="W1187" i="1" a="1"/>
  <c r="W1187" i="1"/>
  <c r="W1188" i="1" a="1"/>
  <c r="W1188" i="1" s="1"/>
  <c r="W1189" i="1" a="1"/>
  <c r="W1189" i="1" s="1"/>
  <c r="W1190" i="1" a="1"/>
  <c r="W1190" i="1" s="1"/>
  <c r="W1191" i="1" a="1"/>
  <c r="W1191" i="1"/>
  <c r="W1192" i="1" a="1"/>
  <c r="W1192" i="1" s="1"/>
  <c r="W1193" i="1" a="1"/>
  <c r="W1193" i="1"/>
  <c r="W1194" i="1" a="1"/>
  <c r="W1194" i="1"/>
  <c r="W1195" i="1" a="1"/>
  <c r="W1195" i="1"/>
  <c r="W1196" i="1" a="1"/>
  <c r="W1196" i="1"/>
  <c r="W1197" i="1" a="1"/>
  <c r="W1197" i="1" s="1"/>
  <c r="W1198" i="1" a="1"/>
  <c r="W1198" i="1" s="1"/>
  <c r="W1199" i="1" a="1"/>
  <c r="W1199" i="1" s="1"/>
  <c r="W1200" i="1" a="1"/>
  <c r="W1200" i="1"/>
  <c r="W1201" i="1" a="1"/>
  <c r="W1201" i="1" s="1"/>
  <c r="W1202" i="1" a="1"/>
  <c r="W1202" i="1" s="1"/>
  <c r="W1203" i="1" a="1"/>
  <c r="W1203" i="1" s="1"/>
  <c r="W1204" i="1" a="1"/>
  <c r="W1204" i="1" s="1"/>
  <c r="W1205" i="1" a="1"/>
  <c r="W1205" i="1"/>
  <c r="W1206" i="1" a="1"/>
  <c r="W1206" i="1"/>
  <c r="W1207" i="1" a="1"/>
  <c r="W1207" i="1"/>
  <c r="W1208" i="1" a="1"/>
  <c r="W1208" i="1"/>
  <c r="W1209" i="1" a="1"/>
  <c r="W1209" i="1"/>
  <c r="W1210" i="1" a="1"/>
  <c r="W1210" i="1" s="1"/>
  <c r="W1211" i="1" a="1"/>
  <c r="W1211" i="1"/>
  <c r="W1212" i="1" a="1"/>
  <c r="W1212" i="1" s="1"/>
  <c r="W1213" i="1" a="1"/>
  <c r="W1213" i="1"/>
  <c r="W1214" i="1" a="1"/>
  <c r="W1214" i="1" s="1"/>
  <c r="W1215" i="1" a="1"/>
  <c r="W1215" i="1" s="1"/>
  <c r="W1216" i="1" a="1"/>
  <c r="W1216" i="1" s="1"/>
  <c r="W1217" i="1" a="1"/>
  <c r="W1217" i="1" s="1"/>
  <c r="W1218" i="1" a="1"/>
  <c r="W1218" i="1"/>
  <c r="W1219" i="1" a="1"/>
  <c r="W1219" i="1"/>
  <c r="W1220" i="1" a="1"/>
  <c r="W1220" i="1"/>
  <c r="W1221" i="1" a="1"/>
  <c r="W1221" i="1"/>
  <c r="W1222" i="1" a="1"/>
  <c r="W1222" i="1" s="1"/>
  <c r="W1223" i="1" a="1"/>
  <c r="W1223" i="1" s="1"/>
  <c r="W1224" i="1" a="1"/>
  <c r="W1224" i="1"/>
  <c r="W1225" i="1" a="1"/>
  <c r="W1225" i="1" s="1"/>
  <c r="W1226" i="1" a="1"/>
  <c r="W1226" i="1"/>
  <c r="W1227" i="1" a="1"/>
  <c r="W1227" i="1" s="1"/>
  <c r="W1228" i="1" a="1"/>
  <c r="W1228" i="1" s="1"/>
  <c r="W1229" i="1" a="1"/>
  <c r="W1229" i="1"/>
  <c r="W1230" i="1" a="1"/>
  <c r="W1230" i="1" s="1"/>
  <c r="W1231" i="1" a="1"/>
  <c r="W1231" i="1"/>
  <c r="W1232" i="1" a="1"/>
  <c r="W1232" i="1"/>
  <c r="W1233" i="1" a="1"/>
  <c r="W1233" i="1"/>
  <c r="W1234" i="1" a="1"/>
  <c r="W1234" i="1" s="1"/>
  <c r="W1235" i="1" a="1"/>
  <c r="W1235" i="1" s="1"/>
  <c r="W1236" i="1" a="1"/>
  <c r="W1236" i="1" s="1"/>
  <c r="W1237" i="1" a="1"/>
  <c r="W1237" i="1"/>
  <c r="W1238" i="1" a="1"/>
  <c r="W1238" i="1" s="1"/>
  <c r="W1239" i="1" a="1"/>
  <c r="W1239" i="1"/>
  <c r="W1240" i="1" a="1"/>
  <c r="W1240" i="1" s="1"/>
  <c r="W1241" i="1" a="1"/>
  <c r="W1241" i="1"/>
  <c r="W1242" i="1" a="1"/>
  <c r="W1242" i="1"/>
  <c r="W1243" i="1" a="1"/>
  <c r="W1243" i="1" s="1"/>
  <c r="W1244" i="1" a="1"/>
  <c r="W1244" i="1"/>
  <c r="W1245" i="1" a="1"/>
  <c r="W1245" i="1"/>
  <c r="W1246" i="1" a="1"/>
  <c r="W1246" i="1" s="1"/>
  <c r="W1247" i="1" a="1"/>
  <c r="W1247" i="1" s="1"/>
  <c r="W1248" i="1" a="1"/>
  <c r="W1248" i="1" s="1"/>
  <c r="W1249" i="1" a="1"/>
  <c r="W1249" i="1" s="1"/>
  <c r="W1250" i="1" a="1"/>
  <c r="W1250" i="1"/>
  <c r="W1251" i="1" a="1"/>
  <c r="W1251" i="1" s="1"/>
  <c r="W1252" i="1" a="1"/>
  <c r="W1252" i="1" s="1"/>
  <c r="W1253" i="1" a="1"/>
  <c r="W1253" i="1"/>
  <c r="W1254" i="1" a="1"/>
  <c r="W1254" i="1"/>
  <c r="W1255" i="1" a="1"/>
  <c r="W1255" i="1"/>
  <c r="W1256" i="1" a="1"/>
  <c r="W1256" i="1" s="1"/>
  <c r="W1257" i="1" a="1"/>
  <c r="W1257" i="1"/>
  <c r="W1258" i="1" a="1"/>
  <c r="W1258" i="1" s="1"/>
  <c r="W1259" i="1" a="1"/>
  <c r="W1259" i="1"/>
  <c r="W1260" i="1" a="1"/>
  <c r="W1260" i="1" s="1"/>
  <c r="W1261" i="1" a="1"/>
  <c r="W1261" i="1" s="1"/>
  <c r="W1262" i="1" a="1"/>
  <c r="W1262" i="1" s="1"/>
  <c r="W1263" i="1" a="1"/>
  <c r="W1263" i="1"/>
  <c r="W1264" i="1" a="1"/>
  <c r="W1264" i="1" s="1"/>
  <c r="W1265" i="1" a="1"/>
  <c r="W1265" i="1"/>
  <c r="W1266" i="1" a="1"/>
  <c r="W1266" i="1"/>
  <c r="W1267" i="1" a="1"/>
  <c r="W1267" i="1"/>
  <c r="W1268" i="1" a="1"/>
  <c r="W1268" i="1"/>
  <c r="W1269" i="1" a="1"/>
  <c r="W1269" i="1" s="1"/>
  <c r="W1270" i="1" a="1"/>
  <c r="W1270" i="1" s="1"/>
  <c r="W1271" i="1" a="1"/>
  <c r="W1271" i="1" s="1"/>
  <c r="W1272" i="1" a="1"/>
  <c r="W1272" i="1"/>
  <c r="W1273" i="1" a="1"/>
  <c r="W1273" i="1" s="1"/>
  <c r="W1274" i="1" a="1"/>
  <c r="W1274" i="1" s="1"/>
  <c r="W1275" i="1" a="1"/>
  <c r="W1275" i="1" s="1"/>
  <c r="W1276" i="1" a="1"/>
  <c r="W1276" i="1" s="1"/>
  <c r="W1277" i="1" a="1"/>
  <c r="W1277" i="1"/>
  <c r="W1278" i="1" a="1"/>
  <c r="W1278" i="1"/>
  <c r="W1279" i="1" a="1"/>
  <c r="W1279" i="1"/>
  <c r="W1280" i="1" a="1"/>
  <c r="W1280" i="1"/>
  <c r="W1281" i="1" a="1"/>
  <c r="W1281" i="1"/>
  <c r="W1282" i="1" a="1"/>
  <c r="W1282" i="1" s="1"/>
  <c r="W1283" i="1" a="1"/>
  <c r="W1283" i="1"/>
  <c r="W1284" i="1" a="1"/>
  <c r="W1284" i="1" s="1"/>
  <c r="W1285" i="1" a="1"/>
  <c r="W1285" i="1"/>
  <c r="W1286" i="1" a="1"/>
  <c r="W1286" i="1" s="1"/>
  <c r="W1287" i="1" a="1"/>
  <c r="W1287" i="1" s="1"/>
  <c r="W1288" i="1" a="1"/>
  <c r="W1288" i="1" s="1"/>
  <c r="W1289" i="1" a="1"/>
  <c r="W1289" i="1" s="1"/>
  <c r="W1290" i="1" a="1"/>
  <c r="W1290" i="1"/>
  <c r="W1291" i="1" a="1"/>
  <c r="W1291" i="1"/>
  <c r="W1292" i="1" a="1"/>
  <c r="W1292" i="1"/>
  <c r="W1293" i="1" a="1"/>
  <c r="W1293" i="1"/>
  <c r="W1294" i="1" a="1"/>
  <c r="W1294" i="1" s="1"/>
  <c r="W1295" i="1" a="1"/>
  <c r="W1295" i="1" s="1"/>
  <c r="W1296" i="1" a="1"/>
  <c r="W1296" i="1"/>
  <c r="W1297" i="1" a="1"/>
  <c r="W1297" i="1" s="1"/>
  <c r="W1298" i="1" a="1"/>
  <c r="W1298" i="1"/>
  <c r="W1299" i="1" a="1"/>
  <c r="W1299" i="1" s="1"/>
  <c r="W1300" i="1" a="1"/>
  <c r="W1300" i="1" s="1"/>
  <c r="W1301" i="1" a="1"/>
  <c r="W1301" i="1"/>
  <c r="W1302" i="1" a="1"/>
  <c r="W1302" i="1" s="1"/>
  <c r="W1303" i="1" a="1"/>
  <c r="W1303" i="1"/>
  <c r="W1304" i="1" a="1"/>
  <c r="W1304" i="1"/>
  <c r="W1305" i="1" a="1"/>
  <c r="W1305" i="1"/>
  <c r="W1306" i="1" a="1"/>
  <c r="W1306" i="1" s="1"/>
  <c r="W1307" i="1" a="1"/>
  <c r="W1307" i="1" s="1"/>
  <c r="W1308" i="1" a="1"/>
  <c r="W1308" i="1" s="1"/>
  <c r="W1309" i="1" a="1"/>
  <c r="W1309" i="1"/>
  <c r="W1310" i="1" a="1"/>
  <c r="W1310" i="1" s="1"/>
  <c r="W1311" i="1" a="1"/>
  <c r="W1311" i="1"/>
  <c r="W1312" i="1" a="1"/>
  <c r="W1312" i="1" s="1"/>
  <c r="W1313" i="1" a="1"/>
  <c r="W1313" i="1"/>
  <c r="W1314" i="1" a="1"/>
  <c r="W1314" i="1"/>
  <c r="W1315" i="1" a="1"/>
  <c r="W1315" i="1" s="1"/>
  <c r="W1316" i="1" a="1"/>
  <c r="W1316" i="1"/>
  <c r="W1317" i="1" a="1"/>
  <c r="W1317" i="1"/>
  <c r="W1318" i="1" a="1"/>
  <c r="W1318" i="1" s="1"/>
  <c r="W1319" i="1" a="1"/>
  <c r="W1319" i="1" s="1"/>
  <c r="W1320" i="1" a="1"/>
  <c r="W1320" i="1" s="1"/>
  <c r="W1321" i="1" a="1"/>
  <c r="W1321" i="1" s="1"/>
  <c r="W1322" i="1" a="1"/>
  <c r="W1322" i="1"/>
  <c r="W1323" i="1" a="1"/>
  <c r="W1323" i="1" s="1"/>
  <c r="W1324" i="1" a="1"/>
  <c r="W1324" i="1" s="1"/>
  <c r="W1325" i="1" a="1"/>
  <c r="W1325" i="1"/>
  <c r="W1326" i="1" a="1"/>
  <c r="W1326" i="1"/>
  <c r="W1327" i="1" a="1"/>
  <c r="W1327" i="1"/>
  <c r="W1328" i="1" a="1"/>
  <c r="W1328" i="1" s="1"/>
  <c r="W1329" i="1" a="1"/>
  <c r="W1329" i="1"/>
  <c r="W1330" i="1" a="1"/>
  <c r="W1330" i="1" s="1"/>
  <c r="W1331" i="1" a="1"/>
  <c r="W1331" i="1"/>
  <c r="W1332" i="1" a="1"/>
  <c r="W1332" i="1" s="1"/>
  <c r="W1333" i="1" a="1"/>
  <c r="W1333" i="1" s="1"/>
  <c r="W1334" i="1" a="1"/>
  <c r="W1334" i="1" s="1"/>
  <c r="W1335" i="1" a="1"/>
  <c r="W1335" i="1"/>
  <c r="W1336" i="1" a="1"/>
  <c r="W1336" i="1" s="1"/>
  <c r="W1337" i="1" a="1"/>
  <c r="W1337" i="1"/>
  <c r="W1338" i="1" a="1"/>
  <c r="W1338" i="1"/>
  <c r="W1339" i="1" a="1"/>
  <c r="W1339" i="1"/>
  <c r="W1340" i="1" a="1"/>
  <c r="W1340" i="1"/>
  <c r="W1341" i="1" a="1"/>
  <c r="W1341" i="1" s="1"/>
  <c r="W1342" i="1" a="1"/>
  <c r="W1342" i="1" s="1"/>
  <c r="W1343" i="1" a="1"/>
  <c r="W1343" i="1" s="1"/>
  <c r="W1344" i="1" a="1"/>
  <c r="W1344" i="1"/>
  <c r="W1345" i="1" a="1"/>
  <c r="W1345" i="1" s="1"/>
  <c r="W1346" i="1" a="1"/>
  <c r="W1346" i="1" s="1"/>
  <c r="W1347" i="1" a="1"/>
  <c r="W1347" i="1" s="1"/>
  <c r="W1348" i="1" a="1"/>
  <c r="W1348" i="1" s="1"/>
  <c r="W1349" i="1" a="1"/>
  <c r="W1349" i="1"/>
  <c r="W1350" i="1" a="1"/>
  <c r="W1350" i="1"/>
  <c r="W1351" i="1" a="1"/>
  <c r="W1351" i="1"/>
  <c r="W1352" i="1" a="1"/>
  <c r="W1352" i="1"/>
  <c r="W1353" i="1" a="1"/>
  <c r="W1353" i="1"/>
  <c r="W1354" i="1" a="1"/>
  <c r="W1354" i="1" s="1"/>
  <c r="W1355" i="1" a="1"/>
  <c r="W1355" i="1"/>
  <c r="W1356" i="1" a="1"/>
  <c r="W1356" i="1" s="1"/>
  <c r="W1357" i="1" a="1"/>
  <c r="W1357" i="1"/>
  <c r="W1358" i="1" a="1"/>
  <c r="W1358" i="1" s="1"/>
  <c r="W1359" i="1" a="1"/>
  <c r="W1359" i="1" s="1"/>
  <c r="W1360" i="1" a="1"/>
  <c r="W1360" i="1" s="1"/>
  <c r="W1361" i="1" a="1"/>
  <c r="W1361" i="1" s="1"/>
  <c r="W1362" i="1" a="1"/>
  <c r="W1362" i="1"/>
  <c r="W1363" i="1" a="1"/>
  <c r="W1363" i="1"/>
  <c r="W1364" i="1" a="1"/>
  <c r="W1364" i="1"/>
  <c r="W1365" i="1" a="1"/>
  <c r="W1365" i="1"/>
  <c r="W1366" i="1" a="1"/>
  <c r="W1366" i="1" s="1"/>
  <c r="W1367" i="1" a="1"/>
  <c r="W1367" i="1" s="1"/>
  <c r="W1368" i="1" a="1"/>
  <c r="W1368" i="1"/>
  <c r="W1369" i="1" a="1"/>
  <c r="W1369" i="1" s="1"/>
  <c r="W1370" i="1" a="1"/>
  <c r="W1370" i="1"/>
  <c r="W1371" i="1" a="1"/>
  <c r="W1371" i="1" s="1"/>
  <c r="W1372" i="1" a="1"/>
  <c r="W1372" i="1" s="1"/>
  <c r="W1373" i="1" a="1"/>
  <c r="W1373" i="1"/>
  <c r="W1374" i="1" a="1"/>
  <c r="W1374" i="1" s="1"/>
  <c r="W1375" i="1" a="1"/>
  <c r="W1375" i="1"/>
  <c r="W1376" i="1" a="1"/>
  <c r="W1376" i="1"/>
  <c r="W1377" i="1" a="1"/>
  <c r="W1377" i="1"/>
  <c r="W1378" i="1" a="1"/>
  <c r="W1378" i="1" s="1"/>
  <c r="W1379" i="1" a="1"/>
  <c r="W1379" i="1" s="1"/>
  <c r="W1380" i="1" a="1"/>
  <c r="W1380" i="1" s="1"/>
  <c r="W1381" i="1" a="1"/>
  <c r="W1381" i="1"/>
  <c r="W1382" i="1" a="1"/>
  <c r="W1382" i="1" s="1"/>
  <c r="W1383" i="1" a="1"/>
  <c r="W1383" i="1"/>
  <c r="W1384" i="1" a="1"/>
  <c r="W1384" i="1" s="1"/>
  <c r="W1385" i="1" a="1"/>
  <c r="W1385" i="1"/>
  <c r="W1386" i="1" a="1"/>
  <c r="W1386" i="1"/>
  <c r="W1387" i="1" a="1"/>
  <c r="W1387" i="1" s="1"/>
  <c r="W1388" i="1" a="1"/>
  <c r="W1388" i="1"/>
  <c r="W1389" i="1" a="1"/>
  <c r="W1389" i="1"/>
  <c r="W1390" i="1" a="1"/>
  <c r="W1390" i="1" s="1"/>
  <c r="W1391" i="1" a="1"/>
  <c r="W1391" i="1" s="1"/>
  <c r="W1392" i="1" a="1"/>
  <c r="W1392" i="1" s="1"/>
  <c r="W1393" i="1" a="1"/>
  <c r="W1393" i="1" s="1"/>
  <c r="W1394" i="1" a="1"/>
  <c r="W1394" i="1"/>
  <c r="W1395" i="1" a="1"/>
  <c r="W1395" i="1" s="1"/>
  <c r="W1396" i="1" a="1"/>
  <c r="W1396" i="1" s="1"/>
  <c r="W1397" i="1" a="1"/>
  <c r="W1397" i="1"/>
  <c r="W1398" i="1" a="1"/>
  <c r="W1398" i="1"/>
  <c r="W1399" i="1" a="1"/>
  <c r="W1399" i="1"/>
  <c r="W1400" i="1" a="1"/>
  <c r="W1400" i="1" s="1"/>
  <c r="W1401" i="1" a="1"/>
  <c r="W1401" i="1"/>
  <c r="W1402" i="1" a="1"/>
  <c r="W1402" i="1" s="1"/>
  <c r="W1403" i="1" a="1"/>
  <c r="W1403" i="1"/>
  <c r="W1404" i="1" a="1"/>
  <c r="W1404" i="1" s="1"/>
  <c r="W1405" i="1" a="1"/>
  <c r="W1405" i="1" s="1"/>
  <c r="W1406" i="1" a="1"/>
  <c r="W1406" i="1" s="1"/>
  <c r="W1407" i="1" a="1"/>
  <c r="W1407" i="1"/>
  <c r="W1408" i="1" a="1"/>
  <c r="W1408" i="1" s="1"/>
  <c r="W1409" i="1" a="1"/>
  <c r="W1409" i="1"/>
  <c r="W1410" i="1" a="1"/>
  <c r="W1410" i="1"/>
  <c r="W1411" i="1" a="1"/>
  <c r="W1411" i="1"/>
  <c r="W1412" i="1" a="1"/>
  <c r="W1412" i="1"/>
  <c r="W1413" i="1" a="1"/>
  <c r="W1413" i="1" s="1"/>
  <c r="W1414" i="1" a="1"/>
  <c r="W1414" i="1" s="1"/>
  <c r="W1415" i="1" a="1"/>
  <c r="W1415" i="1" s="1"/>
  <c r="W1416" i="1" a="1"/>
  <c r="W1416" i="1"/>
  <c r="W1417" i="1" a="1"/>
  <c r="W1417" i="1" s="1"/>
  <c r="W1418" i="1" a="1"/>
  <c r="W1418" i="1" s="1"/>
  <c r="W1419" i="1" a="1"/>
  <c r="W1419" i="1" s="1"/>
  <c r="W1420" i="1" a="1"/>
  <c r="W1420" i="1" s="1"/>
  <c r="W1421" i="1" a="1"/>
  <c r="W1421" i="1"/>
  <c r="W1422" i="1" a="1"/>
  <c r="W1422" i="1"/>
  <c r="W1423" i="1" a="1"/>
  <c r="W1423" i="1"/>
  <c r="W1424" i="1" a="1"/>
  <c r="W1424" i="1"/>
  <c r="W1425" i="1" a="1"/>
  <c r="W1425" i="1"/>
  <c r="W1426" i="1" a="1"/>
  <c r="W1426" i="1" s="1"/>
  <c r="W1427" i="1" a="1"/>
  <c r="W1427" i="1"/>
  <c r="W1428" i="1" a="1"/>
  <c r="W1428" i="1" s="1"/>
  <c r="W1429" i="1" a="1"/>
  <c r="W1429" i="1"/>
  <c r="W1430" i="1" a="1"/>
  <c r="W1430" i="1" s="1"/>
  <c r="W1431" i="1" a="1"/>
  <c r="W1431" i="1" s="1"/>
  <c r="W1432" i="1" a="1"/>
  <c r="W1432" i="1" s="1"/>
  <c r="W1433" i="1" a="1"/>
  <c r="W1433" i="1" s="1"/>
  <c r="W1434" i="1" a="1"/>
  <c r="W1434" i="1"/>
  <c r="W1435" i="1" a="1"/>
  <c r="W1435" i="1"/>
  <c r="W1436" i="1" a="1"/>
  <c r="W1436" i="1"/>
  <c r="W1437" i="1" a="1"/>
  <c r="W1437" i="1"/>
  <c r="W1438" i="1" a="1"/>
  <c r="W1438" i="1" s="1"/>
  <c r="W1439" i="1" a="1"/>
  <c r="W1439" i="1" s="1"/>
  <c r="W1440" i="1" a="1"/>
  <c r="W1440" i="1"/>
  <c r="W1441" i="1" a="1"/>
  <c r="W1441" i="1" s="1"/>
  <c r="W1442" i="1" a="1"/>
  <c r="W1442" i="1"/>
  <c r="W1443" i="1" a="1"/>
  <c r="W1443" i="1" s="1"/>
  <c r="W1444" i="1" a="1"/>
  <c r="W1444" i="1" s="1"/>
  <c r="W1445" i="1" a="1"/>
  <c r="W1445" i="1"/>
  <c r="W1446" i="1" a="1"/>
  <c r="W1446" i="1" s="1"/>
  <c r="W1447" i="1" a="1"/>
  <c r="W1447" i="1"/>
  <c r="W1448" i="1" a="1"/>
  <c r="W1448" i="1"/>
  <c r="W1449" i="1" a="1"/>
  <c r="W1449" i="1"/>
  <c r="W1450" i="1" a="1"/>
  <c r="W1450" i="1" s="1"/>
  <c r="W1451" i="1" a="1"/>
  <c r="W1451" i="1" s="1"/>
  <c r="W1452" i="1" a="1"/>
  <c r="W1452" i="1" s="1"/>
  <c r="W1453" i="1" a="1"/>
  <c r="W1453" i="1"/>
  <c r="W1454" i="1" a="1"/>
  <c r="W1454" i="1" s="1"/>
  <c r="W1455" i="1" a="1"/>
  <c r="W1455" i="1"/>
  <c r="W1456" i="1" a="1"/>
  <c r="W1456" i="1" s="1"/>
  <c r="W1457" i="1" a="1"/>
  <c r="W1457" i="1"/>
  <c r="W1458" i="1" a="1"/>
  <c r="W1458" i="1"/>
  <c r="W1459" i="1" a="1"/>
  <c r="W1459" i="1" s="1"/>
  <c r="W1460" i="1" a="1"/>
  <c r="W1460" i="1"/>
  <c r="W1461" i="1" a="1"/>
  <c r="W1461" i="1"/>
  <c r="W1462" i="1" a="1"/>
  <c r="W1462" i="1" s="1"/>
  <c r="W1463" i="1" a="1"/>
  <c r="W1463" i="1" s="1"/>
  <c r="W1464" i="1" a="1"/>
  <c r="W1464" i="1" s="1"/>
  <c r="W1465" i="1" a="1"/>
  <c r="W1465" i="1" s="1"/>
  <c r="W1466" i="1" a="1"/>
  <c r="W1466" i="1"/>
  <c r="W1467" i="1" a="1"/>
  <c r="W1467" i="1" s="1"/>
  <c r="W1468" i="1" a="1"/>
  <c r="W1468" i="1" s="1"/>
  <c r="W1469" i="1" a="1"/>
  <c r="W1469" i="1"/>
  <c r="W1470" i="1" a="1"/>
  <c r="W1470" i="1"/>
  <c r="W1471" i="1" a="1"/>
  <c r="W1471" i="1"/>
  <c r="W1472" i="1" a="1"/>
  <c r="W1472" i="1" s="1"/>
  <c r="W1473" i="1" a="1"/>
  <c r="W1473" i="1"/>
  <c r="W1474" i="1" a="1"/>
  <c r="W1474" i="1" s="1"/>
  <c r="W1475" i="1" a="1"/>
  <c r="W1475" i="1"/>
  <c r="W1476" i="1" a="1"/>
  <c r="W1476" i="1" s="1"/>
  <c r="W1477" i="1" a="1"/>
  <c r="W1477" i="1" s="1"/>
  <c r="W1478" i="1" a="1"/>
  <c r="W1478" i="1" s="1"/>
  <c r="W1479" i="1" a="1"/>
  <c r="W1479" i="1"/>
  <c r="W1480" i="1" a="1"/>
  <c r="W1480" i="1" s="1"/>
  <c r="W1481" i="1" a="1"/>
  <c r="W1481" i="1"/>
  <c r="W1482" i="1" a="1"/>
  <c r="W1482" i="1"/>
  <c r="W1483" i="1" a="1"/>
  <c r="W1483" i="1"/>
  <c r="W1484" i="1" a="1"/>
  <c r="W1484" i="1"/>
  <c r="W1485" i="1" a="1"/>
  <c r="W1485" i="1" s="1"/>
  <c r="W1486" i="1" a="1"/>
  <c r="W1486" i="1" s="1"/>
  <c r="W1487" i="1" a="1"/>
  <c r="W1487" i="1" s="1"/>
  <c r="W1488" i="1" a="1"/>
  <c r="W1488" i="1"/>
  <c r="W1489" i="1" a="1"/>
  <c r="W1489" i="1" s="1"/>
  <c r="W1490" i="1" a="1"/>
  <c r="W1490" i="1" s="1"/>
  <c r="W1491" i="1" a="1"/>
  <c r="W1491" i="1" s="1"/>
  <c r="W1492" i="1" a="1"/>
  <c r="W1492" i="1" s="1"/>
  <c r="W1493" i="1" a="1"/>
  <c r="W1493" i="1"/>
  <c r="W1494" i="1" a="1"/>
  <c r="W1494" i="1"/>
  <c r="W1495" i="1" a="1"/>
  <c r="W1495" i="1"/>
  <c r="W1496" i="1" a="1"/>
  <c r="W1496" i="1"/>
  <c r="W1497" i="1" a="1"/>
  <c r="W1497" i="1"/>
  <c r="W1498" i="1" a="1"/>
  <c r="W1498" i="1" s="1"/>
  <c r="W1499" i="1" a="1"/>
  <c r="W1499" i="1"/>
  <c r="W1500" i="1" a="1"/>
  <c r="W1500" i="1" s="1"/>
  <c r="W1501" i="1" a="1"/>
  <c r="W1501" i="1"/>
  <c r="W1502" i="1" a="1"/>
  <c r="W1502" i="1" s="1"/>
  <c r="W1503" i="1" a="1"/>
  <c r="W1503" i="1" s="1"/>
  <c r="W1504" i="1" a="1"/>
  <c r="W1504" i="1" s="1"/>
  <c r="W1505" i="1" a="1"/>
  <c r="W1505" i="1" s="1"/>
  <c r="W1506" i="1" a="1"/>
  <c r="W1506" i="1"/>
  <c r="W1507" i="1" a="1"/>
  <c r="W1507" i="1"/>
  <c r="W1508" i="1" a="1"/>
  <c r="W1508" i="1"/>
  <c r="W1509" i="1" a="1"/>
  <c r="W1509" i="1"/>
  <c r="W1510" i="1" a="1"/>
  <c r="W1510" i="1" s="1"/>
  <c r="W1511" i="1" a="1"/>
  <c r="W1511" i="1" s="1"/>
  <c r="W1512" i="1" a="1"/>
  <c r="W1512" i="1"/>
  <c r="W1513" i="1" a="1"/>
  <c r="W1513" i="1" s="1"/>
  <c r="W1514" i="1" a="1"/>
  <c r="W1514" i="1"/>
  <c r="W1515" i="1" a="1"/>
  <c r="W1515" i="1" s="1"/>
  <c r="W1516" i="1" a="1"/>
  <c r="W1516" i="1" s="1"/>
  <c r="W1517" i="1" a="1"/>
  <c r="W1517" i="1"/>
  <c r="W1518" i="1" a="1"/>
  <c r="W1518" i="1" s="1"/>
  <c r="W1519" i="1" a="1"/>
  <c r="W1519" i="1"/>
  <c r="W1520" i="1" a="1"/>
  <c r="W1520" i="1"/>
  <c r="W1521" i="1" a="1"/>
  <c r="W1521" i="1"/>
  <c r="W1522" i="1" a="1"/>
  <c r="W1522" i="1" s="1"/>
  <c r="W1523" i="1" a="1"/>
  <c r="W1523" i="1" s="1"/>
  <c r="W1524" i="1" a="1"/>
  <c r="W1524" i="1" s="1"/>
  <c r="W1525" i="1" a="1"/>
  <c r="W1525" i="1"/>
  <c r="W1526" i="1" a="1"/>
  <c r="W1526" i="1" s="1"/>
  <c r="W1527" i="1" a="1"/>
  <c r="W1527" i="1"/>
  <c r="W1528" i="1" a="1"/>
  <c r="W1528" i="1" s="1"/>
  <c r="W1529" i="1" a="1"/>
  <c r="W1529" i="1"/>
  <c r="W1530" i="1" a="1"/>
  <c r="W1530" i="1"/>
  <c r="W1531" i="1" a="1"/>
  <c r="W1531" i="1" s="1"/>
  <c r="W1532" i="1" a="1"/>
  <c r="W1532" i="1"/>
  <c r="W1533" i="1" a="1"/>
  <c r="W1533" i="1"/>
  <c r="W1534" i="1" a="1"/>
  <c r="W1534" i="1" s="1"/>
  <c r="W1535" i="1" a="1"/>
  <c r="W1535" i="1" s="1"/>
  <c r="W1536" i="1" a="1"/>
  <c r="W1536" i="1" s="1"/>
  <c r="W1537" i="1" a="1"/>
  <c r="W1537" i="1" s="1"/>
  <c r="W1538" i="1" a="1"/>
  <c r="W1538" i="1"/>
  <c r="W1539" i="1" a="1"/>
  <c r="W1539" i="1" s="1"/>
  <c r="W1540" i="1" a="1"/>
  <c r="W1540" i="1" s="1"/>
  <c r="W1541" i="1" a="1"/>
  <c r="W1541" i="1"/>
  <c r="W1542" i="1" a="1"/>
  <c r="W1542" i="1"/>
  <c r="W1543" i="1" a="1"/>
  <c r="W1543" i="1"/>
  <c r="W1544" i="1" a="1"/>
  <c r="W1544" i="1" s="1"/>
  <c r="W1545" i="1" a="1"/>
  <c r="W1545" i="1"/>
  <c r="W1546" i="1" a="1"/>
  <c r="W1546" i="1" s="1"/>
  <c r="W1547" i="1" a="1"/>
  <c r="W1547" i="1"/>
  <c r="W1548" i="1" a="1"/>
  <c r="W1548" i="1" s="1"/>
  <c r="W1549" i="1" a="1"/>
  <c r="W1549" i="1" s="1"/>
  <c r="W1550" i="1" a="1"/>
  <c r="W1550" i="1" s="1"/>
  <c r="W1551" i="1" a="1"/>
  <c r="W1551" i="1"/>
  <c r="W1552" i="1" a="1"/>
  <c r="W1552" i="1" s="1"/>
  <c r="W1553" i="1" a="1"/>
  <c r="W1553" i="1"/>
  <c r="W1554" i="1" a="1"/>
  <c r="W1554" i="1"/>
  <c r="W1555" i="1" a="1"/>
  <c r="W1555" i="1"/>
  <c r="W1556" i="1" a="1"/>
  <c r="W1556" i="1"/>
  <c r="W1557" i="1" a="1"/>
  <c r="W1557" i="1" s="1"/>
  <c r="W1558" i="1" a="1"/>
  <c r="W1558" i="1" s="1"/>
  <c r="W1559" i="1" a="1"/>
  <c r="W1559" i="1" s="1"/>
  <c r="W1560" i="1" a="1"/>
  <c r="W1560" i="1"/>
  <c r="W1561" i="1" a="1"/>
  <c r="W1561" i="1" s="1"/>
  <c r="W1562" i="1" a="1"/>
  <c r="W1562" i="1" s="1"/>
  <c r="W1563" i="1" a="1"/>
  <c r="W1563" i="1" s="1"/>
  <c r="W1564" i="1" a="1"/>
  <c r="W1564" i="1" s="1"/>
  <c r="W1565" i="1" a="1"/>
  <c r="W1565" i="1"/>
  <c r="W1566" i="1" a="1"/>
  <c r="W1566" i="1"/>
  <c r="W1567" i="1" a="1"/>
  <c r="W1567" i="1"/>
  <c r="W1568" i="1" a="1"/>
  <c r="W1568" i="1"/>
  <c r="W1569" i="1" a="1"/>
  <c r="W1569" i="1"/>
  <c r="W1570" i="1" a="1"/>
  <c r="W1570" i="1" s="1"/>
  <c r="W1571" i="1" a="1"/>
  <c r="W1571" i="1"/>
  <c r="W1572" i="1" a="1"/>
  <c r="W1572" i="1" s="1"/>
  <c r="W1573" i="1" a="1"/>
  <c r="W1573" i="1"/>
  <c r="W1574" i="1" a="1"/>
  <c r="W1574" i="1" s="1"/>
  <c r="W1575" i="1" a="1"/>
  <c r="W1575" i="1" s="1"/>
  <c r="W1576" i="1" a="1"/>
  <c r="W1576" i="1" s="1"/>
  <c r="W1577" i="1" a="1"/>
  <c r="W1577" i="1" s="1"/>
  <c r="W1578" i="1" a="1"/>
  <c r="W1578" i="1"/>
  <c r="W1579" i="1" a="1"/>
  <c r="W1579" i="1"/>
  <c r="W1580" i="1" a="1"/>
  <c r="W1580" i="1"/>
  <c r="W1581" i="1" a="1"/>
  <c r="W1581" i="1"/>
  <c r="W1582" i="1" a="1"/>
  <c r="W1582" i="1" s="1"/>
  <c r="W1583" i="1" a="1"/>
  <c r="W1583" i="1" s="1"/>
  <c r="W1584" i="1" a="1"/>
  <c r="W1584" i="1"/>
  <c r="W1585" i="1" a="1"/>
  <c r="W1585" i="1" s="1"/>
  <c r="W1586" i="1" a="1"/>
  <c r="W1586" i="1"/>
  <c r="W1587" i="1" a="1"/>
  <c r="W1587" i="1" s="1"/>
  <c r="W1588" i="1" a="1"/>
  <c r="W1588" i="1" s="1"/>
  <c r="W1589" i="1" a="1"/>
  <c r="W1589" i="1"/>
  <c r="W1590" i="1" a="1"/>
  <c r="W1590" i="1" s="1"/>
  <c r="W1591" i="1" a="1"/>
  <c r="W1591" i="1"/>
  <c r="W1592" i="1" a="1"/>
  <c r="W1592" i="1"/>
  <c r="W1593" i="1" a="1"/>
  <c r="W1593" i="1"/>
  <c r="W1594" i="1" a="1"/>
  <c r="W1594" i="1" s="1"/>
  <c r="W1595" i="1" a="1"/>
  <c r="W1595" i="1" s="1"/>
  <c r="W1596" i="1" a="1"/>
  <c r="W1596" i="1" s="1"/>
  <c r="W1597" i="1" a="1"/>
  <c r="W1597" i="1"/>
  <c r="W1598" i="1" a="1"/>
  <c r="W1598" i="1" s="1"/>
  <c r="W1599" i="1" a="1"/>
  <c r="W1599" i="1"/>
  <c r="W1600" i="1" a="1"/>
  <c r="W1600" i="1" s="1"/>
  <c r="W1601" i="1" a="1"/>
  <c r="W1601" i="1"/>
  <c r="W1602" i="1" a="1"/>
  <c r="W1602" i="1"/>
  <c r="W1603" i="1" a="1"/>
  <c r="W1603" i="1" s="1"/>
  <c r="W1604" i="1" a="1"/>
  <c r="W1604" i="1"/>
  <c r="W1605" i="1" a="1"/>
  <c r="W1605" i="1"/>
  <c r="W1606" i="1" a="1"/>
  <c r="W1606" i="1" s="1"/>
  <c r="W1607" i="1" a="1"/>
  <c r="W1607" i="1" s="1"/>
  <c r="W1608" i="1" a="1"/>
  <c r="W1608" i="1" s="1"/>
  <c r="W1609" i="1" a="1"/>
  <c r="W1609" i="1" s="1"/>
  <c r="W1610" i="1" a="1"/>
  <c r="W1610" i="1"/>
  <c r="W1611" i="1" a="1"/>
  <c r="W1611" i="1" s="1"/>
  <c r="W1612" i="1" a="1"/>
  <c r="W1612" i="1" s="1"/>
  <c r="W1613" i="1" a="1"/>
  <c r="W1613" i="1"/>
  <c r="W1614" i="1" a="1"/>
  <c r="W1614" i="1"/>
  <c r="W1615" i="1" a="1"/>
  <c r="W1615" i="1"/>
  <c r="W1616" i="1" a="1"/>
  <c r="W1616" i="1" s="1"/>
  <c r="W1617" i="1" a="1"/>
  <c r="W1617" i="1"/>
  <c r="W1618" i="1" a="1"/>
  <c r="W1618" i="1" s="1"/>
  <c r="W1619" i="1" a="1"/>
  <c r="W1619" i="1"/>
  <c r="W1620" i="1" a="1"/>
  <c r="W1620" i="1" s="1"/>
  <c r="W1621" i="1" a="1"/>
  <c r="W1621" i="1" s="1"/>
  <c r="W1622" i="1" a="1"/>
  <c r="W1622" i="1" s="1"/>
  <c r="W1623" i="1" a="1"/>
  <c r="W1623" i="1"/>
  <c r="W1624" i="1" a="1"/>
  <c r="W1624" i="1" s="1"/>
  <c r="W1625" i="1" a="1"/>
  <c r="W1625" i="1"/>
  <c r="W1626" i="1" a="1"/>
  <c r="W1626" i="1"/>
  <c r="W1627" i="1" a="1"/>
  <c r="W1627" i="1"/>
  <c r="W1628" i="1" a="1"/>
  <c r="W1628" i="1"/>
  <c r="W1629" i="1" a="1"/>
  <c r="W1629" i="1" s="1"/>
  <c r="W1630" i="1" a="1"/>
  <c r="W1630" i="1" s="1"/>
  <c r="W1631" i="1" a="1"/>
  <c r="W1631" i="1" s="1"/>
  <c r="W1632" i="1" a="1"/>
  <c r="W1632" i="1"/>
  <c r="W1633" i="1" a="1"/>
  <c r="W1633" i="1" s="1"/>
  <c r="W1634" i="1" a="1"/>
  <c r="W1634" i="1" s="1"/>
  <c r="W1635" i="1" a="1"/>
  <c r="W1635" i="1" s="1"/>
  <c r="W1636" i="1" a="1"/>
  <c r="W1636" i="1" s="1"/>
  <c r="W1637" i="1" a="1"/>
  <c r="W1637" i="1"/>
  <c r="W1638" i="1" a="1"/>
  <c r="W1638" i="1"/>
  <c r="W1639" i="1" a="1"/>
  <c r="W1639" i="1"/>
  <c r="W1640" i="1" a="1"/>
  <c r="W1640" i="1"/>
  <c r="W1641" i="1" a="1"/>
  <c r="W1641" i="1"/>
  <c r="W1642" i="1" a="1"/>
  <c r="W1642" i="1" s="1"/>
  <c r="W1643" i="1" a="1"/>
  <c r="W1643" i="1"/>
  <c r="W1644" i="1" a="1"/>
  <c r="W1644" i="1" s="1"/>
  <c r="W1645" i="1" a="1"/>
  <c r="W1645" i="1"/>
  <c r="W1646" i="1" a="1"/>
  <c r="W1646" i="1" s="1"/>
  <c r="W1647" i="1" a="1"/>
  <c r="W1647" i="1" s="1"/>
  <c r="W1648" i="1" a="1"/>
  <c r="W1648" i="1" s="1"/>
  <c r="W1649" i="1" a="1"/>
  <c r="W1649" i="1" s="1"/>
  <c r="W1650" i="1" a="1"/>
  <c r="W1650" i="1"/>
  <c r="W1651" i="1" a="1"/>
  <c r="W1651" i="1"/>
  <c r="W1652" i="1" a="1"/>
  <c r="W1652" i="1"/>
  <c r="W1653" i="1" a="1"/>
  <c r="W1653" i="1"/>
  <c r="W1654" i="1" a="1"/>
  <c r="W1654" i="1" s="1"/>
  <c r="W1655" i="1" a="1"/>
  <c r="W1655" i="1" s="1"/>
  <c r="W1656" i="1" a="1"/>
  <c r="W1656" i="1"/>
  <c r="W1657" i="1" a="1"/>
  <c r="W1657" i="1" s="1"/>
  <c r="W1658" i="1" a="1"/>
  <c r="W1658" i="1"/>
  <c r="W1659" i="1" a="1"/>
  <c r="W1659" i="1" s="1"/>
  <c r="W1660" i="1" a="1"/>
  <c r="W1660" i="1" s="1"/>
  <c r="W1661" i="1" a="1"/>
  <c r="W1661" i="1"/>
  <c r="W1662" i="1" a="1"/>
  <c r="W1662" i="1" s="1"/>
  <c r="W1663" i="1" a="1"/>
  <c r="W1663" i="1"/>
  <c r="W1664" i="1" a="1"/>
  <c r="W1664" i="1"/>
  <c r="W1665" i="1" a="1"/>
  <c r="W1665" i="1" s="1"/>
  <c r="W1666" i="1" a="1"/>
  <c r="W1666" i="1" s="1"/>
  <c r="W1667" i="1" a="1"/>
  <c r="W1667" i="1" s="1"/>
  <c r="W1668" i="1" a="1"/>
  <c r="W1668" i="1" s="1"/>
  <c r="W1669" i="1" a="1"/>
  <c r="W1669" i="1"/>
  <c r="W1670" i="1" a="1"/>
  <c r="W1670" i="1" s="1"/>
  <c r="W1671" i="1" a="1"/>
  <c r="W1671" i="1"/>
  <c r="W1672" i="1" a="1"/>
  <c r="W1672" i="1" s="1"/>
  <c r="W1673" i="1" a="1"/>
  <c r="W1673" i="1"/>
  <c r="W1674" i="1" a="1"/>
  <c r="W1674" i="1"/>
  <c r="W1675" i="1" a="1"/>
  <c r="W1675" i="1" s="1"/>
  <c r="W1676" i="1" a="1"/>
  <c r="W1676" i="1"/>
  <c r="W1677" i="1" a="1"/>
  <c r="W1677" i="1"/>
  <c r="W1678" i="1" a="1"/>
  <c r="W1678" i="1" s="1"/>
  <c r="W1679" i="1" a="1"/>
  <c r="W1679" i="1" s="1"/>
  <c r="W1680" i="1" a="1"/>
  <c r="W1680" i="1" s="1"/>
  <c r="W1681" i="1" a="1"/>
  <c r="W1681" i="1" s="1"/>
  <c r="W1682" i="1" a="1"/>
  <c r="W1682" i="1"/>
  <c r="W1683" i="1" a="1"/>
  <c r="W1683" i="1" s="1"/>
  <c r="W1684" i="1" a="1"/>
  <c r="W1684" i="1" s="1"/>
  <c r="W1685" i="1" a="1"/>
  <c r="W1685" i="1" s="1"/>
  <c r="W1686" i="1" a="1"/>
  <c r="W1686" i="1"/>
  <c r="W1687" i="1" a="1"/>
  <c r="W1687" i="1"/>
  <c r="W1688" i="1" a="1"/>
  <c r="W1688" i="1" s="1"/>
  <c r="W1689" i="1" a="1"/>
  <c r="W1689" i="1"/>
  <c r="W1690" i="1" a="1"/>
  <c r="W1690" i="1" s="1"/>
  <c r="W1691" i="1" a="1"/>
  <c r="W1691" i="1"/>
  <c r="W1692" i="1" a="1"/>
  <c r="W1692" i="1" s="1"/>
  <c r="W1693" i="1" a="1"/>
  <c r="W1693" i="1"/>
  <c r="W1694" i="1" a="1"/>
  <c r="W1694" i="1" s="1"/>
  <c r="W1695" i="1" a="1"/>
  <c r="W1695" i="1"/>
  <c r="W1696" i="1" a="1"/>
  <c r="W1696" i="1" s="1"/>
  <c r="W1697" i="1" a="1"/>
  <c r="W1697" i="1"/>
  <c r="W1698" i="1" a="1"/>
  <c r="W1698" i="1"/>
  <c r="W1699" i="1" a="1"/>
  <c r="W1699" i="1" s="1"/>
  <c r="W1700" i="1" a="1"/>
  <c r="W1700" i="1"/>
  <c r="W1701" i="1" a="1"/>
  <c r="W1701" i="1" s="1"/>
  <c r="W1702" i="1" a="1"/>
  <c r="W1702" i="1" s="1"/>
  <c r="W1703" i="1" a="1"/>
  <c r="W1703" i="1"/>
  <c r="W1704" i="1" a="1"/>
  <c r="W1704" i="1"/>
  <c r="W1705" i="1" a="1"/>
  <c r="W1705" i="1"/>
  <c r="W1706" i="1" a="1"/>
  <c r="W1706" i="1" s="1"/>
  <c r="W1707" i="1" a="1"/>
  <c r="W1707" i="1"/>
  <c r="W1708" i="1" a="1"/>
  <c r="W1708" i="1" s="1"/>
  <c r="W1709" i="1" a="1"/>
  <c r="W1709" i="1"/>
  <c r="W1710" i="1" a="1"/>
  <c r="W1710" i="1" s="1"/>
  <c r="W1711" i="1" a="1"/>
  <c r="W1711" i="1"/>
  <c r="W1712" i="1" a="1"/>
  <c r="W1712" i="1" s="1"/>
  <c r="W1713" i="1" a="1"/>
  <c r="W1713" i="1"/>
  <c r="W1714" i="1" a="1"/>
  <c r="W1714" i="1" s="1"/>
  <c r="W1715" i="1" a="1"/>
  <c r="W1715" i="1"/>
  <c r="W1716" i="1" a="1"/>
  <c r="W1716" i="1" s="1"/>
  <c r="W1717" i="1" a="1"/>
  <c r="W1717" i="1"/>
  <c r="W1718" i="1" a="1"/>
  <c r="W1718" i="1"/>
  <c r="W1719" i="1" a="1"/>
  <c r="W1719" i="1" s="1"/>
  <c r="W1720" i="1" a="1"/>
  <c r="W1720" i="1"/>
  <c r="W1721" i="1" a="1"/>
  <c r="W1721" i="1" s="1"/>
  <c r="W1722" i="1" a="1"/>
  <c r="W1722" i="1" s="1"/>
  <c r="W1723" i="1" a="1"/>
  <c r="W1723" i="1" s="1"/>
  <c r="W1724" i="1" a="1"/>
  <c r="W1724" i="1"/>
  <c r="W1725" i="1" a="1"/>
  <c r="W1725" i="1" s="1"/>
  <c r="W1726" i="1" a="1"/>
  <c r="W1726" i="1"/>
  <c r="W1727" i="1" a="1"/>
  <c r="W1727" i="1" s="1"/>
  <c r="W1728" i="1" a="1"/>
  <c r="W1728" i="1" s="1"/>
  <c r="W1729" i="1" a="1"/>
  <c r="W1729" i="1" s="1"/>
  <c r="W1730" i="1" a="1"/>
  <c r="W1730" i="1"/>
  <c r="W1731" i="1" a="1"/>
  <c r="W1731" i="1"/>
  <c r="W1732" i="1" a="1"/>
  <c r="W1732" i="1" s="1"/>
  <c r="W1733" i="1" a="1"/>
  <c r="W1733" i="1" s="1"/>
  <c r="W1734" i="1" a="1"/>
  <c r="W1734" i="1" s="1"/>
  <c r="W1735" i="1" a="1"/>
  <c r="W1735" i="1" s="1"/>
  <c r="W1736" i="1" a="1"/>
  <c r="W1736" i="1" s="1"/>
  <c r="W1737" i="1" a="1"/>
  <c r="W1737" i="1"/>
  <c r="W1738" i="1" a="1"/>
  <c r="W1738" i="1" s="1"/>
  <c r="W1739" i="1" a="1"/>
  <c r="W1739" i="1" s="1"/>
  <c r="W1740" i="1" a="1"/>
  <c r="W1740" i="1"/>
  <c r="W1741" i="1" a="1"/>
  <c r="W1741" i="1" s="1"/>
  <c r="W1742" i="1" a="1"/>
  <c r="W1742" i="1" s="1"/>
  <c r="W1743" i="1" a="1"/>
  <c r="W1743" i="1"/>
  <c r="W1744" i="1" a="1"/>
  <c r="W1744" i="1"/>
  <c r="W1745" i="1" a="1"/>
  <c r="W1745" i="1" s="1"/>
  <c r="W1746" i="1" a="1"/>
  <c r="W1746" i="1"/>
  <c r="W1747" i="1" a="1"/>
  <c r="W1747" i="1" s="1"/>
  <c r="W1748" i="1" a="1"/>
  <c r="W1748" i="1" s="1"/>
  <c r="W1749" i="1" a="1"/>
  <c r="W1749" i="1" s="1"/>
  <c r="W1750" i="1" a="1"/>
  <c r="W1750" i="1"/>
  <c r="W1751" i="1" a="1"/>
  <c r="W1751" i="1" s="1"/>
  <c r="W1752" i="1" a="1"/>
  <c r="W1752" i="1" s="1"/>
  <c r="W1753" i="1" a="1"/>
  <c r="W1753" i="1"/>
  <c r="W1754" i="1" a="1"/>
  <c r="W1754" i="1" s="1"/>
  <c r="W1755" i="1" a="1"/>
  <c r="W1755" i="1" s="1"/>
  <c r="W1756" i="1" a="1"/>
  <c r="W1756" i="1"/>
  <c r="W1757" i="1" a="1"/>
  <c r="W1757" i="1" s="1"/>
  <c r="W1758" i="1" a="1"/>
  <c r="W1758" i="1" s="1"/>
  <c r="W1759" i="1" a="1"/>
  <c r="W1759" i="1"/>
  <c r="W1760" i="1" a="1"/>
  <c r="W1760" i="1" s="1"/>
  <c r="W1761" i="1" a="1"/>
  <c r="W1761" i="1" s="1"/>
  <c r="W1762" i="1" a="1"/>
  <c r="W1762" i="1" s="1"/>
  <c r="W1763" i="1" a="1"/>
  <c r="W1763" i="1" s="1"/>
  <c r="W1764" i="1" a="1"/>
  <c r="W1764" i="1"/>
  <c r="W1765" i="1" a="1"/>
  <c r="W1765" i="1" s="1"/>
  <c r="W1766" i="1" a="1"/>
  <c r="W1766" i="1"/>
  <c r="W1767" i="1" a="1"/>
  <c r="W1767" i="1" s="1"/>
  <c r="W1768" i="1" a="1"/>
  <c r="W1768" i="1" s="1"/>
  <c r="W1769" i="1" a="1"/>
  <c r="W1769" i="1" s="1"/>
  <c r="W1770" i="1" a="1"/>
  <c r="W1770" i="1"/>
  <c r="W1771" i="1" a="1"/>
  <c r="W1771" i="1" s="1"/>
  <c r="W1772" i="1" a="1"/>
  <c r="W1772" i="1"/>
  <c r="W1773" i="1" a="1"/>
  <c r="W1773" i="1" s="1"/>
  <c r="W1774" i="1" a="1"/>
  <c r="W1774" i="1" s="1"/>
  <c r="W1775" i="1" a="1"/>
  <c r="W1775" i="1" s="1"/>
  <c r="W1776" i="1" a="1"/>
  <c r="W1776" i="1"/>
  <c r="W1777" i="1" a="1"/>
  <c r="W1777" i="1"/>
  <c r="W1778" i="1" a="1"/>
  <c r="W1778" i="1" s="1"/>
  <c r="W1779" i="1" a="1"/>
  <c r="W1779" i="1"/>
  <c r="W1780" i="1" a="1"/>
  <c r="W1780" i="1" s="1"/>
  <c r="W1781" i="1" a="1"/>
  <c r="W1781" i="1" s="1"/>
  <c r="W1782" i="1" a="1"/>
  <c r="W1782" i="1" s="1"/>
  <c r="W1783" i="1" a="1"/>
  <c r="W1783" i="1"/>
  <c r="W1784" i="1" a="1"/>
  <c r="W1784" i="1" s="1"/>
  <c r="W1785" i="1" a="1"/>
  <c r="W1785" i="1"/>
  <c r="W1786" i="1" a="1"/>
  <c r="W1786" i="1" s="1"/>
  <c r="W1787" i="1" a="1"/>
  <c r="W1787" i="1" s="1"/>
  <c r="W1788" i="1" a="1"/>
  <c r="W1788" i="1" s="1"/>
  <c r="W1789" i="1" a="1"/>
  <c r="W1789" i="1"/>
  <c r="W1790" i="1" a="1"/>
  <c r="W1790" i="1"/>
  <c r="W1791" i="1" a="1"/>
  <c r="W1791" i="1" s="1"/>
  <c r="W1792" i="1" a="1"/>
  <c r="W1792" i="1"/>
  <c r="W1793" i="1" a="1"/>
  <c r="W1793" i="1" s="1"/>
  <c r="W1794" i="1" a="1"/>
  <c r="W1794" i="1" s="1"/>
  <c r="W1795" i="1" a="1"/>
  <c r="W1795" i="1" s="1"/>
  <c r="W1796" i="1" a="1"/>
  <c r="W1796" i="1"/>
  <c r="W1797" i="1" a="1"/>
  <c r="W1797" i="1" s="1"/>
  <c r="W1798" i="1" a="1"/>
  <c r="W1798" i="1"/>
  <c r="W1799" i="1" a="1"/>
  <c r="W1799" i="1" s="1"/>
  <c r="W1800" i="1" a="1"/>
  <c r="W1800" i="1" s="1"/>
  <c r="W1801" i="1" a="1"/>
  <c r="W1801" i="1" s="1"/>
  <c r="W1802" i="1" a="1"/>
  <c r="W1802" i="1"/>
  <c r="W1803" i="1" a="1"/>
  <c r="W1803" i="1"/>
  <c r="W1804" i="1" a="1"/>
  <c r="W1804" i="1" s="1"/>
  <c r="W1805" i="1" a="1"/>
  <c r="W1805" i="1" s="1"/>
  <c r="W1806" i="1" a="1"/>
  <c r="W1806" i="1" s="1"/>
  <c r="W1807" i="1" a="1"/>
  <c r="W1807" i="1" s="1"/>
  <c r="W1808" i="1" a="1"/>
  <c r="W1808" i="1" s="1"/>
  <c r="W1809" i="1" a="1"/>
  <c r="W1809" i="1"/>
  <c r="W1810" i="1" a="1"/>
  <c r="W1810" i="1" s="1"/>
  <c r="W1811" i="1" a="1"/>
  <c r="W1811" i="1" s="1"/>
  <c r="W1812" i="1" a="1"/>
  <c r="W1812" i="1"/>
  <c r="W1813" i="1" a="1"/>
  <c r="W1813" i="1" s="1"/>
  <c r="W1814" i="1" a="1"/>
  <c r="W1814" i="1" s="1"/>
  <c r="W1815" i="1" a="1"/>
  <c r="W1815" i="1"/>
  <c r="W1816" i="1" a="1"/>
  <c r="W1816" i="1"/>
  <c r="W1817" i="1" a="1"/>
  <c r="W1817" i="1" s="1"/>
  <c r="W1818" i="1" a="1"/>
  <c r="W1818" i="1"/>
  <c r="W1819" i="1" a="1"/>
  <c r="W1819" i="1" s="1"/>
  <c r="W1820" i="1" a="1"/>
  <c r="W1820" i="1" s="1"/>
  <c r="W1821" i="1" a="1"/>
  <c r="W1821" i="1" s="1"/>
  <c r="W1822" i="1" a="1"/>
  <c r="W1822" i="1"/>
  <c r="W1823" i="1" a="1"/>
  <c r="W1823" i="1" s="1"/>
  <c r="W1824" i="1" a="1"/>
  <c r="W1824" i="1" s="1"/>
  <c r="W1825" i="1" a="1"/>
  <c r="W1825" i="1"/>
  <c r="W1826" i="1" a="1"/>
  <c r="W1826" i="1" s="1"/>
  <c r="W1827" i="1" a="1"/>
  <c r="W1827" i="1" s="1"/>
  <c r="W1828" i="1" a="1"/>
  <c r="W1828" i="1"/>
  <c r="W1829" i="1" a="1"/>
  <c r="W1829" i="1" s="1"/>
  <c r="W1830" i="1" a="1"/>
  <c r="W1830" i="1" s="1"/>
  <c r="W1831" i="1" a="1"/>
  <c r="W1831" i="1"/>
  <c r="W1832" i="1" a="1"/>
  <c r="W1832" i="1" s="1"/>
  <c r="W1833" i="1" a="1"/>
  <c r="W1833" i="1" s="1"/>
  <c r="W1834" i="1" a="1"/>
  <c r="W1834" i="1" s="1"/>
  <c r="W1835" i="1" a="1"/>
  <c r="W1835" i="1" s="1"/>
  <c r="W1836" i="1" a="1"/>
  <c r="W1836" i="1"/>
  <c r="W1837" i="1" a="1"/>
  <c r="W1837" i="1" s="1"/>
  <c r="W1838" i="1" a="1"/>
  <c r="W1838" i="1"/>
  <c r="W1839" i="1" a="1"/>
  <c r="W1839" i="1" s="1"/>
  <c r="W1840" i="1" a="1"/>
  <c r="W1840" i="1" s="1"/>
  <c r="W1841" i="1" a="1"/>
  <c r="W1841" i="1" s="1"/>
  <c r="W1842" i="1" a="1"/>
  <c r="W1842" i="1"/>
  <c r="W1843" i="1" a="1"/>
  <c r="W1843" i="1" s="1"/>
  <c r="W1844" i="1" a="1"/>
  <c r="W1844" i="1"/>
  <c r="W1845" i="1" a="1"/>
  <c r="W1845" i="1" s="1"/>
  <c r="W1846" i="1" a="1"/>
  <c r="W1846" i="1" s="1"/>
  <c r="W1847" i="1" a="1"/>
  <c r="W1847" i="1" s="1"/>
  <c r="W1848" i="1" a="1"/>
  <c r="W1848" i="1"/>
  <c r="W1849" i="1" a="1"/>
  <c r="W1849" i="1"/>
  <c r="W1850" i="1" a="1"/>
  <c r="W1850" i="1" s="1"/>
  <c r="W1851" i="1" a="1"/>
  <c r="W1851" i="1"/>
  <c r="W1852" i="1" a="1"/>
  <c r="W1852" i="1" s="1"/>
  <c r="W1853" i="1" a="1"/>
  <c r="W1853" i="1" s="1"/>
  <c r="W1854" i="1" a="1"/>
  <c r="W1854" i="1" s="1"/>
  <c r="W1855" i="1" a="1"/>
  <c r="W1855" i="1"/>
  <c r="W1856" i="1" a="1"/>
  <c r="W1856" i="1" s="1"/>
  <c r="W1857" i="1" a="1"/>
  <c r="W1857" i="1"/>
  <c r="W1858" i="1" a="1"/>
  <c r="W1858" i="1" s="1"/>
  <c r="W1859" i="1" a="1"/>
  <c r="W1859" i="1" s="1"/>
  <c r="W1860" i="1" a="1"/>
  <c r="W1860" i="1" s="1"/>
  <c r="W1861" i="1" a="1"/>
  <c r="W1861" i="1"/>
  <c r="W1862" i="1" a="1"/>
  <c r="W1862" i="1"/>
  <c r="W1863" i="1" a="1"/>
  <c r="W1863" i="1" s="1"/>
  <c r="W1864" i="1" a="1"/>
  <c r="W1864" i="1"/>
  <c r="W1865" i="1" a="1"/>
  <c r="W1865" i="1" s="1"/>
  <c r="W1866" i="1" a="1"/>
  <c r="W1866" i="1" s="1"/>
  <c r="W1867" i="1" a="1"/>
  <c r="W1867" i="1" s="1"/>
  <c r="W1868" i="1" a="1"/>
  <c r="W1868" i="1"/>
  <c r="W1869" i="1" a="1"/>
  <c r="W1869" i="1" s="1"/>
  <c r="W1870" i="1" a="1"/>
  <c r="W1870" i="1"/>
  <c r="W1871" i="1" a="1"/>
  <c r="W1871" i="1" s="1"/>
  <c r="W1872" i="1" a="1"/>
  <c r="W1872" i="1" s="1"/>
  <c r="W1873" i="1" a="1"/>
  <c r="W1873" i="1" s="1"/>
  <c r="W1874" i="1" a="1"/>
  <c r="W1874" i="1"/>
  <c r="W1875" i="1" a="1"/>
  <c r="W1875" i="1"/>
  <c r="W1876" i="1" a="1"/>
  <c r="W1876" i="1" s="1"/>
  <c r="W1877" i="1" a="1"/>
  <c r="W1877" i="1" s="1"/>
  <c r="W1878" i="1" a="1"/>
  <c r="W1878" i="1" s="1"/>
  <c r="W1879" i="1" a="1"/>
  <c r="W1879" i="1" s="1"/>
  <c r="W1880" i="1" a="1"/>
  <c r="W1880" i="1" s="1"/>
  <c r="W1881" i="1" a="1"/>
  <c r="W1881" i="1"/>
  <c r="W1882" i="1" a="1"/>
  <c r="W1882" i="1" s="1"/>
  <c r="W1883" i="1" a="1"/>
  <c r="W1883" i="1" s="1"/>
  <c r="W1884" i="1" a="1"/>
  <c r="W1884" i="1"/>
  <c r="W1885" i="1" a="1"/>
  <c r="W1885" i="1" s="1"/>
  <c r="W1886" i="1" a="1"/>
  <c r="W1886" i="1" s="1"/>
  <c r="W1887" i="1" a="1"/>
  <c r="W1887" i="1"/>
  <c r="W1888" i="1" a="1"/>
  <c r="W1888" i="1"/>
  <c r="W1889" i="1" a="1"/>
  <c r="W1889" i="1" s="1"/>
  <c r="W1890" i="1" a="1"/>
  <c r="W1890" i="1"/>
  <c r="W1891" i="1" a="1"/>
  <c r="W1891" i="1" s="1"/>
  <c r="W1892" i="1" a="1"/>
  <c r="W1892" i="1" s="1"/>
  <c r="W1893" i="1" a="1"/>
  <c r="W1893" i="1" s="1"/>
  <c r="W1894" i="1" a="1"/>
  <c r="W1894" i="1"/>
  <c r="W1895" i="1" a="1"/>
  <c r="W1895" i="1" s="1"/>
  <c r="W1896" i="1" a="1"/>
  <c r="W1896" i="1" s="1"/>
  <c r="W1897" i="1" a="1"/>
  <c r="W1897" i="1"/>
  <c r="W1898" i="1" a="1"/>
  <c r="W1898" i="1" s="1"/>
  <c r="W1899" i="1" a="1"/>
  <c r="W1899" i="1" s="1"/>
  <c r="W1900" i="1" a="1"/>
  <c r="W1900" i="1"/>
  <c r="W1901" i="1" a="1"/>
  <c r="W1901" i="1" s="1"/>
  <c r="W1902" i="1" a="1"/>
  <c r="W1902" i="1" s="1"/>
  <c r="W1903" i="1" a="1"/>
  <c r="W1903" i="1"/>
  <c r="W1904" i="1" a="1"/>
  <c r="W1904" i="1" s="1"/>
  <c r="W1905" i="1" a="1"/>
  <c r="W1905" i="1" s="1"/>
  <c r="W1906" i="1" a="1"/>
  <c r="W1906" i="1" s="1"/>
  <c r="W1907" i="1" a="1"/>
  <c r="W1907" i="1" s="1"/>
  <c r="W1908" i="1" a="1"/>
  <c r="W1908" i="1"/>
  <c r="W1909" i="1" a="1"/>
  <c r="W1909" i="1" s="1"/>
  <c r="W1910" i="1" a="1"/>
  <c r="W1910" i="1"/>
  <c r="W1911" i="1" a="1"/>
  <c r="W1911" i="1" s="1"/>
  <c r="W1912" i="1" a="1"/>
  <c r="W1912" i="1" s="1"/>
  <c r="W1913" i="1" a="1"/>
  <c r="W1913" i="1" s="1"/>
  <c r="W1914" i="1" a="1"/>
  <c r="W1914" i="1"/>
  <c r="W1915" i="1" a="1"/>
  <c r="W1915" i="1" s="1"/>
  <c r="W1916" i="1" a="1"/>
  <c r="W1916" i="1"/>
  <c r="W1917" i="1" a="1"/>
  <c r="W1917" i="1" s="1"/>
  <c r="W1918" i="1" a="1"/>
  <c r="W1918" i="1" s="1"/>
  <c r="W1919" i="1" a="1"/>
  <c r="W1919" i="1" s="1"/>
  <c r="W1920" i="1" a="1"/>
  <c r="W1920" i="1"/>
  <c r="W1921" i="1" a="1"/>
  <c r="W1921" i="1"/>
  <c r="W1922" i="1" a="1"/>
  <c r="W1922" i="1" s="1"/>
  <c r="W1923" i="1" a="1"/>
  <c r="W1923" i="1"/>
  <c r="W1924" i="1" a="1"/>
  <c r="W1924" i="1" s="1"/>
  <c r="W1925" i="1" a="1"/>
  <c r="W1925" i="1" s="1"/>
  <c r="W1926" i="1" a="1"/>
  <c r="W1926" i="1" s="1"/>
  <c r="W1927" i="1" a="1"/>
  <c r="W1927" i="1"/>
  <c r="W1928" i="1" a="1"/>
  <c r="W1928" i="1" s="1"/>
  <c r="W1929" i="1" a="1"/>
  <c r="W1929" i="1"/>
  <c r="W1930" i="1" a="1"/>
  <c r="W1930" i="1" s="1"/>
  <c r="W1931" i="1" a="1"/>
  <c r="W1931" i="1" s="1"/>
  <c r="W1932" i="1" a="1"/>
  <c r="W1932" i="1" s="1"/>
  <c r="W1933" i="1" a="1"/>
  <c r="W1933" i="1"/>
  <c r="W1934" i="1" a="1"/>
  <c r="W1934" i="1"/>
  <c r="W1935" i="1" a="1"/>
  <c r="W1935" i="1" s="1"/>
  <c r="W1936" i="1" a="1"/>
  <c r="W1936" i="1"/>
  <c r="W1937" i="1" a="1"/>
  <c r="W1937" i="1" s="1"/>
  <c r="W1938" i="1" a="1"/>
  <c r="W1938" i="1" s="1"/>
  <c r="W1939" i="1" a="1"/>
  <c r="W1939" i="1" s="1"/>
  <c r="W1940" i="1" a="1"/>
  <c r="W1940" i="1"/>
  <c r="W1941" i="1" a="1"/>
  <c r="W1941" i="1" s="1"/>
  <c r="W1942" i="1" a="1"/>
  <c r="W1942" i="1"/>
  <c r="W1943" i="1" a="1"/>
  <c r="W1943" i="1" s="1"/>
  <c r="W1944" i="1" a="1"/>
  <c r="W1944" i="1" s="1"/>
  <c r="W1945" i="1" a="1"/>
  <c r="W1945" i="1" s="1"/>
  <c r="W1946" i="1" a="1"/>
  <c r="W1946" i="1"/>
  <c r="W1947" i="1" a="1"/>
  <c r="W1947" i="1"/>
  <c r="W1948" i="1" a="1"/>
  <c r="W1948" i="1" s="1"/>
  <c r="W1949" i="1" a="1"/>
  <c r="W1949" i="1" s="1"/>
  <c r="W1950" i="1" a="1"/>
  <c r="W1950" i="1" s="1"/>
  <c r="W1951" i="1" a="1"/>
  <c r="W1951" i="1" s="1"/>
  <c r="W1952" i="1" a="1"/>
  <c r="W1952" i="1" s="1"/>
  <c r="W1953" i="1" a="1"/>
  <c r="W1953" i="1"/>
  <c r="W1954" i="1" a="1"/>
  <c r="W1954" i="1" s="1"/>
  <c r="W1955" i="1" a="1"/>
  <c r="W1955" i="1" s="1"/>
  <c r="W1956" i="1" a="1"/>
  <c r="W1956" i="1"/>
  <c r="W1957" i="1" a="1"/>
  <c r="W1957" i="1" s="1"/>
  <c r="W1958" i="1" a="1"/>
  <c r="W1958" i="1" s="1"/>
  <c r="W1959" i="1" a="1"/>
  <c r="W1959" i="1"/>
  <c r="W1960" i="1" a="1"/>
  <c r="W1960" i="1"/>
  <c r="W1961" i="1" a="1"/>
  <c r="W1961" i="1" s="1"/>
  <c r="W1962" i="1" a="1"/>
  <c r="W1962" i="1"/>
  <c r="W1963" i="1" a="1"/>
  <c r="W1963" i="1" s="1"/>
  <c r="W1964" i="1" a="1"/>
  <c r="W1964" i="1" s="1"/>
  <c r="W1965" i="1" a="1"/>
  <c r="W1965" i="1" s="1"/>
  <c r="W1966" i="1" a="1"/>
  <c r="W1966" i="1"/>
  <c r="W1967" i="1" a="1"/>
  <c r="W1967" i="1" s="1"/>
  <c r="W1968" i="1" a="1"/>
  <c r="W1968" i="1" s="1"/>
  <c r="W1969" i="1" a="1"/>
  <c r="W1969" i="1"/>
  <c r="W1970" i="1" a="1"/>
  <c r="W1970" i="1" s="1"/>
  <c r="W1971" i="1" a="1"/>
  <c r="W1971" i="1" s="1"/>
  <c r="W1972" i="1" a="1"/>
  <c r="W1972" i="1"/>
  <c r="W1973" i="1" a="1"/>
  <c r="W1973" i="1" s="1"/>
  <c r="W1974" i="1" a="1"/>
  <c r="W1974" i="1" s="1"/>
  <c r="W1975" i="1" a="1"/>
  <c r="W1975" i="1"/>
  <c r="W1976" i="1" a="1"/>
  <c r="W1976" i="1" s="1"/>
  <c r="W1977" i="1" a="1"/>
  <c r="W1977" i="1" s="1"/>
  <c r="W1978" i="1" a="1"/>
  <c r="W1978" i="1" s="1"/>
  <c r="W1979" i="1" a="1"/>
  <c r="W1979" i="1" s="1"/>
  <c r="W1980" i="1" a="1"/>
  <c r="W1980" i="1"/>
  <c r="W1981" i="1" a="1"/>
  <c r="W1981" i="1" s="1"/>
  <c r="W1982" i="1" a="1"/>
  <c r="W1982" i="1"/>
  <c r="W1983" i="1" a="1"/>
  <c r="W1983" i="1"/>
  <c r="W1984" i="1" a="1"/>
  <c r="W1984" i="1" s="1"/>
  <c r="W1985" i="1" a="1"/>
  <c r="W1985" i="1" s="1"/>
  <c r="W1986" i="1" a="1"/>
  <c r="W1986" i="1"/>
  <c r="W1987" i="1" a="1"/>
  <c r="W1987" i="1" s="1"/>
  <c r="W1988" i="1" a="1"/>
  <c r="W1988" i="1"/>
  <c r="W1989" i="1" a="1"/>
  <c r="W1989" i="1" s="1"/>
  <c r="W1990" i="1" a="1"/>
  <c r="W1990" i="1" s="1"/>
  <c r="W1991" i="1" a="1"/>
  <c r="W1991" i="1" s="1"/>
  <c r="W1992" i="1" a="1"/>
  <c r="W1992" i="1"/>
  <c r="W1993" i="1" a="1"/>
  <c r="W1993" i="1"/>
  <c r="W1994" i="1" a="1"/>
  <c r="W1994" i="1" s="1"/>
  <c r="W1995" i="1" a="1"/>
  <c r="W1995" i="1"/>
  <c r="W1996" i="1" a="1"/>
  <c r="W1996" i="1"/>
  <c r="W1997" i="1" a="1"/>
  <c r="W1997" i="1" s="1"/>
  <c r="W1998" i="1" a="1"/>
  <c r="W1998" i="1" s="1"/>
  <c r="W1999" i="1" a="1"/>
  <c r="W1999" i="1"/>
  <c r="W2000" i="1" a="1"/>
  <c r="W2000" i="1" s="1"/>
  <c r="W2001" i="1" a="1"/>
  <c r="W2001" i="1"/>
  <c r="W2002" i="1" a="1"/>
  <c r="W2002" i="1" s="1"/>
  <c r="W2003" i="1" a="1"/>
  <c r="W2003" i="1" s="1"/>
  <c r="W2004" i="1" a="1"/>
  <c r="W2004" i="1" s="1"/>
  <c r="W2005" i="1" a="1"/>
  <c r="W2005" i="1"/>
  <c r="W2006" i="1" a="1"/>
  <c r="W2006" i="1"/>
  <c r="W2007" i="1" a="1"/>
  <c r="W2007" i="1" s="1"/>
  <c r="W2008" i="1" a="1"/>
  <c r="W2008" i="1"/>
  <c r="W2009" i="1" a="1"/>
  <c r="W2009" i="1" s="1"/>
  <c r="W2010" i="1" a="1"/>
  <c r="W2010" i="1" s="1"/>
  <c r="W2011" i="1" a="1"/>
  <c r="W2011" i="1" s="1"/>
  <c r="W2012" i="1" a="1"/>
  <c r="W2012" i="1"/>
  <c r="W2013" i="1" a="1"/>
  <c r="W2013" i="1" s="1"/>
  <c r="W2014" i="1" a="1"/>
  <c r="W2014" i="1"/>
  <c r="W2015" i="1" a="1"/>
  <c r="W2015" i="1" s="1"/>
  <c r="W2016" i="1" a="1"/>
  <c r="W2016" i="1"/>
  <c r="W2017" i="1" a="1"/>
  <c r="W2017" i="1" s="1"/>
  <c r="W2018" i="1" a="1"/>
  <c r="W2018" i="1" s="1"/>
  <c r="W2019" i="1" a="1"/>
  <c r="W2019" i="1"/>
  <c r="W2020" i="1" a="1"/>
  <c r="W2020" i="1" s="1"/>
  <c r="W2021" i="1" a="1"/>
  <c r="W2021" i="1" s="1"/>
  <c r="W2022" i="1" a="1"/>
  <c r="W2022" i="1" s="1"/>
  <c r="W2023" i="1" a="1"/>
  <c r="W2023" i="1" s="1"/>
  <c r="W2024" i="1" a="1"/>
  <c r="W2024" i="1" s="1"/>
  <c r="W2025" i="1" a="1"/>
  <c r="W2025" i="1"/>
  <c r="W2026" i="1" a="1"/>
  <c r="W2026" i="1" s="1"/>
  <c r="W2027" i="1" a="1"/>
  <c r="W2027" i="1" s="1"/>
  <c r="W2028" i="1" a="1"/>
  <c r="W2028" i="1"/>
  <c r="W2029" i="1" a="1"/>
  <c r="W2029" i="1"/>
  <c r="W2030" i="1" a="1"/>
  <c r="W2030" i="1" s="1"/>
  <c r="W2031" i="1" a="1"/>
  <c r="W2031" i="1" s="1"/>
  <c r="W2032" i="1" a="1"/>
  <c r="W2032" i="1"/>
  <c r="W2033" i="1" a="1"/>
  <c r="W2033" i="1" s="1"/>
  <c r="W2034" i="1" a="1"/>
  <c r="W2034" i="1"/>
  <c r="W2035" i="1" a="1"/>
  <c r="W2035" i="1" s="1"/>
  <c r="W2036" i="1" a="1"/>
  <c r="W2036" i="1"/>
  <c r="W2037" i="1" a="1"/>
  <c r="W2037" i="1" s="1"/>
  <c r="W2038" i="1" a="1"/>
  <c r="W2038" i="1"/>
  <c r="W2039" i="1" a="1"/>
  <c r="W2039" i="1" s="1"/>
  <c r="W2040" i="1" a="1"/>
  <c r="W2040" i="1" s="1"/>
  <c r="W2041" i="1" a="1"/>
  <c r="W2041" i="1"/>
  <c r="W2042" i="1" a="1"/>
  <c r="W2042" i="1"/>
  <c r="W2043" i="1" a="1"/>
  <c r="W2043" i="1" s="1"/>
  <c r="W2044" i="1" a="1"/>
  <c r="W2044" i="1" s="1"/>
  <c r="W2045" i="1" a="1"/>
  <c r="W2045" i="1" s="1"/>
  <c r="W2046" i="1" a="1"/>
  <c r="W2046" i="1" s="1"/>
  <c r="W2047" i="1" a="1"/>
  <c r="W2047" i="1"/>
  <c r="W2048" i="1" a="1"/>
  <c r="W2048" i="1" s="1"/>
  <c r="W2049" i="1" a="1"/>
  <c r="W2049" i="1"/>
  <c r="W2050" i="1" a="1"/>
  <c r="W2050" i="1" s="1"/>
  <c r="W2051" i="1" a="1"/>
  <c r="W2051" i="1" s="1"/>
  <c r="W2052" i="1" a="1"/>
  <c r="W2052" i="1"/>
  <c r="W2053" i="1" a="1"/>
  <c r="W2053" i="1" s="1"/>
  <c r="W2054" i="1" a="1"/>
  <c r="W2054" i="1"/>
  <c r="W2055" i="1" a="1"/>
  <c r="W2055" i="1"/>
  <c r="W2056" i="1" a="1"/>
  <c r="W2056" i="1" s="1"/>
  <c r="W2057" i="1" a="1"/>
  <c r="W2057" i="1" s="1"/>
  <c r="W2058" i="1" a="1"/>
  <c r="W2058" i="1"/>
  <c r="W2059" i="1" a="1"/>
  <c r="W2059" i="1" s="1"/>
  <c r="W2060" i="1" a="1"/>
  <c r="W2060" i="1"/>
  <c r="W2061" i="1" a="1"/>
  <c r="W2061" i="1" s="1"/>
  <c r="W2062" i="1" a="1"/>
  <c r="W2062" i="1"/>
  <c r="W2063" i="1" a="1"/>
  <c r="W2063" i="1" s="1"/>
  <c r="W2064" i="1" a="1"/>
  <c r="W2064" i="1" s="1"/>
  <c r="W2065" i="1" a="1"/>
  <c r="W2065" i="1"/>
  <c r="W2066" i="1" a="1"/>
  <c r="W2066" i="1" s="1"/>
  <c r="W2067" i="1" a="1"/>
  <c r="W2067" i="1"/>
  <c r="W2068" i="1" a="1"/>
  <c r="W2068" i="1"/>
  <c r="W2069" i="1" a="1"/>
  <c r="W2069" i="1" s="1"/>
  <c r="W2070" i="1" a="1"/>
  <c r="W2070" i="1" s="1"/>
  <c r="W2071" i="1" a="1"/>
  <c r="W2071" i="1"/>
  <c r="W2072" i="1" a="1"/>
  <c r="W2072" i="1" s="1"/>
  <c r="W2073" i="1" a="1"/>
  <c r="W2073" i="1"/>
  <c r="W2074" i="1" a="1"/>
  <c r="W2074" i="1" s="1"/>
  <c r="W2075" i="1" a="1"/>
  <c r="W2075" i="1" s="1"/>
  <c r="W2076" i="1" a="1"/>
  <c r="W2076" i="1" s="1"/>
  <c r="W2077" i="1" a="1"/>
  <c r="W2077" i="1" s="1"/>
  <c r="W2078" i="1" a="1"/>
  <c r="W2078" i="1"/>
  <c r="W2079" i="1" a="1"/>
  <c r="W2079" i="1" s="1"/>
  <c r="W2080" i="1" a="1"/>
  <c r="W2080" i="1"/>
  <c r="W2081" i="1" a="1"/>
  <c r="W2081" i="1" s="1"/>
  <c r="W2082" i="1" a="1"/>
  <c r="W2082" i="1"/>
  <c r="W2083" i="1" a="1"/>
  <c r="W2083" i="1" s="1"/>
  <c r="W2084" i="1" a="1"/>
  <c r="W2084" i="1"/>
  <c r="W2085" i="1" a="1"/>
  <c r="W2085" i="1" s="1"/>
  <c r="W2086" i="1" a="1"/>
  <c r="W2086" i="1"/>
  <c r="W2087" i="1" a="1"/>
  <c r="W2087" i="1" s="1"/>
  <c r="W2088" i="1" a="1"/>
  <c r="W2088" i="1"/>
  <c r="W2089" i="1" a="1"/>
  <c r="W2089" i="1" s="1"/>
  <c r="W2090" i="1" a="1"/>
  <c r="W2090" i="1" s="1"/>
  <c r="W2091" i="1" a="1"/>
  <c r="W2091" i="1"/>
  <c r="W2092" i="1" a="1"/>
  <c r="W2092" i="1" s="1"/>
  <c r="W2093" i="1" a="1"/>
  <c r="W2093" i="1" s="1"/>
  <c r="W2094" i="1" a="1"/>
  <c r="W2094" i="1" s="1"/>
  <c r="W2095" i="1" a="1"/>
  <c r="W2095" i="1"/>
  <c r="W2096" i="1" a="1"/>
  <c r="W2096" i="1" s="1"/>
  <c r="W2097" i="1" a="1"/>
  <c r="W2097" i="1"/>
  <c r="W2098" i="1" a="1"/>
  <c r="W2098" i="1" s="1"/>
  <c r="W2099" i="1" a="1"/>
  <c r="W2099" i="1" s="1"/>
  <c r="W2100" i="1" a="1"/>
  <c r="W2100" i="1"/>
  <c r="W2101" i="1" a="1"/>
  <c r="W2101" i="1"/>
  <c r="W2102" i="1" a="1"/>
  <c r="W2102" i="1" s="1"/>
  <c r="W2103" i="1" a="1"/>
  <c r="W2103" i="1" s="1"/>
  <c r="W2104" i="1" a="1"/>
  <c r="W2104" i="1"/>
  <c r="W2105" i="1" a="1"/>
  <c r="W2105" i="1" s="1"/>
  <c r="W2106" i="1" a="1"/>
  <c r="W2106" i="1"/>
  <c r="W2107" i="1" a="1"/>
  <c r="W2107" i="1" s="1"/>
  <c r="W2108" i="1" a="1"/>
  <c r="W2108" i="1"/>
  <c r="W2109" i="1" a="1"/>
  <c r="W2109" i="1" s="1"/>
  <c r="W2110" i="1" a="1"/>
  <c r="W2110" i="1"/>
  <c r="W2111" i="1" a="1"/>
  <c r="W2111" i="1" s="1"/>
  <c r="W2112" i="1" a="1"/>
  <c r="W2112" i="1" s="1"/>
  <c r="W2113" i="1" a="1"/>
  <c r="W2113" i="1"/>
  <c r="W2114" i="1" a="1"/>
  <c r="W2114" i="1"/>
  <c r="W2115" i="1" a="1"/>
  <c r="W2115" i="1" s="1"/>
  <c r="W2116" i="1" a="1"/>
  <c r="W2116" i="1" s="1"/>
  <c r="W2117" i="1" a="1"/>
  <c r="W2117" i="1" s="1"/>
  <c r="W2118" i="1" a="1"/>
  <c r="W2118" i="1" s="1"/>
  <c r="W2119" i="1" a="1"/>
  <c r="W2119" i="1"/>
  <c r="W2120" i="1" a="1"/>
  <c r="W2120" i="1" s="1"/>
  <c r="W2121" i="1" a="1"/>
  <c r="W2121" i="1"/>
  <c r="W2122" i="1" a="1"/>
  <c r="W2122" i="1" s="1"/>
  <c r="W2123" i="1" a="1"/>
  <c r="W2123" i="1" s="1"/>
  <c r="W2124" i="1" a="1"/>
  <c r="W2124" i="1"/>
  <c r="W2125" i="1" a="1"/>
  <c r="W2125" i="1" s="1"/>
  <c r="W2126" i="1" a="1"/>
  <c r="W2126" i="1"/>
  <c r="W2127" i="1" a="1"/>
  <c r="W2127" i="1"/>
  <c r="W2128" i="1" a="1"/>
  <c r="W2128" i="1" s="1"/>
  <c r="W2129" i="1" a="1"/>
  <c r="W2129" i="1" s="1"/>
  <c r="W2130" i="1" a="1"/>
  <c r="W2130" i="1"/>
  <c r="W2131" i="1" a="1"/>
  <c r="W2131" i="1" s="1"/>
  <c r="W2132" i="1" a="1"/>
  <c r="W2132" i="1"/>
  <c r="W2133" i="1" a="1"/>
  <c r="W2133" i="1" s="1"/>
  <c r="W2134" i="1" a="1"/>
  <c r="W2134" i="1"/>
  <c r="W2135" i="1" a="1"/>
  <c r="W2135" i="1" s="1"/>
  <c r="W2136" i="1" a="1"/>
  <c r="W2136" i="1" s="1"/>
  <c r="W2137" i="1" a="1"/>
  <c r="W2137" i="1"/>
  <c r="W2138" i="1" a="1"/>
  <c r="W2138" i="1" s="1"/>
  <c r="W2139" i="1" a="1"/>
  <c r="W2139" i="1"/>
  <c r="W2140" i="1" a="1"/>
  <c r="W2140" i="1"/>
  <c r="W2141" i="1" a="1"/>
  <c r="W2141" i="1" s="1"/>
  <c r="W2142" i="1" a="1"/>
  <c r="W2142" i="1" s="1"/>
  <c r="W2143" i="1" a="1"/>
  <c r="W2143" i="1"/>
  <c r="W2144" i="1" a="1"/>
  <c r="W2144" i="1" s="1"/>
  <c r="W2145" i="1" a="1"/>
  <c r="W2145" i="1"/>
  <c r="W2146" i="1" a="1"/>
  <c r="W2146" i="1" s="1"/>
  <c r="W2147" i="1" a="1"/>
  <c r="W2147" i="1" s="1"/>
  <c r="W2148" i="1" a="1"/>
  <c r="W2148" i="1" s="1"/>
  <c r="W2149" i="1" a="1"/>
  <c r="W2149" i="1" s="1"/>
  <c r="W2150" i="1" a="1"/>
  <c r="W2150" i="1"/>
  <c r="W2151" i="1" a="1"/>
  <c r="W2151" i="1" s="1"/>
  <c r="W2152" i="1" a="1"/>
  <c r="W2152" i="1"/>
  <c r="W2153" i="1" a="1"/>
  <c r="W2153" i="1" s="1"/>
  <c r="W2154" i="1" a="1"/>
  <c r="W2154" i="1"/>
  <c r="W2155" i="1" a="1"/>
  <c r="W2155" i="1" s="1"/>
  <c r="W2156" i="1" a="1"/>
  <c r="W2156" i="1"/>
  <c r="W2157" i="1" a="1"/>
  <c r="W2157" i="1" s="1"/>
  <c r="W2158" i="1" a="1"/>
  <c r="W2158" i="1"/>
  <c r="W2159" i="1" a="1"/>
  <c r="W2159" i="1" s="1"/>
  <c r="W2160" i="1" a="1"/>
  <c r="W2160" i="1"/>
  <c r="W2161" i="1" a="1"/>
  <c r="W2161" i="1" s="1"/>
  <c r="W2162" i="1" a="1"/>
  <c r="W2162" i="1" s="1"/>
  <c r="W2163" i="1" a="1"/>
  <c r="W2163" i="1"/>
  <c r="W2164" i="1" a="1"/>
  <c r="W2164" i="1" s="1"/>
  <c r="W2165" i="1" a="1"/>
  <c r="W2165" i="1" s="1"/>
  <c r="W2166" i="1" a="1"/>
  <c r="W2166" i="1" s="1"/>
  <c r="W2167" i="1" a="1"/>
  <c r="W2167" i="1" s="1"/>
  <c r="W2168" i="1" a="1"/>
  <c r="W2168" i="1" s="1"/>
  <c r="W2169" i="1" a="1"/>
  <c r="W2169" i="1"/>
  <c r="W2170" i="1" a="1"/>
  <c r="W2170" i="1" s="1"/>
  <c r="W2171" i="1" a="1"/>
  <c r="W2171" i="1" s="1"/>
  <c r="W2172" i="1" a="1"/>
  <c r="W2172" i="1"/>
  <c r="W2173" i="1" a="1"/>
  <c r="W2173" i="1"/>
  <c r="W2174" i="1" a="1"/>
  <c r="W2174" i="1" s="1"/>
  <c r="W2175" i="1" a="1"/>
  <c r="W2175" i="1" s="1"/>
  <c r="W2176" i="1" a="1"/>
  <c r="W2176" i="1"/>
  <c r="W2177" i="1" a="1"/>
  <c r="W2177" i="1" s="1"/>
  <c r="W2178" i="1" a="1"/>
  <c r="W2178" i="1"/>
  <c r="W2179" i="1" a="1"/>
  <c r="W2179" i="1" s="1"/>
  <c r="W2180" i="1" a="1"/>
  <c r="W2180" i="1" s="1"/>
  <c r="W2181" i="1" a="1"/>
  <c r="W2181" i="1" s="1"/>
  <c r="W2182" i="1" a="1"/>
  <c r="W2182" i="1"/>
  <c r="W2183" i="1" a="1"/>
  <c r="W2183" i="1" s="1"/>
  <c r="W2184" i="1" a="1"/>
  <c r="W2184" i="1" s="1"/>
  <c r="W2185" i="1" a="1"/>
  <c r="W2185" i="1" s="1"/>
  <c r="W2186" i="1" a="1"/>
  <c r="W2186" i="1"/>
  <c r="W2187" i="1" a="1"/>
  <c r="W2187" i="1" s="1"/>
  <c r="W2188" i="1" a="1"/>
  <c r="W2188" i="1" s="1"/>
  <c r="W2189" i="1" a="1"/>
  <c r="W2189" i="1" s="1"/>
  <c r="W2190" i="1" a="1"/>
  <c r="W2190" i="1" s="1"/>
  <c r="W2191" i="1" a="1"/>
  <c r="W2191" i="1"/>
  <c r="W2192" i="1" a="1"/>
  <c r="W2192" i="1" s="1"/>
  <c r="W2193" i="1" a="1"/>
  <c r="W2193" i="1" s="1"/>
  <c r="W2194" i="1" a="1"/>
  <c r="W2194" i="1" s="1"/>
  <c r="W2195" i="1" a="1"/>
  <c r="W2195" i="1" s="1"/>
  <c r="W2196" i="1" a="1"/>
  <c r="W2196" i="1"/>
  <c r="W2197" i="1" a="1"/>
  <c r="W2197" i="1" s="1"/>
  <c r="W2198" i="1" a="1"/>
  <c r="W2198" i="1" s="1"/>
  <c r="W2199" i="1" a="1"/>
  <c r="W2199" i="1"/>
  <c r="W2200" i="1" a="1"/>
  <c r="W2200" i="1"/>
  <c r="W2201" i="1" a="1"/>
  <c r="W2201" i="1" s="1"/>
  <c r="W2202" i="1" a="1"/>
  <c r="W2202" i="1"/>
  <c r="W2203" i="1" a="1"/>
  <c r="W2203" i="1"/>
  <c r="W2204" i="1" a="1"/>
  <c r="W2204" i="1"/>
  <c r="W2205" i="1" a="1"/>
  <c r="W2205" i="1"/>
  <c r="W2206" i="1" a="1"/>
  <c r="W2206" i="1" s="1"/>
  <c r="W2207" i="1" a="1"/>
  <c r="W2207" i="1" s="1"/>
  <c r="W2208" i="1" a="1"/>
  <c r="W2208" i="1" s="1"/>
  <c r="W2209" i="1" a="1"/>
  <c r="W2209" i="1"/>
  <c r="W2210" i="1" a="1"/>
  <c r="W2210" i="1" s="1"/>
  <c r="W2211" i="1" a="1"/>
  <c r="W2211" i="1" s="1"/>
  <c r="W2212" i="1" a="1"/>
  <c r="W2212" i="1" s="1"/>
  <c r="W2213" i="1" a="1"/>
  <c r="W2213" i="1" s="1"/>
  <c r="W2214" i="1" a="1"/>
  <c r="W2214" i="1" s="1"/>
  <c r="W2215" i="1" a="1"/>
  <c r="W2215" i="1"/>
  <c r="W2216" i="1" a="1"/>
  <c r="W2216" i="1" s="1"/>
  <c r="W2217" i="1" a="1"/>
  <c r="W2217" i="1"/>
  <c r="W2218" i="1" a="1"/>
  <c r="W2218" i="1" s="1"/>
  <c r="W2219" i="1" a="1"/>
  <c r="W2219" i="1" s="1"/>
  <c r="W2220" i="1" a="1"/>
  <c r="W2220" i="1"/>
  <c r="W2221" i="1" a="1"/>
  <c r="W2221" i="1"/>
  <c r="W2222" i="1" a="1"/>
  <c r="W2222" i="1" s="1"/>
  <c r="W2223" i="1" a="1"/>
  <c r="W2223" i="1" s="1"/>
  <c r="W2224" i="1" a="1"/>
  <c r="W2224" i="1"/>
  <c r="W2225" i="1" a="1"/>
  <c r="W2225" i="1" s="1"/>
  <c r="W2226" i="1" a="1"/>
  <c r="W2226" i="1"/>
  <c r="W2227" i="1" a="1"/>
  <c r="W2227" i="1" s="1"/>
  <c r="W2228" i="1" a="1"/>
  <c r="W2228" i="1"/>
  <c r="W2229" i="1" a="1"/>
  <c r="W2229" i="1"/>
  <c r="W2230" i="1" a="1"/>
  <c r="W2230" i="1"/>
  <c r="W2231" i="1" a="1"/>
  <c r="W2231" i="1"/>
  <c r="W2232" i="1" a="1"/>
  <c r="W2232" i="1" s="1"/>
  <c r="W2233" i="1" a="1"/>
  <c r="W2233" i="1" s="1"/>
  <c r="W2234" i="1" a="1"/>
  <c r="W2234" i="1"/>
  <c r="W2235" i="1" a="1"/>
  <c r="W2235" i="1" s="1"/>
  <c r="W2236" i="1" a="1"/>
  <c r="W2236" i="1"/>
  <c r="W2237" i="1" a="1"/>
  <c r="W2237" i="1"/>
  <c r="W2238" i="1" a="1"/>
  <c r="W2238" i="1"/>
  <c r="W2239" i="1" a="1"/>
  <c r="W2239" i="1" s="1"/>
  <c r="W2240" i="1" a="1"/>
  <c r="W2240" i="1" s="1"/>
  <c r="W2241" i="1" a="1"/>
  <c r="W2241" i="1"/>
  <c r="W2242" i="1" a="1"/>
  <c r="W2242" i="1"/>
  <c r="W2243" i="1" a="1"/>
  <c r="W2243" i="1" s="1"/>
  <c r="W2244" i="1" a="1"/>
  <c r="W2244" i="1"/>
  <c r="W2245" i="1" a="1"/>
  <c r="W2245" i="1" s="1"/>
  <c r="W2246" i="1" a="1"/>
  <c r="W2246" i="1"/>
  <c r="W2247" i="1" a="1"/>
  <c r="W2247" i="1"/>
  <c r="W2248" i="1" a="1"/>
  <c r="W2248" i="1"/>
  <c r="W2249" i="1" a="1"/>
  <c r="W2249" i="1" s="1"/>
  <c r="W2250" i="1" a="1"/>
  <c r="W2250" i="1"/>
  <c r="W2251" i="1" a="1"/>
  <c r="W2251" i="1" s="1"/>
  <c r="W2252" i="1" a="1"/>
  <c r="W2252" i="1" s="1"/>
  <c r="W2253" i="1" a="1"/>
  <c r="W2253" i="1" s="1"/>
  <c r="W2254" i="1" a="1"/>
  <c r="W2254" i="1"/>
  <c r="W2255" i="1" a="1"/>
  <c r="W2255" i="1"/>
  <c r="W2256" i="1" a="1"/>
  <c r="W2256" i="1" s="1"/>
  <c r="W2257" i="1" a="1"/>
  <c r="W2257" i="1" s="1"/>
  <c r="W2258" i="1" a="1"/>
  <c r="W2258" i="1"/>
  <c r="W2259" i="1" a="1"/>
  <c r="W2259" i="1"/>
  <c r="W2260" i="1" a="1"/>
  <c r="W2260" i="1"/>
  <c r="W2261" i="1" a="1"/>
  <c r="W2261" i="1" s="1"/>
  <c r="W2262" i="1" a="1"/>
  <c r="W2262" i="1" s="1"/>
  <c r="W2263" i="1" a="1"/>
  <c r="W2263" i="1" s="1"/>
  <c r="W2264" i="1" a="1"/>
  <c r="W2264" i="1"/>
  <c r="W2265" i="1" a="1"/>
  <c r="W2265" i="1" s="1"/>
  <c r="W2266" i="1" a="1"/>
  <c r="W2266" i="1" s="1"/>
  <c r="W2267" i="1" a="1"/>
  <c r="W2267" i="1"/>
  <c r="W2268" i="1" a="1"/>
  <c r="W2268" i="1"/>
  <c r="W2269" i="1" a="1"/>
  <c r="W2269" i="1" s="1"/>
  <c r="W2270" i="1" a="1"/>
  <c r="W2270" i="1"/>
  <c r="W2271" i="1" a="1"/>
  <c r="W2271" i="1"/>
  <c r="W2272" i="1" a="1"/>
  <c r="W2272" i="1"/>
  <c r="W2273" i="1" a="1"/>
  <c r="W2273" i="1"/>
  <c r="W2274" i="1" a="1"/>
  <c r="W2274" i="1" s="1"/>
  <c r="W2275" i="1" a="1"/>
  <c r="W2275" i="1" s="1"/>
  <c r="W2276" i="1" a="1"/>
  <c r="W2276" i="1" s="1"/>
  <c r="W2277" i="1" a="1"/>
  <c r="W2277" i="1"/>
  <c r="W2278" i="1" a="1"/>
  <c r="W2278" i="1" s="1"/>
  <c r="W2279" i="1" a="1"/>
  <c r="W2279" i="1" s="1"/>
  <c r="W2280" i="1" a="1"/>
  <c r="W2280" i="1"/>
  <c r="W2281" i="1" a="1"/>
  <c r="W2281" i="1" s="1"/>
  <c r="W2282" i="1" a="1"/>
  <c r="W2282" i="1" s="1"/>
  <c r="W2283" i="1" a="1"/>
  <c r="W2283" i="1"/>
  <c r="W2284" i="1" a="1"/>
  <c r="W2284" i="1"/>
  <c r="W2285" i="1" a="1"/>
  <c r="W2285" i="1"/>
  <c r="W2286" i="1" a="1"/>
  <c r="W2286" i="1"/>
  <c r="W2287" i="1" a="1"/>
  <c r="W2287" i="1" s="1"/>
  <c r="W2288" i="1" a="1"/>
  <c r="W2288" i="1"/>
  <c r="W2289" i="1" a="1"/>
  <c r="W2289" i="1" s="1"/>
  <c r="W2290" i="1" a="1"/>
  <c r="W2290" i="1"/>
  <c r="W2291" i="1" a="1"/>
  <c r="W2291" i="1" s="1"/>
  <c r="W2292" i="1" a="1"/>
  <c r="W2292" i="1" s="1"/>
  <c r="W2293" i="1" a="1"/>
  <c r="W2293" i="1" s="1"/>
  <c r="W2294" i="1" a="1"/>
  <c r="W2294" i="1" s="1"/>
  <c r="W2295" i="1" a="1"/>
  <c r="W2295" i="1" s="1"/>
  <c r="W2296" i="1" a="1"/>
  <c r="W2296" i="1"/>
  <c r="W2297" i="1" a="1"/>
  <c r="W2297" i="1"/>
  <c r="W2298" i="1" a="1"/>
  <c r="W2298" i="1"/>
  <c r="W2299" i="1" a="1"/>
  <c r="W2299" i="1" s="1"/>
  <c r="W2300" i="1" a="1"/>
  <c r="W2300" i="1"/>
  <c r="W2301" i="1" a="1"/>
  <c r="W2301" i="1"/>
  <c r="W2302" i="1" a="1"/>
  <c r="W2302" i="1" s="1"/>
  <c r="W2303" i="1" a="1"/>
  <c r="W2303" i="1"/>
  <c r="W2304" i="1" a="1"/>
  <c r="W2304" i="1" s="1"/>
  <c r="W2305" i="1" a="1"/>
  <c r="W2305" i="1" s="1"/>
  <c r="W2306" i="1" a="1"/>
  <c r="W2306" i="1"/>
  <c r="W2307" i="1" a="1"/>
  <c r="W2307" i="1" s="1"/>
  <c r="W2308" i="1" a="1"/>
  <c r="W2308" i="1" s="1"/>
  <c r="W2309" i="1" a="1"/>
  <c r="W2309" i="1"/>
  <c r="W2310" i="1" a="1"/>
  <c r="W2310" i="1"/>
  <c r="W2311" i="1" a="1"/>
  <c r="W2311" i="1" s="1"/>
  <c r="W2312" i="1" a="1"/>
  <c r="W2312" i="1" s="1"/>
  <c r="W2313" i="1" a="1"/>
  <c r="W2313" i="1"/>
  <c r="W2314" i="1" a="1"/>
  <c r="W2314" i="1"/>
  <c r="W2315" i="1" a="1"/>
  <c r="W2315" i="1" s="1"/>
  <c r="W2316" i="1" a="1"/>
  <c r="W2316" i="1"/>
  <c r="W2317" i="1" a="1"/>
  <c r="W2317" i="1" s="1"/>
  <c r="W2318" i="1" a="1"/>
  <c r="W2318" i="1"/>
  <c r="W2319" i="1" a="1"/>
  <c r="W2319" i="1"/>
  <c r="W2320" i="1" a="1"/>
  <c r="W2320" i="1" s="1"/>
  <c r="W2321" i="1" a="1"/>
  <c r="W2321" i="1" s="1"/>
  <c r="W2322" i="1" a="1"/>
  <c r="W2322" i="1"/>
  <c r="W2323" i="1" a="1"/>
  <c r="W2323" i="1" s="1"/>
  <c r="W2324" i="1" a="1"/>
  <c r="W2324" i="1" s="1"/>
  <c r="W2325" i="1" a="1"/>
  <c r="W2325" i="1" s="1"/>
  <c r="W2326" i="1" a="1"/>
  <c r="W2326" i="1"/>
  <c r="W2327" i="1" a="1"/>
  <c r="W2327" i="1"/>
  <c r="W2328" i="1" a="1"/>
  <c r="W2328" i="1" s="1"/>
  <c r="W2329" i="1" a="1"/>
  <c r="W2329" i="1" s="1"/>
  <c r="W2330" i="1" a="1"/>
  <c r="W2330" i="1" s="1"/>
  <c r="W2331" i="1" a="1"/>
  <c r="W2331" i="1"/>
  <c r="W2332" i="1" a="1"/>
  <c r="W2332" i="1"/>
  <c r="W2333" i="1" a="1"/>
  <c r="W2333" i="1" s="1"/>
  <c r="W2334" i="1" a="1"/>
  <c r="W2334" i="1" s="1"/>
  <c r="W2335" i="1" a="1"/>
  <c r="W2335" i="1" s="1"/>
  <c r="W2336" i="1" a="1"/>
  <c r="W2336" i="1"/>
  <c r="W2337" i="1" a="1"/>
  <c r="W2337" i="1" s="1"/>
  <c r="W2338" i="1" a="1"/>
  <c r="W2338" i="1" s="1"/>
  <c r="W2339" i="1" a="1"/>
  <c r="W2339" i="1" s="1"/>
  <c r="W2340" i="1" a="1"/>
  <c r="W2340" i="1"/>
  <c r="W2341" i="1" a="1"/>
  <c r="W2341" i="1" s="1"/>
  <c r="W2342" i="1" a="1"/>
  <c r="W2342" i="1"/>
  <c r="W2343" i="1" a="1"/>
  <c r="W2343" i="1" s="1"/>
  <c r="W2344" i="1" a="1"/>
  <c r="W2344" i="1"/>
  <c r="W2345" i="1" a="1"/>
  <c r="W2345" i="1"/>
  <c r="W2346" i="1" a="1"/>
  <c r="W2346" i="1" s="1"/>
  <c r="W2347" i="1" a="1"/>
  <c r="W2347" i="1" s="1"/>
  <c r="W2348" i="1" a="1"/>
  <c r="W2348" i="1" s="1"/>
  <c r="W2349" i="1" a="1"/>
  <c r="W2349" i="1"/>
  <c r="W2350" i="1" a="1"/>
  <c r="W2350" i="1" s="1"/>
  <c r="W2351" i="1" a="1"/>
  <c r="W2351" i="1" s="1"/>
  <c r="W2352" i="1" a="1"/>
  <c r="W2352" i="1" s="1"/>
  <c r="W2353" i="1" a="1"/>
  <c r="W2353" i="1" s="1"/>
  <c r="W2354" i="1" a="1"/>
  <c r="W2354" i="1" s="1"/>
  <c r="W2355" i="1" a="1"/>
  <c r="W2355" i="1"/>
  <c r="W2356" i="1" a="1"/>
  <c r="W2356" i="1" s="1"/>
  <c r="W2357" i="1" a="1"/>
  <c r="W2357" i="1"/>
  <c r="W2358" i="1" a="1"/>
  <c r="W2358" i="1"/>
  <c r="W2359" i="1" a="1"/>
  <c r="W2359" i="1" s="1"/>
  <c r="W2360" i="1" a="1"/>
  <c r="W2360" i="1"/>
  <c r="W2361" i="1" a="1"/>
  <c r="W2361" i="1" s="1"/>
  <c r="W2362" i="1" a="1"/>
  <c r="W2362" i="1"/>
  <c r="W2363" i="1" a="1"/>
  <c r="W2363" i="1" s="1"/>
  <c r="W2364" i="1" a="1"/>
  <c r="W2364" i="1" s="1"/>
  <c r="W2365" i="1" a="1"/>
  <c r="W2365" i="1" s="1"/>
  <c r="W2366" i="1" a="1"/>
  <c r="W2366" i="1" s="1"/>
  <c r="W2367" i="1" a="1"/>
  <c r="W2367" i="1" s="1"/>
  <c r="W2368" i="1" a="1"/>
  <c r="W2368" i="1"/>
  <c r="W2369" i="1" a="1"/>
  <c r="W2369" i="1" s="1"/>
  <c r="W2370" i="1" a="1"/>
  <c r="W2370" i="1"/>
  <c r="W2371" i="1" a="1"/>
  <c r="W2371" i="1" s="1"/>
  <c r="W2372" i="1" a="1"/>
  <c r="W2372" i="1" s="1"/>
  <c r="W2373" i="1" a="1"/>
  <c r="W2373" i="1"/>
  <c r="W2374" i="1" a="1"/>
  <c r="W2374" i="1" s="1"/>
  <c r="W2375" i="1" a="1"/>
  <c r="W2375" i="1"/>
  <c r="W2376" i="1" a="1"/>
  <c r="W2376" i="1" s="1"/>
  <c r="W2377" i="1" a="1"/>
  <c r="W2377" i="1" s="1"/>
  <c r="W2378" i="1" a="1"/>
  <c r="W2378" i="1"/>
  <c r="W2379" i="1" a="1"/>
  <c r="W2379" i="1" s="1"/>
  <c r="W2380" i="1" a="1"/>
  <c r="W2380" i="1" s="1"/>
  <c r="W2381" i="1" a="1"/>
  <c r="W2381" i="1"/>
  <c r="W2382" i="1" a="1"/>
  <c r="W2382" i="1" s="1"/>
  <c r="W2383" i="1" a="1"/>
  <c r="W2383" i="1" s="1"/>
  <c r="W2384" i="1" a="1"/>
  <c r="W2384" i="1" s="1"/>
  <c r="W2385" i="1" a="1"/>
  <c r="W2385" i="1" s="1"/>
  <c r="W2386" i="1" a="1"/>
  <c r="W2386" i="1"/>
  <c r="W2387" i="1" a="1"/>
  <c r="W2387" i="1" s="1"/>
  <c r="W2388" i="1" a="1"/>
  <c r="W2388" i="1"/>
  <c r="W2389" i="1" a="1"/>
  <c r="W2389" i="1" s="1"/>
  <c r="W2390" i="1" a="1"/>
  <c r="W2390" i="1"/>
  <c r="W2391" i="1" a="1"/>
  <c r="W2391" i="1"/>
  <c r="W2392" i="1" a="1"/>
  <c r="W2392" i="1" s="1"/>
  <c r="W2393" i="1" a="1"/>
  <c r="W2393" i="1" s="1"/>
  <c r="W2394" i="1" a="1"/>
  <c r="W2394" i="1"/>
  <c r="W2395" i="1" a="1"/>
  <c r="W2395" i="1" s="1"/>
  <c r="W2396" i="1" a="1"/>
  <c r="W2396" i="1" s="1"/>
  <c r="W2397" i="1" a="1"/>
  <c r="W2397" i="1" s="1"/>
  <c r="W2398" i="1" a="1"/>
  <c r="W2398" i="1" s="1"/>
  <c r="W2399" i="1" a="1"/>
  <c r="W2399" i="1"/>
  <c r="W2400" i="1" a="1"/>
  <c r="W2400" i="1" s="1"/>
  <c r="W2401" i="1" a="1"/>
  <c r="W2401" i="1" s="1"/>
  <c r="W2402" i="1" a="1"/>
  <c r="W2402" i="1" s="1"/>
  <c r="W2403" i="1" a="1"/>
  <c r="W2403" i="1"/>
  <c r="W2404" i="1" a="1"/>
  <c r="W2404" i="1"/>
  <c r="W2405" i="1" a="1"/>
  <c r="W2405" i="1" s="1"/>
  <c r="W2406" i="1" a="1"/>
  <c r="W2406" i="1" s="1"/>
  <c r="W2407" i="1" a="1"/>
  <c r="W2407" i="1" s="1"/>
  <c r="W2408" i="1" a="1"/>
  <c r="W2408" i="1"/>
  <c r="W2409" i="1" a="1"/>
  <c r="W2409" i="1" s="1"/>
  <c r="W2410" i="1" a="1"/>
  <c r="W2410" i="1" s="1"/>
  <c r="W2411" i="1" a="1"/>
  <c r="W2411" i="1" s="1"/>
  <c r="W2412" i="1" a="1"/>
  <c r="W2412" i="1"/>
  <c r="W2413" i="1" a="1"/>
  <c r="W2413" i="1" s="1"/>
  <c r="W2414" i="1" a="1"/>
  <c r="W2414" i="1"/>
  <c r="W2415" i="1" a="1"/>
  <c r="W2415" i="1" s="1"/>
  <c r="W2416" i="1" a="1"/>
  <c r="W2416" i="1"/>
  <c r="W2417" i="1" a="1"/>
  <c r="W2417" i="1"/>
  <c r="W2418" i="1" a="1"/>
  <c r="W2418" i="1" s="1"/>
  <c r="W2419" i="1" a="1"/>
  <c r="W2419" i="1" s="1"/>
  <c r="W2420" i="1" a="1"/>
  <c r="W2420" i="1" s="1"/>
  <c r="W2421" i="1" a="1"/>
  <c r="W2421" i="1"/>
  <c r="W2422" i="1" a="1"/>
  <c r="W2422" i="1" s="1"/>
  <c r="W2423" i="1" a="1"/>
  <c r="W2423" i="1" s="1"/>
  <c r="W2424" i="1" a="1"/>
  <c r="W2424" i="1" s="1"/>
  <c r="W2425" i="1" a="1"/>
  <c r="W2425" i="1" s="1"/>
  <c r="W2426" i="1" a="1"/>
  <c r="W2426" i="1" s="1"/>
  <c r="W2427" i="1" a="1"/>
  <c r="W2427" i="1"/>
  <c r="W2428" i="1" a="1"/>
  <c r="W2428" i="1" s="1"/>
  <c r="W2429" i="1" a="1"/>
  <c r="W2429" i="1"/>
  <c r="W2430" i="1" a="1"/>
  <c r="W2430" i="1"/>
  <c r="W2431" i="1" a="1"/>
  <c r="W2431" i="1" s="1"/>
  <c r="W2432" i="1" a="1"/>
  <c r="W2432" i="1"/>
  <c r="W2433" i="1" a="1"/>
  <c r="W2433" i="1" s="1"/>
  <c r="W2434" i="1" a="1"/>
  <c r="W2434" i="1"/>
  <c r="W2435" i="1" a="1"/>
  <c r="W2435" i="1" s="1"/>
  <c r="W2436" i="1" a="1"/>
  <c r="W2436" i="1" s="1"/>
  <c r="W2437" i="1" a="1"/>
  <c r="W2437" i="1" s="1"/>
  <c r="W2438" i="1" a="1"/>
  <c r="W2438" i="1" s="1"/>
  <c r="W2439" i="1" a="1"/>
  <c r="W2439" i="1" s="1"/>
  <c r="W2440" i="1" a="1"/>
  <c r="W2440" i="1"/>
  <c r="W2441" i="1" a="1"/>
  <c r="W2441" i="1" s="1"/>
  <c r="W2442" i="1" a="1"/>
  <c r="W2442" i="1"/>
  <c r="W2443" i="1" a="1"/>
  <c r="W2443" i="1" s="1"/>
  <c r="W2444" i="1" a="1"/>
  <c r="W2444" i="1" s="1"/>
  <c r="W2445" i="1" a="1"/>
  <c r="W2445" i="1"/>
  <c r="W2446" i="1" a="1"/>
  <c r="W2446" i="1" s="1"/>
  <c r="W2447" i="1" a="1"/>
  <c r="W2447" i="1"/>
  <c r="W2448" i="1" a="1"/>
  <c r="W2448" i="1" s="1"/>
  <c r="W2449" i="1" a="1"/>
  <c r="W2449" i="1" s="1"/>
  <c r="W2450" i="1" a="1"/>
  <c r="W2450" i="1"/>
  <c r="W2451" i="1" a="1"/>
  <c r="W2451" i="1" s="1"/>
  <c r="W2452" i="1" a="1"/>
  <c r="W2452" i="1" s="1"/>
  <c r="W2453" i="1" a="1"/>
  <c r="W2453" i="1"/>
  <c r="W2454" i="1" a="1"/>
  <c r="W2454" i="1" s="1"/>
  <c r="W2455" i="1" a="1"/>
  <c r="W2455" i="1" s="1"/>
  <c r="W2456" i="1" a="1"/>
  <c r="W2456" i="1" s="1"/>
  <c r="W2457" i="1" a="1"/>
  <c r="W2457" i="1" s="1"/>
  <c r="W2458" i="1" a="1"/>
  <c r="W2458" i="1"/>
  <c r="W2459" i="1" a="1"/>
  <c r="W2459" i="1" s="1"/>
  <c r="W2460" i="1" a="1"/>
  <c r="W2460" i="1"/>
  <c r="W2461" i="1" a="1"/>
  <c r="W2461" i="1" s="1"/>
  <c r="W2462" i="1" a="1"/>
  <c r="W2462" i="1"/>
  <c r="W2463" i="1" a="1"/>
  <c r="W2463" i="1"/>
  <c r="W2464" i="1" a="1"/>
  <c r="W2464" i="1" s="1"/>
  <c r="W2465" i="1" a="1"/>
  <c r="W2465" i="1" s="1"/>
  <c r="W2466" i="1" a="1"/>
  <c r="W2466" i="1"/>
  <c r="W2467" i="1" a="1"/>
  <c r="W2467" i="1" s="1"/>
  <c r="W2468" i="1" a="1"/>
  <c r="W2468" i="1" s="1"/>
  <c r="W2469" i="1" a="1"/>
  <c r="W2469" i="1" s="1"/>
  <c r="W2470" i="1" a="1"/>
  <c r="W2470" i="1" s="1"/>
  <c r="W2471" i="1" a="1"/>
  <c r="W2471" i="1"/>
  <c r="W2472" i="1" a="1"/>
  <c r="W2472" i="1" s="1"/>
  <c r="W2473" i="1" a="1"/>
  <c r="W2473" i="1" s="1"/>
  <c r="W2474" i="1" a="1"/>
  <c r="W2474" i="1" s="1"/>
  <c r="W2475" i="1" a="1"/>
  <c r="W2475" i="1"/>
  <c r="W2476" i="1" a="1"/>
  <c r="W2476" i="1"/>
  <c r="W2477" i="1" a="1"/>
  <c r="W2477" i="1" s="1"/>
  <c r="W2478" i="1" a="1"/>
  <c r="W2478" i="1" s="1"/>
  <c r="W2479" i="1" a="1"/>
  <c r="W2479" i="1" s="1"/>
  <c r="W2480" i="1" a="1"/>
  <c r="W2480" i="1"/>
  <c r="W2481" i="1" a="1"/>
  <c r="W2481" i="1" s="1"/>
  <c r="W2482" i="1" a="1"/>
  <c r="W2482" i="1" s="1"/>
  <c r="W2483" i="1" a="1"/>
  <c r="W2483" i="1" s="1"/>
  <c r="W2484" i="1" a="1"/>
  <c r="W2484" i="1"/>
  <c r="W2485" i="1" a="1"/>
  <c r="W2485" i="1" s="1"/>
  <c r="W2486" i="1" a="1"/>
  <c r="W2486" i="1"/>
  <c r="W2487" i="1" a="1"/>
  <c r="W2487" i="1" s="1"/>
  <c r="W2488" i="1" a="1"/>
  <c r="W2488" i="1"/>
  <c r="W2489" i="1" a="1"/>
  <c r="W2489" i="1"/>
  <c r="W2490" i="1" a="1"/>
  <c r="W2490" i="1" s="1"/>
  <c r="W2491" i="1" a="1"/>
  <c r="W2491" i="1" s="1"/>
  <c r="W2492" i="1" a="1"/>
  <c r="W2492" i="1" s="1"/>
  <c r="W2493" i="1" a="1"/>
  <c r="W2493" i="1"/>
  <c r="W2494" i="1" a="1"/>
  <c r="W2494" i="1" s="1"/>
  <c r="W2495" i="1" a="1"/>
  <c r="W2495" i="1" s="1"/>
  <c r="W2496" i="1" a="1"/>
  <c r="W2496" i="1" s="1"/>
  <c r="W2497" i="1" a="1"/>
  <c r="W2497" i="1" s="1"/>
  <c r="W2498" i="1" a="1"/>
  <c r="W2498" i="1" s="1"/>
  <c r="W2499" i="1" a="1"/>
  <c r="W2499" i="1"/>
  <c r="W2500" i="1" a="1"/>
  <c r="W2500" i="1"/>
  <c r="W2501" i="1" a="1"/>
  <c r="W2501" i="1"/>
  <c r="W2502" i="1" a="1"/>
  <c r="W2502" i="1"/>
  <c r="W2503" i="1" a="1"/>
  <c r="W2503" i="1" s="1"/>
  <c r="W2504" i="1" a="1"/>
  <c r="W2504" i="1"/>
  <c r="W2505" i="1" a="1"/>
  <c r="W2505" i="1" s="1"/>
  <c r="W2506" i="1" a="1"/>
  <c r="W2506" i="1"/>
  <c r="W2507" i="1" a="1"/>
  <c r="W2507" i="1" s="1"/>
  <c r="W2508" i="1" a="1"/>
  <c r="W2508" i="1" s="1"/>
  <c r="W2509" i="1" a="1"/>
  <c r="W2509" i="1" s="1"/>
  <c r="W2510" i="1" a="1"/>
  <c r="W2510" i="1" s="1"/>
  <c r="W2511" i="1" a="1"/>
  <c r="W2511" i="1" s="1"/>
  <c r="W2512" i="1" a="1"/>
  <c r="W2512" i="1"/>
  <c r="W2513" i="1" a="1"/>
  <c r="W2513" i="1" s="1"/>
  <c r="W2514" i="1" a="1"/>
  <c r="W2514" i="1"/>
  <c r="W2515" i="1" a="1"/>
  <c r="W2515" i="1" s="1"/>
  <c r="W2516" i="1" a="1"/>
  <c r="W2516" i="1"/>
  <c r="W2517" i="1" a="1"/>
  <c r="W2517" i="1"/>
  <c r="W2518" i="1" a="1"/>
  <c r="W2518" i="1" s="1"/>
  <c r="W2519" i="1" a="1"/>
  <c r="W2519" i="1"/>
  <c r="W2520" i="1" a="1"/>
  <c r="W2520" i="1" s="1"/>
  <c r="W2521" i="1" a="1"/>
  <c r="W2521" i="1" s="1"/>
  <c r="W2522" i="1" a="1"/>
  <c r="W2522" i="1"/>
  <c r="W2523" i="1" a="1"/>
  <c r="W2523" i="1"/>
  <c r="W2524" i="1" a="1"/>
  <c r="W2524" i="1" s="1"/>
  <c r="W2525" i="1" a="1"/>
  <c r="W2525" i="1"/>
  <c r="W2526" i="1" a="1"/>
  <c r="W2526" i="1" s="1"/>
  <c r="W2527" i="1" a="1"/>
  <c r="W2527" i="1" s="1"/>
  <c r="W2528" i="1" a="1"/>
  <c r="W2528" i="1" s="1"/>
  <c r="W2529" i="1" a="1"/>
  <c r="W2529" i="1"/>
  <c r="W2530" i="1" a="1"/>
  <c r="W2530" i="1" s="1"/>
  <c r="W2531" i="1" a="1"/>
  <c r="W2531" i="1"/>
  <c r="W2532" i="1" a="1"/>
  <c r="W2532" i="1" s="1"/>
  <c r="W2533" i="1" a="1"/>
  <c r="W2533" i="1" s="1"/>
  <c r="W2534" i="1" a="1"/>
  <c r="W2534" i="1" s="1"/>
  <c r="W2535" i="1" a="1"/>
  <c r="W2535" i="1"/>
  <c r="W2536" i="1" a="1"/>
  <c r="W2536" i="1" s="1"/>
  <c r="W2537" i="1" a="1"/>
  <c r="W2537" i="1"/>
  <c r="W2538" i="1" a="1"/>
  <c r="W2538" i="1" s="1"/>
  <c r="W2539" i="1" a="1"/>
  <c r="W2539" i="1" s="1"/>
  <c r="W2540" i="1" a="1"/>
  <c r="W2540" i="1" s="1"/>
  <c r="W2541" i="1" a="1"/>
  <c r="W2541" i="1"/>
  <c r="W2542" i="1" a="1"/>
  <c r="W2542" i="1" s="1"/>
  <c r="W2543" i="1" a="1"/>
  <c r="W2543" i="1"/>
  <c r="W2544" i="1" a="1"/>
  <c r="W2544" i="1" s="1"/>
  <c r="W2545" i="1" a="1"/>
  <c r="W2545" i="1" s="1"/>
  <c r="W2546" i="1" a="1"/>
  <c r="W2546" i="1" s="1"/>
  <c r="W2547" i="1" a="1"/>
  <c r="W2547" i="1" s="1"/>
  <c r="W2548" i="1" a="1"/>
  <c r="W2548" i="1" s="1"/>
  <c r="W2549" i="1" a="1"/>
  <c r="W2549" i="1"/>
  <c r="W2550" i="1" a="1"/>
  <c r="W2550" i="1" s="1"/>
  <c r="W2551" i="1" a="1"/>
  <c r="W2551" i="1" s="1"/>
  <c r="W2552" i="1" a="1"/>
  <c r="W2552" i="1" s="1"/>
  <c r="W2553" i="1" a="1"/>
  <c r="W2553" i="1" s="1"/>
  <c r="W2554" i="1" a="1"/>
  <c r="W2554" i="1" s="1"/>
  <c r="W2555" i="1" a="1"/>
  <c r="W2555" i="1"/>
  <c r="W2556" i="1" a="1"/>
  <c r="W2556" i="1" s="1"/>
  <c r="W2557" i="1" a="1"/>
  <c r="W2557" i="1" s="1"/>
  <c r="W2558" i="1" a="1"/>
  <c r="W2558" i="1" s="1"/>
  <c r="W2559" i="1" a="1"/>
  <c r="W2559" i="1" s="1"/>
  <c r="W2560" i="1" a="1"/>
  <c r="W2560" i="1" s="1"/>
  <c r="W2561" i="1" a="1"/>
  <c r="W2561" i="1"/>
  <c r="W2562" i="1" a="1"/>
  <c r="W2562" i="1" s="1"/>
  <c r="W2563" i="1" a="1"/>
  <c r="W2563" i="1" s="1"/>
  <c r="W2564" i="1" a="1"/>
  <c r="W2564" i="1" s="1"/>
  <c r="W2565" i="1" a="1"/>
  <c r="W2565" i="1" s="1"/>
  <c r="W2566" i="1" a="1"/>
  <c r="W2566" i="1" s="1"/>
  <c r="W2567" i="1" a="1"/>
  <c r="W2567" i="1"/>
  <c r="W2568" i="1" a="1"/>
  <c r="W2568" i="1" s="1"/>
  <c r="W2569" i="1" a="1"/>
  <c r="W2569" i="1" s="1"/>
  <c r="W2570" i="1" a="1"/>
  <c r="W2570" i="1" s="1"/>
  <c r="W2571" i="1" a="1"/>
  <c r="W2571" i="1" s="1"/>
  <c r="W2572" i="1" a="1"/>
  <c r="W2572" i="1" s="1"/>
  <c r="W2573" i="1" a="1"/>
  <c r="W2573" i="1"/>
  <c r="W2574" i="1" a="1"/>
  <c r="W2574" i="1" s="1"/>
  <c r="W2575" i="1" a="1"/>
  <c r="W2575" i="1" s="1"/>
  <c r="W2576" i="1" a="1"/>
  <c r="W2576" i="1" s="1"/>
  <c r="W2577" i="1" a="1"/>
  <c r="W2577" i="1" s="1"/>
  <c r="W2578" i="1" a="1"/>
  <c r="W2578" i="1" s="1"/>
  <c r="W2579" i="1" a="1"/>
  <c r="W2579" i="1"/>
  <c r="W2580" i="1" a="1"/>
  <c r="W2580" i="1" s="1"/>
  <c r="W2581" i="1" a="1"/>
  <c r="W2581" i="1" s="1"/>
  <c r="W2582" i="1" a="1"/>
  <c r="W2582" i="1" s="1"/>
  <c r="W2583" i="1" a="1"/>
  <c r="W2583" i="1" s="1"/>
  <c r="W2584" i="1" a="1"/>
  <c r="W2584" i="1" s="1"/>
  <c r="W2585" i="1" a="1"/>
  <c r="W2585" i="1"/>
  <c r="W2586" i="1" a="1"/>
  <c r="W2586" i="1" s="1"/>
  <c r="W2587" i="1" a="1"/>
  <c r="W2587" i="1" s="1"/>
  <c r="W2588" i="1" a="1"/>
  <c r="W2588" i="1" s="1"/>
  <c r="W2589" i="1" a="1"/>
  <c r="W2589" i="1" s="1"/>
  <c r="W2590" i="1" a="1"/>
  <c r="W2590" i="1" s="1"/>
  <c r="W2591" i="1" a="1"/>
  <c r="W2591" i="1"/>
  <c r="W2592" i="1" a="1"/>
  <c r="W2592" i="1" s="1"/>
  <c r="W2593" i="1" a="1"/>
  <c r="W2593" i="1" s="1"/>
  <c r="W2594" i="1" a="1"/>
  <c r="W2594" i="1" s="1"/>
  <c r="W2595" i="1" a="1"/>
  <c r="W2595" i="1" s="1"/>
  <c r="W2596" i="1" a="1"/>
  <c r="W2596" i="1" s="1"/>
  <c r="W2597" i="1" a="1"/>
  <c r="W2597" i="1"/>
  <c r="W2598" i="1" a="1"/>
  <c r="W2598" i="1" s="1"/>
  <c r="W2599" i="1" a="1"/>
  <c r="W2599" i="1" s="1"/>
  <c r="W2600" i="1" a="1"/>
  <c r="W2600" i="1" s="1"/>
  <c r="W2601" i="1" a="1"/>
  <c r="W2601" i="1" s="1"/>
  <c r="W2602" i="1" a="1"/>
  <c r="W2602" i="1" s="1"/>
  <c r="W2603" i="1" a="1"/>
  <c r="W2603" i="1"/>
  <c r="W2604" i="1" a="1"/>
  <c r="W2604" i="1" s="1"/>
  <c r="W2605" i="1" a="1"/>
  <c r="W2605" i="1" s="1"/>
  <c r="W2606" i="1" a="1"/>
  <c r="W2606" i="1" s="1"/>
  <c r="W2607" i="1" a="1"/>
  <c r="W2607" i="1" s="1"/>
  <c r="W2608" i="1" a="1"/>
  <c r="W2608" i="1" s="1"/>
  <c r="W2609" i="1" a="1"/>
  <c r="W2609" i="1"/>
  <c r="W2610" i="1" a="1"/>
  <c r="W2610" i="1" s="1"/>
  <c r="W2611" i="1" a="1"/>
  <c r="W2611" i="1" s="1"/>
  <c r="W2612" i="1" a="1"/>
  <c r="W2612" i="1" s="1"/>
  <c r="W2613" i="1" a="1"/>
  <c r="W2613" i="1" s="1"/>
  <c r="W2614" i="1" a="1"/>
  <c r="W2614" i="1" s="1"/>
  <c r="W2615" i="1" a="1"/>
  <c r="W2615" i="1"/>
  <c r="W2616" i="1" a="1"/>
  <c r="W2616" i="1" s="1"/>
  <c r="W2617" i="1" a="1"/>
  <c r="W2617" i="1" s="1"/>
  <c r="W2618" i="1" a="1"/>
  <c r="W2618" i="1" s="1"/>
  <c r="W2619" i="1" a="1"/>
  <c r="W2619" i="1" s="1"/>
  <c r="W2620" i="1" a="1"/>
  <c r="W2620" i="1" s="1"/>
  <c r="W2621" i="1" a="1"/>
  <c r="W2621" i="1"/>
  <c r="W2622" i="1" a="1"/>
  <c r="W2622" i="1" s="1"/>
  <c r="W2623" i="1" a="1"/>
  <c r="W2623" i="1" s="1"/>
  <c r="W2624" i="1" a="1"/>
  <c r="W2624" i="1" s="1"/>
  <c r="W2625" i="1" a="1"/>
  <c r="W2625" i="1" s="1"/>
  <c r="W2626" i="1" a="1"/>
  <c r="W2626" i="1" s="1"/>
  <c r="W2627" i="1" a="1"/>
  <c r="W2627" i="1"/>
  <c r="W2628" i="1" a="1"/>
  <c r="W2628" i="1" s="1"/>
  <c r="W2629" i="1" a="1"/>
  <c r="W2629" i="1" s="1"/>
  <c r="W2630" i="1" a="1"/>
  <c r="W2630" i="1" s="1"/>
  <c r="W2631" i="1" a="1"/>
  <c r="W2631" i="1" s="1"/>
  <c r="W2632" i="1" a="1"/>
  <c r="W2632" i="1" s="1"/>
  <c r="W2633" i="1" a="1"/>
  <c r="W2633" i="1"/>
  <c r="W2634" i="1" a="1"/>
  <c r="W2634" i="1" s="1"/>
  <c r="W2635" i="1" a="1"/>
  <c r="W2635" i="1" s="1"/>
  <c r="W2636" i="1" a="1"/>
  <c r="W2636" i="1" s="1"/>
  <c r="W2637" i="1" a="1"/>
  <c r="W2637" i="1" s="1"/>
  <c r="W2638" i="1" a="1"/>
  <c r="W2638" i="1" s="1"/>
  <c r="W2639" i="1" a="1"/>
  <c r="W2639" i="1"/>
  <c r="W2640" i="1" a="1"/>
  <c r="W2640" i="1" s="1"/>
  <c r="W2641" i="1" a="1"/>
  <c r="W2641" i="1" s="1"/>
  <c r="W2642" i="1" a="1"/>
  <c r="W2642" i="1" s="1"/>
  <c r="W2643" i="1" a="1"/>
  <c r="W2643" i="1" s="1"/>
  <c r="W2644" i="1" a="1"/>
  <c r="W2644" i="1" s="1"/>
  <c r="W2645" i="1" a="1"/>
  <c r="W2645" i="1"/>
  <c r="W2646" i="1" a="1"/>
  <c r="W2646" i="1" s="1"/>
  <c r="W2647" i="1" a="1"/>
  <c r="W2647" i="1" s="1"/>
  <c r="W2648" i="1" a="1"/>
  <c r="W2648" i="1" s="1"/>
  <c r="W2649" i="1" a="1"/>
  <c r="W2649" i="1" s="1"/>
  <c r="W2650" i="1" a="1"/>
  <c r="W2650" i="1" s="1"/>
  <c r="W2651" i="1" a="1"/>
  <c r="W2651" i="1"/>
  <c r="W2652" i="1" a="1"/>
  <c r="W2652" i="1" s="1"/>
  <c r="W2653" i="1" a="1"/>
  <c r="W2653" i="1" s="1"/>
  <c r="W2654" i="1" a="1"/>
  <c r="W2654" i="1" s="1"/>
  <c r="W2655" i="1" a="1"/>
  <c r="W2655" i="1" s="1"/>
  <c r="W2656" i="1" a="1"/>
  <c r="W2656" i="1" s="1"/>
  <c r="W2657" i="1" a="1"/>
  <c r="W2657" i="1"/>
  <c r="W2658" i="1" a="1"/>
  <c r="W2658" i="1" s="1"/>
  <c r="W2659" i="1" a="1"/>
  <c r="W2659" i="1" s="1"/>
  <c r="W2660" i="1" a="1"/>
  <c r="W2660" i="1" s="1"/>
  <c r="W2661" i="1" a="1"/>
  <c r="W2661" i="1" s="1"/>
  <c r="W2662" i="1" a="1"/>
  <c r="W2662" i="1" s="1"/>
  <c r="W2663" i="1" a="1"/>
  <c r="W2663" i="1"/>
  <c r="W2664" i="1" a="1"/>
  <c r="W2664" i="1" s="1"/>
  <c r="W2665" i="1" a="1"/>
  <c r="W2665" i="1" s="1"/>
  <c r="W2666" i="1" a="1"/>
  <c r="W2666" i="1" s="1"/>
  <c r="W2667" i="1" a="1"/>
  <c r="W2667" i="1" s="1"/>
  <c r="W2668" i="1" a="1"/>
  <c r="W2668" i="1" s="1"/>
  <c r="W2669" i="1" a="1"/>
  <c r="W2669" i="1"/>
  <c r="W2670" i="1" a="1"/>
  <c r="W2670" i="1" s="1"/>
  <c r="W2671" i="1" a="1"/>
  <c r="W2671" i="1" s="1"/>
  <c r="W2672" i="1" a="1"/>
  <c r="W2672" i="1" s="1"/>
  <c r="W2673" i="1" a="1"/>
  <c r="W2673" i="1" s="1"/>
  <c r="W2674" i="1" a="1"/>
  <c r="W2674" i="1" s="1"/>
  <c r="W2675" i="1" a="1"/>
  <c r="W2675" i="1"/>
  <c r="W2676" i="1" a="1"/>
  <c r="W2676" i="1" s="1"/>
  <c r="W2677" i="1" a="1"/>
  <c r="W2677" i="1" s="1"/>
  <c r="W2678" i="1" a="1"/>
  <c r="W2678" i="1" s="1"/>
  <c r="W2679" i="1" a="1"/>
  <c r="W2679" i="1" s="1"/>
  <c r="W2680" i="1" a="1"/>
  <c r="W2680" i="1" s="1"/>
  <c r="W2681" i="1" a="1"/>
  <c r="W2681" i="1"/>
  <c r="W2682" i="1" a="1"/>
  <c r="W2682" i="1" s="1"/>
  <c r="W2683" i="1" a="1"/>
  <c r="W2683" i="1" s="1"/>
  <c r="W2684" i="1" a="1"/>
  <c r="W2684" i="1" s="1"/>
  <c r="W2685" i="1" a="1"/>
  <c r="W2685" i="1" s="1"/>
  <c r="W2686" i="1" a="1"/>
  <c r="W2686" i="1" s="1"/>
  <c r="W2687" i="1" a="1"/>
  <c r="W2687" i="1"/>
  <c r="W2688" i="1" a="1"/>
  <c r="W2688" i="1" s="1"/>
  <c r="W2689" i="1" a="1"/>
  <c r="W2689" i="1" s="1"/>
  <c r="W2690" i="1" a="1"/>
  <c r="W2690" i="1" s="1"/>
  <c r="W2691" i="1" a="1"/>
  <c r="W2691" i="1" s="1"/>
  <c r="W2692" i="1" a="1"/>
  <c r="W2692" i="1" s="1"/>
  <c r="W2693" i="1" a="1"/>
  <c r="W2693" i="1"/>
  <c r="W2694" i="1" a="1"/>
  <c r="W2694" i="1" s="1"/>
  <c r="W2695" i="1" a="1"/>
  <c r="W2695" i="1" s="1"/>
  <c r="W2696" i="1" a="1"/>
  <c r="W2696" i="1" s="1"/>
  <c r="W2697" i="1" a="1"/>
  <c r="W2697" i="1" s="1"/>
  <c r="W2698" i="1" a="1"/>
  <c r="W2698" i="1" s="1"/>
  <c r="W2699" i="1" a="1"/>
  <c r="W2699" i="1"/>
  <c r="W2700" i="1" a="1"/>
  <c r="W2700" i="1" s="1"/>
  <c r="W2701" i="1" a="1"/>
  <c r="W2701" i="1" s="1"/>
  <c r="W2702" i="1" a="1"/>
  <c r="W2702" i="1" s="1"/>
  <c r="W2703" i="1" a="1"/>
  <c r="W2703" i="1" s="1"/>
  <c r="W2704" i="1" a="1"/>
  <c r="W2704" i="1" s="1"/>
  <c r="W2705" i="1" a="1"/>
  <c r="W2705" i="1"/>
  <c r="W2706" i="1" a="1"/>
  <c r="W2706" i="1" s="1"/>
  <c r="W2707" i="1" a="1"/>
  <c r="W2707" i="1" s="1"/>
  <c r="W2708" i="1" a="1"/>
  <c r="W2708" i="1" s="1"/>
  <c r="W2709" i="1" a="1"/>
  <c r="W2709" i="1" s="1"/>
  <c r="W2710" i="1" a="1"/>
  <c r="W2710" i="1" s="1"/>
  <c r="W2711" i="1" a="1"/>
  <c r="W2711" i="1"/>
  <c r="W2712" i="1" a="1"/>
  <c r="W2712" i="1" s="1"/>
  <c r="W2713" i="1" a="1"/>
  <c r="W2713" i="1" s="1"/>
  <c r="W2714" i="1" a="1"/>
  <c r="W2714" i="1" s="1"/>
  <c r="W2715" i="1" a="1"/>
  <c r="W2715" i="1" s="1"/>
  <c r="W2716" i="1" a="1"/>
  <c r="W2716" i="1" s="1"/>
  <c r="W2717" i="1" a="1"/>
  <c r="W2717" i="1"/>
  <c r="W2718" i="1" a="1"/>
  <c r="W2718" i="1" s="1"/>
  <c r="W2719" i="1" a="1"/>
  <c r="W2719" i="1" s="1"/>
  <c r="W2720" i="1" a="1"/>
  <c r="W2720" i="1" s="1"/>
  <c r="W2721" i="1" a="1"/>
  <c r="W2721" i="1" s="1"/>
  <c r="W2722" i="1" a="1"/>
  <c r="W2722" i="1" s="1"/>
  <c r="W2723" i="1" a="1"/>
  <c r="W2723" i="1"/>
  <c r="W2724" i="1" a="1"/>
  <c r="W2724" i="1" s="1"/>
  <c r="W2725" i="1" a="1"/>
  <c r="W2725" i="1" s="1"/>
  <c r="W2726" i="1" a="1"/>
  <c r="W2726" i="1" s="1"/>
  <c r="W2727" i="1" a="1"/>
  <c r="W2727" i="1" s="1"/>
  <c r="W2728" i="1" a="1"/>
  <c r="W2728" i="1" s="1"/>
  <c r="W2729" i="1" a="1"/>
  <c r="W2729" i="1"/>
  <c r="W2730" i="1" a="1"/>
  <c r="W2730" i="1" s="1"/>
  <c r="W2731" i="1" a="1"/>
  <c r="W2731" i="1" s="1"/>
  <c r="W2732" i="1" a="1"/>
  <c r="W2732" i="1" s="1"/>
  <c r="W2733" i="1" a="1"/>
  <c r="W2733" i="1" s="1"/>
  <c r="W2734" i="1" a="1"/>
  <c r="W2734" i="1" s="1"/>
  <c r="W2735" i="1" a="1"/>
  <c r="W2735" i="1"/>
  <c r="W2736" i="1" a="1"/>
  <c r="W2736" i="1" s="1"/>
  <c r="W2737" i="1" a="1"/>
  <c r="W2737" i="1" s="1"/>
  <c r="W2738" i="1" a="1"/>
  <c r="W2738" i="1" s="1"/>
  <c r="W2739" i="1" a="1"/>
  <c r="W2739" i="1" s="1"/>
  <c r="W2740" i="1" a="1"/>
  <c r="W2740" i="1" s="1"/>
  <c r="W2741" i="1" a="1"/>
  <c r="W2741" i="1"/>
  <c r="W2742" i="1" a="1"/>
  <c r="W2742" i="1" s="1"/>
  <c r="W2743" i="1" a="1"/>
  <c r="W2743" i="1" s="1"/>
  <c r="W2744" i="1" a="1"/>
  <c r="W2744" i="1" s="1"/>
  <c r="W2745" i="1" a="1"/>
  <c r="W2745" i="1" s="1"/>
  <c r="W2746" i="1" a="1"/>
  <c r="W2746" i="1" s="1"/>
  <c r="W2747" i="1" a="1"/>
  <c r="W2747" i="1"/>
  <c r="W2748" i="1" a="1"/>
  <c r="W2748" i="1" s="1"/>
  <c r="W2749" i="1" a="1"/>
  <c r="W2749" i="1" s="1"/>
  <c r="W2750" i="1" a="1"/>
  <c r="W2750" i="1" s="1"/>
  <c r="W2751" i="1" a="1"/>
  <c r="W2751" i="1" s="1"/>
  <c r="W2752" i="1" a="1"/>
  <c r="W2752" i="1" s="1"/>
  <c r="W2753" i="1" a="1"/>
  <c r="W2753" i="1"/>
  <c r="W2754" i="1" a="1"/>
  <c r="W2754" i="1" s="1"/>
  <c r="W2755" i="1" a="1"/>
  <c r="W2755" i="1" s="1"/>
  <c r="W2756" i="1" a="1"/>
  <c r="W2756" i="1" s="1"/>
  <c r="W2757" i="1" a="1"/>
  <c r="W2757" i="1" s="1"/>
  <c r="W2758" i="1" a="1"/>
  <c r="W2758" i="1" s="1"/>
  <c r="W2759" i="1" a="1"/>
  <c r="W2759" i="1"/>
  <c r="W2760" i="1" a="1"/>
  <c r="W2760" i="1" s="1"/>
  <c r="W2761" i="1" a="1"/>
  <c r="W2761" i="1" s="1"/>
  <c r="W2762" i="1" a="1"/>
  <c r="W2762" i="1" s="1"/>
  <c r="W2763" i="1" a="1"/>
  <c r="W2763" i="1" s="1"/>
  <c r="W2764" i="1" a="1"/>
  <c r="W2764" i="1" s="1"/>
  <c r="W2765" i="1" a="1"/>
  <c r="W2765" i="1"/>
  <c r="W2766" i="1" a="1"/>
  <c r="W2766" i="1" s="1"/>
  <c r="W2767" i="1" a="1"/>
  <c r="W2767" i="1" s="1"/>
  <c r="W2768" i="1" a="1"/>
  <c r="W2768" i="1" s="1"/>
  <c r="W2769" i="1" a="1"/>
  <c r="W2769" i="1" s="1"/>
  <c r="W2770" i="1" a="1"/>
  <c r="W2770" i="1" s="1"/>
  <c r="W2771" i="1" a="1"/>
  <c r="W2771" i="1"/>
  <c r="W2772" i="1" a="1"/>
  <c r="W2772" i="1" s="1"/>
  <c r="W2773" i="1" a="1"/>
  <c r="W2773" i="1" s="1"/>
  <c r="W2774" i="1" a="1"/>
  <c r="W2774" i="1" s="1"/>
  <c r="W2775" i="1" a="1"/>
  <c r="W2775" i="1" s="1"/>
  <c r="W2776" i="1" a="1"/>
  <c r="W2776" i="1" s="1"/>
  <c r="W2777" i="1" a="1"/>
  <c r="W2777" i="1"/>
  <c r="W2778" i="1" a="1"/>
  <c r="W2778" i="1" s="1"/>
  <c r="W2779" i="1" a="1"/>
  <c r="W2779" i="1" s="1"/>
  <c r="W2780" i="1" a="1"/>
  <c r="W2780" i="1" s="1"/>
  <c r="W2781" i="1" a="1"/>
  <c r="W2781" i="1" s="1"/>
  <c r="W2782" i="1" a="1"/>
  <c r="W2782" i="1" s="1"/>
  <c r="W2783" i="1" a="1"/>
  <c r="W2783" i="1"/>
  <c r="W2784" i="1" a="1"/>
  <c r="W2784" i="1" s="1"/>
  <c r="W2785" i="1" a="1"/>
  <c r="W2785" i="1" s="1"/>
  <c r="W2786" i="1" a="1"/>
  <c r="W2786" i="1" s="1"/>
  <c r="W2787" i="1" a="1"/>
  <c r="W2787" i="1" s="1"/>
  <c r="W2788" i="1" a="1"/>
  <c r="W2788" i="1" s="1"/>
  <c r="W2789" i="1" a="1"/>
  <c r="W2789" i="1"/>
  <c r="W2790" i="1" a="1"/>
  <c r="W2790" i="1" s="1"/>
  <c r="W2791" i="1" a="1"/>
  <c r="W2791" i="1" s="1"/>
  <c r="W2792" i="1" a="1"/>
  <c r="W2792" i="1" s="1"/>
  <c r="W2793" i="1" a="1"/>
  <c r="W2793" i="1" s="1"/>
  <c r="W2794" i="1" a="1"/>
  <c r="W2794" i="1" s="1"/>
  <c r="W2795" i="1" a="1"/>
  <c r="W2795" i="1"/>
  <c r="W2796" i="1" a="1"/>
  <c r="W2796" i="1" s="1"/>
  <c r="W2797" i="1" a="1"/>
  <c r="W2797" i="1" s="1"/>
  <c r="W2798" i="1" a="1"/>
  <c r="W2798" i="1" s="1"/>
  <c r="W2799" i="1" a="1"/>
  <c r="W2799" i="1" s="1"/>
  <c r="W2800" i="1" a="1"/>
  <c r="W2800" i="1" s="1"/>
  <c r="W2" i="1" a="1"/>
  <c r="W2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" i="1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" i="2"/>
  <c r="U3" i="1" a="1"/>
  <c r="U3" i="1"/>
  <c r="U4" i="1" a="1"/>
  <c r="U4" i="1"/>
  <c r="U5" i="1" a="1"/>
  <c r="U5" i="1"/>
  <c r="U6" i="1" a="1"/>
  <c r="U6" i="1"/>
  <c r="U7" i="1" a="1"/>
  <c r="U7" i="1" s="1"/>
  <c r="U8" i="1" a="1"/>
  <c r="U8" i="1" s="1"/>
  <c r="U9" i="1" a="1"/>
  <c r="U9" i="1"/>
  <c r="U10" i="1" a="1"/>
  <c r="U10" i="1"/>
  <c r="U11" i="1" a="1"/>
  <c r="U11" i="1"/>
  <c r="U12" i="1" a="1"/>
  <c r="U12" i="1"/>
  <c r="U13" i="1" a="1"/>
  <c r="U13" i="1" s="1"/>
  <c r="U14" i="1" a="1"/>
  <c r="U14" i="1" s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 s="1"/>
  <c r="U21" i="1" a="1"/>
  <c r="U21" i="1"/>
  <c r="U22" i="1" a="1"/>
  <c r="U22" i="1" s="1"/>
  <c r="U23" i="1" a="1"/>
  <c r="U23" i="1"/>
  <c r="U24" i="1" a="1"/>
  <c r="U24" i="1"/>
  <c r="U25" i="1" a="1"/>
  <c r="U25" i="1"/>
  <c r="U26" i="1" a="1"/>
  <c r="U26" i="1" s="1"/>
  <c r="U27" i="1" a="1"/>
  <c r="U27" i="1"/>
  <c r="U28" i="1" a="1"/>
  <c r="U28" i="1" s="1"/>
  <c r="U29" i="1" a="1"/>
  <c r="U29" i="1"/>
  <c r="U30" i="1" a="1"/>
  <c r="U30" i="1"/>
  <c r="U31" i="1" a="1"/>
  <c r="U31" i="1"/>
  <c r="U32" i="1" a="1"/>
  <c r="U32" i="1" s="1"/>
  <c r="U33" i="1" a="1"/>
  <c r="U33" i="1" s="1"/>
  <c r="U34" i="1" a="1"/>
  <c r="U34" i="1"/>
  <c r="U35" i="1" a="1"/>
  <c r="U35" i="1" s="1"/>
  <c r="U36" i="1" a="1"/>
  <c r="U36" i="1"/>
  <c r="U37" i="1" a="1"/>
  <c r="U37" i="1"/>
  <c r="U38" i="1" a="1"/>
  <c r="U38" i="1" s="1"/>
  <c r="U39" i="1" a="1"/>
  <c r="U39" i="1"/>
  <c r="U40" i="1" a="1"/>
  <c r="U40" i="1"/>
  <c r="U41" i="1" a="1"/>
  <c r="U41" i="1" s="1"/>
  <c r="U42" i="1" a="1"/>
  <c r="U42" i="1"/>
  <c r="U43" i="1" a="1"/>
  <c r="U43" i="1"/>
  <c r="U44" i="1" a="1"/>
  <c r="U44" i="1" s="1"/>
  <c r="U45" i="1" a="1"/>
  <c r="U45" i="1"/>
  <c r="U46" i="1" a="1"/>
  <c r="U46" i="1" s="1"/>
  <c r="U47" i="1" a="1"/>
  <c r="U47" i="1"/>
  <c r="U48" i="1" a="1"/>
  <c r="U48" i="1" s="1"/>
  <c r="U49" i="1" a="1"/>
  <c r="U49" i="1"/>
  <c r="U50" i="1" a="1"/>
  <c r="U50" i="1" s="1"/>
  <c r="U51" i="1" a="1"/>
  <c r="U51" i="1"/>
  <c r="U52" i="1" a="1"/>
  <c r="U52" i="1"/>
  <c r="U53" i="1" a="1"/>
  <c r="U53" i="1"/>
  <c r="U54" i="1" a="1"/>
  <c r="U54" i="1" s="1"/>
  <c r="U55" i="1" a="1"/>
  <c r="U55" i="1"/>
  <c r="U56" i="1" a="1"/>
  <c r="U56" i="1" s="1"/>
  <c r="U57" i="1" a="1"/>
  <c r="U57" i="1"/>
  <c r="U58" i="1" a="1"/>
  <c r="U58" i="1"/>
  <c r="U59" i="1" a="1"/>
  <c r="U59" i="1" s="1"/>
  <c r="U60" i="1" a="1"/>
  <c r="U60" i="1"/>
  <c r="U61" i="1" a="1"/>
  <c r="U61" i="1" s="1"/>
  <c r="U62" i="1" a="1"/>
  <c r="U62" i="1" s="1"/>
  <c r="U63" i="1" a="1"/>
  <c r="U63" i="1"/>
  <c r="U64" i="1" a="1"/>
  <c r="U64" i="1"/>
  <c r="U65" i="1" a="1"/>
  <c r="U65" i="1"/>
  <c r="U66" i="1" a="1"/>
  <c r="U66" i="1"/>
  <c r="U67" i="1" a="1"/>
  <c r="U67" i="1" s="1"/>
  <c r="U68" i="1" a="1"/>
  <c r="U68" i="1" s="1"/>
  <c r="U69" i="1" a="1"/>
  <c r="U69" i="1"/>
  <c r="U70" i="1" a="1"/>
  <c r="U70" i="1"/>
  <c r="U71" i="1" a="1"/>
  <c r="U71" i="1"/>
  <c r="U72" i="1" a="1"/>
  <c r="U72" i="1" s="1"/>
  <c r="U73" i="1" a="1"/>
  <c r="U73" i="1"/>
  <c r="U74" i="1" a="1"/>
  <c r="U74" i="1" s="1"/>
  <c r="U75" i="1" a="1"/>
  <c r="U75" i="1"/>
  <c r="U76" i="1" a="1"/>
  <c r="U76" i="1"/>
  <c r="U77" i="1" a="1"/>
  <c r="U77" i="1"/>
  <c r="U78" i="1" a="1"/>
  <c r="U78" i="1"/>
  <c r="U79" i="1" a="1"/>
  <c r="U79" i="1"/>
  <c r="U80" i="1" a="1"/>
  <c r="U80" i="1" s="1"/>
  <c r="U81" i="1" a="1"/>
  <c r="U81" i="1" s="1"/>
  <c r="U82" i="1" a="1"/>
  <c r="U82" i="1"/>
  <c r="U83" i="1" a="1"/>
  <c r="U83" i="1"/>
  <c r="U84" i="1" a="1"/>
  <c r="U84" i="1"/>
  <c r="U85" i="1" a="1"/>
  <c r="U85" i="1" s="1"/>
  <c r="U86" i="1" a="1"/>
  <c r="U86" i="1" s="1"/>
  <c r="U87" i="1" a="1"/>
  <c r="U87" i="1" s="1"/>
  <c r="U88" i="1" a="1"/>
  <c r="U88" i="1"/>
  <c r="U89" i="1" a="1"/>
  <c r="U89" i="1"/>
  <c r="U90" i="1" a="1"/>
  <c r="U90" i="1"/>
  <c r="U91" i="1" a="1"/>
  <c r="U91" i="1"/>
  <c r="U92" i="1" a="1"/>
  <c r="U92" i="1" s="1"/>
  <c r="U93" i="1" a="1"/>
  <c r="U93" i="1"/>
  <c r="U94" i="1" a="1"/>
  <c r="U94" i="1" s="1"/>
  <c r="U95" i="1" a="1"/>
  <c r="U95" i="1"/>
  <c r="U96" i="1" a="1"/>
  <c r="U96" i="1"/>
  <c r="U97" i="1" a="1"/>
  <c r="U97" i="1"/>
  <c r="U98" i="1" a="1"/>
  <c r="U98" i="1" s="1"/>
  <c r="U99" i="1" a="1"/>
  <c r="U99" i="1"/>
  <c r="U100" i="1" a="1"/>
  <c r="U100" i="1" s="1"/>
  <c r="U101" i="1" a="1"/>
  <c r="U101" i="1"/>
  <c r="U102" i="1" a="1"/>
  <c r="U102" i="1"/>
  <c r="U103" i="1" a="1"/>
  <c r="U103" i="1"/>
  <c r="U104" i="1" a="1"/>
  <c r="U104" i="1" s="1"/>
  <c r="U105" i="1" a="1"/>
  <c r="U105" i="1" s="1"/>
  <c r="U106" i="1" a="1"/>
  <c r="U106" i="1"/>
  <c r="U107" i="1" a="1"/>
  <c r="U107" i="1" s="1"/>
  <c r="U108" i="1" a="1"/>
  <c r="U108" i="1"/>
  <c r="U109" i="1" a="1"/>
  <c r="U109" i="1"/>
  <c r="U110" i="1" a="1"/>
  <c r="U110" i="1" s="1"/>
  <c r="U111" i="1" a="1"/>
  <c r="U111" i="1"/>
  <c r="U112" i="1" a="1"/>
  <c r="U112" i="1"/>
  <c r="U113" i="1" a="1"/>
  <c r="U113" i="1" s="1"/>
  <c r="U114" i="1" a="1"/>
  <c r="U114" i="1"/>
  <c r="U115" i="1" a="1"/>
  <c r="U115" i="1"/>
  <c r="U116" i="1" a="1"/>
  <c r="U116" i="1" s="1"/>
  <c r="U117" i="1" a="1"/>
  <c r="U117" i="1"/>
  <c r="U118" i="1" a="1"/>
  <c r="U118" i="1" s="1"/>
  <c r="U119" i="1" a="1"/>
  <c r="U119" i="1"/>
  <c r="U120" i="1" a="1"/>
  <c r="U120" i="1" s="1"/>
  <c r="U121" i="1" a="1"/>
  <c r="U121" i="1"/>
  <c r="U122" i="1" a="1"/>
  <c r="U122" i="1" s="1"/>
  <c r="U123" i="1" a="1"/>
  <c r="U123" i="1" s="1"/>
  <c r="U124" i="1" a="1"/>
  <c r="U124" i="1"/>
  <c r="U125" i="1" a="1"/>
  <c r="U125" i="1"/>
  <c r="U126" i="1" a="1"/>
  <c r="U126" i="1" s="1"/>
  <c r="U127" i="1" a="1"/>
  <c r="U127" i="1"/>
  <c r="U128" i="1" a="1"/>
  <c r="U128" i="1" s="1"/>
  <c r="U129" i="1" a="1"/>
  <c r="U129" i="1"/>
  <c r="U130" i="1" a="1"/>
  <c r="U130" i="1"/>
  <c r="U131" i="1" a="1"/>
  <c r="U131" i="1" s="1"/>
  <c r="U132" i="1" a="1"/>
  <c r="U132" i="1"/>
  <c r="U133" i="1" a="1"/>
  <c r="U133" i="1" s="1"/>
  <c r="U134" i="1" a="1"/>
  <c r="U134" i="1" s="1"/>
  <c r="U135" i="1" a="1"/>
  <c r="U135" i="1"/>
  <c r="U136" i="1" a="1"/>
  <c r="U136" i="1" s="1"/>
  <c r="U137" i="1" a="1"/>
  <c r="U137" i="1"/>
  <c r="U138" i="1" a="1"/>
  <c r="U138" i="1"/>
  <c r="U139" i="1" a="1"/>
  <c r="U139" i="1" s="1"/>
  <c r="U140" i="1" a="1"/>
  <c r="U140" i="1" s="1"/>
  <c r="U141" i="1" a="1"/>
  <c r="U141" i="1"/>
  <c r="U142" i="1" a="1"/>
  <c r="U142" i="1"/>
  <c r="U143" i="1" a="1"/>
  <c r="U143" i="1"/>
  <c r="U144" i="1" a="1"/>
  <c r="U144" i="1" s="1"/>
  <c r="U145" i="1" a="1"/>
  <c r="U145" i="1"/>
  <c r="U146" i="1" a="1"/>
  <c r="U146" i="1" s="1"/>
  <c r="U147" i="1" a="1"/>
  <c r="U147" i="1"/>
  <c r="U148" i="1" a="1"/>
  <c r="U148" i="1"/>
  <c r="U149" i="1" a="1"/>
  <c r="U149" i="1" s="1"/>
  <c r="U150" i="1" a="1"/>
  <c r="U150" i="1"/>
  <c r="U151" i="1" a="1"/>
  <c r="U151" i="1"/>
  <c r="U152" i="1" a="1"/>
  <c r="U152" i="1" s="1"/>
  <c r="U153" i="1" a="1"/>
  <c r="U153" i="1" s="1"/>
  <c r="U154" i="1" a="1"/>
  <c r="U154" i="1"/>
  <c r="U155" i="1" a="1"/>
  <c r="U155" i="1"/>
  <c r="U156" i="1" a="1"/>
  <c r="U156" i="1"/>
  <c r="U157" i="1" a="1"/>
  <c r="U157" i="1" s="1"/>
  <c r="U158" i="1" a="1"/>
  <c r="U158" i="1" s="1"/>
  <c r="U159" i="1" a="1"/>
  <c r="U159" i="1" s="1"/>
  <c r="U160" i="1" a="1"/>
  <c r="U160" i="1" s="1"/>
  <c r="U161" i="1" a="1"/>
  <c r="U161" i="1"/>
  <c r="U162" i="1" a="1"/>
  <c r="U162" i="1" s="1"/>
  <c r="U163" i="1" a="1"/>
  <c r="U163" i="1"/>
  <c r="U164" i="1" a="1"/>
  <c r="U164" i="1" s="1"/>
  <c r="U165" i="1" a="1"/>
  <c r="U165" i="1"/>
  <c r="U166" i="1" a="1"/>
  <c r="U166" i="1"/>
  <c r="U167" i="1" a="1"/>
  <c r="U167" i="1"/>
  <c r="U168" i="1" a="1"/>
  <c r="U168" i="1"/>
  <c r="U169" i="1" a="1"/>
  <c r="U169" i="1"/>
  <c r="U170" i="1" a="1"/>
  <c r="U170" i="1" s="1"/>
  <c r="U171" i="1" a="1"/>
  <c r="U171" i="1"/>
  <c r="U172" i="1" a="1"/>
  <c r="U172" i="1" s="1"/>
  <c r="U173" i="1" a="1"/>
  <c r="U173" i="1" s="1"/>
  <c r="U174" i="1" a="1"/>
  <c r="U174" i="1"/>
  <c r="U175" i="1" a="1"/>
  <c r="U175" i="1" s="1"/>
  <c r="U176" i="1" a="1"/>
  <c r="U176" i="1" s="1"/>
  <c r="U177" i="1" a="1"/>
  <c r="U177" i="1" s="1"/>
  <c r="U178" i="1" a="1"/>
  <c r="U178" i="1"/>
  <c r="U179" i="1" a="1"/>
  <c r="U179" i="1"/>
  <c r="U180" i="1" a="1"/>
  <c r="U180" i="1"/>
  <c r="U181" i="1" a="1"/>
  <c r="U181" i="1"/>
  <c r="U182" i="1" a="1"/>
  <c r="U182" i="1" s="1"/>
  <c r="U183" i="1" a="1"/>
  <c r="U183" i="1"/>
  <c r="U184" i="1" a="1"/>
  <c r="U184" i="1"/>
  <c r="U185" i="1" a="1"/>
  <c r="U185" i="1" s="1"/>
  <c r="U186" i="1" a="1"/>
  <c r="U186" i="1" s="1"/>
  <c r="U187" i="1" a="1"/>
  <c r="U187" i="1"/>
  <c r="U188" i="1" a="1"/>
  <c r="U188" i="1" s="1"/>
  <c r="U189" i="1" a="1"/>
  <c r="U189" i="1"/>
  <c r="U190" i="1" a="1"/>
  <c r="U190" i="1" s="1"/>
  <c r="U191" i="1" a="1"/>
  <c r="U191" i="1"/>
  <c r="U192" i="1" a="1"/>
  <c r="U192" i="1"/>
  <c r="U193" i="1" a="1"/>
  <c r="U193" i="1" s="1"/>
  <c r="U194" i="1" a="1"/>
  <c r="U194" i="1" s="1"/>
  <c r="U195" i="1" a="1"/>
  <c r="U195" i="1" s="1"/>
  <c r="U196" i="1" a="1"/>
  <c r="U196" i="1"/>
  <c r="U197" i="1" a="1"/>
  <c r="U197" i="1"/>
  <c r="U198" i="1" a="1"/>
  <c r="U198" i="1" s="1"/>
  <c r="U199" i="1" a="1"/>
  <c r="U199" i="1" s="1"/>
  <c r="U200" i="1" a="1"/>
  <c r="U200" i="1" s="1"/>
  <c r="U201" i="1" a="1"/>
  <c r="U201" i="1"/>
  <c r="U202" i="1" a="1"/>
  <c r="U202" i="1"/>
  <c r="U203" i="1" a="1"/>
  <c r="U203" i="1" s="1"/>
  <c r="U204" i="1" a="1"/>
  <c r="U204" i="1" s="1"/>
  <c r="U205" i="1" a="1"/>
  <c r="U205" i="1"/>
  <c r="U206" i="1" a="1"/>
  <c r="U206" i="1" s="1"/>
  <c r="U207" i="1" a="1"/>
  <c r="U207" i="1"/>
  <c r="U208" i="1" a="1"/>
  <c r="U208" i="1" s="1"/>
  <c r="U209" i="1" a="1"/>
  <c r="U209" i="1"/>
  <c r="U210" i="1" a="1"/>
  <c r="U210" i="1"/>
  <c r="U211" i="1" a="1"/>
  <c r="U211" i="1" s="1"/>
  <c r="U212" i="1" a="1"/>
  <c r="U212" i="1" s="1"/>
  <c r="U213" i="1" a="1"/>
  <c r="U213" i="1"/>
  <c r="U214" i="1" a="1"/>
  <c r="U214" i="1"/>
  <c r="U215" i="1" a="1"/>
  <c r="U215" i="1"/>
  <c r="U216" i="1" a="1"/>
  <c r="U216" i="1" s="1"/>
  <c r="U217" i="1" a="1"/>
  <c r="U217" i="1" s="1"/>
  <c r="U218" i="1" a="1"/>
  <c r="U218" i="1" s="1"/>
  <c r="U219" i="1" a="1"/>
  <c r="U219" i="1" s="1"/>
  <c r="U220" i="1" a="1"/>
  <c r="U220" i="1"/>
  <c r="U221" i="1" a="1"/>
  <c r="U221" i="1" s="1"/>
  <c r="U222" i="1" a="1"/>
  <c r="U222" i="1"/>
  <c r="U223" i="1" a="1"/>
  <c r="U223" i="1"/>
  <c r="U224" i="1" a="1"/>
  <c r="U224" i="1" s="1"/>
  <c r="U225" i="1" a="1"/>
  <c r="U225" i="1"/>
  <c r="U226" i="1" a="1"/>
  <c r="U226" i="1"/>
  <c r="U227" i="1" a="1"/>
  <c r="U227" i="1"/>
  <c r="U228" i="1" a="1"/>
  <c r="U228" i="1"/>
  <c r="U229" i="1" a="1"/>
  <c r="U229" i="1" s="1"/>
  <c r="U230" i="1" a="1"/>
  <c r="U230" i="1" s="1"/>
  <c r="U231" i="1" a="1"/>
  <c r="U231" i="1" s="1"/>
  <c r="U232" i="1" a="1"/>
  <c r="U232" i="1" s="1"/>
  <c r="U233" i="1" a="1"/>
  <c r="U233" i="1"/>
  <c r="U234" i="1" a="1"/>
  <c r="U234" i="1" s="1"/>
  <c r="U235" i="1" a="1"/>
  <c r="U235" i="1"/>
  <c r="U236" i="1" a="1"/>
  <c r="U236" i="1" s="1"/>
  <c r="U237" i="1" a="1"/>
  <c r="U237" i="1" s="1"/>
  <c r="U238" i="1" a="1"/>
  <c r="U238" i="1"/>
  <c r="U239" i="1" a="1"/>
  <c r="U239" i="1"/>
  <c r="U240" i="1" a="1"/>
  <c r="U240" i="1"/>
  <c r="U241" i="1" a="1"/>
  <c r="U241" i="1"/>
  <c r="U242" i="1" a="1"/>
  <c r="U242" i="1" s="1"/>
  <c r="U243" i="1" a="1"/>
  <c r="U243" i="1"/>
  <c r="U244" i="1" a="1"/>
  <c r="U244" i="1" s="1"/>
  <c r="U245" i="1" a="1"/>
  <c r="U245" i="1" s="1"/>
  <c r="U246" i="1" a="1"/>
  <c r="U246" i="1"/>
  <c r="U247" i="1" a="1"/>
  <c r="U247" i="1" s="1"/>
  <c r="U248" i="1" a="1"/>
  <c r="U248" i="1" s="1"/>
  <c r="U249" i="1" a="1"/>
  <c r="U249" i="1" s="1"/>
  <c r="U250" i="1" a="1"/>
  <c r="U250" i="1" s="1"/>
  <c r="U251" i="1" a="1"/>
  <c r="U251" i="1"/>
  <c r="U252" i="1" a="1"/>
  <c r="U252" i="1"/>
  <c r="U253" i="1" a="1"/>
  <c r="U253" i="1"/>
  <c r="U254" i="1" a="1"/>
  <c r="U254" i="1" s="1"/>
  <c r="U255" i="1" a="1"/>
  <c r="U255" i="1"/>
  <c r="U256" i="1" a="1"/>
  <c r="U256" i="1"/>
  <c r="U257" i="1" a="1"/>
  <c r="U257" i="1" s="1"/>
  <c r="U258" i="1" a="1"/>
  <c r="U258" i="1" s="1"/>
  <c r="U259" i="1" a="1"/>
  <c r="U259" i="1"/>
  <c r="U260" i="1" a="1"/>
  <c r="U260" i="1" s="1"/>
  <c r="U261" i="1" a="1"/>
  <c r="U261" i="1"/>
  <c r="U262" i="1" a="1"/>
  <c r="U262" i="1" s="1"/>
  <c r="U263" i="1" a="1"/>
  <c r="U263" i="1" s="1"/>
  <c r="U264" i="1" a="1"/>
  <c r="U264" i="1"/>
  <c r="U265" i="1" a="1"/>
  <c r="U265" i="1" s="1"/>
  <c r="U266" i="1" a="1"/>
  <c r="U266" i="1" s="1"/>
  <c r="U267" i="1" a="1"/>
  <c r="U267" i="1" s="1"/>
  <c r="U268" i="1" a="1"/>
  <c r="U268" i="1"/>
  <c r="U269" i="1" a="1"/>
  <c r="U269" i="1"/>
  <c r="U270" i="1" a="1"/>
  <c r="U270" i="1" s="1"/>
  <c r="U271" i="1" a="1"/>
  <c r="U271" i="1" s="1"/>
  <c r="U272" i="1" a="1"/>
  <c r="U272" i="1" s="1"/>
  <c r="U273" i="1" a="1"/>
  <c r="U273" i="1"/>
  <c r="U274" i="1" a="1"/>
  <c r="U274" i="1"/>
  <c r="U275" i="1" a="1"/>
  <c r="U275" i="1" s="1"/>
  <c r="U276" i="1" a="1"/>
  <c r="U276" i="1" s="1"/>
  <c r="U277" i="1" a="1"/>
  <c r="U277" i="1"/>
  <c r="U278" i="1" a="1"/>
  <c r="U278" i="1" s="1"/>
  <c r="U279" i="1" a="1"/>
  <c r="U279" i="1"/>
  <c r="U280" i="1" a="1"/>
  <c r="U280" i="1" s="1"/>
  <c r="U281" i="1" a="1"/>
  <c r="U281" i="1" s="1"/>
  <c r="U282" i="1" a="1"/>
  <c r="U282" i="1"/>
  <c r="U283" i="1" a="1"/>
  <c r="U283" i="1" s="1"/>
  <c r="U284" i="1" a="1"/>
  <c r="U284" i="1" s="1"/>
  <c r="U285" i="1" a="1"/>
  <c r="U285" i="1" s="1"/>
  <c r="U286" i="1" a="1"/>
  <c r="U286" i="1"/>
  <c r="U287" i="1" a="1"/>
  <c r="U287" i="1"/>
  <c r="U288" i="1" a="1"/>
  <c r="U288" i="1" s="1"/>
  <c r="U289" i="1" a="1"/>
  <c r="U289" i="1" s="1"/>
  <c r="U290" i="1" a="1"/>
  <c r="U290" i="1" s="1"/>
  <c r="U291" i="1" a="1"/>
  <c r="U291" i="1" s="1"/>
  <c r="U292" i="1" a="1"/>
  <c r="U292" i="1"/>
  <c r="U293" i="1" a="1"/>
  <c r="U293" i="1"/>
  <c r="U294" i="1" a="1"/>
  <c r="U294" i="1" s="1"/>
  <c r="U295" i="1" a="1"/>
  <c r="U295" i="1"/>
  <c r="U296" i="1" a="1"/>
  <c r="U296" i="1" s="1"/>
  <c r="U297" i="1" a="1"/>
  <c r="U297" i="1"/>
  <c r="U298" i="1" a="1"/>
  <c r="U298" i="1" s="1"/>
  <c r="U299" i="1" a="1"/>
  <c r="U299" i="1"/>
  <c r="U300" i="1" a="1"/>
  <c r="U300" i="1" s="1"/>
  <c r="U301" i="1" a="1"/>
  <c r="U301" i="1" s="1"/>
  <c r="U302" i="1" a="1"/>
  <c r="U302" i="1" s="1"/>
  <c r="U303" i="1" a="1"/>
  <c r="U303" i="1"/>
  <c r="U304" i="1" a="1"/>
  <c r="U304" i="1" s="1"/>
  <c r="U305" i="1" a="1"/>
  <c r="U305" i="1"/>
  <c r="U306" i="1" a="1"/>
  <c r="U306" i="1" s="1"/>
  <c r="U307" i="1" a="1"/>
  <c r="U307" i="1" s="1"/>
  <c r="U308" i="1" a="1"/>
  <c r="U308" i="1" s="1"/>
  <c r="U309" i="1" a="1"/>
  <c r="U309" i="1" s="1"/>
  <c r="U310" i="1" a="1"/>
  <c r="U310" i="1"/>
  <c r="U311" i="1" a="1"/>
  <c r="U311" i="1" s="1"/>
  <c r="U312" i="1" a="1"/>
  <c r="U312" i="1"/>
  <c r="U313" i="1" a="1"/>
  <c r="U313" i="1" s="1"/>
  <c r="U314" i="1" a="1"/>
  <c r="U314" i="1" s="1"/>
  <c r="U315" i="1" a="1"/>
  <c r="U315" i="1"/>
  <c r="U316" i="1" a="1"/>
  <c r="U316" i="1" s="1"/>
  <c r="U317" i="1" a="1"/>
  <c r="U317" i="1" s="1"/>
  <c r="U318" i="1" a="1"/>
  <c r="U318" i="1"/>
  <c r="U319" i="1" a="1"/>
  <c r="U319" i="1"/>
  <c r="U320" i="1" a="1"/>
  <c r="U320" i="1" s="1"/>
  <c r="U321" i="1" a="1"/>
  <c r="U321" i="1" s="1"/>
  <c r="U322" i="1" a="1"/>
  <c r="U322" i="1" s="1"/>
  <c r="U323" i="1" a="1"/>
  <c r="U323" i="1"/>
  <c r="U324" i="1" a="1"/>
  <c r="U324" i="1"/>
  <c r="U325" i="1" a="1"/>
  <c r="U325" i="1"/>
  <c r="U326" i="1" a="1"/>
  <c r="U326" i="1" s="1"/>
  <c r="U327" i="1" a="1"/>
  <c r="U327" i="1"/>
  <c r="U328" i="1" a="1"/>
  <c r="U328" i="1"/>
  <c r="U329" i="1" a="1"/>
  <c r="U329" i="1" s="1"/>
  <c r="U330" i="1" a="1"/>
  <c r="U330" i="1" s="1"/>
  <c r="U331" i="1" a="1"/>
  <c r="U331" i="1"/>
  <c r="U332" i="1" a="1"/>
  <c r="U332" i="1" s="1"/>
  <c r="U333" i="1" a="1"/>
  <c r="U333" i="1" s="1"/>
  <c r="U334" i="1" a="1"/>
  <c r="U334" i="1" s="1"/>
  <c r="U335" i="1" a="1"/>
  <c r="U335" i="1" s="1"/>
  <c r="U336" i="1" a="1"/>
  <c r="U336" i="1" s="1"/>
  <c r="U337" i="1" a="1"/>
  <c r="U337" i="1"/>
  <c r="U338" i="1" a="1"/>
  <c r="U338" i="1" s="1"/>
  <c r="U339" i="1" a="1"/>
  <c r="U339" i="1" s="1"/>
  <c r="U340" i="1" a="1"/>
  <c r="U340" i="1" s="1"/>
  <c r="U341" i="1" a="1"/>
  <c r="U341" i="1"/>
  <c r="U342" i="1" a="1"/>
  <c r="U342" i="1"/>
  <c r="U343" i="1" a="1"/>
  <c r="U343" i="1" s="1"/>
  <c r="U344" i="1" a="1"/>
  <c r="U344" i="1" s="1"/>
  <c r="U345" i="1" a="1"/>
  <c r="U345" i="1" s="1"/>
  <c r="U346" i="1" a="1"/>
  <c r="U346" i="1" s="1"/>
  <c r="U347" i="1" a="1"/>
  <c r="U347" i="1" s="1"/>
  <c r="U348" i="1" a="1"/>
  <c r="U348" i="1"/>
  <c r="U349" i="1" a="1"/>
  <c r="U349" i="1" s="1"/>
  <c r="U350" i="1" a="1"/>
  <c r="U350" i="1" s="1"/>
  <c r="U351" i="1" a="1"/>
  <c r="U351" i="1"/>
  <c r="U352" i="1" a="1"/>
  <c r="U352" i="1" s="1"/>
  <c r="U353" i="1" a="1"/>
  <c r="U353" i="1" s="1"/>
  <c r="U354" i="1" a="1"/>
  <c r="U354" i="1"/>
  <c r="U355" i="1" a="1"/>
  <c r="U355" i="1"/>
  <c r="U356" i="1" a="1"/>
  <c r="U356" i="1" s="1"/>
  <c r="U357" i="1" a="1"/>
  <c r="U357" i="1"/>
  <c r="U358" i="1" a="1"/>
  <c r="U358" i="1"/>
  <c r="U359" i="1" a="1"/>
  <c r="U359" i="1"/>
  <c r="U360" i="1" a="1"/>
  <c r="U360" i="1" s="1"/>
  <c r="U361" i="1" a="1"/>
  <c r="U361" i="1" s="1"/>
  <c r="U362" i="1" a="1"/>
  <c r="U362" i="1" s="1"/>
  <c r="U363" i="1" a="1"/>
  <c r="U363" i="1" s="1"/>
  <c r="U364" i="1" a="1"/>
  <c r="U364" i="1"/>
  <c r="U365" i="1" a="1"/>
  <c r="U365" i="1" s="1"/>
  <c r="U366" i="1" a="1"/>
  <c r="U366" i="1" s="1"/>
  <c r="U367" i="1" a="1"/>
  <c r="U367" i="1"/>
  <c r="U368" i="1" a="1"/>
  <c r="U368" i="1" s="1"/>
  <c r="U369" i="1" a="1"/>
  <c r="U369" i="1"/>
  <c r="U370" i="1" a="1"/>
  <c r="U370" i="1"/>
  <c r="U371" i="1" a="1"/>
  <c r="U371" i="1" s="1"/>
  <c r="U372" i="1" a="1"/>
  <c r="U372" i="1"/>
  <c r="U373" i="1" a="1"/>
  <c r="U373" i="1" s="1"/>
  <c r="U374" i="1" a="1"/>
  <c r="U374" i="1" s="1"/>
  <c r="U375" i="1" a="1"/>
  <c r="U375" i="1"/>
  <c r="U376" i="1" a="1"/>
  <c r="U376" i="1" s="1"/>
  <c r="U377" i="1" a="1"/>
  <c r="U377" i="1"/>
  <c r="U378" i="1" a="1"/>
  <c r="U378" i="1"/>
  <c r="U379" i="1" a="1"/>
  <c r="U379" i="1" s="1"/>
  <c r="U380" i="1" a="1"/>
  <c r="U380" i="1" s="1"/>
  <c r="U381" i="1" a="1"/>
  <c r="U381" i="1"/>
  <c r="U382" i="1" a="1"/>
  <c r="U382" i="1"/>
  <c r="U383" i="1" a="1"/>
  <c r="U383" i="1"/>
  <c r="U384" i="1" a="1"/>
  <c r="U384" i="1" s="1"/>
  <c r="U385" i="1" a="1"/>
  <c r="U385" i="1" s="1"/>
  <c r="U386" i="1" a="1"/>
  <c r="U386" i="1" s="1"/>
  <c r="U387" i="1" a="1"/>
  <c r="U387" i="1" s="1"/>
  <c r="U388" i="1" a="1"/>
  <c r="U388" i="1" s="1"/>
  <c r="U389" i="1" a="1"/>
  <c r="U389" i="1" s="1"/>
  <c r="U390" i="1" a="1"/>
  <c r="U390" i="1"/>
  <c r="U391" i="1" a="1"/>
  <c r="U391" i="1" s="1"/>
  <c r="U392" i="1" a="1"/>
  <c r="U392" i="1" s="1"/>
  <c r="U393" i="1" a="1"/>
  <c r="U393" i="1" s="1"/>
  <c r="U394" i="1" a="1"/>
  <c r="U394" i="1" s="1"/>
  <c r="U395" i="1" a="1"/>
  <c r="U395" i="1" s="1"/>
  <c r="U396" i="1" a="1"/>
  <c r="U396" i="1"/>
  <c r="U397" i="1" a="1"/>
  <c r="U397" i="1"/>
  <c r="U398" i="1" a="1"/>
  <c r="U398" i="1" s="1"/>
  <c r="U399" i="1" a="1"/>
  <c r="U399" i="1" s="1"/>
  <c r="U400" i="1" a="1"/>
  <c r="U400" i="1"/>
  <c r="U401" i="1" a="1"/>
  <c r="U401" i="1"/>
  <c r="U402" i="1" a="1"/>
  <c r="U402" i="1" s="1"/>
  <c r="U403" i="1" a="1"/>
  <c r="U403" i="1"/>
  <c r="U404" i="1" a="1"/>
  <c r="U404" i="1" s="1"/>
  <c r="U405" i="1" a="1"/>
  <c r="U405" i="1" s="1"/>
  <c r="U406" i="1" a="1"/>
  <c r="U406" i="1" s="1"/>
  <c r="U407" i="1" a="1"/>
  <c r="U407" i="1"/>
  <c r="U408" i="1" a="1"/>
  <c r="U408" i="1"/>
  <c r="U409" i="1" a="1"/>
  <c r="U409" i="1"/>
  <c r="U410" i="1" a="1"/>
  <c r="U410" i="1" s="1"/>
  <c r="U411" i="1" a="1"/>
  <c r="U411" i="1"/>
  <c r="U412" i="1" a="1"/>
  <c r="U412" i="1"/>
  <c r="U413" i="1" a="1"/>
  <c r="U413" i="1" s="1"/>
  <c r="U414" i="1" a="1"/>
  <c r="U414" i="1" s="1"/>
  <c r="U415" i="1" a="1"/>
  <c r="U415" i="1" s="1"/>
  <c r="U416" i="1" a="1"/>
  <c r="U416" i="1" s="1"/>
  <c r="U417" i="1" a="1"/>
  <c r="U417" i="1" s="1"/>
  <c r="U418" i="1" a="1"/>
  <c r="U418" i="1"/>
  <c r="U419" i="1" a="1"/>
  <c r="U419" i="1"/>
  <c r="U420" i="1" a="1"/>
  <c r="U420" i="1" s="1"/>
  <c r="U421" i="1" a="1"/>
  <c r="U421" i="1" s="1"/>
  <c r="U422" i="1" a="1"/>
  <c r="U422" i="1" s="1"/>
  <c r="U423" i="1" a="1"/>
  <c r="U423" i="1"/>
  <c r="U424" i="1" a="1"/>
  <c r="U424" i="1"/>
  <c r="U425" i="1" a="1"/>
  <c r="U425" i="1" s="1"/>
  <c r="U426" i="1" a="1"/>
  <c r="U426" i="1" s="1"/>
  <c r="U427" i="1" a="1"/>
  <c r="U427" i="1"/>
  <c r="U428" i="1" a="1"/>
  <c r="U428" i="1" s="1"/>
  <c r="U429" i="1" a="1"/>
  <c r="U429" i="1"/>
  <c r="U430" i="1" a="1"/>
  <c r="U430" i="1" s="1"/>
  <c r="U431" i="1" a="1"/>
  <c r="U431" i="1"/>
  <c r="U432" i="1" a="1"/>
  <c r="U432" i="1"/>
  <c r="U433" i="1" a="1"/>
  <c r="U433" i="1" s="1"/>
  <c r="U434" i="1" a="1"/>
  <c r="U434" i="1" s="1"/>
  <c r="U435" i="1" a="1"/>
  <c r="U435" i="1" s="1"/>
  <c r="U436" i="1" a="1"/>
  <c r="U436" i="1"/>
  <c r="U437" i="1" a="1"/>
  <c r="U437" i="1" s="1"/>
  <c r="U438" i="1" a="1"/>
  <c r="U438" i="1"/>
  <c r="U439" i="1" a="1"/>
  <c r="U439" i="1"/>
  <c r="U440" i="1" a="1"/>
  <c r="U440" i="1" s="1"/>
  <c r="U441" i="1" a="1"/>
  <c r="U441" i="1"/>
  <c r="U442" i="1" a="1"/>
  <c r="U442" i="1"/>
  <c r="U443" i="1" a="1"/>
  <c r="U443" i="1"/>
  <c r="U444" i="1" a="1"/>
  <c r="U444" i="1"/>
  <c r="U445" i="1" a="1"/>
  <c r="U445" i="1" s="1"/>
  <c r="U446" i="1" a="1"/>
  <c r="U446" i="1" s="1"/>
  <c r="U447" i="1" a="1"/>
  <c r="U447" i="1" s="1"/>
  <c r="U448" i="1" a="1"/>
  <c r="U448" i="1" s="1"/>
  <c r="U449" i="1" a="1"/>
  <c r="U449" i="1"/>
  <c r="U450" i="1" a="1"/>
  <c r="U450" i="1"/>
  <c r="U451" i="1" a="1"/>
  <c r="U451" i="1"/>
  <c r="U452" i="1" a="1"/>
  <c r="U452" i="1" s="1"/>
  <c r="U453" i="1" a="1"/>
  <c r="U453" i="1"/>
  <c r="U454" i="1" a="1"/>
  <c r="U454" i="1" s="1"/>
  <c r="U455" i="1" a="1"/>
  <c r="U455" i="1"/>
  <c r="U456" i="1" a="1"/>
  <c r="U456" i="1" s="1"/>
  <c r="U457" i="1" a="1"/>
  <c r="U457" i="1" s="1"/>
  <c r="U458" i="1" a="1"/>
  <c r="U458" i="1" s="1"/>
  <c r="U459" i="1" a="1"/>
  <c r="U459" i="1" s="1"/>
  <c r="U460" i="1" a="1"/>
  <c r="U460" i="1" s="1"/>
  <c r="U461" i="1" a="1"/>
  <c r="U461" i="1" s="1"/>
  <c r="U462" i="1" a="1"/>
  <c r="U462" i="1"/>
  <c r="U463" i="1" a="1"/>
  <c r="U463" i="1" s="1"/>
  <c r="U464" i="1" a="1"/>
  <c r="U464" i="1" s="1"/>
  <c r="U465" i="1" a="1"/>
  <c r="U465" i="1"/>
  <c r="U466" i="1" a="1"/>
  <c r="U466" i="1" s="1"/>
  <c r="U467" i="1" a="1"/>
  <c r="U467" i="1" s="1"/>
  <c r="U468" i="1" a="1"/>
  <c r="U468" i="1"/>
  <c r="U469" i="1" a="1"/>
  <c r="U469" i="1"/>
  <c r="U470" i="1" a="1"/>
  <c r="U470" i="1" s="1"/>
  <c r="U471" i="1" a="1"/>
  <c r="U471" i="1" s="1"/>
  <c r="U472" i="1" a="1"/>
  <c r="U472" i="1"/>
  <c r="U473" i="1" a="1"/>
  <c r="U473" i="1"/>
  <c r="U474" i="1" a="1"/>
  <c r="U474" i="1" s="1"/>
  <c r="U475" i="1" a="1"/>
  <c r="U475" i="1"/>
  <c r="U476" i="1" a="1"/>
  <c r="U476" i="1" s="1"/>
  <c r="U477" i="1" a="1"/>
  <c r="U477" i="1" s="1"/>
  <c r="U478" i="1" a="1"/>
  <c r="U478" i="1" s="1"/>
  <c r="U479" i="1" a="1"/>
  <c r="U479" i="1"/>
  <c r="U480" i="1" a="1"/>
  <c r="U480" i="1"/>
  <c r="U481" i="1" a="1"/>
  <c r="U481" i="1"/>
  <c r="U482" i="1" a="1"/>
  <c r="U482" i="1" s="1"/>
  <c r="U483" i="1" a="1"/>
  <c r="U483" i="1"/>
  <c r="U484" i="1" a="1"/>
  <c r="U484" i="1"/>
  <c r="U485" i="1" a="1"/>
  <c r="U485" i="1"/>
  <c r="U486" i="1" a="1"/>
  <c r="U486" i="1" s="1"/>
  <c r="U487" i="1" a="1"/>
  <c r="U487" i="1" s="1"/>
  <c r="U488" i="1" a="1"/>
  <c r="U488" i="1" s="1"/>
  <c r="U489" i="1" a="1"/>
  <c r="U489" i="1"/>
  <c r="U490" i="1" a="1"/>
  <c r="U490" i="1"/>
  <c r="U491" i="1" a="1"/>
  <c r="U491" i="1"/>
  <c r="U492" i="1" a="1"/>
  <c r="U492" i="1"/>
  <c r="U493" i="1" a="1"/>
  <c r="U493" i="1" s="1"/>
  <c r="U494" i="1" a="1"/>
  <c r="U494" i="1" s="1"/>
  <c r="U495" i="1" a="1"/>
  <c r="U495" i="1"/>
  <c r="U496" i="1" a="1"/>
  <c r="U496" i="1" s="1"/>
  <c r="U497" i="1" a="1"/>
  <c r="U497" i="1" s="1"/>
  <c r="U498" i="1" a="1"/>
  <c r="U498" i="1" s="1"/>
  <c r="U499" i="1" a="1"/>
  <c r="U499" i="1"/>
  <c r="U500" i="1" a="1"/>
  <c r="U500" i="1" s="1"/>
  <c r="U501" i="1" a="1"/>
  <c r="U501" i="1"/>
  <c r="U502" i="1" a="1"/>
  <c r="U502" i="1"/>
  <c r="U503" i="1" a="1"/>
  <c r="U503" i="1"/>
  <c r="U504" i="1" a="1"/>
  <c r="U504" i="1"/>
  <c r="U505" i="1" a="1"/>
  <c r="U505" i="1"/>
  <c r="U506" i="1" a="1"/>
  <c r="U506" i="1" s="1"/>
  <c r="U507" i="1" a="1"/>
  <c r="U507" i="1" s="1"/>
  <c r="U508" i="1" a="1"/>
  <c r="U508" i="1"/>
  <c r="U509" i="1" a="1"/>
  <c r="U509" i="1"/>
  <c r="U510" i="1" a="1"/>
  <c r="U510" i="1"/>
  <c r="U511" i="1" a="1"/>
  <c r="U511" i="1"/>
  <c r="U512" i="1" a="1"/>
  <c r="U512" i="1" s="1"/>
  <c r="U513" i="1" a="1"/>
  <c r="U513" i="1"/>
  <c r="U514" i="1" a="1"/>
  <c r="U514" i="1"/>
  <c r="U515" i="1" a="1"/>
  <c r="U515" i="1" s="1"/>
  <c r="U516" i="1" a="1"/>
  <c r="U516" i="1" s="1"/>
  <c r="U517" i="1" a="1"/>
  <c r="U517" i="1" s="1"/>
  <c r="U518" i="1" a="1"/>
  <c r="U518" i="1" s="1"/>
  <c r="U519" i="1" a="1"/>
  <c r="U519" i="1"/>
  <c r="U520" i="1" a="1"/>
  <c r="U520" i="1"/>
  <c r="U521" i="1" a="1"/>
  <c r="U521" i="1" s="1"/>
  <c r="U522" i="1" a="1"/>
  <c r="U522" i="1" s="1"/>
  <c r="U523" i="1" a="1"/>
  <c r="U523" i="1" s="1"/>
  <c r="U524" i="1" a="1"/>
  <c r="U524" i="1" s="1"/>
  <c r="U525" i="1" a="1"/>
  <c r="U525" i="1"/>
  <c r="U526" i="1" a="1"/>
  <c r="U526" i="1" s="1"/>
  <c r="U527" i="1" a="1"/>
  <c r="U527" i="1" s="1"/>
  <c r="U528" i="1" a="1"/>
  <c r="U528" i="1"/>
  <c r="U529" i="1" a="1"/>
  <c r="U529" i="1"/>
  <c r="U530" i="1" a="1"/>
  <c r="U530" i="1"/>
  <c r="U531" i="1" a="1"/>
  <c r="U531" i="1"/>
  <c r="U532" i="1" a="1"/>
  <c r="U532" i="1" s="1"/>
  <c r="U533" i="1" a="1"/>
  <c r="U533" i="1"/>
  <c r="U534" i="1" a="1"/>
  <c r="U534" i="1" s="1"/>
  <c r="U535" i="1" a="1"/>
  <c r="U535" i="1" s="1"/>
  <c r="U536" i="1" a="1"/>
  <c r="U536" i="1" s="1"/>
  <c r="U537" i="1" a="1"/>
  <c r="U537" i="1" s="1"/>
  <c r="U538" i="1" a="1"/>
  <c r="U538" i="1" s="1"/>
  <c r="U539" i="1" a="1"/>
  <c r="U539" i="1" s="1"/>
  <c r="U540" i="1" a="1"/>
  <c r="U540" i="1" s="1"/>
  <c r="U541" i="1" a="1"/>
  <c r="U541" i="1"/>
  <c r="U542" i="1" a="1"/>
  <c r="U542" i="1"/>
  <c r="U543" i="1" a="1"/>
  <c r="U543" i="1"/>
  <c r="U544" i="1" a="1"/>
  <c r="U544" i="1" s="1"/>
  <c r="U545" i="1" a="1"/>
  <c r="U545" i="1"/>
  <c r="U546" i="1" a="1"/>
  <c r="U546" i="1"/>
  <c r="U547" i="1" a="1"/>
  <c r="U547" i="1" s="1"/>
  <c r="U548" i="1" a="1"/>
  <c r="U548" i="1" s="1"/>
  <c r="U549" i="1" a="1"/>
  <c r="U549" i="1" s="1"/>
  <c r="U550" i="1" a="1"/>
  <c r="U550" i="1" s="1"/>
  <c r="U551" i="1" a="1"/>
  <c r="U551" i="1"/>
  <c r="U552" i="1" a="1"/>
  <c r="U552" i="1" s="1"/>
  <c r="U553" i="1" a="1"/>
  <c r="U553" i="1" s="1"/>
  <c r="U554" i="1" a="1"/>
  <c r="U554" i="1"/>
  <c r="U555" i="1" a="1"/>
  <c r="U555" i="1"/>
  <c r="U556" i="1" a="1"/>
  <c r="U556" i="1" s="1"/>
  <c r="U557" i="1" a="1"/>
  <c r="U557" i="1" s="1"/>
  <c r="U558" i="1" a="1"/>
  <c r="U558" i="1"/>
  <c r="U559" i="1" a="1"/>
  <c r="U559" i="1"/>
  <c r="U560" i="1" a="1"/>
  <c r="U560" i="1" s="1"/>
  <c r="U561" i="1" a="1"/>
  <c r="U561" i="1" s="1"/>
  <c r="U562" i="1" a="1"/>
  <c r="U562" i="1" s="1"/>
  <c r="U563" i="1" a="1"/>
  <c r="U563" i="1"/>
  <c r="U564" i="1" a="1"/>
  <c r="U564" i="1"/>
  <c r="U565" i="1" a="1"/>
  <c r="U565" i="1" s="1"/>
  <c r="U566" i="1" a="1"/>
  <c r="U566" i="1" s="1"/>
  <c r="U567" i="1" a="1"/>
  <c r="U567" i="1"/>
  <c r="U568" i="1" a="1"/>
  <c r="U568" i="1" s="1"/>
  <c r="U569" i="1" a="1"/>
  <c r="U569" i="1" s="1"/>
  <c r="U570" i="1" a="1"/>
  <c r="U570" i="1" s="1"/>
  <c r="U571" i="1" a="1"/>
  <c r="U571" i="1"/>
  <c r="U572" i="1" a="1"/>
  <c r="U572" i="1"/>
  <c r="U573" i="1" a="1"/>
  <c r="U573" i="1" s="1"/>
  <c r="U574" i="1" a="1"/>
  <c r="U574" i="1" s="1"/>
  <c r="U575" i="1" a="1"/>
  <c r="U575" i="1"/>
  <c r="U576" i="1" a="1"/>
  <c r="U576" i="1"/>
  <c r="U577" i="1" a="1"/>
  <c r="U577" i="1"/>
  <c r="U578" i="1" a="1"/>
  <c r="U578" i="1" s="1"/>
  <c r="U579" i="1" a="1"/>
  <c r="U579" i="1" s="1"/>
  <c r="U580" i="1" a="1"/>
  <c r="U580" i="1" s="1"/>
  <c r="U581" i="1" a="1"/>
  <c r="U581" i="1" s="1"/>
  <c r="U582" i="1" a="1"/>
  <c r="U582" i="1" s="1"/>
  <c r="U583" i="1" a="1"/>
  <c r="U583" i="1" s="1"/>
  <c r="U584" i="1" a="1"/>
  <c r="U584" i="1"/>
  <c r="U585" i="1" a="1"/>
  <c r="U585" i="1"/>
  <c r="U586" i="1" a="1"/>
  <c r="U586" i="1" s="1"/>
  <c r="U587" i="1" a="1"/>
  <c r="U587" i="1"/>
  <c r="U588" i="1" a="1"/>
  <c r="U588" i="1"/>
  <c r="U589" i="1" a="1"/>
  <c r="U589" i="1"/>
  <c r="U590" i="1" a="1"/>
  <c r="U590" i="1"/>
  <c r="U591" i="1" a="1"/>
  <c r="U591" i="1" s="1"/>
  <c r="U592" i="1" a="1"/>
  <c r="U592" i="1" s="1"/>
  <c r="U593" i="1" a="1"/>
  <c r="U593" i="1" s="1"/>
  <c r="U594" i="1" a="1"/>
  <c r="U594" i="1" s="1"/>
  <c r="U595" i="1" a="1"/>
  <c r="U595" i="1" s="1"/>
  <c r="U596" i="1" a="1"/>
  <c r="U596" i="1" s="1"/>
  <c r="U597" i="1" a="1"/>
  <c r="U597" i="1"/>
  <c r="U598" i="1" a="1"/>
  <c r="U598" i="1" s="1"/>
  <c r="U599" i="1" a="1"/>
  <c r="U599" i="1" s="1"/>
  <c r="U600" i="1" a="1"/>
  <c r="U600" i="1"/>
  <c r="U601" i="1" a="1"/>
  <c r="U601" i="1"/>
  <c r="U602" i="1" a="1"/>
  <c r="U602" i="1"/>
  <c r="U603" i="1" a="1"/>
  <c r="U603" i="1"/>
  <c r="U604" i="1" a="1"/>
  <c r="U604" i="1" s="1"/>
  <c r="U605" i="1" a="1"/>
  <c r="U605" i="1"/>
  <c r="U606" i="1" a="1"/>
  <c r="U606" i="1" s="1"/>
  <c r="U607" i="1" a="1"/>
  <c r="U607" i="1" s="1"/>
  <c r="U608" i="1" a="1"/>
  <c r="U608" i="1" s="1"/>
  <c r="U609" i="1" a="1"/>
  <c r="U609" i="1" s="1"/>
  <c r="U610" i="1" a="1"/>
  <c r="U610" i="1" s="1"/>
  <c r="U611" i="1" a="1"/>
  <c r="U611" i="1" s="1"/>
  <c r="U612" i="1" a="1"/>
  <c r="U612" i="1" s="1"/>
  <c r="U613" i="1" a="1"/>
  <c r="U613" i="1"/>
  <c r="U614" i="1" a="1"/>
  <c r="U614" i="1"/>
  <c r="U615" i="1" a="1"/>
  <c r="U615" i="1"/>
  <c r="U616" i="1" a="1"/>
  <c r="U616" i="1" s="1"/>
  <c r="U617" i="1" a="1"/>
  <c r="U617" i="1"/>
  <c r="U618" i="1" a="1"/>
  <c r="U618" i="1"/>
  <c r="U619" i="1" a="1"/>
  <c r="U619" i="1" s="1"/>
  <c r="U620" i="1" a="1"/>
  <c r="U620" i="1" s="1"/>
  <c r="U621" i="1" a="1"/>
  <c r="U621" i="1" s="1"/>
  <c r="U622" i="1" a="1"/>
  <c r="U622" i="1" s="1"/>
  <c r="U623" i="1" a="1"/>
  <c r="U623" i="1"/>
  <c r="U624" i="1" a="1"/>
  <c r="U624" i="1" s="1"/>
  <c r="U625" i="1" a="1"/>
  <c r="U625" i="1" s="1"/>
  <c r="U626" i="1" a="1"/>
  <c r="U626" i="1"/>
  <c r="U627" i="1" a="1"/>
  <c r="U627" i="1"/>
  <c r="U628" i="1" a="1"/>
  <c r="U628" i="1" s="1"/>
  <c r="U629" i="1" a="1"/>
  <c r="U629" i="1" s="1"/>
  <c r="U630" i="1" a="1"/>
  <c r="U630" i="1"/>
  <c r="U631" i="1" a="1"/>
  <c r="U631" i="1"/>
  <c r="U632" i="1" a="1"/>
  <c r="U632" i="1" s="1"/>
  <c r="U633" i="1" a="1"/>
  <c r="U633" i="1" s="1"/>
  <c r="U634" i="1" a="1"/>
  <c r="U634" i="1" s="1"/>
  <c r="U635" i="1" a="1"/>
  <c r="U635" i="1"/>
  <c r="U636" i="1" a="1"/>
  <c r="U636" i="1"/>
  <c r="U637" i="1" a="1"/>
  <c r="U637" i="1" s="1"/>
  <c r="U638" i="1" a="1"/>
  <c r="U638" i="1" s="1"/>
  <c r="U639" i="1" a="1"/>
  <c r="U639" i="1"/>
  <c r="U640" i="1" a="1"/>
  <c r="U640" i="1" s="1"/>
  <c r="U641" i="1" a="1"/>
  <c r="U641" i="1" s="1"/>
  <c r="U642" i="1" a="1"/>
  <c r="U642" i="1" s="1"/>
  <c r="U643" i="1" a="1"/>
  <c r="U643" i="1"/>
  <c r="U644" i="1" a="1"/>
  <c r="U644" i="1"/>
  <c r="U645" i="1" a="1"/>
  <c r="U645" i="1" s="1"/>
  <c r="U646" i="1" a="1"/>
  <c r="U646" i="1" s="1"/>
  <c r="U647" i="1" a="1"/>
  <c r="U647" i="1"/>
  <c r="U648" i="1" a="1"/>
  <c r="U648" i="1"/>
  <c r="U649" i="1" a="1"/>
  <c r="U649" i="1"/>
  <c r="U650" i="1" a="1"/>
  <c r="U650" i="1" s="1"/>
  <c r="U651" i="1" a="1"/>
  <c r="U651" i="1" s="1"/>
  <c r="U652" i="1" a="1"/>
  <c r="U652" i="1" s="1"/>
  <c r="U653" i="1" a="1"/>
  <c r="U653" i="1" s="1"/>
  <c r="U654" i="1" a="1"/>
  <c r="U654" i="1" s="1"/>
  <c r="U655" i="1" a="1"/>
  <c r="U655" i="1" s="1"/>
  <c r="U656" i="1" a="1"/>
  <c r="U656" i="1"/>
  <c r="U657" i="1" a="1"/>
  <c r="U657" i="1"/>
  <c r="U658" i="1" a="1"/>
  <c r="U658" i="1" s="1"/>
  <c r="U659" i="1" a="1"/>
  <c r="U659" i="1"/>
  <c r="U660" i="1" a="1"/>
  <c r="U660" i="1"/>
  <c r="U661" i="1" a="1"/>
  <c r="U661" i="1"/>
  <c r="U662" i="1" a="1"/>
  <c r="U662" i="1"/>
  <c r="U663" i="1" a="1"/>
  <c r="U663" i="1" s="1"/>
  <c r="U664" i="1" a="1"/>
  <c r="U664" i="1" s="1"/>
  <c r="U665" i="1" a="1"/>
  <c r="U665" i="1" s="1"/>
  <c r="U666" i="1" a="1"/>
  <c r="U666" i="1" s="1"/>
  <c r="U667" i="1" a="1"/>
  <c r="U667" i="1" s="1"/>
  <c r="U668" i="1" a="1"/>
  <c r="U668" i="1" s="1"/>
  <c r="U669" i="1" a="1"/>
  <c r="U669" i="1"/>
  <c r="U670" i="1" a="1"/>
  <c r="U670" i="1" s="1"/>
  <c r="U671" i="1" a="1"/>
  <c r="U671" i="1" s="1"/>
  <c r="U672" i="1" a="1"/>
  <c r="U672" i="1"/>
  <c r="U673" i="1" a="1"/>
  <c r="U673" i="1"/>
  <c r="U674" i="1" a="1"/>
  <c r="U674" i="1"/>
  <c r="U675" i="1" a="1"/>
  <c r="U675" i="1"/>
  <c r="U676" i="1" a="1"/>
  <c r="U676" i="1" s="1"/>
  <c r="U677" i="1" a="1"/>
  <c r="U677" i="1"/>
  <c r="U678" i="1" a="1"/>
  <c r="U678" i="1" s="1"/>
  <c r="U679" i="1" a="1"/>
  <c r="U679" i="1" s="1"/>
  <c r="U680" i="1" a="1"/>
  <c r="U680" i="1" s="1"/>
  <c r="U681" i="1" a="1"/>
  <c r="U681" i="1" s="1"/>
  <c r="U682" i="1" a="1"/>
  <c r="U682" i="1" s="1"/>
  <c r="U683" i="1" a="1"/>
  <c r="U683" i="1" s="1"/>
  <c r="U684" i="1" a="1"/>
  <c r="U684" i="1" s="1"/>
  <c r="U685" i="1" a="1"/>
  <c r="U685" i="1"/>
  <c r="U686" i="1" a="1"/>
  <c r="U686" i="1"/>
  <c r="U687" i="1" a="1"/>
  <c r="U687" i="1"/>
  <c r="U688" i="1" a="1"/>
  <c r="U688" i="1" s="1"/>
  <c r="U689" i="1" a="1"/>
  <c r="U689" i="1"/>
  <c r="U690" i="1" a="1"/>
  <c r="U690" i="1"/>
  <c r="U691" i="1" a="1"/>
  <c r="U691" i="1" s="1"/>
  <c r="U692" i="1" a="1"/>
  <c r="U692" i="1" s="1"/>
  <c r="U693" i="1" a="1"/>
  <c r="U693" i="1" s="1"/>
  <c r="U694" i="1" a="1"/>
  <c r="U694" i="1" s="1"/>
  <c r="U695" i="1" a="1"/>
  <c r="U695" i="1"/>
  <c r="U696" i="1" a="1"/>
  <c r="U696" i="1" s="1"/>
  <c r="U697" i="1" a="1"/>
  <c r="U697" i="1" s="1"/>
  <c r="U698" i="1" a="1"/>
  <c r="U698" i="1"/>
  <c r="U699" i="1" a="1"/>
  <c r="U699" i="1"/>
  <c r="U700" i="1" a="1"/>
  <c r="U700" i="1" s="1"/>
  <c r="U701" i="1" a="1"/>
  <c r="U701" i="1" s="1"/>
  <c r="U702" i="1" a="1"/>
  <c r="U702" i="1"/>
  <c r="U703" i="1" a="1"/>
  <c r="U703" i="1"/>
  <c r="U704" i="1" a="1"/>
  <c r="U704" i="1" s="1"/>
  <c r="U705" i="1" a="1"/>
  <c r="U705" i="1" s="1"/>
  <c r="U706" i="1" a="1"/>
  <c r="U706" i="1" s="1"/>
  <c r="U707" i="1" a="1"/>
  <c r="U707" i="1"/>
  <c r="U708" i="1" a="1"/>
  <c r="U708" i="1"/>
  <c r="U709" i="1" a="1"/>
  <c r="U709" i="1" s="1"/>
  <c r="U710" i="1" a="1"/>
  <c r="U710" i="1" s="1"/>
  <c r="U711" i="1" a="1"/>
  <c r="U711" i="1"/>
  <c r="U712" i="1" a="1"/>
  <c r="U712" i="1" s="1"/>
  <c r="U713" i="1" a="1"/>
  <c r="U713" i="1" s="1"/>
  <c r="U714" i="1" a="1"/>
  <c r="U714" i="1" s="1"/>
  <c r="U715" i="1" a="1"/>
  <c r="U715" i="1"/>
  <c r="U716" i="1" a="1"/>
  <c r="U716" i="1"/>
  <c r="U717" i="1" a="1"/>
  <c r="U717" i="1" s="1"/>
  <c r="U718" i="1" a="1"/>
  <c r="U718" i="1" s="1"/>
  <c r="U719" i="1" a="1"/>
  <c r="U719" i="1"/>
  <c r="U720" i="1" a="1"/>
  <c r="U720" i="1"/>
  <c r="U721" i="1" a="1"/>
  <c r="U721" i="1"/>
  <c r="U722" i="1" a="1"/>
  <c r="U722" i="1" s="1"/>
  <c r="U723" i="1" a="1"/>
  <c r="U723" i="1" s="1"/>
  <c r="U724" i="1" a="1"/>
  <c r="U724" i="1" s="1"/>
  <c r="U725" i="1" a="1"/>
  <c r="U725" i="1" s="1"/>
  <c r="U726" i="1" a="1"/>
  <c r="U726" i="1" s="1"/>
  <c r="U727" i="1" a="1"/>
  <c r="U727" i="1" s="1"/>
  <c r="U728" i="1" a="1"/>
  <c r="U728" i="1"/>
  <c r="U729" i="1" a="1"/>
  <c r="U729" i="1"/>
  <c r="U730" i="1" a="1"/>
  <c r="U730" i="1" s="1"/>
  <c r="U731" i="1" a="1"/>
  <c r="U731" i="1"/>
  <c r="U732" i="1" a="1"/>
  <c r="U732" i="1"/>
  <c r="U733" i="1" a="1"/>
  <c r="U733" i="1"/>
  <c r="U734" i="1" a="1"/>
  <c r="U734" i="1"/>
  <c r="U735" i="1" a="1"/>
  <c r="U735" i="1" s="1"/>
  <c r="U736" i="1" a="1"/>
  <c r="U736" i="1" s="1"/>
  <c r="U737" i="1" a="1"/>
  <c r="U737" i="1" s="1"/>
  <c r="U738" i="1" a="1"/>
  <c r="U738" i="1" s="1"/>
  <c r="U739" i="1" a="1"/>
  <c r="U739" i="1" s="1"/>
  <c r="U740" i="1" a="1"/>
  <c r="U740" i="1" s="1"/>
  <c r="U741" i="1" a="1"/>
  <c r="U741" i="1"/>
  <c r="U742" i="1" a="1"/>
  <c r="U742" i="1" s="1"/>
  <c r="U743" i="1" a="1"/>
  <c r="U743" i="1" s="1"/>
  <c r="U744" i="1" a="1"/>
  <c r="U744" i="1"/>
  <c r="U745" i="1" a="1"/>
  <c r="U745" i="1"/>
  <c r="U746" i="1" a="1"/>
  <c r="U746" i="1"/>
  <c r="U747" i="1" a="1"/>
  <c r="U747" i="1"/>
  <c r="U748" i="1" a="1"/>
  <c r="U748" i="1" s="1"/>
  <c r="U749" i="1" a="1"/>
  <c r="U749" i="1"/>
  <c r="U750" i="1" a="1"/>
  <c r="U750" i="1" s="1"/>
  <c r="U751" i="1" a="1"/>
  <c r="U751" i="1" s="1"/>
  <c r="U752" i="1" a="1"/>
  <c r="U752" i="1" s="1"/>
  <c r="U753" i="1" a="1"/>
  <c r="U753" i="1" s="1"/>
  <c r="U754" i="1" a="1"/>
  <c r="U754" i="1" s="1"/>
  <c r="U755" i="1" a="1"/>
  <c r="U755" i="1" s="1"/>
  <c r="U756" i="1" a="1"/>
  <c r="U756" i="1" s="1"/>
  <c r="U757" i="1" a="1"/>
  <c r="U757" i="1"/>
  <c r="U758" i="1" a="1"/>
  <c r="U758" i="1"/>
  <c r="U759" i="1" a="1"/>
  <c r="U759" i="1"/>
  <c r="U760" i="1" a="1"/>
  <c r="U760" i="1" s="1"/>
  <c r="U761" i="1" a="1"/>
  <c r="U761" i="1"/>
  <c r="U762" i="1" a="1"/>
  <c r="U762" i="1"/>
  <c r="U763" i="1" a="1"/>
  <c r="U763" i="1" s="1"/>
  <c r="U764" i="1" a="1"/>
  <c r="U764" i="1" s="1"/>
  <c r="U765" i="1" a="1"/>
  <c r="U765" i="1" s="1"/>
  <c r="U766" i="1" a="1"/>
  <c r="U766" i="1" s="1"/>
  <c r="U767" i="1" a="1"/>
  <c r="U767" i="1"/>
  <c r="U768" i="1" a="1"/>
  <c r="U768" i="1" s="1"/>
  <c r="U769" i="1" a="1"/>
  <c r="U769" i="1" s="1"/>
  <c r="U770" i="1" a="1"/>
  <c r="U770" i="1"/>
  <c r="U771" i="1" a="1"/>
  <c r="U771" i="1"/>
  <c r="U772" i="1" a="1"/>
  <c r="U772" i="1" s="1"/>
  <c r="U773" i="1" a="1"/>
  <c r="U773" i="1" s="1"/>
  <c r="U774" i="1" a="1"/>
  <c r="U774" i="1"/>
  <c r="U775" i="1" a="1"/>
  <c r="U775" i="1"/>
  <c r="U776" i="1" a="1"/>
  <c r="U776" i="1" s="1"/>
  <c r="U777" i="1" a="1"/>
  <c r="U777" i="1" s="1"/>
  <c r="U778" i="1" a="1"/>
  <c r="U778" i="1" s="1"/>
  <c r="U779" i="1" a="1"/>
  <c r="U779" i="1"/>
  <c r="U780" i="1" a="1"/>
  <c r="U780" i="1"/>
  <c r="U781" i="1" a="1"/>
  <c r="U781" i="1" s="1"/>
  <c r="U782" i="1" a="1"/>
  <c r="U782" i="1" s="1"/>
  <c r="U783" i="1" a="1"/>
  <c r="U783" i="1"/>
  <c r="U784" i="1" a="1"/>
  <c r="U784" i="1" s="1"/>
  <c r="U785" i="1" a="1"/>
  <c r="U785" i="1" s="1"/>
  <c r="U786" i="1" a="1"/>
  <c r="U786" i="1" s="1"/>
  <c r="U787" i="1" a="1"/>
  <c r="U787" i="1"/>
  <c r="U788" i="1" a="1"/>
  <c r="U788" i="1"/>
  <c r="U789" i="1" a="1"/>
  <c r="U789" i="1" s="1"/>
  <c r="U790" i="1" a="1"/>
  <c r="U790" i="1" s="1"/>
  <c r="U791" i="1" a="1"/>
  <c r="U791" i="1"/>
  <c r="U792" i="1" a="1"/>
  <c r="U792" i="1"/>
  <c r="U793" i="1" a="1"/>
  <c r="U793" i="1"/>
  <c r="U794" i="1" a="1"/>
  <c r="U794" i="1" s="1"/>
  <c r="U795" i="1" a="1"/>
  <c r="U795" i="1" s="1"/>
  <c r="U796" i="1" a="1"/>
  <c r="U796" i="1" s="1"/>
  <c r="U797" i="1" a="1"/>
  <c r="U797" i="1" s="1"/>
  <c r="U798" i="1" a="1"/>
  <c r="U798" i="1" s="1"/>
  <c r="U799" i="1" a="1"/>
  <c r="U799" i="1" s="1"/>
  <c r="U800" i="1" a="1"/>
  <c r="U800" i="1"/>
  <c r="U801" i="1" a="1"/>
  <c r="U801" i="1"/>
  <c r="U802" i="1" a="1"/>
  <c r="U802" i="1" s="1"/>
  <c r="U803" i="1" a="1"/>
  <c r="U803" i="1"/>
  <c r="U804" i="1" a="1"/>
  <c r="U804" i="1"/>
  <c r="U805" i="1" a="1"/>
  <c r="U805" i="1"/>
  <c r="U806" i="1" a="1"/>
  <c r="U806" i="1"/>
  <c r="U807" i="1" a="1"/>
  <c r="U807" i="1" s="1"/>
  <c r="U808" i="1" a="1"/>
  <c r="U808" i="1" s="1"/>
  <c r="U809" i="1" a="1"/>
  <c r="U809" i="1" s="1"/>
  <c r="U810" i="1" a="1"/>
  <c r="U810" i="1" s="1"/>
  <c r="U811" i="1" a="1"/>
  <c r="U811" i="1" s="1"/>
  <c r="U812" i="1" a="1"/>
  <c r="U812" i="1" s="1"/>
  <c r="U813" i="1" a="1"/>
  <c r="U813" i="1"/>
  <c r="U814" i="1" a="1"/>
  <c r="U814" i="1" s="1"/>
  <c r="U815" i="1" a="1"/>
  <c r="U815" i="1" s="1"/>
  <c r="U816" i="1" a="1"/>
  <c r="U816" i="1"/>
  <c r="U817" i="1" a="1"/>
  <c r="U817" i="1"/>
  <c r="U818" i="1" a="1"/>
  <c r="U818" i="1"/>
  <c r="U819" i="1" a="1"/>
  <c r="U819" i="1"/>
  <c r="U820" i="1" a="1"/>
  <c r="U820" i="1" s="1"/>
  <c r="U821" i="1" a="1"/>
  <c r="U821" i="1"/>
  <c r="U822" i="1" a="1"/>
  <c r="U822" i="1" s="1"/>
  <c r="U823" i="1" a="1"/>
  <c r="U823" i="1" s="1"/>
  <c r="U824" i="1" a="1"/>
  <c r="U824" i="1" s="1"/>
  <c r="U825" i="1" a="1"/>
  <c r="U825" i="1" s="1"/>
  <c r="U826" i="1" a="1"/>
  <c r="U826" i="1" s="1"/>
  <c r="U827" i="1" a="1"/>
  <c r="U827" i="1" s="1"/>
  <c r="U828" i="1" a="1"/>
  <c r="U828" i="1" s="1"/>
  <c r="U829" i="1" a="1"/>
  <c r="U829" i="1"/>
  <c r="U830" i="1" a="1"/>
  <c r="U830" i="1"/>
  <c r="U831" i="1" a="1"/>
  <c r="U831" i="1"/>
  <c r="U832" i="1" a="1"/>
  <c r="U832" i="1" s="1"/>
  <c r="U833" i="1" a="1"/>
  <c r="U833" i="1"/>
  <c r="U834" i="1" a="1"/>
  <c r="U834" i="1"/>
  <c r="U835" i="1" a="1"/>
  <c r="U835" i="1" s="1"/>
  <c r="U836" i="1" a="1"/>
  <c r="U836" i="1" s="1"/>
  <c r="U837" i="1" a="1"/>
  <c r="U837" i="1" s="1"/>
  <c r="U838" i="1" a="1"/>
  <c r="U838" i="1" s="1"/>
  <c r="U839" i="1" a="1"/>
  <c r="U839" i="1"/>
  <c r="U840" i="1" a="1"/>
  <c r="U840" i="1" s="1"/>
  <c r="U841" i="1" a="1"/>
  <c r="U841" i="1" s="1"/>
  <c r="U842" i="1" a="1"/>
  <c r="U842" i="1"/>
  <c r="U843" i="1" a="1"/>
  <c r="U843" i="1"/>
  <c r="U844" i="1" a="1"/>
  <c r="U844" i="1" s="1"/>
  <c r="U845" i="1" a="1"/>
  <c r="U845" i="1" s="1"/>
  <c r="U846" i="1" a="1"/>
  <c r="U846" i="1"/>
  <c r="U847" i="1" a="1"/>
  <c r="U847" i="1"/>
  <c r="U848" i="1" a="1"/>
  <c r="U848" i="1" s="1"/>
  <c r="U849" i="1" a="1"/>
  <c r="U849" i="1" s="1"/>
  <c r="U850" i="1" a="1"/>
  <c r="U850" i="1" s="1"/>
  <c r="U851" i="1" a="1"/>
  <c r="U851" i="1"/>
  <c r="U852" i="1" a="1"/>
  <c r="U852" i="1"/>
  <c r="U853" i="1" a="1"/>
  <c r="U853" i="1" s="1"/>
  <c r="U854" i="1" a="1"/>
  <c r="U854" i="1" s="1"/>
  <c r="U855" i="1" a="1"/>
  <c r="U855" i="1"/>
  <c r="U856" i="1" a="1"/>
  <c r="U856" i="1" s="1"/>
  <c r="U857" i="1" a="1"/>
  <c r="U857" i="1" s="1"/>
  <c r="U858" i="1" a="1"/>
  <c r="U858" i="1" s="1"/>
  <c r="U859" i="1" a="1"/>
  <c r="U859" i="1"/>
  <c r="U860" i="1" a="1"/>
  <c r="U860" i="1"/>
  <c r="U861" i="1" a="1"/>
  <c r="U861" i="1" s="1"/>
  <c r="U862" i="1" a="1"/>
  <c r="U862" i="1" s="1"/>
  <c r="U863" i="1" a="1"/>
  <c r="U863" i="1"/>
  <c r="U864" i="1" a="1"/>
  <c r="U864" i="1"/>
  <c r="U865" i="1" a="1"/>
  <c r="U865" i="1"/>
  <c r="U866" i="1" a="1"/>
  <c r="U866" i="1" s="1"/>
  <c r="U867" i="1" a="1"/>
  <c r="U867" i="1" s="1"/>
  <c r="U868" i="1" a="1"/>
  <c r="U868" i="1" s="1"/>
  <c r="U869" i="1" a="1"/>
  <c r="U869" i="1" s="1"/>
  <c r="U870" i="1" a="1"/>
  <c r="U870" i="1" s="1"/>
  <c r="U871" i="1" a="1"/>
  <c r="U871" i="1" s="1"/>
  <c r="U872" i="1" a="1"/>
  <c r="U872" i="1"/>
  <c r="U873" i="1" a="1"/>
  <c r="U873" i="1"/>
  <c r="U874" i="1" a="1"/>
  <c r="U874" i="1" s="1"/>
  <c r="U875" i="1" a="1"/>
  <c r="U875" i="1"/>
  <c r="U876" i="1" a="1"/>
  <c r="U876" i="1"/>
  <c r="U877" i="1" a="1"/>
  <c r="U877" i="1"/>
  <c r="U878" i="1" a="1"/>
  <c r="U878" i="1"/>
  <c r="U879" i="1" a="1"/>
  <c r="U879" i="1" s="1"/>
  <c r="U880" i="1" a="1"/>
  <c r="U880" i="1" s="1"/>
  <c r="U881" i="1" a="1"/>
  <c r="U881" i="1" s="1"/>
  <c r="U882" i="1" a="1"/>
  <c r="U882" i="1" s="1"/>
  <c r="U883" i="1" a="1"/>
  <c r="U883" i="1" s="1"/>
  <c r="U884" i="1" a="1"/>
  <c r="U884" i="1" s="1"/>
  <c r="U885" i="1" a="1"/>
  <c r="U885" i="1"/>
  <c r="U886" i="1" a="1"/>
  <c r="U886" i="1" s="1"/>
  <c r="U887" i="1" a="1"/>
  <c r="U887" i="1" s="1"/>
  <c r="U888" i="1" a="1"/>
  <c r="U888" i="1"/>
  <c r="U889" i="1" a="1"/>
  <c r="U889" i="1"/>
  <c r="U890" i="1" a="1"/>
  <c r="U890" i="1"/>
  <c r="U891" i="1" a="1"/>
  <c r="U891" i="1"/>
  <c r="U892" i="1" a="1"/>
  <c r="U892" i="1" s="1"/>
  <c r="U893" i="1" a="1"/>
  <c r="U893" i="1"/>
  <c r="U894" i="1" a="1"/>
  <c r="U894" i="1" s="1"/>
  <c r="U895" i="1" a="1"/>
  <c r="U895" i="1" s="1"/>
  <c r="U896" i="1" a="1"/>
  <c r="U896" i="1" s="1"/>
  <c r="U897" i="1" a="1"/>
  <c r="U897" i="1" s="1"/>
  <c r="U898" i="1" a="1"/>
  <c r="U898" i="1" s="1"/>
  <c r="U899" i="1" a="1"/>
  <c r="U899" i="1" s="1"/>
  <c r="U900" i="1" a="1"/>
  <c r="U900" i="1" s="1"/>
  <c r="U901" i="1" a="1"/>
  <c r="U901" i="1"/>
  <c r="U902" i="1" a="1"/>
  <c r="U902" i="1"/>
  <c r="U903" i="1" a="1"/>
  <c r="U903" i="1"/>
  <c r="U904" i="1" a="1"/>
  <c r="U904" i="1" s="1"/>
  <c r="U905" i="1" a="1"/>
  <c r="U905" i="1"/>
  <c r="U906" i="1" a="1"/>
  <c r="U906" i="1"/>
  <c r="U907" i="1" a="1"/>
  <c r="U907" i="1" s="1"/>
  <c r="U908" i="1" a="1"/>
  <c r="U908" i="1" s="1"/>
  <c r="U909" i="1" a="1"/>
  <c r="U909" i="1" s="1"/>
  <c r="U910" i="1" a="1"/>
  <c r="U910" i="1" s="1"/>
  <c r="U911" i="1" a="1"/>
  <c r="U911" i="1"/>
  <c r="U912" i="1" a="1"/>
  <c r="U912" i="1" s="1"/>
  <c r="U913" i="1" a="1"/>
  <c r="U913" i="1" s="1"/>
  <c r="U914" i="1" a="1"/>
  <c r="U914" i="1"/>
  <c r="U915" i="1" a="1"/>
  <c r="U915" i="1"/>
  <c r="U916" i="1" a="1"/>
  <c r="U916" i="1" s="1"/>
  <c r="U917" i="1" a="1"/>
  <c r="U917" i="1" s="1"/>
  <c r="U918" i="1" a="1"/>
  <c r="U918" i="1" s="1"/>
  <c r="U919" i="1" a="1"/>
  <c r="U919" i="1"/>
  <c r="U920" i="1" a="1"/>
  <c r="U920" i="1" s="1"/>
  <c r="U921" i="1" a="1"/>
  <c r="U921" i="1" s="1"/>
  <c r="U922" i="1" a="1"/>
  <c r="U922" i="1" s="1"/>
  <c r="U923" i="1" a="1"/>
  <c r="U923" i="1"/>
  <c r="U924" i="1" a="1"/>
  <c r="U924" i="1"/>
  <c r="U925" i="1" a="1"/>
  <c r="U925" i="1" s="1"/>
  <c r="U926" i="1" a="1"/>
  <c r="U926" i="1" s="1"/>
  <c r="U927" i="1" a="1"/>
  <c r="U927" i="1"/>
  <c r="U928" i="1" a="1"/>
  <c r="U928" i="1" s="1"/>
  <c r="U929" i="1" a="1"/>
  <c r="U929" i="1" s="1"/>
  <c r="U930" i="1" a="1"/>
  <c r="U930" i="1" s="1"/>
  <c r="U931" i="1" a="1"/>
  <c r="U931" i="1" s="1"/>
  <c r="U932" i="1" a="1"/>
  <c r="U932" i="1"/>
  <c r="U933" i="1" a="1"/>
  <c r="U933" i="1" s="1"/>
  <c r="U934" i="1" a="1"/>
  <c r="U934" i="1" s="1"/>
  <c r="U935" i="1" a="1"/>
  <c r="U935" i="1"/>
  <c r="U936" i="1" a="1"/>
  <c r="U936" i="1"/>
  <c r="U937" i="1" a="1"/>
  <c r="U937" i="1"/>
  <c r="U938" i="1" a="1"/>
  <c r="U938" i="1" s="1"/>
  <c r="U939" i="1" a="1"/>
  <c r="U939" i="1" s="1"/>
  <c r="U940" i="1" a="1"/>
  <c r="U940" i="1" s="1"/>
  <c r="U941" i="1" a="1"/>
  <c r="U941" i="1" s="1"/>
  <c r="U942" i="1" a="1"/>
  <c r="U942" i="1" s="1"/>
  <c r="U943" i="1" a="1"/>
  <c r="U943" i="1" s="1"/>
  <c r="U944" i="1" a="1"/>
  <c r="U944" i="1" s="1"/>
  <c r="U945" i="1" a="1"/>
  <c r="U945" i="1"/>
  <c r="U946" i="1" a="1"/>
  <c r="U946" i="1" s="1"/>
  <c r="U947" i="1" a="1"/>
  <c r="U947" i="1"/>
  <c r="U948" i="1" a="1"/>
  <c r="U948" i="1"/>
  <c r="U949" i="1" a="1"/>
  <c r="U949" i="1"/>
  <c r="U950" i="1" a="1"/>
  <c r="U950" i="1"/>
  <c r="U951" i="1" a="1"/>
  <c r="U951" i="1" s="1"/>
  <c r="U952" i="1" a="1"/>
  <c r="U952" i="1" s="1"/>
  <c r="U953" i="1" a="1"/>
  <c r="U953" i="1" s="1"/>
  <c r="U954" i="1" a="1"/>
  <c r="U954" i="1" s="1"/>
  <c r="U955" i="1" a="1"/>
  <c r="U955" i="1" s="1"/>
  <c r="U956" i="1" a="1"/>
  <c r="U956" i="1" s="1"/>
  <c r="U957" i="1" a="1"/>
  <c r="U957" i="1" s="1"/>
  <c r="U958" i="1" a="1"/>
  <c r="U958" i="1" s="1"/>
  <c r="U959" i="1" a="1"/>
  <c r="U959" i="1" s="1"/>
  <c r="U960" i="1" a="1"/>
  <c r="U960" i="1"/>
  <c r="U961" i="1" a="1"/>
  <c r="U961" i="1"/>
  <c r="U962" i="1" a="1"/>
  <c r="U962" i="1"/>
  <c r="U963" i="1" a="1"/>
  <c r="U963" i="1"/>
  <c r="U964" i="1" a="1"/>
  <c r="U964" i="1" s="1"/>
  <c r="U965" i="1" a="1"/>
  <c r="U965" i="1"/>
  <c r="U966" i="1" a="1"/>
  <c r="U966" i="1" s="1"/>
  <c r="U967" i="1" a="1"/>
  <c r="U967" i="1" s="1"/>
  <c r="U968" i="1" a="1"/>
  <c r="U968" i="1" s="1"/>
  <c r="U969" i="1" a="1"/>
  <c r="U969" i="1" s="1"/>
  <c r="U970" i="1" a="1"/>
  <c r="U970" i="1" s="1"/>
  <c r="U971" i="1" a="1"/>
  <c r="U971" i="1" s="1"/>
  <c r="U972" i="1" a="1"/>
  <c r="U972" i="1" s="1"/>
  <c r="U973" i="1" a="1"/>
  <c r="U973" i="1"/>
  <c r="U974" i="1" a="1"/>
  <c r="U974" i="1"/>
  <c r="U975" i="1" a="1"/>
  <c r="U975" i="1"/>
  <c r="U976" i="1" a="1"/>
  <c r="U976" i="1" s="1"/>
  <c r="U977" i="1" a="1"/>
  <c r="U977" i="1" s="1"/>
  <c r="U978" i="1" a="1"/>
  <c r="U978" i="1"/>
  <c r="U979" i="1" a="1"/>
  <c r="U979" i="1" s="1"/>
  <c r="U980" i="1" a="1"/>
  <c r="U980" i="1" s="1"/>
  <c r="U981" i="1" a="1"/>
  <c r="U981" i="1"/>
  <c r="U982" i="1" a="1"/>
  <c r="U982" i="1" s="1"/>
  <c r="U983" i="1" a="1"/>
  <c r="U983" i="1"/>
  <c r="U984" i="1" a="1"/>
  <c r="U984" i="1" s="1"/>
  <c r="U985" i="1" a="1"/>
  <c r="U985" i="1" s="1"/>
  <c r="U986" i="1" a="1"/>
  <c r="U986" i="1"/>
  <c r="U987" i="1" a="1"/>
  <c r="U987" i="1" s="1"/>
  <c r="U988" i="1" a="1"/>
  <c r="U988" i="1" s="1"/>
  <c r="U989" i="1" a="1"/>
  <c r="U989" i="1" s="1"/>
  <c r="U990" i="1" a="1"/>
  <c r="U990" i="1"/>
  <c r="U991" i="1" a="1"/>
  <c r="U991" i="1"/>
  <c r="U992" i="1" a="1"/>
  <c r="U992" i="1" s="1"/>
  <c r="U993" i="1" a="1"/>
  <c r="U993" i="1"/>
  <c r="U994" i="1" a="1"/>
  <c r="U994" i="1" s="1"/>
  <c r="U995" i="1" a="1"/>
  <c r="U995" i="1" s="1"/>
  <c r="U996" i="1" a="1"/>
  <c r="U996" i="1"/>
  <c r="U997" i="1" a="1"/>
  <c r="U997" i="1"/>
  <c r="U998" i="1" a="1"/>
  <c r="U998" i="1" s="1"/>
  <c r="U999" i="1" a="1"/>
  <c r="U999" i="1"/>
  <c r="U1000" i="1" a="1"/>
  <c r="U1000" i="1" s="1"/>
  <c r="U1001" i="1" a="1"/>
  <c r="U1001" i="1"/>
  <c r="U1002" i="1" a="1"/>
  <c r="U1002" i="1" s="1"/>
  <c r="U1003" i="1" a="1"/>
  <c r="U1003" i="1" s="1"/>
  <c r="U1004" i="1" a="1"/>
  <c r="U1004" i="1"/>
  <c r="U1005" i="1" a="1"/>
  <c r="U1005" i="1" s="1"/>
  <c r="U1006" i="1" a="1"/>
  <c r="U1006" i="1" s="1"/>
  <c r="U1007" i="1" a="1"/>
  <c r="U1007" i="1"/>
  <c r="U1008" i="1" a="1"/>
  <c r="U1008" i="1" s="1"/>
  <c r="U1009" i="1" a="1"/>
  <c r="U1009" i="1"/>
  <c r="U1010" i="1" a="1"/>
  <c r="U1010" i="1"/>
  <c r="U1011" i="1" a="1"/>
  <c r="U1011" i="1" s="1"/>
  <c r="U1012" i="1" a="1"/>
  <c r="U1012" i="1" s="1"/>
  <c r="U1013" i="1" a="1"/>
  <c r="U1013" i="1"/>
  <c r="U1014" i="1" a="1"/>
  <c r="U1014" i="1"/>
  <c r="U1015" i="1" a="1"/>
  <c r="U1015" i="1" s="1"/>
  <c r="U1016" i="1" a="1"/>
  <c r="U1016" i="1" s="1"/>
  <c r="U1017" i="1" a="1"/>
  <c r="U1017" i="1" s="1"/>
  <c r="U1018" i="1" a="1"/>
  <c r="U1018" i="1" s="1"/>
  <c r="U1019" i="1" a="1"/>
  <c r="U1019" i="1" s="1"/>
  <c r="U1020" i="1" a="1"/>
  <c r="U1020" i="1"/>
  <c r="U1021" i="1" a="1"/>
  <c r="U1021" i="1" s="1"/>
  <c r="U1022" i="1" a="1"/>
  <c r="U1022" i="1"/>
  <c r="U1023" i="1" a="1"/>
  <c r="U1023" i="1" s="1"/>
  <c r="U1024" i="1" a="1"/>
  <c r="U1024" i="1"/>
  <c r="U1025" i="1" a="1"/>
  <c r="U1025" i="1" s="1"/>
  <c r="U1026" i="1" a="1"/>
  <c r="U1026" i="1"/>
  <c r="U1027" i="1" a="1"/>
  <c r="U1027" i="1"/>
  <c r="U1028" i="1" a="1"/>
  <c r="U1028" i="1" s="1"/>
  <c r="U1029" i="1" a="1"/>
  <c r="U1029" i="1" s="1"/>
  <c r="U1030" i="1" a="1"/>
  <c r="U1030" i="1"/>
  <c r="U1031" i="1" a="1"/>
  <c r="U1031" i="1" s="1"/>
  <c r="U1032" i="1" a="1"/>
  <c r="U1032" i="1" s="1"/>
  <c r="U1033" i="1" a="1"/>
  <c r="U1033" i="1"/>
  <c r="U1034" i="1" a="1"/>
  <c r="U1034" i="1" s="1"/>
  <c r="U1035" i="1" a="1"/>
  <c r="U1035" i="1" s="1"/>
  <c r="U1036" i="1" a="1"/>
  <c r="U1036" i="1" s="1"/>
  <c r="U1037" i="1" a="1"/>
  <c r="U1037" i="1"/>
  <c r="U1038" i="1" a="1"/>
  <c r="U1038" i="1" s="1"/>
  <c r="U1039" i="1" a="1"/>
  <c r="U1039" i="1"/>
  <c r="U1040" i="1" a="1"/>
  <c r="U1040" i="1"/>
  <c r="U1041" i="1" a="1"/>
  <c r="U1041" i="1" s="1"/>
  <c r="U1042" i="1" a="1"/>
  <c r="U1042" i="1"/>
  <c r="U1043" i="1" a="1"/>
  <c r="U1043" i="1"/>
  <c r="U1044" i="1" a="1"/>
  <c r="U1044" i="1" s="1"/>
  <c r="U1045" i="1" a="1"/>
  <c r="U1045" i="1" s="1"/>
  <c r="U1046" i="1" a="1"/>
  <c r="U1046" i="1"/>
  <c r="U1047" i="1" a="1"/>
  <c r="U1047" i="1" s="1"/>
  <c r="U1048" i="1" a="1"/>
  <c r="U1048" i="1" s="1"/>
  <c r="U1049" i="1" a="1"/>
  <c r="U1049" i="1" s="1"/>
  <c r="U1050" i="1" a="1"/>
  <c r="U1050" i="1"/>
  <c r="U1051" i="1" a="1"/>
  <c r="U1051" i="1" s="1"/>
  <c r="U1052" i="1" a="1"/>
  <c r="U1052" i="1"/>
  <c r="U1053" i="1" a="1"/>
  <c r="U1053" i="1" s="1"/>
  <c r="U1054" i="1" a="1"/>
  <c r="U1054" i="1" s="1"/>
  <c r="U1055" i="1" a="1"/>
  <c r="U1055" i="1"/>
  <c r="U1056" i="1" a="1"/>
  <c r="U1056" i="1"/>
  <c r="U1057" i="1" a="1"/>
  <c r="U1057" i="1" s="1"/>
  <c r="U1058" i="1" a="1"/>
  <c r="U1058" i="1" s="1"/>
  <c r="U1059" i="1" a="1"/>
  <c r="U1059" i="1" s="1"/>
  <c r="U1060" i="1" a="1"/>
  <c r="U1060" i="1"/>
  <c r="U1061" i="1" a="1"/>
  <c r="U1061" i="1" s="1"/>
  <c r="U1062" i="1" a="1"/>
  <c r="U1062" i="1" s="1"/>
  <c r="U1063" i="1" a="1"/>
  <c r="U1063" i="1"/>
  <c r="U1064" i="1" a="1"/>
  <c r="U1064" i="1" s="1"/>
  <c r="U1065" i="1" a="1"/>
  <c r="U1065" i="1" s="1"/>
  <c r="U1066" i="1" a="1"/>
  <c r="U1066" i="1"/>
  <c r="U1067" i="1" a="1"/>
  <c r="U1067" i="1" s="1"/>
  <c r="U1068" i="1" a="1"/>
  <c r="U1068" i="1"/>
  <c r="U1069" i="1" a="1"/>
  <c r="U1069" i="1"/>
  <c r="U1070" i="1" a="1"/>
  <c r="U1070" i="1" s="1"/>
  <c r="U1071" i="1" a="1"/>
  <c r="U1071" i="1" s="1"/>
  <c r="U1072" i="1" a="1"/>
  <c r="U1072" i="1"/>
  <c r="U1073" i="1" a="1"/>
  <c r="U1073" i="1"/>
  <c r="U1074" i="1" a="1"/>
  <c r="U1074" i="1" s="1"/>
  <c r="U1075" i="1" a="1"/>
  <c r="U1075" i="1" s="1"/>
  <c r="U1076" i="1" a="1"/>
  <c r="U1076" i="1"/>
  <c r="U1077" i="1" a="1"/>
  <c r="U1077" i="1" s="1"/>
  <c r="U1078" i="1" a="1"/>
  <c r="U1078" i="1" s="1"/>
  <c r="U1079" i="1" a="1"/>
  <c r="U1079" i="1"/>
  <c r="U1080" i="1" a="1"/>
  <c r="U1080" i="1" s="1"/>
  <c r="U1081" i="1" a="1"/>
  <c r="U1081" i="1"/>
  <c r="U1082" i="1" a="1"/>
  <c r="U1082" i="1"/>
  <c r="U1083" i="1" a="1"/>
  <c r="U1083" i="1" s="1"/>
  <c r="U1084" i="1" a="1"/>
  <c r="U1084" i="1" s="1"/>
  <c r="U1085" i="1" a="1"/>
  <c r="U1085" i="1"/>
  <c r="U1086" i="1" a="1"/>
  <c r="U1086" i="1"/>
  <c r="U1087" i="1" a="1"/>
  <c r="U1087" i="1" s="1"/>
  <c r="U1088" i="1" a="1"/>
  <c r="U1088" i="1" s="1"/>
  <c r="U1089" i="1" a="1"/>
  <c r="U1089" i="1" s="1"/>
  <c r="U1090" i="1" a="1"/>
  <c r="U1090" i="1" s="1"/>
  <c r="U1091" i="1" a="1"/>
  <c r="U1091" i="1" s="1"/>
  <c r="U1092" i="1" a="1"/>
  <c r="U1092" i="1"/>
  <c r="U1093" i="1" a="1"/>
  <c r="U1093" i="1" s="1"/>
  <c r="U1094" i="1" a="1"/>
  <c r="U1094" i="1"/>
  <c r="U1095" i="1" a="1"/>
  <c r="U1095" i="1" s="1"/>
  <c r="U1096" i="1" a="1"/>
  <c r="U1096" i="1"/>
  <c r="U1097" i="1" a="1"/>
  <c r="U1097" i="1" s="1"/>
  <c r="U1098" i="1" a="1"/>
  <c r="U1098" i="1"/>
  <c r="U1099" i="1" a="1"/>
  <c r="U1099" i="1"/>
  <c r="U1100" i="1" a="1"/>
  <c r="U1100" i="1" s="1"/>
  <c r="U1101" i="1" a="1"/>
  <c r="U1101" i="1" s="1"/>
  <c r="U1102" i="1" a="1"/>
  <c r="U1102" i="1"/>
  <c r="U1103" i="1" a="1"/>
  <c r="U1103" i="1" s="1"/>
  <c r="U1104" i="1" a="1"/>
  <c r="U1104" i="1" s="1"/>
  <c r="U1105" i="1" a="1"/>
  <c r="U1105" i="1"/>
  <c r="U1106" i="1" a="1"/>
  <c r="U1106" i="1" s="1"/>
  <c r="U1107" i="1" a="1"/>
  <c r="U1107" i="1" s="1"/>
  <c r="U1108" i="1" a="1"/>
  <c r="U1108" i="1" s="1"/>
  <c r="U1109" i="1" a="1"/>
  <c r="U1109" i="1"/>
  <c r="U1110" i="1" a="1"/>
  <c r="U1110" i="1" s="1"/>
  <c r="U1111" i="1" a="1"/>
  <c r="U1111" i="1"/>
  <c r="U1112" i="1" a="1"/>
  <c r="U1112" i="1"/>
  <c r="U1113" i="1" a="1"/>
  <c r="U1113" i="1" s="1"/>
  <c r="U1114" i="1" a="1"/>
  <c r="U1114" i="1"/>
  <c r="U1115" i="1" a="1"/>
  <c r="U1115" i="1"/>
  <c r="U1116" i="1" a="1"/>
  <c r="U1116" i="1" s="1"/>
  <c r="U1117" i="1" a="1"/>
  <c r="U1117" i="1" s="1"/>
  <c r="U1118" i="1" a="1"/>
  <c r="U1118" i="1"/>
  <c r="U1119" i="1" a="1"/>
  <c r="U1119" i="1" s="1"/>
  <c r="U1120" i="1" a="1"/>
  <c r="U1120" i="1" s="1"/>
  <c r="U1121" i="1" a="1"/>
  <c r="U1121" i="1" s="1"/>
  <c r="U1122" i="1" a="1"/>
  <c r="U1122" i="1"/>
  <c r="U1123" i="1" a="1"/>
  <c r="U1123" i="1" s="1"/>
  <c r="U1124" i="1" a="1"/>
  <c r="U1124" i="1"/>
  <c r="U1125" i="1" a="1"/>
  <c r="U1125" i="1" s="1"/>
  <c r="U1126" i="1" a="1"/>
  <c r="U1126" i="1" s="1"/>
  <c r="U1127" i="1" a="1"/>
  <c r="U1127" i="1"/>
  <c r="U1128" i="1" a="1"/>
  <c r="U1128" i="1"/>
  <c r="U1129" i="1" a="1"/>
  <c r="U1129" i="1" s="1"/>
  <c r="U1130" i="1" a="1"/>
  <c r="U1130" i="1" s="1"/>
  <c r="U1131" i="1" a="1"/>
  <c r="U1131" i="1" s="1"/>
  <c r="U1132" i="1" a="1"/>
  <c r="U1132" i="1"/>
  <c r="U1133" i="1" a="1"/>
  <c r="U1133" i="1" s="1"/>
  <c r="U1134" i="1" a="1"/>
  <c r="U1134" i="1" s="1"/>
  <c r="U1135" i="1" a="1"/>
  <c r="U1135" i="1"/>
  <c r="U1136" i="1" a="1"/>
  <c r="U1136" i="1" s="1"/>
  <c r="U1137" i="1" a="1"/>
  <c r="U1137" i="1" s="1"/>
  <c r="U1138" i="1" a="1"/>
  <c r="U1138" i="1"/>
  <c r="U1139" i="1" a="1"/>
  <c r="U1139" i="1" s="1"/>
  <c r="U1140" i="1" a="1"/>
  <c r="U1140" i="1"/>
  <c r="U1141" i="1" a="1"/>
  <c r="U1141" i="1"/>
  <c r="U1142" i="1" a="1"/>
  <c r="U1142" i="1" s="1"/>
  <c r="U1143" i="1" a="1"/>
  <c r="U1143" i="1" s="1"/>
  <c r="U1144" i="1" a="1"/>
  <c r="U1144" i="1"/>
  <c r="U1145" i="1" a="1"/>
  <c r="U1145" i="1"/>
  <c r="U1146" i="1" a="1"/>
  <c r="U1146" i="1" s="1"/>
  <c r="U1147" i="1" a="1"/>
  <c r="U1147" i="1" s="1"/>
  <c r="U1148" i="1" a="1"/>
  <c r="U1148" i="1"/>
  <c r="U1149" i="1" a="1"/>
  <c r="U1149" i="1" s="1"/>
  <c r="U1150" i="1" a="1"/>
  <c r="U1150" i="1" s="1"/>
  <c r="U1151" i="1" a="1"/>
  <c r="U1151" i="1"/>
  <c r="U1152" i="1" a="1"/>
  <c r="U1152" i="1" s="1"/>
  <c r="U1153" i="1" a="1"/>
  <c r="U1153" i="1"/>
  <c r="U1154" i="1" a="1"/>
  <c r="U1154" i="1"/>
  <c r="U1155" i="1" a="1"/>
  <c r="U1155" i="1" s="1"/>
  <c r="U1156" i="1" a="1"/>
  <c r="U1156" i="1" s="1"/>
  <c r="U1157" i="1" a="1"/>
  <c r="U1157" i="1"/>
  <c r="U1158" i="1" a="1"/>
  <c r="U1158" i="1" s="1"/>
  <c r="U1159" i="1" a="1"/>
  <c r="U1159" i="1" s="1"/>
  <c r="U1160" i="1" a="1"/>
  <c r="U1160" i="1" s="1"/>
  <c r="U1161" i="1" a="1"/>
  <c r="U1161" i="1" s="1"/>
  <c r="U1162" i="1" a="1"/>
  <c r="U1162" i="1" s="1"/>
  <c r="U1163" i="1" a="1"/>
  <c r="U1163" i="1" s="1"/>
  <c r="U1164" i="1" a="1"/>
  <c r="U1164" i="1" s="1"/>
  <c r="U1165" i="1" a="1"/>
  <c r="U1165" i="1" s="1"/>
  <c r="U1166" i="1" a="1"/>
  <c r="U1166" i="1"/>
  <c r="U1167" i="1" a="1"/>
  <c r="U1167" i="1" s="1"/>
  <c r="U1168" i="1" a="1"/>
  <c r="U1168" i="1"/>
  <c r="U1169" i="1" a="1"/>
  <c r="U1169" i="1" s="1"/>
  <c r="U1170" i="1" a="1"/>
  <c r="U1170" i="1"/>
  <c r="U1171" i="1" a="1"/>
  <c r="U1171" i="1" s="1"/>
  <c r="U1172" i="1" a="1"/>
  <c r="U1172" i="1" s="1"/>
  <c r="U1173" i="1" a="1"/>
  <c r="U1173" i="1" s="1"/>
  <c r="U1174" i="1" a="1"/>
  <c r="U1174" i="1"/>
  <c r="U1175" i="1" a="1"/>
  <c r="U1175" i="1" s="1"/>
  <c r="U1176" i="1" a="1"/>
  <c r="U1176" i="1" s="1"/>
  <c r="U1177" i="1" a="1"/>
  <c r="U1177" i="1" s="1"/>
  <c r="U1178" i="1" a="1"/>
  <c r="U1178" i="1" s="1"/>
  <c r="U1179" i="1" a="1"/>
  <c r="U1179" i="1" s="1"/>
  <c r="U1180" i="1" a="1"/>
  <c r="U1180" i="1" s="1"/>
  <c r="U1181" i="1" a="1"/>
  <c r="U1181" i="1"/>
  <c r="U1182" i="1" a="1"/>
  <c r="U1182" i="1"/>
  <c r="U1183" i="1" a="1"/>
  <c r="U1183" i="1"/>
  <c r="U1184" i="1" a="1"/>
  <c r="U1184" i="1" s="1"/>
  <c r="U1185" i="1" a="1"/>
  <c r="U1185" i="1" s="1"/>
  <c r="U1186" i="1" a="1"/>
  <c r="U1186" i="1"/>
  <c r="U1187" i="1" a="1"/>
  <c r="U1187" i="1"/>
  <c r="U1188" i="1" a="1"/>
  <c r="U1188" i="1"/>
  <c r="U1189" i="1" a="1"/>
  <c r="U1189" i="1" s="1"/>
  <c r="U1190" i="1" a="1"/>
  <c r="U1190" i="1"/>
  <c r="U1191" i="1" a="1"/>
  <c r="U1191" i="1" s="1"/>
  <c r="U1192" i="1" a="1"/>
  <c r="U1192" i="1" s="1"/>
  <c r="U1193" i="1" a="1"/>
  <c r="U1193" i="1" s="1"/>
  <c r="U1194" i="1" a="1"/>
  <c r="U1194" i="1"/>
  <c r="U1195" i="1" a="1"/>
  <c r="U1195" i="1" s="1"/>
  <c r="U1196" i="1" a="1"/>
  <c r="U1196" i="1"/>
  <c r="U1197" i="1" a="1"/>
  <c r="U1197" i="1" s="1"/>
  <c r="U1198" i="1" a="1"/>
  <c r="U1198" i="1"/>
  <c r="U1199" i="1" a="1"/>
  <c r="U1199" i="1"/>
  <c r="U1200" i="1" a="1"/>
  <c r="U1200" i="1"/>
  <c r="U1201" i="1" a="1"/>
  <c r="U1201" i="1" s="1"/>
  <c r="U1202" i="1" a="1"/>
  <c r="U1202" i="1" s="1"/>
  <c r="U1203" i="1" a="1"/>
  <c r="U1203" i="1" s="1"/>
  <c r="U1204" i="1" a="1"/>
  <c r="U1204" i="1" s="1"/>
  <c r="U1205" i="1" a="1"/>
  <c r="U1205" i="1" s="1"/>
  <c r="U1206" i="1" a="1"/>
  <c r="U1206" i="1" s="1"/>
  <c r="U1207" i="1" a="1"/>
  <c r="U1207" i="1"/>
  <c r="U1208" i="1" a="1"/>
  <c r="U1208" i="1" s="1"/>
  <c r="U1209" i="1" a="1"/>
  <c r="U1209" i="1" s="1"/>
  <c r="U1210" i="1" a="1"/>
  <c r="U1210" i="1" s="1"/>
  <c r="U1211" i="1" a="1"/>
  <c r="U1211" i="1"/>
  <c r="U1212" i="1" a="1"/>
  <c r="U1212" i="1"/>
  <c r="U1213" i="1" a="1"/>
  <c r="U1213" i="1"/>
  <c r="U1214" i="1" a="1"/>
  <c r="U1214" i="1" s="1"/>
  <c r="U1215" i="1" a="1"/>
  <c r="U1215" i="1" s="1"/>
  <c r="U1216" i="1" a="1"/>
  <c r="U1216" i="1" s="1"/>
  <c r="U1217" i="1" a="1"/>
  <c r="U1217" i="1"/>
  <c r="U1218" i="1" a="1"/>
  <c r="U1218" i="1" s="1"/>
  <c r="U1219" i="1" a="1"/>
  <c r="U1219" i="1"/>
  <c r="U1220" i="1" a="1"/>
  <c r="U1220" i="1" s="1"/>
  <c r="U1221" i="1" a="1"/>
  <c r="U1221" i="1" s="1"/>
  <c r="U1222" i="1" a="1"/>
  <c r="U1222" i="1" s="1"/>
  <c r="U1223" i="1" a="1"/>
  <c r="U1223" i="1" s="1"/>
  <c r="U1224" i="1" a="1"/>
  <c r="U1224" i="1"/>
  <c r="U1225" i="1" a="1"/>
  <c r="U1225" i="1"/>
  <c r="U1226" i="1" a="1"/>
  <c r="U1226" i="1" s="1"/>
  <c r="U1227" i="1" a="1"/>
  <c r="U1227" i="1" s="1"/>
  <c r="U1228" i="1" a="1"/>
  <c r="U1228" i="1" s="1"/>
  <c r="U1229" i="1" a="1"/>
  <c r="U1229" i="1"/>
  <c r="U1230" i="1" a="1"/>
  <c r="U1230" i="1" s="1"/>
  <c r="U1231" i="1" a="1"/>
  <c r="U1231" i="1" s="1"/>
  <c r="U1232" i="1" a="1"/>
  <c r="U1232" i="1" s="1"/>
  <c r="U1233" i="1" a="1"/>
  <c r="U1233" i="1" s="1"/>
  <c r="U1234" i="1" a="1"/>
  <c r="U1234" i="1" s="1"/>
  <c r="U1235" i="1" a="1"/>
  <c r="U1235" i="1" s="1"/>
  <c r="U1236" i="1" a="1"/>
  <c r="U1236" i="1"/>
  <c r="U1237" i="1" a="1"/>
  <c r="U1237" i="1" s="1"/>
  <c r="U1238" i="1" a="1"/>
  <c r="U1238" i="1"/>
  <c r="U1239" i="1" a="1"/>
  <c r="U1239" i="1" s="1"/>
  <c r="U1240" i="1" a="1"/>
  <c r="U1240" i="1" s="1"/>
  <c r="U1241" i="1" a="1"/>
  <c r="U1241" i="1"/>
  <c r="U1242" i="1" a="1"/>
  <c r="U1242" i="1" s="1"/>
  <c r="U1243" i="1" a="1"/>
  <c r="U1243" i="1" s="1"/>
  <c r="U1244" i="1" a="1"/>
  <c r="U1244" i="1" s="1"/>
  <c r="U1245" i="1" a="1"/>
  <c r="U1245" i="1"/>
  <c r="U1246" i="1" a="1"/>
  <c r="U1246" i="1"/>
  <c r="U1247" i="1" a="1"/>
  <c r="U1247" i="1" s="1"/>
  <c r="U1248" i="1" a="1"/>
  <c r="U1248" i="1" s="1"/>
  <c r="U1249" i="1" a="1"/>
  <c r="U1249" i="1"/>
  <c r="U1250" i="1" a="1"/>
  <c r="U1250" i="1" s="1"/>
  <c r="U1251" i="1" a="1"/>
  <c r="U1251" i="1"/>
  <c r="U1252" i="1" a="1"/>
  <c r="U1252" i="1" s="1"/>
  <c r="U1253" i="1" a="1"/>
  <c r="U1253" i="1" s="1"/>
  <c r="U1254" i="1" a="1"/>
  <c r="U1254" i="1"/>
  <c r="U1255" i="1" a="1"/>
  <c r="U1255" i="1" s="1"/>
  <c r="U1256" i="1" a="1"/>
  <c r="U1256" i="1" s="1"/>
  <c r="U1257" i="1" a="1"/>
  <c r="U1257" i="1" s="1"/>
  <c r="U1258" i="1" a="1"/>
  <c r="U1258" i="1"/>
  <c r="U1259" i="1" a="1"/>
  <c r="U1259" i="1"/>
  <c r="U1260" i="1" a="1"/>
  <c r="U1260" i="1" s="1"/>
  <c r="U1261" i="1" a="1"/>
  <c r="U1261" i="1" s="1"/>
  <c r="U1262" i="1" a="1"/>
  <c r="U1262" i="1" s="1"/>
  <c r="U1263" i="1" a="1"/>
  <c r="U1263" i="1" s="1"/>
  <c r="U1264" i="1" a="1"/>
  <c r="U1264" i="1"/>
  <c r="U1265" i="1" a="1"/>
  <c r="U1265" i="1" s="1"/>
  <c r="U1266" i="1" a="1"/>
  <c r="U1266" i="1" s="1"/>
  <c r="U1267" i="1" a="1"/>
  <c r="U1267" i="1"/>
  <c r="U1268" i="1" a="1"/>
  <c r="U1268" i="1" s="1"/>
  <c r="U1269" i="1" a="1"/>
  <c r="U1269" i="1"/>
  <c r="U1270" i="1" a="1"/>
  <c r="U1270" i="1" s="1"/>
  <c r="U1271" i="1" a="1"/>
  <c r="U1271" i="1"/>
  <c r="U1272" i="1" a="1"/>
  <c r="U1272" i="1"/>
  <c r="U1273" i="1" a="1"/>
  <c r="U1273" i="1" s="1"/>
  <c r="U1274" i="1" a="1"/>
  <c r="U1274" i="1" s="1"/>
  <c r="U1275" i="1" a="1"/>
  <c r="U1275" i="1" s="1"/>
  <c r="U1276" i="1" a="1"/>
  <c r="U1276" i="1" s="1"/>
  <c r="U1277" i="1" a="1"/>
  <c r="U1277" i="1"/>
  <c r="U1278" i="1" a="1"/>
  <c r="U1278" i="1" s="1"/>
  <c r="U1279" i="1" a="1"/>
  <c r="U1279" i="1" s="1"/>
  <c r="U1280" i="1" a="1"/>
  <c r="U1280" i="1" s="1"/>
  <c r="U1281" i="1" a="1"/>
  <c r="U1281" i="1" s="1"/>
  <c r="U1282" i="1" a="1"/>
  <c r="U1282" i="1"/>
  <c r="U1283" i="1" a="1"/>
  <c r="U1283" i="1" s="1"/>
  <c r="U1284" i="1" a="1"/>
  <c r="U1284" i="1"/>
  <c r="U1285" i="1" a="1"/>
  <c r="U1285" i="1"/>
  <c r="U1286" i="1" a="1"/>
  <c r="U1286" i="1" s="1"/>
  <c r="U1287" i="1" a="1"/>
  <c r="U1287" i="1"/>
  <c r="U1288" i="1" a="1"/>
  <c r="U1288" i="1" s="1"/>
  <c r="U1289" i="1" a="1"/>
  <c r="U1289" i="1" s="1"/>
  <c r="U1290" i="1" a="1"/>
  <c r="U1290" i="1"/>
  <c r="U1291" i="1" a="1"/>
  <c r="U1291" i="1" s="1"/>
  <c r="U1292" i="1" a="1"/>
  <c r="U1292" i="1" s="1"/>
  <c r="U1293" i="1" a="1"/>
  <c r="U1293" i="1" s="1"/>
  <c r="U1294" i="1" a="1"/>
  <c r="U1294" i="1" s="1"/>
  <c r="U1295" i="1" a="1"/>
  <c r="U1295" i="1"/>
  <c r="U1296" i="1" a="1"/>
  <c r="U1296" i="1" s="1"/>
  <c r="U1297" i="1" a="1"/>
  <c r="U1297" i="1"/>
  <c r="U1298" i="1" a="1"/>
  <c r="U1298" i="1" s="1"/>
  <c r="U1299" i="1" a="1"/>
  <c r="U1299" i="1" s="1"/>
  <c r="U1300" i="1" a="1"/>
  <c r="U1300" i="1"/>
  <c r="U1301" i="1" a="1"/>
  <c r="U1301" i="1" s="1"/>
  <c r="U1302" i="1" a="1"/>
  <c r="U1302" i="1" s="1"/>
  <c r="U1303" i="1" a="1"/>
  <c r="U1303" i="1"/>
  <c r="U1304" i="1" a="1"/>
  <c r="U1304" i="1" s="1"/>
  <c r="U1305" i="1" a="1"/>
  <c r="U1305" i="1"/>
  <c r="U1306" i="1" a="1"/>
  <c r="U1306" i="1" s="1"/>
  <c r="U1307" i="1" a="1"/>
  <c r="U1307" i="1" s="1"/>
  <c r="U1308" i="1" a="1"/>
  <c r="U1308" i="1"/>
  <c r="U1309" i="1" a="1"/>
  <c r="U1309" i="1" s="1"/>
  <c r="U1310" i="1" a="1"/>
  <c r="U1310" i="1" s="1"/>
  <c r="U1311" i="1" a="1"/>
  <c r="U1311" i="1" s="1"/>
  <c r="U1312" i="1" a="1"/>
  <c r="U1312" i="1" s="1"/>
  <c r="U1313" i="1" a="1"/>
  <c r="U1313" i="1"/>
  <c r="U1314" i="1" a="1"/>
  <c r="U1314" i="1" s="1"/>
  <c r="U1315" i="1" a="1"/>
  <c r="U1315" i="1" s="1"/>
  <c r="U1316" i="1" a="1"/>
  <c r="U1316" i="1" s="1"/>
  <c r="U1317" i="1" a="1"/>
  <c r="U1317" i="1"/>
  <c r="U1318" i="1" a="1"/>
  <c r="U1318" i="1"/>
  <c r="U1319" i="1" a="1"/>
  <c r="U1319" i="1" s="1"/>
  <c r="U1320" i="1" a="1"/>
  <c r="U1320" i="1" s="1"/>
  <c r="U1321" i="1" a="1"/>
  <c r="U1321" i="1"/>
  <c r="U1322" i="1" a="1"/>
  <c r="U1322" i="1" s="1"/>
  <c r="U1323" i="1" a="1"/>
  <c r="U1323" i="1"/>
  <c r="U1324" i="1" a="1"/>
  <c r="U1324" i="1" s="1"/>
  <c r="U1325" i="1" a="1"/>
  <c r="U1325" i="1" s="1"/>
  <c r="U1326" i="1" a="1"/>
  <c r="U1326" i="1"/>
  <c r="U1327" i="1" a="1"/>
  <c r="U1327" i="1" s="1"/>
  <c r="U1328" i="1" a="1"/>
  <c r="U1328" i="1" s="1"/>
  <c r="U1329" i="1" a="1"/>
  <c r="U1329" i="1" s="1"/>
  <c r="U1330" i="1" a="1"/>
  <c r="U1330" i="1"/>
  <c r="U1331" i="1" a="1"/>
  <c r="U1331" i="1"/>
  <c r="U1332" i="1" a="1"/>
  <c r="U1332" i="1" s="1"/>
  <c r="U1333" i="1" a="1"/>
  <c r="U1333" i="1" s="1"/>
  <c r="U1334" i="1" a="1"/>
  <c r="U1334" i="1" s="1"/>
  <c r="U1335" i="1" a="1"/>
  <c r="U1335" i="1" s="1"/>
  <c r="U1336" i="1" a="1"/>
  <c r="U1336" i="1"/>
  <c r="U1337" i="1" a="1"/>
  <c r="U1337" i="1" s="1"/>
  <c r="U1338" i="1" a="1"/>
  <c r="U1338" i="1" s="1"/>
  <c r="U1339" i="1" a="1"/>
  <c r="U1339" i="1"/>
  <c r="U1340" i="1" a="1"/>
  <c r="U1340" i="1" s="1"/>
  <c r="U1341" i="1" a="1"/>
  <c r="U1341" i="1"/>
  <c r="U1342" i="1" a="1"/>
  <c r="U1342" i="1" s="1"/>
  <c r="U1343" i="1" a="1"/>
  <c r="U1343" i="1"/>
  <c r="U1344" i="1" a="1"/>
  <c r="U1344" i="1"/>
  <c r="U1345" i="1" a="1"/>
  <c r="U1345" i="1" s="1"/>
  <c r="U1346" i="1" a="1"/>
  <c r="U1346" i="1" s="1"/>
  <c r="U1347" i="1" a="1"/>
  <c r="U1347" i="1" s="1"/>
  <c r="U1348" i="1" a="1"/>
  <c r="U1348" i="1" s="1"/>
  <c r="U1349" i="1" a="1"/>
  <c r="U1349" i="1"/>
  <c r="U1350" i="1" a="1"/>
  <c r="U1350" i="1" s="1"/>
  <c r="U1351" i="1" a="1"/>
  <c r="U1351" i="1" s="1"/>
  <c r="U1352" i="1" a="1"/>
  <c r="U1352" i="1" s="1"/>
  <c r="U1353" i="1" a="1"/>
  <c r="U1353" i="1" s="1"/>
  <c r="U1354" i="1" a="1"/>
  <c r="U1354" i="1"/>
  <c r="U1355" i="1" a="1"/>
  <c r="U1355" i="1" s="1"/>
  <c r="U1356" i="1" a="1"/>
  <c r="U1356" i="1"/>
  <c r="U1357" i="1" a="1"/>
  <c r="U1357" i="1"/>
  <c r="U1358" i="1" a="1"/>
  <c r="U1358" i="1" s="1"/>
  <c r="U1359" i="1" a="1"/>
  <c r="U1359" i="1"/>
  <c r="U1360" i="1" a="1"/>
  <c r="U1360" i="1" s="1"/>
  <c r="U1361" i="1" a="1"/>
  <c r="U1361" i="1" s="1"/>
  <c r="U1362" i="1" a="1"/>
  <c r="U1362" i="1"/>
  <c r="U1363" i="1" a="1"/>
  <c r="U1363" i="1" s="1"/>
  <c r="U1364" i="1" a="1"/>
  <c r="U1364" i="1" s="1"/>
  <c r="U1365" i="1" a="1"/>
  <c r="U1365" i="1" s="1"/>
  <c r="U1366" i="1" a="1"/>
  <c r="U1366" i="1" s="1"/>
  <c r="U1367" i="1" a="1"/>
  <c r="U1367" i="1"/>
  <c r="U1368" i="1" a="1"/>
  <c r="U1368" i="1" s="1"/>
  <c r="U1369" i="1" a="1"/>
  <c r="U1369" i="1"/>
  <c r="U1370" i="1" a="1"/>
  <c r="U1370" i="1" s="1"/>
  <c r="U1371" i="1" a="1"/>
  <c r="U1371" i="1" s="1"/>
  <c r="U1372" i="1" a="1"/>
  <c r="U1372" i="1"/>
  <c r="U1373" i="1" a="1"/>
  <c r="U1373" i="1" s="1"/>
  <c r="U1374" i="1" a="1"/>
  <c r="U1374" i="1" s="1"/>
  <c r="U1375" i="1" a="1"/>
  <c r="U1375" i="1"/>
  <c r="U1376" i="1" a="1"/>
  <c r="U1376" i="1" s="1"/>
  <c r="U1377" i="1" a="1"/>
  <c r="U1377" i="1"/>
  <c r="U1378" i="1" a="1"/>
  <c r="U1378" i="1" s="1"/>
  <c r="U1379" i="1" a="1"/>
  <c r="U1379" i="1" s="1"/>
  <c r="U1380" i="1" a="1"/>
  <c r="U1380" i="1"/>
  <c r="U1381" i="1" a="1"/>
  <c r="U1381" i="1" s="1"/>
  <c r="U1382" i="1" a="1"/>
  <c r="U1382" i="1" s="1"/>
  <c r="U1383" i="1" a="1"/>
  <c r="U1383" i="1" s="1"/>
  <c r="U1384" i="1" a="1"/>
  <c r="U1384" i="1" s="1"/>
  <c r="U1385" i="1" a="1"/>
  <c r="U1385" i="1"/>
  <c r="U1386" i="1" a="1"/>
  <c r="U1386" i="1" s="1"/>
  <c r="U1387" i="1" a="1"/>
  <c r="U1387" i="1" s="1"/>
  <c r="U1388" i="1" a="1"/>
  <c r="U1388" i="1" s="1"/>
  <c r="U1389" i="1" a="1"/>
  <c r="U1389" i="1"/>
  <c r="U1390" i="1" a="1"/>
  <c r="U1390" i="1"/>
  <c r="U1391" i="1" a="1"/>
  <c r="U1391" i="1" s="1"/>
  <c r="U1392" i="1" a="1"/>
  <c r="U1392" i="1" s="1"/>
  <c r="U1393" i="1" a="1"/>
  <c r="U1393" i="1"/>
  <c r="U1394" i="1" a="1"/>
  <c r="U1394" i="1" s="1"/>
  <c r="U1395" i="1" a="1"/>
  <c r="U1395" i="1"/>
  <c r="U1396" i="1" a="1"/>
  <c r="U1396" i="1" s="1"/>
  <c r="U1397" i="1" a="1"/>
  <c r="U1397" i="1" s="1"/>
  <c r="U1398" i="1" a="1"/>
  <c r="U1398" i="1"/>
  <c r="U1399" i="1" a="1"/>
  <c r="U1399" i="1" s="1"/>
  <c r="U1400" i="1" a="1"/>
  <c r="U1400" i="1" s="1"/>
  <c r="U1401" i="1" a="1"/>
  <c r="U1401" i="1" s="1"/>
  <c r="U1402" i="1" a="1"/>
  <c r="U1402" i="1"/>
  <c r="U1403" i="1" a="1"/>
  <c r="U1403" i="1"/>
  <c r="U1404" i="1" a="1"/>
  <c r="U1404" i="1" s="1"/>
  <c r="U1405" i="1" a="1"/>
  <c r="U1405" i="1" s="1"/>
  <c r="U1406" i="1" a="1"/>
  <c r="U1406" i="1" s="1"/>
  <c r="U1407" i="1" a="1"/>
  <c r="U1407" i="1" s="1"/>
  <c r="U1408" i="1" a="1"/>
  <c r="U1408" i="1"/>
  <c r="U1409" i="1" a="1"/>
  <c r="U1409" i="1" s="1"/>
  <c r="U1410" i="1" a="1"/>
  <c r="U1410" i="1" s="1"/>
  <c r="U1411" i="1" a="1"/>
  <c r="U1411" i="1"/>
  <c r="U1412" i="1" a="1"/>
  <c r="U1412" i="1" s="1"/>
  <c r="U1413" i="1" a="1"/>
  <c r="U1413" i="1"/>
  <c r="U1414" i="1" a="1"/>
  <c r="U1414" i="1" s="1"/>
  <c r="U1415" i="1" a="1"/>
  <c r="U1415" i="1"/>
  <c r="U1416" i="1" a="1"/>
  <c r="U1416" i="1"/>
  <c r="U1417" i="1" a="1"/>
  <c r="U1417" i="1" s="1"/>
  <c r="U1418" i="1" a="1"/>
  <c r="U1418" i="1" s="1"/>
  <c r="U1419" i="1" a="1"/>
  <c r="U1419" i="1" s="1"/>
  <c r="U1420" i="1" a="1"/>
  <c r="U1420" i="1" s="1"/>
  <c r="U1421" i="1" a="1"/>
  <c r="U1421" i="1"/>
  <c r="U1422" i="1" a="1"/>
  <c r="U1422" i="1" s="1"/>
  <c r="U1423" i="1" a="1"/>
  <c r="U1423" i="1" s="1"/>
  <c r="U1424" i="1" a="1"/>
  <c r="U1424" i="1" s="1"/>
  <c r="U1425" i="1" a="1"/>
  <c r="U1425" i="1" s="1"/>
  <c r="U1426" i="1" a="1"/>
  <c r="U1426" i="1"/>
  <c r="U1427" i="1" a="1"/>
  <c r="U1427" i="1" s="1"/>
  <c r="U1428" i="1" a="1"/>
  <c r="U1428" i="1"/>
  <c r="U1429" i="1" a="1"/>
  <c r="U1429" i="1"/>
  <c r="U1430" i="1" a="1"/>
  <c r="U1430" i="1" s="1"/>
  <c r="U1431" i="1" a="1"/>
  <c r="U1431" i="1"/>
  <c r="U1432" i="1" a="1"/>
  <c r="U1432" i="1" s="1"/>
  <c r="U1433" i="1" a="1"/>
  <c r="U1433" i="1" s="1"/>
  <c r="U1434" i="1" a="1"/>
  <c r="U1434" i="1"/>
  <c r="U1435" i="1" a="1"/>
  <c r="U1435" i="1" s="1"/>
  <c r="U1436" i="1" a="1"/>
  <c r="U1436" i="1" s="1"/>
  <c r="U1437" i="1" a="1"/>
  <c r="U1437" i="1" s="1"/>
  <c r="U1438" i="1" a="1"/>
  <c r="U1438" i="1" s="1"/>
  <c r="U1439" i="1" a="1"/>
  <c r="U1439" i="1"/>
  <c r="U1440" i="1" a="1"/>
  <c r="U1440" i="1" s="1"/>
  <c r="U1441" i="1" a="1"/>
  <c r="U1441" i="1"/>
  <c r="U1442" i="1" a="1"/>
  <c r="U1442" i="1" s="1"/>
  <c r="U1443" i="1" a="1"/>
  <c r="U1443" i="1" s="1"/>
  <c r="U1444" i="1" a="1"/>
  <c r="U1444" i="1"/>
  <c r="U1445" i="1" a="1"/>
  <c r="U1445" i="1" s="1"/>
  <c r="U1446" i="1" a="1"/>
  <c r="U1446" i="1" s="1"/>
  <c r="U1447" i="1" a="1"/>
  <c r="U1447" i="1"/>
  <c r="U1448" i="1" a="1"/>
  <c r="U1448" i="1" s="1"/>
  <c r="U1449" i="1" a="1"/>
  <c r="U1449" i="1"/>
  <c r="U1450" i="1" a="1"/>
  <c r="U1450" i="1" s="1"/>
  <c r="U1451" i="1" a="1"/>
  <c r="U1451" i="1" s="1"/>
  <c r="U1452" i="1" a="1"/>
  <c r="U1452" i="1"/>
  <c r="U1453" i="1" a="1"/>
  <c r="U1453" i="1" s="1"/>
  <c r="U1454" i="1" a="1"/>
  <c r="U1454" i="1" s="1"/>
  <c r="U1455" i="1" a="1"/>
  <c r="U1455" i="1" s="1"/>
  <c r="U1456" i="1" a="1"/>
  <c r="U1456" i="1" s="1"/>
  <c r="U1457" i="1" a="1"/>
  <c r="U1457" i="1"/>
  <c r="U1458" i="1" a="1"/>
  <c r="U1458" i="1" s="1"/>
  <c r="U1459" i="1" a="1"/>
  <c r="U1459" i="1" s="1"/>
  <c r="U1460" i="1" a="1"/>
  <c r="U1460" i="1" s="1"/>
  <c r="U1461" i="1" a="1"/>
  <c r="U1461" i="1"/>
  <c r="U1462" i="1" a="1"/>
  <c r="U1462" i="1"/>
  <c r="U1463" i="1" a="1"/>
  <c r="U1463" i="1" s="1"/>
  <c r="U1464" i="1" a="1"/>
  <c r="U1464" i="1" s="1"/>
  <c r="U1465" i="1" a="1"/>
  <c r="U1465" i="1"/>
  <c r="U1466" i="1" a="1"/>
  <c r="U1466" i="1" s="1"/>
  <c r="U1467" i="1" a="1"/>
  <c r="U1467" i="1"/>
  <c r="U1468" i="1" a="1"/>
  <c r="U1468" i="1" s="1"/>
  <c r="U1469" i="1" a="1"/>
  <c r="U1469" i="1" s="1"/>
  <c r="U1470" i="1" a="1"/>
  <c r="U1470" i="1"/>
  <c r="U1471" i="1" a="1"/>
  <c r="U1471" i="1" s="1"/>
  <c r="U1472" i="1" a="1"/>
  <c r="U1472" i="1" s="1"/>
  <c r="U1473" i="1" a="1"/>
  <c r="U1473" i="1" s="1"/>
  <c r="U1474" i="1" a="1"/>
  <c r="U1474" i="1"/>
  <c r="U1475" i="1" a="1"/>
  <c r="U1475" i="1"/>
  <c r="U1476" i="1" a="1"/>
  <c r="U1476" i="1" s="1"/>
  <c r="U1477" i="1" a="1"/>
  <c r="U1477" i="1" s="1"/>
  <c r="U1478" i="1" a="1"/>
  <c r="U1478" i="1" s="1"/>
  <c r="U1479" i="1" a="1"/>
  <c r="U1479" i="1" s="1"/>
  <c r="U1480" i="1" a="1"/>
  <c r="U1480" i="1"/>
  <c r="U1481" i="1" a="1"/>
  <c r="U1481" i="1" s="1"/>
  <c r="U1482" i="1" a="1"/>
  <c r="U1482" i="1" s="1"/>
  <c r="U1483" i="1" a="1"/>
  <c r="U1483" i="1"/>
  <c r="U1484" i="1" a="1"/>
  <c r="U1484" i="1" s="1"/>
  <c r="U1485" i="1" a="1"/>
  <c r="U1485" i="1"/>
  <c r="U1486" i="1" a="1"/>
  <c r="U1486" i="1" s="1"/>
  <c r="U1487" i="1" a="1"/>
  <c r="U1487" i="1"/>
  <c r="U1488" i="1" a="1"/>
  <c r="U1488" i="1"/>
  <c r="U1489" i="1" a="1"/>
  <c r="U1489" i="1" s="1"/>
  <c r="U1490" i="1" a="1"/>
  <c r="U1490" i="1" s="1"/>
  <c r="U1491" i="1" a="1"/>
  <c r="U1491" i="1" s="1"/>
  <c r="U1492" i="1" a="1"/>
  <c r="U1492" i="1" s="1"/>
  <c r="U1493" i="1" a="1"/>
  <c r="U1493" i="1"/>
  <c r="U1494" i="1" a="1"/>
  <c r="U1494" i="1" s="1"/>
  <c r="U1495" i="1" a="1"/>
  <c r="U1495" i="1" s="1"/>
  <c r="U1496" i="1" a="1"/>
  <c r="U1496" i="1" s="1"/>
  <c r="U1497" i="1" a="1"/>
  <c r="U1497" i="1" s="1"/>
  <c r="U1498" i="1" a="1"/>
  <c r="U1498" i="1"/>
  <c r="U1499" i="1" a="1"/>
  <c r="U1499" i="1" s="1"/>
  <c r="U1500" i="1" a="1"/>
  <c r="U1500" i="1"/>
  <c r="U1501" i="1" a="1"/>
  <c r="U1501" i="1"/>
  <c r="U1502" i="1" a="1"/>
  <c r="U1502" i="1" s="1"/>
  <c r="U1503" i="1" a="1"/>
  <c r="U1503" i="1"/>
  <c r="U1504" i="1" a="1"/>
  <c r="U1504" i="1" s="1"/>
  <c r="U1505" i="1" a="1"/>
  <c r="U1505" i="1" s="1"/>
  <c r="U1506" i="1" a="1"/>
  <c r="U1506" i="1"/>
  <c r="U1507" i="1" a="1"/>
  <c r="U1507" i="1" s="1"/>
  <c r="U1508" i="1" a="1"/>
  <c r="U1508" i="1" s="1"/>
  <c r="U1509" i="1" a="1"/>
  <c r="U1509" i="1" s="1"/>
  <c r="U1510" i="1" a="1"/>
  <c r="U1510" i="1" s="1"/>
  <c r="U1511" i="1" a="1"/>
  <c r="U1511" i="1"/>
  <c r="U1512" i="1" a="1"/>
  <c r="U1512" i="1" s="1"/>
  <c r="U1513" i="1" a="1"/>
  <c r="U1513" i="1"/>
  <c r="U1514" i="1" a="1"/>
  <c r="U1514" i="1" s="1"/>
  <c r="U1515" i="1" a="1"/>
  <c r="U1515" i="1" s="1"/>
  <c r="U1516" i="1" a="1"/>
  <c r="U1516" i="1"/>
  <c r="U1517" i="1" a="1"/>
  <c r="U1517" i="1" s="1"/>
  <c r="U1518" i="1" a="1"/>
  <c r="U1518" i="1" s="1"/>
  <c r="U1519" i="1" a="1"/>
  <c r="U1519" i="1"/>
  <c r="U1520" i="1" a="1"/>
  <c r="U1520" i="1" s="1"/>
  <c r="U1521" i="1" a="1"/>
  <c r="U1521" i="1"/>
  <c r="U1522" i="1" a="1"/>
  <c r="U1522" i="1" s="1"/>
  <c r="U1523" i="1" a="1"/>
  <c r="U1523" i="1" s="1"/>
  <c r="U1524" i="1" a="1"/>
  <c r="U1524" i="1"/>
  <c r="U1525" i="1" a="1"/>
  <c r="U1525" i="1" s="1"/>
  <c r="U1526" i="1" a="1"/>
  <c r="U1526" i="1" s="1"/>
  <c r="U1527" i="1" a="1"/>
  <c r="U1527" i="1" s="1"/>
  <c r="U1528" i="1" a="1"/>
  <c r="U1528" i="1" s="1"/>
  <c r="U1529" i="1" a="1"/>
  <c r="U1529" i="1"/>
  <c r="U1530" i="1" a="1"/>
  <c r="U1530" i="1" s="1"/>
  <c r="U1531" i="1" a="1"/>
  <c r="U1531" i="1" s="1"/>
  <c r="U1532" i="1" a="1"/>
  <c r="U1532" i="1" s="1"/>
  <c r="U1533" i="1" a="1"/>
  <c r="U1533" i="1"/>
  <c r="U1534" i="1" a="1"/>
  <c r="U1534" i="1"/>
  <c r="U1535" i="1" a="1"/>
  <c r="U1535" i="1" s="1"/>
  <c r="U1536" i="1" a="1"/>
  <c r="U1536" i="1" s="1"/>
  <c r="U1537" i="1" a="1"/>
  <c r="U1537" i="1"/>
  <c r="U1538" i="1" a="1"/>
  <c r="U1538" i="1" s="1"/>
  <c r="U1539" i="1" a="1"/>
  <c r="U1539" i="1"/>
  <c r="U1540" i="1" a="1"/>
  <c r="U1540" i="1" s="1"/>
  <c r="U1541" i="1" a="1"/>
  <c r="U1541" i="1" s="1"/>
  <c r="U1542" i="1" a="1"/>
  <c r="U1542" i="1"/>
  <c r="U1543" i="1" a="1"/>
  <c r="U1543" i="1" s="1"/>
  <c r="U1544" i="1" a="1"/>
  <c r="U1544" i="1" s="1"/>
  <c r="U1545" i="1" a="1"/>
  <c r="U1545" i="1" s="1"/>
  <c r="U1546" i="1" a="1"/>
  <c r="U1546" i="1"/>
  <c r="U1547" i="1" a="1"/>
  <c r="U1547" i="1"/>
  <c r="U1548" i="1" a="1"/>
  <c r="U1548" i="1" s="1"/>
  <c r="U1549" i="1" a="1"/>
  <c r="U1549" i="1" s="1"/>
  <c r="U1550" i="1" a="1"/>
  <c r="U1550" i="1" s="1"/>
  <c r="U1551" i="1" a="1"/>
  <c r="U1551" i="1" s="1"/>
  <c r="U1552" i="1" a="1"/>
  <c r="U1552" i="1"/>
  <c r="U1553" i="1" a="1"/>
  <c r="U1553" i="1" s="1"/>
  <c r="U1554" i="1" a="1"/>
  <c r="U1554" i="1" s="1"/>
  <c r="U1555" i="1" a="1"/>
  <c r="U1555" i="1"/>
  <c r="U1556" i="1" a="1"/>
  <c r="U1556" i="1" s="1"/>
  <c r="U1557" i="1" a="1"/>
  <c r="U1557" i="1"/>
  <c r="U1558" i="1" a="1"/>
  <c r="U1558" i="1" s="1"/>
  <c r="U1559" i="1" a="1"/>
  <c r="U1559" i="1"/>
  <c r="U1560" i="1" a="1"/>
  <c r="U1560" i="1"/>
  <c r="U1561" i="1" a="1"/>
  <c r="U1561" i="1" s="1"/>
  <c r="U1562" i="1" a="1"/>
  <c r="U1562" i="1" s="1"/>
  <c r="U1563" i="1" a="1"/>
  <c r="U1563" i="1" s="1"/>
  <c r="U1564" i="1" a="1"/>
  <c r="U1564" i="1" s="1"/>
  <c r="U1565" i="1" a="1"/>
  <c r="U1565" i="1"/>
  <c r="U1566" i="1" a="1"/>
  <c r="U1566" i="1" s="1"/>
  <c r="U1567" i="1" a="1"/>
  <c r="U1567" i="1" s="1"/>
  <c r="U1568" i="1" a="1"/>
  <c r="U1568" i="1" s="1"/>
  <c r="U1569" i="1" a="1"/>
  <c r="U1569" i="1" s="1"/>
  <c r="U1570" i="1" a="1"/>
  <c r="U1570" i="1"/>
  <c r="U1571" i="1" a="1"/>
  <c r="U1571" i="1" s="1"/>
  <c r="U1572" i="1" a="1"/>
  <c r="U1572" i="1"/>
  <c r="U1573" i="1" a="1"/>
  <c r="U1573" i="1"/>
  <c r="U1574" i="1" a="1"/>
  <c r="U1574" i="1" s="1"/>
  <c r="U1575" i="1" a="1"/>
  <c r="U1575" i="1"/>
  <c r="U1576" i="1" a="1"/>
  <c r="U1576" i="1" s="1"/>
  <c r="U1577" i="1" a="1"/>
  <c r="U1577" i="1" s="1"/>
  <c r="U1578" i="1" a="1"/>
  <c r="U1578" i="1"/>
  <c r="U1579" i="1" a="1"/>
  <c r="U1579" i="1" s="1"/>
  <c r="U1580" i="1" a="1"/>
  <c r="U1580" i="1" s="1"/>
  <c r="U1581" i="1" a="1"/>
  <c r="U1581" i="1" s="1"/>
  <c r="U1582" i="1" a="1"/>
  <c r="U1582" i="1" s="1"/>
  <c r="U1583" i="1" a="1"/>
  <c r="U1583" i="1"/>
  <c r="U1584" i="1" a="1"/>
  <c r="U1584" i="1" s="1"/>
  <c r="U1585" i="1" a="1"/>
  <c r="U1585" i="1"/>
  <c r="U1586" i="1" a="1"/>
  <c r="U1586" i="1" s="1"/>
  <c r="U1587" i="1" a="1"/>
  <c r="U1587" i="1"/>
  <c r="U1588" i="1" a="1"/>
  <c r="U1588" i="1"/>
  <c r="U1589" i="1" a="1"/>
  <c r="U1589" i="1" s="1"/>
  <c r="U1590" i="1" a="1"/>
  <c r="U1590" i="1" s="1"/>
  <c r="U1591" i="1" a="1"/>
  <c r="U1591" i="1"/>
  <c r="U1592" i="1" a="1"/>
  <c r="U1592" i="1" s="1"/>
  <c r="U1593" i="1" a="1"/>
  <c r="U1593" i="1"/>
  <c r="U1594" i="1" a="1"/>
  <c r="U1594" i="1" s="1"/>
  <c r="U1595" i="1" a="1"/>
  <c r="U1595" i="1" s="1"/>
  <c r="U1596" i="1" a="1"/>
  <c r="U1596" i="1"/>
  <c r="U1597" i="1" a="1"/>
  <c r="U1597" i="1" s="1"/>
  <c r="U1598" i="1" a="1"/>
  <c r="U1598" i="1" s="1"/>
  <c r="U1599" i="1" a="1"/>
  <c r="U1599" i="1" s="1"/>
  <c r="U1600" i="1" a="1"/>
  <c r="U1600" i="1" s="1"/>
  <c r="U1601" i="1" a="1"/>
  <c r="U1601" i="1"/>
  <c r="U1602" i="1" a="1"/>
  <c r="U1602" i="1" s="1"/>
  <c r="U1603" i="1" a="1"/>
  <c r="U1603" i="1" s="1"/>
  <c r="U1604" i="1" a="1"/>
  <c r="U1604" i="1" s="1"/>
  <c r="U1605" i="1" a="1"/>
  <c r="U1605" i="1"/>
  <c r="U1606" i="1" a="1"/>
  <c r="U1606" i="1"/>
  <c r="U1607" i="1" a="1"/>
  <c r="U1607" i="1" s="1"/>
  <c r="U1608" i="1" a="1"/>
  <c r="U1608" i="1" s="1"/>
  <c r="U1609" i="1" a="1"/>
  <c r="U1609" i="1" s="1"/>
  <c r="U1610" i="1" a="1"/>
  <c r="U1610" i="1" s="1"/>
  <c r="U1611" i="1" a="1"/>
  <c r="U1611" i="1"/>
  <c r="U1612" i="1" a="1"/>
  <c r="U1612" i="1" s="1"/>
  <c r="U1613" i="1" a="1"/>
  <c r="U1613" i="1"/>
  <c r="U1614" i="1" a="1"/>
  <c r="U1614" i="1"/>
  <c r="U1615" i="1" a="1"/>
  <c r="U1615" i="1" s="1"/>
  <c r="U1616" i="1" a="1"/>
  <c r="U1616" i="1" s="1"/>
  <c r="U1617" i="1" a="1"/>
  <c r="U1617" i="1" s="1"/>
  <c r="U1618" i="1" a="1"/>
  <c r="U1618" i="1"/>
  <c r="U1619" i="1" a="1"/>
  <c r="U1619" i="1"/>
  <c r="U1620" i="1" a="1"/>
  <c r="U1620" i="1" s="1"/>
  <c r="U1621" i="1" a="1"/>
  <c r="U1621" i="1"/>
  <c r="U1622" i="1" a="1"/>
  <c r="U1622" i="1" s="1"/>
  <c r="U1623" i="1" a="1"/>
  <c r="U1623" i="1" s="1"/>
  <c r="U1624" i="1" a="1"/>
  <c r="U1624" i="1"/>
  <c r="U1625" i="1" a="1"/>
  <c r="U1625" i="1" s="1"/>
  <c r="U1626" i="1" a="1"/>
  <c r="U1626" i="1" s="1"/>
  <c r="U1627" i="1" a="1"/>
  <c r="U1627" i="1"/>
  <c r="U1628" i="1" a="1"/>
  <c r="U1628" i="1" s="1"/>
  <c r="U1629" i="1" a="1"/>
  <c r="U1629" i="1"/>
  <c r="U1630" i="1" a="1"/>
  <c r="U1630" i="1" s="1"/>
  <c r="U1631" i="1" a="1"/>
  <c r="U1631" i="1" s="1"/>
  <c r="U1632" i="1" a="1"/>
  <c r="U1632" i="1" s="1"/>
  <c r="U1633" i="1" a="1"/>
  <c r="U1633" i="1" s="1"/>
  <c r="U1634" i="1" a="1"/>
  <c r="U1634" i="1" s="1"/>
  <c r="U1635" i="1" a="1"/>
  <c r="U1635" i="1" s="1"/>
  <c r="U1636" i="1" a="1"/>
  <c r="U1636" i="1"/>
  <c r="U1637" i="1" a="1"/>
  <c r="U1637" i="1"/>
  <c r="U1638" i="1" a="1"/>
  <c r="U1638" i="1" s="1"/>
  <c r="U1639" i="1" a="1"/>
  <c r="U1639" i="1" s="1"/>
  <c r="U1640" i="1" a="1"/>
  <c r="U1640" i="1" s="1"/>
  <c r="U1641" i="1" a="1"/>
  <c r="U1641" i="1" s="1"/>
  <c r="U1642" i="1" a="1"/>
  <c r="U1642" i="1"/>
  <c r="U1643" i="1" a="1"/>
  <c r="U1643" i="1"/>
  <c r="U1644" i="1" a="1"/>
  <c r="U1644" i="1"/>
  <c r="U1645" i="1" a="1"/>
  <c r="U1645" i="1"/>
  <c r="U1646" i="1" a="1"/>
  <c r="U1646" i="1" s="1"/>
  <c r="U1647" i="1" a="1"/>
  <c r="U1647" i="1" s="1"/>
  <c r="U1648" i="1" a="1"/>
  <c r="U1648" i="1" s="1"/>
  <c r="U1649" i="1" a="1"/>
  <c r="U1649" i="1"/>
  <c r="U1650" i="1" a="1"/>
  <c r="U1650" i="1" s="1"/>
  <c r="U1651" i="1" a="1"/>
  <c r="U1651" i="1" s="1"/>
  <c r="U1652" i="1" a="1"/>
  <c r="U1652" i="1" s="1"/>
  <c r="U1653" i="1" a="1"/>
  <c r="U1653" i="1"/>
  <c r="U1654" i="1" a="1"/>
  <c r="U1654" i="1" s="1"/>
  <c r="U1655" i="1" a="1"/>
  <c r="U1655" i="1"/>
  <c r="U1656" i="1" a="1"/>
  <c r="U1656" i="1"/>
  <c r="U1657" i="1" a="1"/>
  <c r="U1657" i="1"/>
  <c r="U1658" i="1" a="1"/>
  <c r="U1658" i="1" s="1"/>
  <c r="U1659" i="1" a="1"/>
  <c r="U1659" i="1" s="1"/>
  <c r="U1660" i="1" a="1"/>
  <c r="U1660" i="1" s="1"/>
  <c r="U1661" i="1" a="1"/>
  <c r="U1661" i="1" s="1"/>
  <c r="U1662" i="1" a="1"/>
  <c r="U1662" i="1"/>
  <c r="U1663" i="1" a="1"/>
  <c r="U1663" i="1" s="1"/>
  <c r="U1664" i="1" a="1"/>
  <c r="U1664" i="1" s="1"/>
  <c r="U1665" i="1" a="1"/>
  <c r="U1665" i="1"/>
  <c r="U1666" i="1" a="1"/>
  <c r="U1666" i="1"/>
  <c r="U1667" i="1" a="1"/>
  <c r="U1667" i="1" s="1"/>
  <c r="U1668" i="1" a="1"/>
  <c r="U1668" i="1"/>
  <c r="U1669" i="1" a="1"/>
  <c r="U1669" i="1"/>
  <c r="U1670" i="1" a="1"/>
  <c r="U1670" i="1" s="1"/>
  <c r="U1671" i="1" a="1"/>
  <c r="U1671" i="1" s="1"/>
  <c r="U1672" i="1" a="1"/>
  <c r="U1672" i="1" s="1"/>
  <c r="U1673" i="1" a="1"/>
  <c r="U1673" i="1" s="1"/>
  <c r="U1674" i="1" a="1"/>
  <c r="U1674" i="1" s="1"/>
  <c r="U1675" i="1" a="1"/>
  <c r="U1675" i="1"/>
  <c r="U1676" i="1" a="1"/>
  <c r="U1676" i="1" s="1"/>
  <c r="U1677" i="1" a="1"/>
  <c r="U1677" i="1"/>
  <c r="U1678" i="1" a="1"/>
  <c r="U1678" i="1"/>
  <c r="U1679" i="1" a="1"/>
  <c r="U1679" i="1"/>
  <c r="U1680" i="1" a="1"/>
  <c r="U1680" i="1" s="1"/>
  <c r="U1681" i="1" a="1"/>
  <c r="U1681" i="1"/>
  <c r="U1682" i="1" a="1"/>
  <c r="U1682" i="1" s="1"/>
  <c r="U1683" i="1" a="1"/>
  <c r="U1683" i="1" s="1"/>
  <c r="U1684" i="1" a="1"/>
  <c r="U1684" i="1" s="1"/>
  <c r="U1685" i="1" a="1"/>
  <c r="U1685" i="1" s="1"/>
  <c r="U1686" i="1" a="1"/>
  <c r="U1686" i="1" s="1"/>
  <c r="U1687" i="1" a="1"/>
  <c r="U1687" i="1" s="1"/>
  <c r="U1688" i="1" a="1"/>
  <c r="U1688" i="1" s="1"/>
  <c r="U1689" i="1" a="1"/>
  <c r="U1689" i="1"/>
  <c r="U1690" i="1" a="1"/>
  <c r="U1690" i="1"/>
  <c r="U1691" i="1" a="1"/>
  <c r="U1691" i="1"/>
  <c r="U1692" i="1" a="1"/>
  <c r="U1692" i="1"/>
  <c r="U1693" i="1" a="1"/>
  <c r="U1693" i="1" s="1"/>
  <c r="U1694" i="1" a="1"/>
  <c r="U1694" i="1" s="1"/>
  <c r="U1695" i="1" a="1"/>
  <c r="U1695" i="1"/>
  <c r="U1696" i="1" a="1"/>
  <c r="U1696" i="1" s="1"/>
  <c r="U1697" i="1" a="1"/>
  <c r="U1697" i="1" s="1"/>
  <c r="U1698" i="1" a="1"/>
  <c r="U1698" i="1" s="1"/>
  <c r="U1699" i="1" a="1"/>
  <c r="U1699" i="1" s="1"/>
  <c r="U1700" i="1" a="1"/>
  <c r="U1700" i="1" s="1"/>
  <c r="U1701" i="1" a="1"/>
  <c r="U1701" i="1" s="1"/>
  <c r="U1702" i="1" a="1"/>
  <c r="U1702" i="1"/>
  <c r="U1703" i="1" a="1"/>
  <c r="U1703" i="1"/>
  <c r="U1704" i="1" a="1"/>
  <c r="U1704" i="1"/>
  <c r="U1705" i="1" a="1"/>
  <c r="U1705" i="1"/>
  <c r="U1706" i="1" a="1"/>
  <c r="U1706" i="1" s="1"/>
  <c r="U1707" i="1" a="1"/>
  <c r="U1707" i="1" s="1"/>
  <c r="U1708" i="1" a="1"/>
  <c r="U1708" i="1"/>
  <c r="U1709" i="1" a="1"/>
  <c r="U1709" i="1" s="1"/>
  <c r="U1710" i="1" a="1"/>
  <c r="U1710" i="1" s="1"/>
  <c r="U1711" i="1" a="1"/>
  <c r="U1711" i="1" s="1"/>
  <c r="U1712" i="1" a="1"/>
  <c r="U1712" i="1" s="1"/>
  <c r="U1713" i="1" a="1"/>
  <c r="U1713" i="1" s="1"/>
  <c r="U1714" i="1" a="1"/>
  <c r="U1714" i="1" s="1"/>
  <c r="U1715" i="1" a="1"/>
  <c r="U1715" i="1"/>
  <c r="U1716" i="1" a="1"/>
  <c r="U1716" i="1"/>
  <c r="U1717" i="1" a="1"/>
  <c r="U1717" i="1"/>
  <c r="U1718" i="1" a="1"/>
  <c r="U1718" i="1" s="1"/>
  <c r="U1719" i="1" a="1"/>
  <c r="U1719" i="1" s="1"/>
  <c r="U1720" i="1" a="1"/>
  <c r="U1720" i="1" s="1"/>
  <c r="U1721" i="1" a="1"/>
  <c r="U1721" i="1"/>
  <c r="U1722" i="1" a="1"/>
  <c r="U1722" i="1" s="1"/>
  <c r="U1723" i="1" a="1"/>
  <c r="U1723" i="1" s="1"/>
  <c r="U1724" i="1" a="1"/>
  <c r="U1724" i="1" s="1"/>
  <c r="U1725" i="1" a="1"/>
  <c r="U1725" i="1"/>
  <c r="U1726" i="1" a="1"/>
  <c r="U1726" i="1" s="1"/>
  <c r="U1727" i="1" a="1"/>
  <c r="U1727" i="1" s="1"/>
  <c r="U1728" i="1" a="1"/>
  <c r="U1728" i="1"/>
  <c r="U1729" i="1" a="1"/>
  <c r="U1729" i="1"/>
  <c r="U1730" i="1" a="1"/>
  <c r="U1730" i="1" s="1"/>
  <c r="U1731" i="1" a="1"/>
  <c r="U1731" i="1" s="1"/>
  <c r="U1732" i="1" a="1"/>
  <c r="U1732" i="1" s="1"/>
  <c r="U1733" i="1" a="1"/>
  <c r="U1733" i="1" s="1"/>
  <c r="U1734" i="1" a="1"/>
  <c r="U1734" i="1"/>
  <c r="U1735" i="1" a="1"/>
  <c r="U1735" i="1" s="1"/>
  <c r="U1736" i="1" a="1"/>
  <c r="U1736" i="1" s="1"/>
  <c r="U1737" i="1" a="1"/>
  <c r="U1737" i="1"/>
  <c r="U1738" i="1" a="1"/>
  <c r="U1738" i="1"/>
  <c r="U1739" i="1" a="1"/>
  <c r="U1739" i="1" s="1"/>
  <c r="U1740" i="1" a="1"/>
  <c r="U1740" i="1" s="1"/>
  <c r="U1741" i="1" a="1"/>
  <c r="U1741" i="1"/>
  <c r="U1742" i="1" a="1"/>
  <c r="U1742" i="1" s="1"/>
  <c r="U1743" i="1" a="1"/>
  <c r="U1743" i="1" s="1"/>
  <c r="U1744" i="1" a="1"/>
  <c r="U1744" i="1" s="1"/>
  <c r="U1745" i="1" a="1"/>
  <c r="U1745" i="1" s="1"/>
  <c r="U1746" i="1" a="1"/>
  <c r="U1746" i="1"/>
  <c r="U1747" i="1" a="1"/>
  <c r="U1747" i="1"/>
  <c r="U1748" i="1" a="1"/>
  <c r="U1748" i="1" s="1"/>
  <c r="U1749" i="1" a="1"/>
  <c r="U1749" i="1"/>
  <c r="U1750" i="1" a="1"/>
  <c r="U1750" i="1"/>
  <c r="U1751" i="1" a="1"/>
  <c r="U1751" i="1"/>
  <c r="U1752" i="1" a="1"/>
  <c r="U1752" i="1" s="1"/>
  <c r="U1753" i="1" a="1"/>
  <c r="U1753" i="1" s="1"/>
  <c r="U1754" i="1" a="1"/>
  <c r="U1754" i="1" s="1"/>
  <c r="U1755" i="1" a="1"/>
  <c r="U1755" i="1" s="1"/>
  <c r="U1756" i="1" a="1"/>
  <c r="U1756" i="1" s="1"/>
  <c r="U1757" i="1" a="1"/>
  <c r="U1757" i="1" s="1"/>
  <c r="U1758" i="1" a="1"/>
  <c r="U1758" i="1" s="1"/>
  <c r="U1759" i="1" a="1"/>
  <c r="U1759" i="1"/>
  <c r="U1760" i="1" a="1"/>
  <c r="U1760" i="1" s="1"/>
  <c r="U1761" i="1" a="1"/>
  <c r="U1761" i="1"/>
  <c r="U1762" i="1" a="1"/>
  <c r="U1762" i="1"/>
  <c r="U1763" i="1" a="1"/>
  <c r="U1763" i="1"/>
  <c r="U1764" i="1" a="1"/>
  <c r="U1764" i="1"/>
  <c r="U1765" i="1" a="1"/>
  <c r="U1765" i="1" s="1"/>
  <c r="U1766" i="1" a="1"/>
  <c r="U1766" i="1" s="1"/>
  <c r="U1767" i="1" a="1"/>
  <c r="U1767" i="1"/>
  <c r="U1768" i="1" a="1"/>
  <c r="U1768" i="1" s="1"/>
  <c r="U1769" i="1" a="1"/>
  <c r="U1769" i="1" s="1"/>
  <c r="U1770" i="1" a="1"/>
  <c r="U1770" i="1" s="1"/>
  <c r="U1771" i="1" a="1"/>
  <c r="U1771" i="1" s="1"/>
  <c r="U1772" i="1" a="1"/>
  <c r="U1772" i="1" s="1"/>
  <c r="U1773" i="1" a="1"/>
  <c r="U1773" i="1" s="1"/>
  <c r="U1774" i="1" a="1"/>
  <c r="U1774" i="1"/>
  <c r="U1775" i="1" a="1"/>
  <c r="U1775" i="1"/>
  <c r="U1776" i="1" a="1"/>
  <c r="U1776" i="1"/>
  <c r="U1777" i="1" a="1"/>
  <c r="U1777" i="1"/>
  <c r="U1778" i="1" a="1"/>
  <c r="U1778" i="1" s="1"/>
  <c r="U1779" i="1" a="1"/>
  <c r="U1779" i="1"/>
  <c r="U1780" i="1" a="1"/>
  <c r="U1780" i="1"/>
  <c r="U1781" i="1" a="1"/>
  <c r="U1781" i="1" s="1"/>
  <c r="U1782" i="1" a="1"/>
  <c r="U1782" i="1" s="1"/>
  <c r="U1783" i="1" a="1"/>
  <c r="U1783" i="1" s="1"/>
  <c r="U1784" i="1" a="1"/>
  <c r="U1784" i="1" s="1"/>
  <c r="U1785" i="1" a="1"/>
  <c r="U1785" i="1" s="1"/>
  <c r="U1786" i="1" a="1"/>
  <c r="U1786" i="1" s="1"/>
  <c r="U1787" i="1" a="1"/>
  <c r="U1787" i="1"/>
  <c r="U1788" i="1" a="1"/>
  <c r="U1788" i="1"/>
  <c r="U1789" i="1" a="1"/>
  <c r="U1789" i="1"/>
  <c r="U1790" i="1" a="1"/>
  <c r="U1790" i="1" s="1"/>
  <c r="U1791" i="1" a="1"/>
  <c r="U1791" i="1" s="1"/>
  <c r="U1792" i="1" a="1"/>
  <c r="U1792" i="1"/>
  <c r="U1793" i="1" a="1"/>
  <c r="U1793" i="1"/>
  <c r="U1794" i="1" a="1"/>
  <c r="U1794" i="1" s="1"/>
  <c r="U1795" i="1" a="1"/>
  <c r="U1795" i="1" s="1"/>
  <c r="U1796" i="1" a="1"/>
  <c r="U1796" i="1" s="1"/>
  <c r="U1797" i="1" a="1"/>
  <c r="U1797" i="1"/>
  <c r="U1798" i="1" a="1"/>
  <c r="U1798" i="1" s="1"/>
  <c r="U1799" i="1" a="1"/>
  <c r="U1799" i="1" s="1"/>
  <c r="U1800" i="1" a="1"/>
  <c r="U1800" i="1"/>
  <c r="U1801" i="1" a="1"/>
  <c r="U1801" i="1"/>
  <c r="U1802" i="1" a="1"/>
  <c r="U1802" i="1" s="1"/>
  <c r="U1803" i="1" a="1"/>
  <c r="U1803" i="1" s="1"/>
  <c r="U1804" i="1" a="1"/>
  <c r="U1804" i="1" s="1"/>
  <c r="U1805" i="1" a="1"/>
  <c r="U1805" i="1"/>
  <c r="U1806" i="1" a="1"/>
  <c r="U1806" i="1"/>
  <c r="U1807" i="1" a="1"/>
  <c r="U1807" i="1" s="1"/>
  <c r="U1808" i="1" a="1"/>
  <c r="U1808" i="1" s="1"/>
  <c r="U1809" i="1" a="1"/>
  <c r="U1809" i="1"/>
  <c r="U1810" i="1" a="1"/>
  <c r="U1810" i="1"/>
  <c r="U1811" i="1" a="1"/>
  <c r="U1811" i="1" s="1"/>
  <c r="U1812" i="1" a="1"/>
  <c r="U1812" i="1" s="1"/>
  <c r="U1813" i="1" a="1"/>
  <c r="U1813" i="1"/>
  <c r="U1814" i="1" a="1"/>
  <c r="U1814" i="1" s="1"/>
  <c r="U1815" i="1" a="1"/>
  <c r="U1815" i="1" s="1"/>
  <c r="U1816" i="1" a="1"/>
  <c r="U1816" i="1" s="1"/>
  <c r="U1817" i="1" a="1"/>
  <c r="U1817" i="1" s="1"/>
  <c r="U1818" i="1" a="1"/>
  <c r="U1818" i="1"/>
  <c r="U1819" i="1" a="1"/>
  <c r="U1819" i="1"/>
  <c r="U1820" i="1" a="1"/>
  <c r="U1820" i="1" s="1"/>
  <c r="U1821" i="1" a="1"/>
  <c r="U1821" i="1"/>
  <c r="U1822" i="1" a="1"/>
  <c r="U1822" i="1"/>
  <c r="U1823" i="1" a="1"/>
  <c r="U1823" i="1"/>
  <c r="U1824" i="1" a="1"/>
  <c r="U1824" i="1" s="1"/>
  <c r="U1825" i="1" a="1"/>
  <c r="U1825" i="1" s="1"/>
  <c r="U1826" i="1" a="1"/>
  <c r="U1826" i="1" s="1"/>
  <c r="U1827" i="1" a="1"/>
  <c r="U1827" i="1" s="1"/>
  <c r="U1828" i="1" a="1"/>
  <c r="U1828" i="1" s="1"/>
  <c r="U1829" i="1" a="1"/>
  <c r="U1829" i="1" s="1"/>
  <c r="U1830" i="1" a="1"/>
  <c r="U1830" i="1" s="1"/>
  <c r="U1831" i="1" a="1"/>
  <c r="U1831" i="1"/>
  <c r="U1832" i="1" a="1"/>
  <c r="U1832" i="1" s="1"/>
  <c r="U1833" i="1" a="1"/>
  <c r="U1833" i="1"/>
  <c r="U1834" i="1" a="1"/>
  <c r="U1834" i="1"/>
  <c r="U1835" i="1" a="1"/>
  <c r="U1835" i="1"/>
  <c r="U1836" i="1" a="1"/>
  <c r="U1836" i="1"/>
  <c r="U1837" i="1" a="1"/>
  <c r="U1837" i="1" s="1"/>
  <c r="U1838" i="1" a="1"/>
  <c r="U1838" i="1" s="1"/>
  <c r="U1839" i="1" a="1"/>
  <c r="U1839" i="1"/>
  <c r="U1840" i="1" a="1"/>
  <c r="U1840" i="1" s="1"/>
  <c r="U1841" i="1" a="1"/>
  <c r="U1841" i="1" s="1"/>
  <c r="U1842" i="1" a="1"/>
  <c r="U1842" i="1" s="1"/>
  <c r="U1843" i="1" a="1"/>
  <c r="U1843" i="1" s="1"/>
  <c r="U1844" i="1" a="1"/>
  <c r="U1844" i="1" s="1"/>
  <c r="U1845" i="1" a="1"/>
  <c r="U1845" i="1" s="1"/>
  <c r="U1846" i="1" a="1"/>
  <c r="U1846" i="1"/>
  <c r="U1847" i="1" a="1"/>
  <c r="U1847" i="1"/>
  <c r="U1848" i="1" a="1"/>
  <c r="U1848" i="1"/>
  <c r="U1849" i="1" a="1"/>
  <c r="U1849" i="1"/>
  <c r="U1850" i="1" a="1"/>
  <c r="U1850" i="1" s="1"/>
  <c r="U1851" i="1" a="1"/>
  <c r="U1851" i="1"/>
  <c r="U1852" i="1" a="1"/>
  <c r="U1852" i="1"/>
  <c r="U1853" i="1" a="1"/>
  <c r="U1853" i="1" s="1"/>
  <c r="U1854" i="1" a="1"/>
  <c r="U1854" i="1" s="1"/>
  <c r="U1855" i="1" a="1"/>
  <c r="U1855" i="1" s="1"/>
  <c r="U1856" i="1" a="1"/>
  <c r="U1856" i="1" s="1"/>
  <c r="U1857" i="1" a="1"/>
  <c r="U1857" i="1" s="1"/>
  <c r="U1858" i="1" a="1"/>
  <c r="U1858" i="1" s="1"/>
  <c r="U1859" i="1" a="1"/>
  <c r="U1859" i="1"/>
  <c r="U1860" i="1" a="1"/>
  <c r="U1860" i="1"/>
  <c r="U1861" i="1" a="1"/>
  <c r="U1861" i="1"/>
  <c r="U1862" i="1" a="1"/>
  <c r="U1862" i="1" s="1"/>
  <c r="U1863" i="1" a="1"/>
  <c r="U1863" i="1" s="1"/>
  <c r="U1864" i="1" a="1"/>
  <c r="U1864" i="1"/>
  <c r="U1865" i="1" a="1"/>
  <c r="U1865" i="1"/>
  <c r="U1866" i="1" a="1"/>
  <c r="U1866" i="1" s="1"/>
  <c r="U1867" i="1" a="1"/>
  <c r="U1867" i="1" s="1"/>
  <c r="U1868" i="1" a="1"/>
  <c r="U1868" i="1" s="1"/>
  <c r="U1869" i="1" a="1"/>
  <c r="U1869" i="1"/>
  <c r="U1870" i="1" a="1"/>
  <c r="U1870" i="1" s="1"/>
  <c r="U1871" i="1" a="1"/>
  <c r="U1871" i="1" s="1"/>
  <c r="U1872" i="1" a="1"/>
  <c r="U1872" i="1"/>
  <c r="U1873" i="1" a="1"/>
  <c r="U1873" i="1"/>
  <c r="U1874" i="1" a="1"/>
  <c r="U1874" i="1" s="1"/>
  <c r="U1875" i="1" a="1"/>
  <c r="U1875" i="1" s="1"/>
  <c r="U1876" i="1" a="1"/>
  <c r="U1876" i="1" s="1"/>
  <c r="U1877" i="1" a="1"/>
  <c r="U1877" i="1"/>
  <c r="U1878" i="1" a="1"/>
  <c r="U1878" i="1"/>
  <c r="U1879" i="1" a="1"/>
  <c r="U1879" i="1" s="1"/>
  <c r="U1880" i="1" a="1"/>
  <c r="U1880" i="1" s="1"/>
  <c r="U1881" i="1" a="1"/>
  <c r="U1881" i="1"/>
  <c r="U1882" i="1" a="1"/>
  <c r="U1882" i="1"/>
  <c r="U1883" i="1" a="1"/>
  <c r="U1883" i="1" s="1"/>
  <c r="U1884" i="1" a="1"/>
  <c r="U1884" i="1" s="1"/>
  <c r="U1885" i="1" a="1"/>
  <c r="U1885" i="1"/>
  <c r="U1886" i="1" a="1"/>
  <c r="U1886" i="1" s="1"/>
  <c r="U1887" i="1" a="1"/>
  <c r="U1887" i="1" s="1"/>
  <c r="U1888" i="1" a="1"/>
  <c r="U1888" i="1" s="1"/>
  <c r="U1889" i="1" a="1"/>
  <c r="U1889" i="1" s="1"/>
  <c r="U1890" i="1" a="1"/>
  <c r="U1890" i="1"/>
  <c r="U1891" i="1" a="1"/>
  <c r="U1891" i="1"/>
  <c r="U1892" i="1" a="1"/>
  <c r="U1892" i="1" s="1"/>
  <c r="U1893" i="1" a="1"/>
  <c r="U1893" i="1"/>
  <c r="U1894" i="1" a="1"/>
  <c r="U1894" i="1"/>
  <c r="U1895" i="1" a="1"/>
  <c r="U1895" i="1"/>
  <c r="U1896" i="1" a="1"/>
  <c r="U1896" i="1" s="1"/>
  <c r="U1897" i="1" a="1"/>
  <c r="U1897" i="1" s="1"/>
  <c r="U1898" i="1" a="1"/>
  <c r="U1898" i="1" s="1"/>
  <c r="U1899" i="1" a="1"/>
  <c r="U1899" i="1" s="1"/>
  <c r="U1900" i="1" a="1"/>
  <c r="U1900" i="1" s="1"/>
  <c r="U1901" i="1" a="1"/>
  <c r="U1901" i="1" s="1"/>
  <c r="U1902" i="1" a="1"/>
  <c r="U1902" i="1" s="1"/>
  <c r="U1903" i="1" a="1"/>
  <c r="U1903" i="1"/>
  <c r="U1904" i="1" a="1"/>
  <c r="U1904" i="1" s="1"/>
  <c r="U1905" i="1" a="1"/>
  <c r="U1905" i="1"/>
  <c r="U1906" i="1" a="1"/>
  <c r="U1906" i="1"/>
  <c r="U1907" i="1" a="1"/>
  <c r="U1907" i="1"/>
  <c r="U1908" i="1" a="1"/>
  <c r="U1908" i="1"/>
  <c r="U1909" i="1" a="1"/>
  <c r="U1909" i="1" s="1"/>
  <c r="U1910" i="1" a="1"/>
  <c r="U1910" i="1" s="1"/>
  <c r="U1911" i="1" a="1"/>
  <c r="U1911" i="1" s="1"/>
  <c r="U1912" i="1" a="1"/>
  <c r="U1912" i="1" s="1"/>
  <c r="U1913" i="1" a="1"/>
  <c r="U1913" i="1" s="1"/>
  <c r="U1914" i="1" a="1"/>
  <c r="U1914" i="1" s="1"/>
  <c r="U1915" i="1" a="1"/>
  <c r="U1915" i="1" s="1"/>
  <c r="U1916" i="1" a="1"/>
  <c r="U1916" i="1" s="1"/>
  <c r="U1917" i="1" a="1"/>
  <c r="U1917" i="1"/>
  <c r="U1918" i="1" a="1"/>
  <c r="U1918" i="1"/>
  <c r="U1919" i="1" a="1"/>
  <c r="U1919" i="1"/>
  <c r="U1920" i="1" a="1"/>
  <c r="U1920" i="1"/>
  <c r="U1921" i="1" a="1"/>
  <c r="U1921" i="1"/>
  <c r="U1922" i="1" a="1"/>
  <c r="U1922" i="1" s="1"/>
  <c r="U1923" i="1" a="1"/>
  <c r="U1923" i="1"/>
  <c r="U1924" i="1" a="1"/>
  <c r="U1924" i="1" s="1"/>
  <c r="U1925" i="1" a="1"/>
  <c r="U1925" i="1" s="1"/>
  <c r="U1926" i="1" a="1"/>
  <c r="U1926" i="1" s="1"/>
  <c r="U1927" i="1" a="1"/>
  <c r="U1927" i="1" s="1"/>
  <c r="U1928" i="1" a="1"/>
  <c r="U1928" i="1" s="1"/>
  <c r="U1929" i="1" a="1"/>
  <c r="U1929" i="1" s="1"/>
  <c r="U1930" i="1" a="1"/>
  <c r="U1930" i="1"/>
  <c r="U1931" i="1" a="1"/>
  <c r="U1931" i="1"/>
  <c r="U1932" i="1" a="1"/>
  <c r="U1932" i="1"/>
  <c r="U1933" i="1" a="1"/>
  <c r="U1933" i="1"/>
  <c r="U1934" i="1" a="1"/>
  <c r="U1934" i="1" s="1"/>
  <c r="U1935" i="1" a="1"/>
  <c r="U1935" i="1" s="1"/>
  <c r="U1936" i="1" a="1"/>
  <c r="U1936" i="1"/>
  <c r="U1937" i="1" a="1"/>
  <c r="U1937" i="1" s="1"/>
  <c r="U1938" i="1" a="1"/>
  <c r="U1938" i="1" s="1"/>
  <c r="U1939" i="1" a="1"/>
  <c r="U1939" i="1" s="1"/>
  <c r="U1940" i="1" a="1"/>
  <c r="U1940" i="1" s="1"/>
  <c r="U1941" i="1" a="1"/>
  <c r="U1941" i="1"/>
  <c r="U1942" i="1" a="1"/>
  <c r="U1942" i="1" s="1"/>
  <c r="U1943" i="1" a="1"/>
  <c r="U1943" i="1"/>
  <c r="U1944" i="1" a="1"/>
  <c r="U1944" i="1"/>
  <c r="U1945" i="1" a="1"/>
  <c r="U1945" i="1"/>
  <c r="U1946" i="1" a="1"/>
  <c r="U1946" i="1" s="1"/>
  <c r="U1947" i="1" a="1"/>
  <c r="U1947" i="1" s="1"/>
  <c r="U1948" i="1" a="1"/>
  <c r="U1948" i="1" s="1"/>
  <c r="U1949" i="1" a="1"/>
  <c r="U1949" i="1"/>
  <c r="U1950" i="1" a="1"/>
  <c r="U1950" i="1" s="1"/>
  <c r="U1951" i="1" a="1"/>
  <c r="U1951" i="1" s="1"/>
  <c r="U1952" i="1" a="1"/>
  <c r="U1952" i="1" s="1"/>
  <c r="U1953" i="1" a="1"/>
  <c r="U1953" i="1"/>
  <c r="U1954" i="1" a="1"/>
  <c r="U1954" i="1"/>
  <c r="U1955" i="1" a="1"/>
  <c r="U1955" i="1" s="1"/>
  <c r="U1956" i="1" a="1"/>
  <c r="U1956" i="1"/>
  <c r="U1957" i="1" a="1"/>
  <c r="U1957" i="1"/>
  <c r="U1958" i="1" a="1"/>
  <c r="U1958" i="1" s="1"/>
  <c r="U1959" i="1" a="1"/>
  <c r="U1959" i="1" s="1"/>
  <c r="U1960" i="1" a="1"/>
  <c r="U1960" i="1" s="1"/>
  <c r="U1961" i="1" a="1"/>
  <c r="U1961" i="1" s="1"/>
  <c r="U1962" i="1" a="1"/>
  <c r="U1962" i="1"/>
  <c r="U1963" i="1" a="1"/>
  <c r="U1963" i="1" s="1"/>
  <c r="U1964" i="1" a="1"/>
  <c r="U1964" i="1" s="1"/>
  <c r="U1965" i="1" a="1"/>
  <c r="U1965" i="1"/>
  <c r="U1966" i="1" a="1"/>
  <c r="U1966" i="1"/>
  <c r="U1967" i="1" a="1"/>
  <c r="U1967" i="1"/>
  <c r="U1968" i="1" a="1"/>
  <c r="U1968" i="1" s="1"/>
  <c r="U1969" i="1" a="1"/>
  <c r="U1969" i="1"/>
  <c r="U1970" i="1" a="1"/>
  <c r="U1970" i="1" s="1"/>
  <c r="U1971" i="1" a="1"/>
  <c r="U1971" i="1" s="1"/>
  <c r="U1972" i="1" a="1"/>
  <c r="U1972" i="1" s="1"/>
  <c r="U1973" i="1" a="1"/>
  <c r="U1973" i="1" s="1"/>
  <c r="U1974" i="1" a="1"/>
  <c r="U1974" i="1" s="1"/>
  <c r="U1975" i="1" a="1"/>
  <c r="U1975" i="1"/>
  <c r="U1976" i="1" a="1"/>
  <c r="U1976" i="1" s="1"/>
  <c r="U1977" i="1" a="1"/>
  <c r="U1977" i="1"/>
  <c r="U1978" i="1" a="1"/>
  <c r="U1978" i="1"/>
  <c r="U1979" i="1" a="1"/>
  <c r="U1979" i="1"/>
  <c r="U1980" i="1" a="1"/>
  <c r="U1980" i="1"/>
  <c r="U1981" i="1" a="1"/>
  <c r="U1981" i="1" s="1"/>
  <c r="U1982" i="1" a="1"/>
  <c r="U1982" i="1" s="1"/>
  <c r="U1983" i="1" a="1"/>
  <c r="U1983" i="1" s="1"/>
  <c r="U1984" i="1" a="1"/>
  <c r="U1984" i="1" s="1"/>
  <c r="U1985" i="1" a="1"/>
  <c r="U1985" i="1" s="1"/>
  <c r="U1986" i="1" a="1"/>
  <c r="U1986" i="1" s="1"/>
  <c r="U1987" i="1" a="1"/>
  <c r="U1987" i="1" s="1"/>
  <c r="U1988" i="1" a="1"/>
  <c r="U1988" i="1" s="1"/>
  <c r="U1989" i="1" a="1"/>
  <c r="U1989" i="1"/>
  <c r="U1990" i="1" a="1"/>
  <c r="U1990" i="1"/>
  <c r="U1991" i="1" a="1"/>
  <c r="U1991" i="1"/>
  <c r="U1992" i="1" a="1"/>
  <c r="U1992" i="1"/>
  <c r="U1993" i="1" a="1"/>
  <c r="U1993" i="1"/>
  <c r="U1994" i="1" a="1"/>
  <c r="U1994" i="1" s="1"/>
  <c r="U1995" i="1" a="1"/>
  <c r="U1995" i="1"/>
  <c r="U1996" i="1" a="1"/>
  <c r="U1996" i="1" s="1"/>
  <c r="U1997" i="1" a="1"/>
  <c r="U1997" i="1" s="1"/>
  <c r="U1998" i="1" a="1"/>
  <c r="U1998" i="1" s="1"/>
  <c r="U1999" i="1" a="1"/>
  <c r="U1999" i="1" s="1"/>
  <c r="U2000" i="1" a="1"/>
  <c r="U2000" i="1" s="1"/>
  <c r="U2001" i="1" a="1"/>
  <c r="U2001" i="1" s="1"/>
  <c r="U2002" i="1" a="1"/>
  <c r="U2002" i="1"/>
  <c r="U2003" i="1" a="1"/>
  <c r="U2003" i="1"/>
  <c r="U2004" i="1" a="1"/>
  <c r="U2004" i="1"/>
  <c r="U2005" i="1" a="1"/>
  <c r="U2005" i="1"/>
  <c r="U2006" i="1" a="1"/>
  <c r="U2006" i="1" s="1"/>
  <c r="U2007" i="1" a="1"/>
  <c r="U2007" i="1" s="1"/>
  <c r="U2008" i="1" a="1"/>
  <c r="U2008" i="1"/>
  <c r="U2009" i="1" a="1"/>
  <c r="U2009" i="1" s="1"/>
  <c r="U2010" i="1" a="1"/>
  <c r="U2010" i="1" s="1"/>
  <c r="U2011" i="1" a="1"/>
  <c r="U2011" i="1" s="1"/>
  <c r="U2012" i="1" a="1"/>
  <c r="U2012" i="1" s="1"/>
  <c r="U2013" i="1" a="1"/>
  <c r="U2013" i="1"/>
  <c r="U2014" i="1" a="1"/>
  <c r="U2014" i="1" s="1"/>
  <c r="U2015" i="1" a="1"/>
  <c r="U2015" i="1"/>
  <c r="U2016" i="1" a="1"/>
  <c r="U2016" i="1"/>
  <c r="U2017" i="1" a="1"/>
  <c r="U2017" i="1"/>
  <c r="U2018" i="1" a="1"/>
  <c r="U2018" i="1" s="1"/>
  <c r="U2019" i="1" a="1"/>
  <c r="U2019" i="1" s="1"/>
  <c r="U2020" i="1" a="1"/>
  <c r="U2020" i="1" s="1"/>
  <c r="U2021" i="1" a="1"/>
  <c r="U2021" i="1"/>
  <c r="U2022" i="1" a="1"/>
  <c r="U2022" i="1" s="1"/>
  <c r="U2023" i="1" a="1"/>
  <c r="U2023" i="1" s="1"/>
  <c r="U2024" i="1" a="1"/>
  <c r="U2024" i="1" s="1"/>
  <c r="U2025" i="1" a="1"/>
  <c r="U2025" i="1"/>
  <c r="U2026" i="1" a="1"/>
  <c r="U2026" i="1"/>
  <c r="U2027" i="1" a="1"/>
  <c r="U2027" i="1" s="1"/>
  <c r="U2028" i="1" a="1"/>
  <c r="U2028" i="1"/>
  <c r="U2029" i="1" a="1"/>
  <c r="U2029" i="1"/>
  <c r="U2030" i="1" a="1"/>
  <c r="U2030" i="1" s="1"/>
  <c r="U2031" i="1" a="1"/>
  <c r="U2031" i="1" s="1"/>
  <c r="U2032" i="1" a="1"/>
  <c r="U2032" i="1" s="1"/>
  <c r="U2033" i="1" a="1"/>
  <c r="U2033" i="1" s="1"/>
  <c r="U2034" i="1" a="1"/>
  <c r="U2034" i="1"/>
  <c r="U2035" i="1" a="1"/>
  <c r="U2035" i="1" s="1"/>
  <c r="U2036" i="1" a="1"/>
  <c r="U2036" i="1" s="1"/>
  <c r="U2037" i="1" a="1"/>
  <c r="U2037" i="1"/>
  <c r="U2038" i="1" a="1"/>
  <c r="U2038" i="1"/>
  <c r="U2039" i="1" a="1"/>
  <c r="U2039" i="1"/>
  <c r="U2040" i="1" a="1"/>
  <c r="U2040" i="1" s="1"/>
  <c r="U2041" i="1" a="1"/>
  <c r="U2041" i="1"/>
  <c r="U2042" i="1" a="1"/>
  <c r="U2042" i="1" s="1"/>
  <c r="U2043" i="1" a="1"/>
  <c r="U2043" i="1" s="1"/>
  <c r="U2044" i="1" a="1"/>
  <c r="U2044" i="1" s="1"/>
  <c r="U2045" i="1" a="1"/>
  <c r="U2045" i="1" s="1"/>
  <c r="U2046" i="1" a="1"/>
  <c r="U2046" i="1" s="1"/>
  <c r="U2047" i="1" a="1"/>
  <c r="U2047" i="1"/>
  <c r="U2048" i="1" a="1"/>
  <c r="U2048" i="1" s="1"/>
  <c r="U2049" i="1" a="1"/>
  <c r="U2049" i="1"/>
  <c r="U2050" i="1" a="1"/>
  <c r="U2050" i="1"/>
  <c r="U2051" i="1" a="1"/>
  <c r="U2051" i="1"/>
  <c r="U2052" i="1" a="1"/>
  <c r="U2052" i="1"/>
  <c r="U2053" i="1" a="1"/>
  <c r="U2053" i="1" s="1"/>
  <c r="U2054" i="1" a="1"/>
  <c r="U2054" i="1" s="1"/>
  <c r="U2055" i="1" a="1"/>
  <c r="U2055" i="1" s="1"/>
  <c r="U2056" i="1" a="1"/>
  <c r="U2056" i="1" s="1"/>
  <c r="U2057" i="1" a="1"/>
  <c r="U2057" i="1" s="1"/>
  <c r="U2058" i="1" a="1"/>
  <c r="U2058" i="1" s="1"/>
  <c r="U2059" i="1" a="1"/>
  <c r="U2059" i="1" s="1"/>
  <c r="U2060" i="1" a="1"/>
  <c r="U2060" i="1" s="1"/>
  <c r="U2061" i="1" a="1"/>
  <c r="U2061" i="1"/>
  <c r="U2062" i="1" a="1"/>
  <c r="U2062" i="1"/>
  <c r="U2063" i="1" a="1"/>
  <c r="U2063" i="1"/>
  <c r="U2064" i="1" a="1"/>
  <c r="U2064" i="1"/>
  <c r="U2065" i="1" a="1"/>
  <c r="U2065" i="1"/>
  <c r="U2066" i="1" a="1"/>
  <c r="U2066" i="1" s="1"/>
  <c r="U2067" i="1" a="1"/>
  <c r="U2067" i="1"/>
  <c r="U2068" i="1" a="1"/>
  <c r="U2068" i="1" s="1"/>
  <c r="U2069" i="1" a="1"/>
  <c r="U2069" i="1" s="1"/>
  <c r="U2070" i="1" a="1"/>
  <c r="U2070" i="1" s="1"/>
  <c r="U2071" i="1" a="1"/>
  <c r="U2071" i="1" s="1"/>
  <c r="U2072" i="1" a="1"/>
  <c r="U2072" i="1" s="1"/>
  <c r="U2073" i="1" a="1"/>
  <c r="U2073" i="1" s="1"/>
  <c r="U2074" i="1" a="1"/>
  <c r="U2074" i="1"/>
  <c r="U2075" i="1" a="1"/>
  <c r="U2075" i="1"/>
  <c r="U2076" i="1" a="1"/>
  <c r="U2076" i="1"/>
  <c r="U2077" i="1" a="1"/>
  <c r="U2077" i="1"/>
  <c r="U2078" i="1" a="1"/>
  <c r="U2078" i="1" s="1"/>
  <c r="U2079" i="1" a="1"/>
  <c r="U2079" i="1" s="1"/>
  <c r="U2080" i="1" a="1"/>
  <c r="U2080" i="1"/>
  <c r="U2081" i="1" a="1"/>
  <c r="U2081" i="1" s="1"/>
  <c r="U2082" i="1" a="1"/>
  <c r="U2082" i="1" s="1"/>
  <c r="U2083" i="1" a="1"/>
  <c r="U2083" i="1" s="1"/>
  <c r="U2084" i="1" a="1"/>
  <c r="U2084" i="1" s="1"/>
  <c r="U2085" i="1" a="1"/>
  <c r="U2085" i="1"/>
  <c r="U2086" i="1" a="1"/>
  <c r="U2086" i="1"/>
  <c r="U2087" i="1" a="1"/>
  <c r="U2087" i="1"/>
  <c r="U2088" i="1" a="1"/>
  <c r="U2088" i="1"/>
  <c r="U2089" i="1" a="1"/>
  <c r="U2089" i="1"/>
  <c r="U2090" i="1" a="1"/>
  <c r="U2090" i="1" s="1"/>
  <c r="U2091" i="1" a="1"/>
  <c r="U2091" i="1" s="1"/>
  <c r="U2092" i="1" a="1"/>
  <c r="U2092" i="1" s="1"/>
  <c r="U2093" i="1" a="1"/>
  <c r="U2093" i="1"/>
  <c r="U2094" i="1" a="1"/>
  <c r="U2094" i="1" s="1"/>
  <c r="U2095" i="1" a="1"/>
  <c r="U2095" i="1" s="1"/>
  <c r="U2096" i="1" a="1"/>
  <c r="U2096" i="1" s="1"/>
  <c r="U2097" i="1" a="1"/>
  <c r="U2097" i="1"/>
  <c r="U2098" i="1" a="1"/>
  <c r="U2098" i="1"/>
  <c r="U2099" i="1" a="1"/>
  <c r="U2099" i="1"/>
  <c r="U2100" i="1" a="1"/>
  <c r="U2100" i="1"/>
  <c r="U2101" i="1" a="1"/>
  <c r="U2101" i="1"/>
  <c r="U2102" i="1" a="1"/>
  <c r="U2102" i="1" s="1"/>
  <c r="U2103" i="1" a="1"/>
  <c r="U2103" i="1" s="1"/>
  <c r="U2104" i="1" a="1"/>
  <c r="U2104" i="1" s="1"/>
  <c r="U2105" i="1" a="1"/>
  <c r="U2105" i="1" s="1"/>
  <c r="U2106" i="1" a="1"/>
  <c r="U2106" i="1"/>
  <c r="U2107" i="1" a="1"/>
  <c r="U2107" i="1" s="1"/>
  <c r="U2108" i="1" a="1"/>
  <c r="U2108" i="1" s="1"/>
  <c r="U2109" i="1" a="1"/>
  <c r="U2109" i="1"/>
  <c r="U2110" i="1" a="1"/>
  <c r="U2110" i="1"/>
  <c r="U2111" i="1" a="1"/>
  <c r="U2111" i="1"/>
  <c r="U2112" i="1" a="1"/>
  <c r="U2112" i="1"/>
  <c r="U2113" i="1" a="1"/>
  <c r="U2113" i="1"/>
  <c r="U2114" i="1" a="1"/>
  <c r="U2114" i="1" s="1"/>
  <c r="U2115" i="1" a="1"/>
  <c r="U2115" i="1" s="1"/>
  <c r="U2116" i="1" a="1"/>
  <c r="U2116" i="1" s="1"/>
  <c r="U2117" i="1" a="1"/>
  <c r="U2117" i="1" s="1"/>
  <c r="U2118" i="1" a="1"/>
  <c r="U2118" i="1" s="1"/>
  <c r="U2119" i="1" a="1"/>
  <c r="U2119" i="1" s="1"/>
  <c r="U2120" i="1" a="1"/>
  <c r="U2120" i="1" s="1"/>
  <c r="U2121" i="1" a="1"/>
  <c r="U2121" i="1"/>
  <c r="U2122" i="1" a="1"/>
  <c r="U2122" i="1"/>
  <c r="U2123" i="1" a="1"/>
  <c r="U2123" i="1"/>
  <c r="U2124" i="1" a="1"/>
  <c r="U2124" i="1"/>
  <c r="U2125" i="1" a="1"/>
  <c r="U2125" i="1"/>
  <c r="U2126" i="1" a="1"/>
  <c r="U2126" i="1" s="1"/>
  <c r="U2127" i="1" a="1"/>
  <c r="U2127" i="1" s="1"/>
  <c r="U2128" i="1" a="1"/>
  <c r="U2128" i="1" s="1"/>
  <c r="U2129" i="1" a="1"/>
  <c r="U2129" i="1" s="1"/>
  <c r="U2130" i="1" a="1"/>
  <c r="U2130" i="1" s="1"/>
  <c r="U2131" i="1" a="1"/>
  <c r="U2131" i="1" s="1"/>
  <c r="U2132" i="1" a="1"/>
  <c r="U2132" i="1" s="1"/>
  <c r="U2133" i="1" a="1"/>
  <c r="U2133" i="1"/>
  <c r="U2134" i="1" a="1"/>
  <c r="U2134" i="1"/>
  <c r="U2135" i="1" a="1"/>
  <c r="U2135" i="1"/>
  <c r="U2136" i="1" a="1"/>
  <c r="U2136" i="1"/>
  <c r="U2137" i="1" a="1"/>
  <c r="U2137" i="1"/>
  <c r="U2138" i="1" a="1"/>
  <c r="U2138" i="1" s="1"/>
  <c r="U2139" i="1" a="1"/>
  <c r="U2139" i="1" s="1"/>
  <c r="U2140" i="1" a="1"/>
  <c r="U2140" i="1" s="1"/>
  <c r="U2141" i="1" a="1"/>
  <c r="U2141" i="1" s="1"/>
  <c r="U2142" i="1" a="1"/>
  <c r="U2142" i="1" s="1"/>
  <c r="U2143" i="1" a="1"/>
  <c r="U2143" i="1" s="1"/>
  <c r="U2144" i="1" a="1"/>
  <c r="U2144" i="1" s="1"/>
  <c r="U2145" i="1" a="1"/>
  <c r="U2145" i="1"/>
  <c r="U2146" i="1" a="1"/>
  <c r="U2146" i="1"/>
  <c r="U2147" i="1" a="1"/>
  <c r="U2147" i="1"/>
  <c r="U2148" i="1" a="1"/>
  <c r="U2148" i="1"/>
  <c r="U2149" i="1" a="1"/>
  <c r="U2149" i="1"/>
  <c r="U2150" i="1" a="1"/>
  <c r="U2150" i="1" s="1"/>
  <c r="U2151" i="1" a="1"/>
  <c r="U2151" i="1" s="1"/>
  <c r="U2152" i="1" a="1"/>
  <c r="U2152" i="1" s="1"/>
  <c r="U2153" i="1" a="1"/>
  <c r="U2153" i="1" s="1"/>
  <c r="U2154" i="1" a="1"/>
  <c r="U2154" i="1" s="1"/>
  <c r="U2155" i="1" a="1"/>
  <c r="U2155" i="1" s="1"/>
  <c r="U2156" i="1" a="1"/>
  <c r="U2156" i="1" s="1"/>
  <c r="U2157" i="1" a="1"/>
  <c r="U2157" i="1"/>
  <c r="U2158" i="1" a="1"/>
  <c r="U2158" i="1"/>
  <c r="U2159" i="1" a="1"/>
  <c r="U2159" i="1"/>
  <c r="U2160" i="1" a="1"/>
  <c r="U2160" i="1"/>
  <c r="U2161" i="1" a="1"/>
  <c r="U2161" i="1"/>
  <c r="U2162" i="1" a="1"/>
  <c r="U2162" i="1" s="1"/>
  <c r="U2163" i="1" a="1"/>
  <c r="U2163" i="1" s="1"/>
  <c r="U2164" i="1" a="1"/>
  <c r="U2164" i="1" s="1"/>
  <c r="U2165" i="1" a="1"/>
  <c r="U2165" i="1" s="1"/>
  <c r="U2166" i="1" a="1"/>
  <c r="U2166" i="1" s="1"/>
  <c r="U2167" i="1" a="1"/>
  <c r="U2167" i="1" s="1"/>
  <c r="U2168" i="1" a="1"/>
  <c r="U2168" i="1" s="1"/>
  <c r="U2169" i="1" a="1"/>
  <c r="U2169" i="1"/>
  <c r="U2170" i="1" a="1"/>
  <c r="U2170" i="1"/>
  <c r="U2171" i="1" a="1"/>
  <c r="U2171" i="1"/>
  <c r="U2172" i="1" a="1"/>
  <c r="U2172" i="1"/>
  <c r="U2173" i="1" a="1"/>
  <c r="U2173" i="1"/>
  <c r="U2174" i="1" a="1"/>
  <c r="U2174" i="1" s="1"/>
  <c r="U2175" i="1" a="1"/>
  <c r="U2175" i="1" s="1"/>
  <c r="U2176" i="1" a="1"/>
  <c r="U2176" i="1" s="1"/>
  <c r="U2177" i="1" a="1"/>
  <c r="U2177" i="1" s="1"/>
  <c r="U2178" i="1" a="1"/>
  <c r="U2178" i="1" s="1"/>
  <c r="U2179" i="1" a="1"/>
  <c r="U2179" i="1" s="1"/>
  <c r="U2180" i="1" a="1"/>
  <c r="U2180" i="1" s="1"/>
  <c r="U2181" i="1" a="1"/>
  <c r="U2181" i="1"/>
  <c r="U2182" i="1" a="1"/>
  <c r="U2182" i="1"/>
  <c r="U2183" i="1" a="1"/>
  <c r="U2183" i="1"/>
  <c r="U2184" i="1" a="1"/>
  <c r="U2184" i="1"/>
  <c r="U2185" i="1" a="1"/>
  <c r="U2185" i="1"/>
  <c r="U2186" i="1" a="1"/>
  <c r="U2186" i="1" s="1"/>
  <c r="U2187" i="1" a="1"/>
  <c r="U2187" i="1" s="1"/>
  <c r="U2188" i="1" a="1"/>
  <c r="U2188" i="1" s="1"/>
  <c r="U2189" i="1" a="1"/>
  <c r="U2189" i="1" s="1"/>
  <c r="U2190" i="1" a="1"/>
  <c r="U2190" i="1" s="1"/>
  <c r="U2191" i="1" a="1"/>
  <c r="U2191" i="1" s="1"/>
  <c r="U2192" i="1" a="1"/>
  <c r="U2192" i="1" s="1"/>
  <c r="U2193" i="1" a="1"/>
  <c r="U2193" i="1"/>
  <c r="U2194" i="1" a="1"/>
  <c r="U2194" i="1"/>
  <c r="U2195" i="1" a="1"/>
  <c r="U2195" i="1"/>
  <c r="U2196" i="1" a="1"/>
  <c r="U2196" i="1"/>
  <c r="U2197" i="1" a="1"/>
  <c r="U2197" i="1"/>
  <c r="U2198" i="1" a="1"/>
  <c r="U2198" i="1" s="1"/>
  <c r="U2199" i="1" a="1"/>
  <c r="U2199" i="1" s="1"/>
  <c r="U2200" i="1" a="1"/>
  <c r="U2200" i="1" s="1"/>
  <c r="U2201" i="1" a="1"/>
  <c r="U2201" i="1" s="1"/>
  <c r="U2202" i="1" a="1"/>
  <c r="U2202" i="1" s="1"/>
  <c r="U2203" i="1" a="1"/>
  <c r="U2203" i="1" s="1"/>
  <c r="U2204" i="1" a="1"/>
  <c r="U2204" i="1" s="1"/>
  <c r="U2205" i="1" a="1"/>
  <c r="U2205" i="1"/>
  <c r="U2206" i="1" a="1"/>
  <c r="U2206" i="1"/>
  <c r="U2207" i="1" a="1"/>
  <c r="U2207" i="1"/>
  <c r="U2208" i="1" a="1"/>
  <c r="U2208" i="1"/>
  <c r="U2209" i="1" a="1"/>
  <c r="U2209" i="1"/>
  <c r="U2210" i="1" a="1"/>
  <c r="U2210" i="1" s="1"/>
  <c r="U2211" i="1" a="1"/>
  <c r="U2211" i="1" s="1"/>
  <c r="U2212" i="1" a="1"/>
  <c r="U2212" i="1" s="1"/>
  <c r="U2213" i="1" a="1"/>
  <c r="U2213" i="1" s="1"/>
  <c r="U2214" i="1" a="1"/>
  <c r="U2214" i="1" s="1"/>
  <c r="U2215" i="1" a="1"/>
  <c r="U2215" i="1" s="1"/>
  <c r="U2216" i="1" a="1"/>
  <c r="U2216" i="1" s="1"/>
  <c r="U2217" i="1" a="1"/>
  <c r="U2217" i="1"/>
  <c r="U2218" i="1" a="1"/>
  <c r="U2218" i="1"/>
  <c r="U2219" i="1" a="1"/>
  <c r="U2219" i="1"/>
  <c r="U2220" i="1" a="1"/>
  <c r="U2220" i="1"/>
  <c r="U2221" i="1" a="1"/>
  <c r="U2221" i="1"/>
  <c r="U2222" i="1" a="1"/>
  <c r="U2222" i="1" s="1"/>
  <c r="U2223" i="1" a="1"/>
  <c r="U2223" i="1" s="1"/>
  <c r="U2224" i="1" a="1"/>
  <c r="U2224" i="1" s="1"/>
  <c r="U2225" i="1" a="1"/>
  <c r="U2225" i="1" s="1"/>
  <c r="U2226" i="1" a="1"/>
  <c r="U2226" i="1" s="1"/>
  <c r="U2227" i="1" a="1"/>
  <c r="U2227" i="1" s="1"/>
  <c r="U2228" i="1" a="1"/>
  <c r="U2228" i="1" s="1"/>
  <c r="U2229" i="1" a="1"/>
  <c r="U2229" i="1"/>
  <c r="U2230" i="1" a="1"/>
  <c r="U2230" i="1"/>
  <c r="U2231" i="1" a="1"/>
  <c r="U2231" i="1"/>
  <c r="U2232" i="1" a="1"/>
  <c r="U2232" i="1"/>
  <c r="U2233" i="1" a="1"/>
  <c r="U2233" i="1"/>
  <c r="U2234" i="1" a="1"/>
  <c r="U2234" i="1" s="1"/>
  <c r="U2235" i="1" a="1"/>
  <c r="U2235" i="1" s="1"/>
  <c r="U2236" i="1" a="1"/>
  <c r="U2236" i="1" s="1"/>
  <c r="U2237" i="1" a="1"/>
  <c r="U2237" i="1" s="1"/>
  <c r="U2238" i="1" a="1"/>
  <c r="U2238" i="1" s="1"/>
  <c r="U2239" i="1" a="1"/>
  <c r="U2239" i="1" s="1"/>
  <c r="U2240" i="1" a="1"/>
  <c r="U2240" i="1" s="1"/>
  <c r="U2241" i="1" a="1"/>
  <c r="U2241" i="1"/>
  <c r="U2242" i="1" a="1"/>
  <c r="U2242" i="1"/>
  <c r="U2243" i="1" a="1"/>
  <c r="U2243" i="1"/>
  <c r="U2244" i="1" a="1"/>
  <c r="U2244" i="1"/>
  <c r="U2245" i="1" a="1"/>
  <c r="U2245" i="1"/>
  <c r="U2246" i="1" a="1"/>
  <c r="U2246" i="1" s="1"/>
  <c r="U2247" i="1" a="1"/>
  <c r="U2247" i="1" s="1"/>
  <c r="U2248" i="1" a="1"/>
  <c r="U2248" i="1" s="1"/>
  <c r="U2249" i="1" a="1"/>
  <c r="U2249" i="1" s="1"/>
  <c r="U2250" i="1" a="1"/>
  <c r="U2250" i="1" s="1"/>
  <c r="U2251" i="1" a="1"/>
  <c r="U2251" i="1" s="1"/>
  <c r="U2252" i="1" a="1"/>
  <c r="U2252" i="1" s="1"/>
  <c r="U2253" i="1" a="1"/>
  <c r="U2253" i="1"/>
  <c r="U2254" i="1" a="1"/>
  <c r="U2254" i="1"/>
  <c r="U2255" i="1" a="1"/>
  <c r="U2255" i="1"/>
  <c r="U2256" i="1" a="1"/>
  <c r="U2256" i="1"/>
  <c r="U2257" i="1" a="1"/>
  <c r="U2257" i="1"/>
  <c r="U2258" i="1" a="1"/>
  <c r="U2258" i="1" s="1"/>
  <c r="U2259" i="1" a="1"/>
  <c r="U2259" i="1" s="1"/>
  <c r="U2260" i="1" a="1"/>
  <c r="U2260" i="1" s="1"/>
  <c r="U2261" i="1" a="1"/>
  <c r="U2261" i="1" s="1"/>
  <c r="U2262" i="1" a="1"/>
  <c r="U2262" i="1" s="1"/>
  <c r="U2263" i="1" a="1"/>
  <c r="U2263" i="1" s="1"/>
  <c r="U2264" i="1" a="1"/>
  <c r="U2264" i="1" s="1"/>
  <c r="U2265" i="1" a="1"/>
  <c r="U2265" i="1"/>
  <c r="U2266" i="1" a="1"/>
  <c r="U2266" i="1"/>
  <c r="U2267" i="1" a="1"/>
  <c r="U2267" i="1"/>
  <c r="U2268" i="1" a="1"/>
  <c r="U2268" i="1"/>
  <c r="U2269" i="1" a="1"/>
  <c r="U2269" i="1"/>
  <c r="U2270" i="1" a="1"/>
  <c r="U2270" i="1" s="1"/>
  <c r="U2271" i="1" a="1"/>
  <c r="U2271" i="1" s="1"/>
  <c r="U2272" i="1" a="1"/>
  <c r="U2272" i="1" s="1"/>
  <c r="U2273" i="1" a="1"/>
  <c r="U2273" i="1" s="1"/>
  <c r="U2274" i="1" a="1"/>
  <c r="U2274" i="1" s="1"/>
  <c r="U2275" i="1" a="1"/>
  <c r="U2275" i="1" s="1"/>
  <c r="U2276" i="1" a="1"/>
  <c r="U2276" i="1" s="1"/>
  <c r="U2277" i="1" a="1"/>
  <c r="U2277" i="1"/>
  <c r="U2278" i="1" a="1"/>
  <c r="U2278" i="1"/>
  <c r="U2279" i="1" a="1"/>
  <c r="U2279" i="1"/>
  <c r="U2280" i="1" a="1"/>
  <c r="U2280" i="1"/>
  <c r="U2281" i="1" a="1"/>
  <c r="U2281" i="1"/>
  <c r="U2282" i="1" a="1"/>
  <c r="U2282" i="1" s="1"/>
  <c r="U2283" i="1" a="1"/>
  <c r="U2283" i="1" s="1"/>
  <c r="U2284" i="1" a="1"/>
  <c r="U2284" i="1" s="1"/>
  <c r="U2285" i="1" a="1"/>
  <c r="U2285" i="1" s="1"/>
  <c r="U2286" i="1" a="1"/>
  <c r="U2286" i="1" s="1"/>
  <c r="U2287" i="1" a="1"/>
  <c r="U2287" i="1" s="1"/>
  <c r="U2288" i="1" a="1"/>
  <c r="U2288" i="1" s="1"/>
  <c r="U2289" i="1" a="1"/>
  <c r="U2289" i="1"/>
  <c r="U2290" i="1" a="1"/>
  <c r="U2290" i="1"/>
  <c r="U2291" i="1" a="1"/>
  <c r="U2291" i="1"/>
  <c r="U2292" i="1" a="1"/>
  <c r="U2292" i="1"/>
  <c r="U2293" i="1" a="1"/>
  <c r="U2293" i="1"/>
  <c r="U2294" i="1" a="1"/>
  <c r="U2294" i="1" s="1"/>
  <c r="U2295" i="1" a="1"/>
  <c r="U2295" i="1" s="1"/>
  <c r="U2296" i="1" a="1"/>
  <c r="U2296" i="1" s="1"/>
  <c r="U2297" i="1" a="1"/>
  <c r="U2297" i="1" s="1"/>
  <c r="U2298" i="1" a="1"/>
  <c r="U2298" i="1" s="1"/>
  <c r="U2299" i="1" a="1"/>
  <c r="U2299" i="1" s="1"/>
  <c r="U2300" i="1" a="1"/>
  <c r="U2300" i="1" s="1"/>
  <c r="U2301" i="1" a="1"/>
  <c r="U2301" i="1"/>
  <c r="U2302" i="1" a="1"/>
  <c r="U2302" i="1"/>
  <c r="U2303" i="1" a="1"/>
  <c r="U2303" i="1"/>
  <c r="U2304" i="1" a="1"/>
  <c r="U2304" i="1"/>
  <c r="U2305" i="1" a="1"/>
  <c r="U2305" i="1"/>
  <c r="U2306" i="1" a="1"/>
  <c r="U2306" i="1" s="1"/>
  <c r="U2307" i="1" a="1"/>
  <c r="U2307" i="1" s="1"/>
  <c r="U2308" i="1" a="1"/>
  <c r="U2308" i="1" s="1"/>
  <c r="U2309" i="1" a="1"/>
  <c r="U2309" i="1" s="1"/>
  <c r="U2310" i="1" a="1"/>
  <c r="U2310" i="1" s="1"/>
  <c r="U2311" i="1" a="1"/>
  <c r="U2311" i="1" s="1"/>
  <c r="U2312" i="1" a="1"/>
  <c r="U2312" i="1" s="1"/>
  <c r="U2313" i="1" a="1"/>
  <c r="U2313" i="1"/>
  <c r="U2314" i="1" a="1"/>
  <c r="U2314" i="1"/>
  <c r="U2315" i="1" a="1"/>
  <c r="U2315" i="1"/>
  <c r="U2316" i="1" a="1"/>
  <c r="U2316" i="1"/>
  <c r="U2317" i="1" a="1"/>
  <c r="U2317" i="1"/>
  <c r="U2318" i="1" a="1"/>
  <c r="U2318" i="1" s="1"/>
  <c r="U2319" i="1" a="1"/>
  <c r="U2319" i="1" s="1"/>
  <c r="U2320" i="1" a="1"/>
  <c r="U2320" i="1" s="1"/>
  <c r="U2321" i="1" a="1"/>
  <c r="U2321" i="1" s="1"/>
  <c r="U2322" i="1" a="1"/>
  <c r="U2322" i="1" s="1"/>
  <c r="U2323" i="1" a="1"/>
  <c r="U2323" i="1" s="1"/>
  <c r="U2324" i="1" a="1"/>
  <c r="U2324" i="1" s="1"/>
  <c r="U2325" i="1" a="1"/>
  <c r="U2325" i="1"/>
  <c r="U2326" i="1" a="1"/>
  <c r="U2326" i="1"/>
  <c r="U2327" i="1" a="1"/>
  <c r="U2327" i="1"/>
  <c r="U2328" i="1" a="1"/>
  <c r="U2328" i="1"/>
  <c r="U2329" i="1" a="1"/>
  <c r="U2329" i="1"/>
  <c r="U2330" i="1" a="1"/>
  <c r="U2330" i="1" s="1"/>
  <c r="U2331" i="1" a="1"/>
  <c r="U2331" i="1" s="1"/>
  <c r="U2332" i="1" a="1"/>
  <c r="U2332" i="1" s="1"/>
  <c r="U2333" i="1" a="1"/>
  <c r="U2333" i="1" s="1"/>
  <c r="U2334" i="1" a="1"/>
  <c r="U2334" i="1" s="1"/>
  <c r="U2335" i="1" a="1"/>
  <c r="U2335" i="1" s="1"/>
  <c r="U2336" i="1" a="1"/>
  <c r="U2336" i="1" s="1"/>
  <c r="U2337" i="1" a="1"/>
  <c r="U2337" i="1"/>
  <c r="U2338" i="1" a="1"/>
  <c r="U2338" i="1"/>
  <c r="U2339" i="1" a="1"/>
  <c r="U2339" i="1"/>
  <c r="U2340" i="1" a="1"/>
  <c r="U2340" i="1"/>
  <c r="U2341" i="1" a="1"/>
  <c r="U2341" i="1"/>
  <c r="U2342" i="1" a="1"/>
  <c r="U2342" i="1" s="1"/>
  <c r="U2343" i="1" a="1"/>
  <c r="U2343" i="1" s="1"/>
  <c r="U2344" i="1" a="1"/>
  <c r="U2344" i="1" s="1"/>
  <c r="U2345" i="1" a="1"/>
  <c r="U2345" i="1" s="1"/>
  <c r="U2346" i="1" a="1"/>
  <c r="U2346" i="1" s="1"/>
  <c r="U2347" i="1" a="1"/>
  <c r="U2347" i="1" s="1"/>
  <c r="U2348" i="1" a="1"/>
  <c r="U2348" i="1" s="1"/>
  <c r="U2349" i="1" a="1"/>
  <c r="U2349" i="1"/>
  <c r="U2350" i="1" a="1"/>
  <c r="U2350" i="1"/>
  <c r="U2351" i="1" a="1"/>
  <c r="U2351" i="1"/>
  <c r="U2352" i="1" a="1"/>
  <c r="U2352" i="1"/>
  <c r="U2353" i="1" a="1"/>
  <c r="U2353" i="1"/>
  <c r="U2354" i="1" a="1"/>
  <c r="U2354" i="1" s="1"/>
  <c r="U2355" i="1" a="1"/>
  <c r="U2355" i="1" s="1"/>
  <c r="U2356" i="1" a="1"/>
  <c r="U2356" i="1" s="1"/>
  <c r="U2357" i="1" a="1"/>
  <c r="U2357" i="1" s="1"/>
  <c r="U2358" i="1" a="1"/>
  <c r="U2358" i="1" s="1"/>
  <c r="U2359" i="1" a="1"/>
  <c r="U2359" i="1" s="1"/>
  <c r="U2360" i="1" a="1"/>
  <c r="U2360" i="1" s="1"/>
  <c r="U2361" i="1" a="1"/>
  <c r="U2361" i="1"/>
  <c r="U2362" i="1" a="1"/>
  <c r="U2362" i="1"/>
  <c r="U2363" i="1" a="1"/>
  <c r="U2363" i="1"/>
  <c r="U2364" i="1" a="1"/>
  <c r="U2364" i="1"/>
  <c r="U2365" i="1" a="1"/>
  <c r="U2365" i="1"/>
  <c r="U2366" i="1" a="1"/>
  <c r="U2366" i="1" s="1"/>
  <c r="U2367" i="1" a="1"/>
  <c r="U2367" i="1" s="1"/>
  <c r="U2368" i="1" a="1"/>
  <c r="U2368" i="1" s="1"/>
  <c r="U2369" i="1" a="1"/>
  <c r="U2369" i="1" s="1"/>
  <c r="U2370" i="1" a="1"/>
  <c r="U2370" i="1" s="1"/>
  <c r="U2371" i="1" a="1"/>
  <c r="U2371" i="1" s="1"/>
  <c r="U2372" i="1" a="1"/>
  <c r="U2372" i="1" s="1"/>
  <c r="U2373" i="1" a="1"/>
  <c r="U2373" i="1"/>
  <c r="U2374" i="1" a="1"/>
  <c r="U2374" i="1"/>
  <c r="U2375" i="1" a="1"/>
  <c r="U2375" i="1"/>
  <c r="U2376" i="1" a="1"/>
  <c r="U2376" i="1"/>
  <c r="U2377" i="1" a="1"/>
  <c r="U2377" i="1"/>
  <c r="U2378" i="1" a="1"/>
  <c r="U2378" i="1" s="1"/>
  <c r="U2379" i="1" a="1"/>
  <c r="U2379" i="1" s="1"/>
  <c r="U2380" i="1" a="1"/>
  <c r="U2380" i="1" s="1"/>
  <c r="U2381" i="1" a="1"/>
  <c r="U2381" i="1" s="1"/>
  <c r="U2382" i="1" a="1"/>
  <c r="U2382" i="1" s="1"/>
  <c r="U2383" i="1" a="1"/>
  <c r="U2383" i="1" s="1"/>
  <c r="U2384" i="1" a="1"/>
  <c r="U2384" i="1" s="1"/>
  <c r="U2385" i="1" a="1"/>
  <c r="U2385" i="1"/>
  <c r="U2386" i="1" a="1"/>
  <c r="U2386" i="1"/>
  <c r="U2387" i="1" a="1"/>
  <c r="U2387" i="1"/>
  <c r="U2388" i="1" a="1"/>
  <c r="U2388" i="1"/>
  <c r="U2389" i="1" a="1"/>
  <c r="U2389" i="1"/>
  <c r="U2390" i="1" a="1"/>
  <c r="U2390" i="1" s="1"/>
  <c r="U2391" i="1" a="1"/>
  <c r="U2391" i="1" s="1"/>
  <c r="U2392" i="1" a="1"/>
  <c r="U2392" i="1" s="1"/>
  <c r="U2393" i="1" a="1"/>
  <c r="U2393" i="1" s="1"/>
  <c r="U2394" i="1" a="1"/>
  <c r="U2394" i="1" s="1"/>
  <c r="U2395" i="1" a="1"/>
  <c r="U2395" i="1" s="1"/>
  <c r="U2396" i="1" a="1"/>
  <c r="U2396" i="1" s="1"/>
  <c r="U2397" i="1" a="1"/>
  <c r="U2397" i="1"/>
  <c r="U2398" i="1" a="1"/>
  <c r="U2398" i="1"/>
  <c r="U2399" i="1" a="1"/>
  <c r="U2399" i="1"/>
  <c r="U2400" i="1" a="1"/>
  <c r="U2400" i="1"/>
  <c r="U2401" i="1" a="1"/>
  <c r="U2401" i="1"/>
  <c r="U2402" i="1" a="1"/>
  <c r="U2402" i="1" s="1"/>
  <c r="U2403" i="1" a="1"/>
  <c r="U2403" i="1" s="1"/>
  <c r="U2404" i="1" a="1"/>
  <c r="U2404" i="1" s="1"/>
  <c r="U2405" i="1" a="1"/>
  <c r="U2405" i="1" s="1"/>
  <c r="U2406" i="1" a="1"/>
  <c r="U2406" i="1" s="1"/>
  <c r="U2407" i="1" a="1"/>
  <c r="U2407" i="1" s="1"/>
  <c r="U2408" i="1" a="1"/>
  <c r="U2408" i="1" s="1"/>
  <c r="U2409" i="1" a="1"/>
  <c r="U2409" i="1"/>
  <c r="U2410" i="1" a="1"/>
  <c r="U2410" i="1"/>
  <c r="U2411" i="1" a="1"/>
  <c r="U2411" i="1"/>
  <c r="U2412" i="1" a="1"/>
  <c r="U2412" i="1"/>
  <c r="U2413" i="1" a="1"/>
  <c r="U2413" i="1"/>
  <c r="U2414" i="1" a="1"/>
  <c r="U2414" i="1" s="1"/>
  <c r="U2415" i="1" a="1"/>
  <c r="U2415" i="1" s="1"/>
  <c r="U2416" i="1" a="1"/>
  <c r="U2416" i="1" s="1"/>
  <c r="U2417" i="1" a="1"/>
  <c r="U2417" i="1" s="1"/>
  <c r="U2418" i="1" a="1"/>
  <c r="U2418" i="1" s="1"/>
  <c r="U2419" i="1" a="1"/>
  <c r="U2419" i="1" s="1"/>
  <c r="U2420" i="1" a="1"/>
  <c r="U2420" i="1" s="1"/>
  <c r="U2421" i="1" a="1"/>
  <c r="U2421" i="1"/>
  <c r="U2422" i="1" a="1"/>
  <c r="U2422" i="1"/>
  <c r="U2423" i="1" a="1"/>
  <c r="U2423" i="1"/>
  <c r="U2424" i="1" a="1"/>
  <c r="U2424" i="1"/>
  <c r="U2425" i="1" a="1"/>
  <c r="U2425" i="1"/>
  <c r="U2426" i="1" a="1"/>
  <c r="U2426" i="1" s="1"/>
  <c r="U2427" i="1" a="1"/>
  <c r="U2427" i="1" s="1"/>
  <c r="U2428" i="1" a="1"/>
  <c r="U2428" i="1" s="1"/>
  <c r="U2429" i="1" a="1"/>
  <c r="U2429" i="1" s="1"/>
  <c r="U2430" i="1" a="1"/>
  <c r="U2430" i="1" s="1"/>
  <c r="U2431" i="1" a="1"/>
  <c r="U2431" i="1" s="1"/>
  <c r="U2432" i="1" a="1"/>
  <c r="U2432" i="1" s="1"/>
  <c r="U2433" i="1" a="1"/>
  <c r="U2433" i="1"/>
  <c r="U2434" i="1" a="1"/>
  <c r="U2434" i="1"/>
  <c r="U2435" i="1" a="1"/>
  <c r="U2435" i="1"/>
  <c r="U2436" i="1" a="1"/>
  <c r="U2436" i="1"/>
  <c r="U2437" i="1" a="1"/>
  <c r="U2437" i="1"/>
  <c r="U2438" i="1" a="1"/>
  <c r="U2438" i="1" s="1"/>
  <c r="U2439" i="1" a="1"/>
  <c r="U2439" i="1" s="1"/>
  <c r="U2440" i="1" a="1"/>
  <c r="U2440" i="1" s="1"/>
  <c r="U2441" i="1" a="1"/>
  <c r="U2441" i="1" s="1"/>
  <c r="U2442" i="1" a="1"/>
  <c r="U2442" i="1" s="1"/>
  <c r="U2443" i="1" a="1"/>
  <c r="U2443" i="1" s="1"/>
  <c r="U2444" i="1" a="1"/>
  <c r="U2444" i="1" s="1"/>
  <c r="U2445" i="1" a="1"/>
  <c r="U2445" i="1"/>
  <c r="U2446" i="1" a="1"/>
  <c r="U2446" i="1"/>
  <c r="U2447" i="1" a="1"/>
  <c r="U2447" i="1"/>
  <c r="U2448" i="1" a="1"/>
  <c r="U2448" i="1"/>
  <c r="U2449" i="1" a="1"/>
  <c r="U2449" i="1"/>
  <c r="U2450" i="1" a="1"/>
  <c r="U2450" i="1" s="1"/>
  <c r="U2451" i="1" a="1"/>
  <c r="U2451" i="1" s="1"/>
  <c r="U2452" i="1" a="1"/>
  <c r="U2452" i="1" s="1"/>
  <c r="U2453" i="1" a="1"/>
  <c r="U2453" i="1" s="1"/>
  <c r="U2454" i="1" a="1"/>
  <c r="U2454" i="1" s="1"/>
  <c r="U2455" i="1" a="1"/>
  <c r="U2455" i="1" s="1"/>
  <c r="U2456" i="1" a="1"/>
  <c r="U2456" i="1" s="1"/>
  <c r="U2457" i="1" a="1"/>
  <c r="U2457" i="1"/>
  <c r="U2458" i="1" a="1"/>
  <c r="U2458" i="1"/>
  <c r="U2459" i="1" a="1"/>
  <c r="U2459" i="1"/>
  <c r="U2460" i="1" a="1"/>
  <c r="U2460" i="1"/>
  <c r="U2461" i="1" a="1"/>
  <c r="U2461" i="1"/>
  <c r="U2462" i="1" a="1"/>
  <c r="U2462" i="1" s="1"/>
  <c r="U2463" i="1" a="1"/>
  <c r="U2463" i="1" s="1"/>
  <c r="U2464" i="1" a="1"/>
  <c r="U2464" i="1" s="1"/>
  <c r="U2465" i="1" a="1"/>
  <c r="U2465" i="1" s="1"/>
  <c r="U2466" i="1" a="1"/>
  <c r="U2466" i="1" s="1"/>
  <c r="U2467" i="1" a="1"/>
  <c r="U2467" i="1" s="1"/>
  <c r="U2468" i="1" a="1"/>
  <c r="U2468" i="1" s="1"/>
  <c r="U2469" i="1" a="1"/>
  <c r="U2469" i="1"/>
  <c r="U2470" i="1" a="1"/>
  <c r="U2470" i="1"/>
  <c r="U2471" i="1" a="1"/>
  <c r="U2471" i="1"/>
  <c r="U2472" i="1" a="1"/>
  <c r="U2472" i="1"/>
  <c r="U2473" i="1" a="1"/>
  <c r="U2473" i="1"/>
  <c r="U2474" i="1" a="1"/>
  <c r="U2474" i="1"/>
  <c r="U2475" i="1" a="1"/>
  <c r="U2475" i="1"/>
  <c r="U2476" i="1" a="1"/>
  <c r="U2476" i="1"/>
  <c r="U2477" i="1" a="1"/>
  <c r="U2477" i="1"/>
  <c r="U2478" i="1" a="1"/>
  <c r="U2478" i="1"/>
  <c r="U2479" i="1" a="1"/>
  <c r="U2479" i="1"/>
  <c r="U2480" i="1" a="1"/>
  <c r="U2480" i="1"/>
  <c r="U2481" i="1" a="1"/>
  <c r="U2481" i="1"/>
  <c r="U2482" i="1" a="1"/>
  <c r="U2482" i="1"/>
  <c r="U2483" i="1" a="1"/>
  <c r="U2483" i="1"/>
  <c r="U2484" i="1" a="1"/>
  <c r="U2484" i="1"/>
  <c r="U2485" i="1" a="1"/>
  <c r="U2485" i="1"/>
  <c r="U2486" i="1" a="1"/>
  <c r="U2486" i="1"/>
  <c r="U2487" i="1" a="1"/>
  <c r="U2487" i="1"/>
  <c r="U2488" i="1" a="1"/>
  <c r="U2488" i="1"/>
  <c r="U2489" i="1" a="1"/>
  <c r="U2489" i="1"/>
  <c r="U2490" i="1" a="1"/>
  <c r="U2490" i="1"/>
  <c r="U2491" i="1" a="1"/>
  <c r="U2491" i="1"/>
  <c r="U2492" i="1" a="1"/>
  <c r="U2492" i="1"/>
  <c r="U2493" i="1" a="1"/>
  <c r="U2493" i="1"/>
  <c r="U2494" i="1" a="1"/>
  <c r="U2494" i="1"/>
  <c r="U2495" i="1" a="1"/>
  <c r="U2495" i="1"/>
  <c r="U2496" i="1" a="1"/>
  <c r="U2496" i="1"/>
  <c r="U2497" i="1" a="1"/>
  <c r="U2497" i="1"/>
  <c r="U2498" i="1" a="1"/>
  <c r="U2498" i="1"/>
  <c r="U2499" i="1" a="1"/>
  <c r="U2499" i="1"/>
  <c r="U2500" i="1" a="1"/>
  <c r="U2500" i="1"/>
  <c r="U2501" i="1" a="1"/>
  <c r="U2501" i="1"/>
  <c r="U2502" i="1" a="1"/>
  <c r="U2502" i="1"/>
  <c r="U2503" i="1" a="1"/>
  <c r="U2503" i="1"/>
  <c r="U2504" i="1" a="1"/>
  <c r="U2504" i="1"/>
  <c r="U2505" i="1" a="1"/>
  <c r="U2505" i="1"/>
  <c r="U2506" i="1" a="1"/>
  <c r="U2506" i="1"/>
  <c r="U2507" i="1" a="1"/>
  <c r="U2507" i="1"/>
  <c r="U2508" i="1" a="1"/>
  <c r="U2508" i="1" s="1"/>
  <c r="U2509" i="1" a="1"/>
  <c r="U2509" i="1"/>
  <c r="U2510" i="1" a="1"/>
  <c r="U2510" i="1"/>
  <c r="U2511" i="1" a="1"/>
  <c r="U2511" i="1"/>
  <c r="U2512" i="1" a="1"/>
  <c r="U2512" i="1"/>
  <c r="U2513" i="1" a="1"/>
  <c r="U2513" i="1"/>
  <c r="U2514" i="1" a="1"/>
  <c r="U2514" i="1" s="1"/>
  <c r="U2515" i="1" a="1"/>
  <c r="U2515" i="1"/>
  <c r="U2516" i="1" a="1"/>
  <c r="U2516" i="1"/>
  <c r="U2517" i="1" a="1"/>
  <c r="U2517" i="1"/>
  <c r="U2518" i="1" a="1"/>
  <c r="U2518" i="1"/>
  <c r="U2519" i="1" a="1"/>
  <c r="U2519" i="1"/>
  <c r="U2520" i="1" a="1"/>
  <c r="U2520" i="1" s="1"/>
  <c r="U2521" i="1" a="1"/>
  <c r="U2521" i="1"/>
  <c r="U2522" i="1" a="1"/>
  <c r="U2522" i="1" s="1"/>
  <c r="U2523" i="1" a="1"/>
  <c r="U2523" i="1"/>
  <c r="U2524" i="1" a="1"/>
  <c r="U2524" i="1"/>
  <c r="U2525" i="1" a="1"/>
  <c r="U2525" i="1"/>
  <c r="U2526" i="1" a="1"/>
  <c r="U2526" i="1" s="1"/>
  <c r="U2527" i="1" a="1"/>
  <c r="U2527" i="1"/>
  <c r="U2528" i="1" a="1"/>
  <c r="U2528" i="1" s="1"/>
  <c r="U2529" i="1" a="1"/>
  <c r="U2529" i="1"/>
  <c r="U2530" i="1" a="1"/>
  <c r="U2530" i="1"/>
  <c r="U2531" i="1" a="1"/>
  <c r="U2531" i="1"/>
  <c r="U2532" i="1" a="1"/>
  <c r="U2532" i="1" s="1"/>
  <c r="U2533" i="1" a="1"/>
  <c r="U2533" i="1"/>
  <c r="U2534" i="1" a="1"/>
  <c r="U2534" i="1" s="1"/>
  <c r="U2535" i="1" a="1"/>
  <c r="U2535" i="1"/>
  <c r="U2536" i="1" a="1"/>
  <c r="U2536" i="1" s="1"/>
  <c r="U2537" i="1" a="1"/>
  <c r="U2537" i="1"/>
  <c r="U2538" i="1" a="1"/>
  <c r="U2538" i="1" s="1"/>
  <c r="U2539" i="1" a="1"/>
  <c r="U2539" i="1"/>
  <c r="U2540" i="1" a="1"/>
  <c r="U2540" i="1" s="1"/>
  <c r="U2541" i="1" a="1"/>
  <c r="U2541" i="1"/>
  <c r="U2542" i="1" a="1"/>
  <c r="U2542" i="1" s="1"/>
  <c r="U2543" i="1" a="1"/>
  <c r="U2543" i="1"/>
  <c r="U2544" i="1" a="1"/>
  <c r="U2544" i="1" s="1"/>
  <c r="U2545" i="1" a="1"/>
  <c r="U2545" i="1"/>
  <c r="U2546" i="1" a="1"/>
  <c r="U2546" i="1" s="1"/>
  <c r="U2547" i="1" a="1"/>
  <c r="U2547" i="1"/>
  <c r="U2548" i="1" a="1"/>
  <c r="U2548" i="1" s="1"/>
  <c r="U2549" i="1" a="1"/>
  <c r="U2549" i="1"/>
  <c r="U2550" i="1" a="1"/>
  <c r="U2550" i="1" s="1"/>
  <c r="U2551" i="1" a="1"/>
  <c r="U2551" i="1"/>
  <c r="U2552" i="1" a="1"/>
  <c r="U2552" i="1" s="1"/>
  <c r="U2553" i="1" a="1"/>
  <c r="U2553" i="1"/>
  <c r="U2554" i="1" a="1"/>
  <c r="U2554" i="1" s="1"/>
  <c r="U2555" i="1" a="1"/>
  <c r="U2555" i="1"/>
  <c r="U2556" i="1" a="1"/>
  <c r="U2556" i="1" s="1"/>
  <c r="U2557" i="1" a="1"/>
  <c r="U2557" i="1"/>
  <c r="U2558" i="1" a="1"/>
  <c r="U2558" i="1" s="1"/>
  <c r="U2559" i="1" a="1"/>
  <c r="U2559" i="1" s="1"/>
  <c r="U2560" i="1" a="1"/>
  <c r="U2560" i="1" s="1"/>
  <c r="U2561" i="1" a="1"/>
  <c r="U2561" i="1"/>
  <c r="U2562" i="1" a="1"/>
  <c r="U2562" i="1" s="1"/>
  <c r="U2563" i="1" a="1"/>
  <c r="U2563" i="1"/>
  <c r="U2564" i="1" a="1"/>
  <c r="U2564" i="1" s="1"/>
  <c r="U2565" i="1" a="1"/>
  <c r="U2565" i="1" s="1"/>
  <c r="U2566" i="1" a="1"/>
  <c r="U2566" i="1" s="1"/>
  <c r="U2567" i="1" a="1"/>
  <c r="U2567" i="1"/>
  <c r="U2568" i="1" a="1"/>
  <c r="U2568" i="1" s="1"/>
  <c r="U2569" i="1" a="1"/>
  <c r="U2569" i="1"/>
  <c r="U2570" i="1" a="1"/>
  <c r="U2570" i="1" s="1"/>
  <c r="U2571" i="1" a="1"/>
  <c r="U2571" i="1" s="1"/>
  <c r="U2572" i="1" a="1"/>
  <c r="U2572" i="1" s="1"/>
  <c r="U2573" i="1" a="1"/>
  <c r="U2573" i="1"/>
  <c r="U2574" i="1" a="1"/>
  <c r="U2574" i="1" s="1"/>
  <c r="U2575" i="1" a="1"/>
  <c r="U2575" i="1"/>
  <c r="U2576" i="1" a="1"/>
  <c r="U2576" i="1" s="1"/>
  <c r="U2577" i="1" a="1"/>
  <c r="U2577" i="1" s="1"/>
  <c r="U2578" i="1" a="1"/>
  <c r="U2578" i="1" s="1"/>
  <c r="U2579" i="1" a="1"/>
  <c r="U2579" i="1"/>
  <c r="U2580" i="1" a="1"/>
  <c r="U2580" i="1" s="1"/>
  <c r="U2581" i="1" a="1"/>
  <c r="U2581" i="1"/>
  <c r="U2582" i="1" a="1"/>
  <c r="U2582" i="1" s="1"/>
  <c r="U2583" i="1" a="1"/>
  <c r="U2583" i="1" s="1"/>
  <c r="U2584" i="1" a="1"/>
  <c r="U2584" i="1" s="1"/>
  <c r="U2585" i="1" a="1"/>
  <c r="U2585" i="1"/>
  <c r="U2586" i="1" a="1"/>
  <c r="U2586" i="1" s="1"/>
  <c r="U2587" i="1" a="1"/>
  <c r="U2587" i="1"/>
  <c r="U2588" i="1" a="1"/>
  <c r="U2588" i="1" s="1"/>
  <c r="U2589" i="1" a="1"/>
  <c r="U2589" i="1" s="1"/>
  <c r="U2590" i="1" a="1"/>
  <c r="U2590" i="1" s="1"/>
  <c r="U2591" i="1" a="1"/>
  <c r="U2591" i="1"/>
  <c r="U2592" i="1" a="1"/>
  <c r="U2592" i="1" s="1"/>
  <c r="U2593" i="1" a="1"/>
  <c r="U2593" i="1"/>
  <c r="U2594" i="1" a="1"/>
  <c r="U2594" i="1" s="1"/>
  <c r="U2595" i="1" a="1"/>
  <c r="U2595" i="1" s="1"/>
  <c r="U2596" i="1" a="1"/>
  <c r="U2596" i="1" s="1"/>
  <c r="U2597" i="1" a="1"/>
  <c r="U2597" i="1"/>
  <c r="U2598" i="1" a="1"/>
  <c r="U2598" i="1" s="1"/>
  <c r="U2599" i="1" a="1"/>
  <c r="U2599" i="1"/>
  <c r="U2600" i="1" a="1"/>
  <c r="U2600" i="1" s="1"/>
  <c r="U2601" i="1" a="1"/>
  <c r="U2601" i="1" s="1"/>
  <c r="U2602" i="1" a="1"/>
  <c r="U2602" i="1" s="1"/>
  <c r="U2603" i="1" a="1"/>
  <c r="U2603" i="1"/>
  <c r="U2604" i="1" a="1"/>
  <c r="U2604" i="1" s="1"/>
  <c r="U2605" i="1" a="1"/>
  <c r="U2605" i="1"/>
  <c r="U2606" i="1" a="1"/>
  <c r="U2606" i="1" s="1"/>
  <c r="U2607" i="1" a="1"/>
  <c r="U2607" i="1" s="1"/>
  <c r="U2608" i="1" a="1"/>
  <c r="U2608" i="1" s="1"/>
  <c r="U2609" i="1" a="1"/>
  <c r="U2609" i="1"/>
  <c r="U2610" i="1" a="1"/>
  <c r="U2610" i="1" s="1"/>
  <c r="U2611" i="1" a="1"/>
  <c r="U2611" i="1"/>
  <c r="U2612" i="1" a="1"/>
  <c r="U2612" i="1" s="1"/>
  <c r="U2613" i="1" a="1"/>
  <c r="U2613" i="1" s="1"/>
  <c r="U2614" i="1" a="1"/>
  <c r="U2614" i="1" s="1"/>
  <c r="U2615" i="1" a="1"/>
  <c r="U2615" i="1"/>
  <c r="U2616" i="1" a="1"/>
  <c r="U2616" i="1" s="1"/>
  <c r="U2617" i="1" a="1"/>
  <c r="U2617" i="1"/>
  <c r="U2618" i="1" a="1"/>
  <c r="U2618" i="1" s="1"/>
  <c r="U2619" i="1" a="1"/>
  <c r="U2619" i="1" s="1"/>
  <c r="U2620" i="1" a="1"/>
  <c r="U2620" i="1" s="1"/>
  <c r="U2621" i="1" a="1"/>
  <c r="U2621" i="1"/>
  <c r="U2622" i="1" a="1"/>
  <c r="U2622" i="1" s="1"/>
  <c r="U2623" i="1" a="1"/>
  <c r="U2623" i="1"/>
  <c r="U2624" i="1" a="1"/>
  <c r="U2624" i="1" s="1"/>
  <c r="U2625" i="1" a="1"/>
  <c r="U2625" i="1" s="1"/>
  <c r="U2626" i="1" a="1"/>
  <c r="U2626" i="1" s="1"/>
  <c r="U2627" i="1" a="1"/>
  <c r="U2627" i="1"/>
  <c r="U2628" i="1" a="1"/>
  <c r="U2628" i="1" s="1"/>
  <c r="U2629" i="1" a="1"/>
  <c r="U2629" i="1"/>
  <c r="U2630" i="1" a="1"/>
  <c r="U2630" i="1" s="1"/>
  <c r="U2631" i="1" a="1"/>
  <c r="U2631" i="1" s="1"/>
  <c r="U2632" i="1" a="1"/>
  <c r="U2632" i="1" s="1"/>
  <c r="U2633" i="1" a="1"/>
  <c r="U2633" i="1"/>
  <c r="U2634" i="1" a="1"/>
  <c r="U2634" i="1" s="1"/>
  <c r="U2635" i="1" a="1"/>
  <c r="U2635" i="1"/>
  <c r="U2636" i="1" a="1"/>
  <c r="U2636" i="1" s="1"/>
  <c r="U2637" i="1" a="1"/>
  <c r="U2637" i="1" s="1"/>
  <c r="U2638" i="1" a="1"/>
  <c r="U2638" i="1" s="1"/>
  <c r="U2639" i="1" a="1"/>
  <c r="U2639" i="1"/>
  <c r="U2640" i="1" a="1"/>
  <c r="U2640" i="1" s="1"/>
  <c r="U2641" i="1" a="1"/>
  <c r="U2641" i="1"/>
  <c r="U2642" i="1" a="1"/>
  <c r="U2642" i="1" s="1"/>
  <c r="U2643" i="1" a="1"/>
  <c r="U2643" i="1" s="1"/>
  <c r="U2644" i="1" a="1"/>
  <c r="U2644" i="1" s="1"/>
  <c r="U2645" i="1" a="1"/>
  <c r="U2645" i="1"/>
  <c r="U2646" i="1" a="1"/>
  <c r="U2646" i="1" s="1"/>
  <c r="U2647" i="1" a="1"/>
  <c r="U2647" i="1"/>
  <c r="U2648" i="1" a="1"/>
  <c r="U2648" i="1" s="1"/>
  <c r="U2649" i="1" a="1"/>
  <c r="U2649" i="1" s="1"/>
  <c r="U2650" i="1" a="1"/>
  <c r="U2650" i="1" s="1"/>
  <c r="U2651" i="1" a="1"/>
  <c r="U2651" i="1"/>
  <c r="U2652" i="1" a="1"/>
  <c r="U2652" i="1" s="1"/>
  <c r="U2653" i="1" a="1"/>
  <c r="U2653" i="1"/>
  <c r="U2654" i="1" a="1"/>
  <c r="U2654" i="1" s="1"/>
  <c r="U2655" i="1" a="1"/>
  <c r="U2655" i="1" s="1"/>
  <c r="U2656" i="1" a="1"/>
  <c r="U2656" i="1" s="1"/>
  <c r="U2657" i="1" a="1"/>
  <c r="U2657" i="1"/>
  <c r="U2658" i="1" a="1"/>
  <c r="U2658" i="1" s="1"/>
  <c r="U2659" i="1" a="1"/>
  <c r="U2659" i="1"/>
  <c r="U2660" i="1" a="1"/>
  <c r="U2660" i="1" s="1"/>
  <c r="U2661" i="1" a="1"/>
  <c r="U2661" i="1" s="1"/>
  <c r="U2662" i="1" a="1"/>
  <c r="U2662" i="1" s="1"/>
  <c r="U2663" i="1" a="1"/>
  <c r="U2663" i="1"/>
  <c r="U2664" i="1" a="1"/>
  <c r="U2664" i="1" s="1"/>
  <c r="U2665" i="1" a="1"/>
  <c r="U2665" i="1"/>
  <c r="U2666" i="1" a="1"/>
  <c r="U2666" i="1" s="1"/>
  <c r="U2667" i="1" a="1"/>
  <c r="U2667" i="1" s="1"/>
  <c r="U2668" i="1" a="1"/>
  <c r="U2668" i="1" s="1"/>
  <c r="U2669" i="1" a="1"/>
  <c r="U2669" i="1"/>
  <c r="U2670" i="1" a="1"/>
  <c r="U2670" i="1" s="1"/>
  <c r="U2671" i="1" a="1"/>
  <c r="U2671" i="1"/>
  <c r="U2672" i="1" a="1"/>
  <c r="U2672" i="1" s="1"/>
  <c r="U2673" i="1" a="1"/>
  <c r="U2673" i="1" s="1"/>
  <c r="U2674" i="1" a="1"/>
  <c r="U2674" i="1" s="1"/>
  <c r="U2675" i="1" a="1"/>
  <c r="U2675" i="1"/>
  <c r="U2676" i="1" a="1"/>
  <c r="U2676" i="1" s="1"/>
  <c r="U2677" i="1" a="1"/>
  <c r="U2677" i="1"/>
  <c r="U2678" i="1" a="1"/>
  <c r="U2678" i="1" s="1"/>
  <c r="U2679" i="1" a="1"/>
  <c r="U2679" i="1" s="1"/>
  <c r="U2680" i="1" a="1"/>
  <c r="U2680" i="1" s="1"/>
  <c r="U2681" i="1" a="1"/>
  <c r="U2681" i="1"/>
  <c r="U2682" i="1" a="1"/>
  <c r="U2682" i="1" s="1"/>
  <c r="U2683" i="1" a="1"/>
  <c r="U2683" i="1"/>
  <c r="U2684" i="1" a="1"/>
  <c r="U2684" i="1" s="1"/>
  <c r="U2685" i="1" a="1"/>
  <c r="U2685" i="1" s="1"/>
  <c r="U2686" i="1" a="1"/>
  <c r="U2686" i="1" s="1"/>
  <c r="U2687" i="1" a="1"/>
  <c r="U2687" i="1"/>
  <c r="U2688" i="1" a="1"/>
  <c r="U2688" i="1" s="1"/>
  <c r="U2689" i="1" a="1"/>
  <c r="U2689" i="1"/>
  <c r="U2690" i="1" a="1"/>
  <c r="U2690" i="1" s="1"/>
  <c r="U2691" i="1" a="1"/>
  <c r="U2691" i="1" s="1"/>
  <c r="U2692" i="1" a="1"/>
  <c r="U2692" i="1" s="1"/>
  <c r="U2693" i="1" a="1"/>
  <c r="U2693" i="1"/>
  <c r="U2694" i="1" a="1"/>
  <c r="U2694" i="1" s="1"/>
  <c r="U2695" i="1" a="1"/>
  <c r="U2695" i="1"/>
  <c r="U2696" i="1" a="1"/>
  <c r="U2696" i="1" s="1"/>
  <c r="U2697" i="1" a="1"/>
  <c r="U2697" i="1" s="1"/>
  <c r="U2698" i="1" a="1"/>
  <c r="U2698" i="1" s="1"/>
  <c r="U2699" i="1" a="1"/>
  <c r="U2699" i="1"/>
  <c r="U2700" i="1" a="1"/>
  <c r="U2700" i="1" s="1"/>
  <c r="U2701" i="1" a="1"/>
  <c r="U2701" i="1"/>
  <c r="U2702" i="1" a="1"/>
  <c r="U2702" i="1" s="1"/>
  <c r="U2703" i="1" a="1"/>
  <c r="U2703" i="1" s="1"/>
  <c r="U2704" i="1" a="1"/>
  <c r="U2704" i="1" s="1"/>
  <c r="U2705" i="1" a="1"/>
  <c r="U2705" i="1"/>
  <c r="U2706" i="1" a="1"/>
  <c r="U2706" i="1" s="1"/>
  <c r="U2707" i="1" a="1"/>
  <c r="U2707" i="1"/>
  <c r="U2708" i="1" a="1"/>
  <c r="U2708" i="1" s="1"/>
  <c r="U2709" i="1" a="1"/>
  <c r="U2709" i="1" s="1"/>
  <c r="U2710" i="1" a="1"/>
  <c r="U2710" i="1" s="1"/>
  <c r="U2711" i="1" a="1"/>
  <c r="U2711" i="1"/>
  <c r="U2712" i="1" a="1"/>
  <c r="U2712" i="1" s="1"/>
  <c r="U2713" i="1" a="1"/>
  <c r="U2713" i="1"/>
  <c r="U2714" i="1" a="1"/>
  <c r="U2714" i="1" s="1"/>
  <c r="U2715" i="1" a="1"/>
  <c r="U2715" i="1" s="1"/>
  <c r="U2716" i="1" a="1"/>
  <c r="U2716" i="1" s="1"/>
  <c r="U2717" i="1" a="1"/>
  <c r="U2717" i="1"/>
  <c r="U2718" i="1" a="1"/>
  <c r="U2718" i="1" s="1"/>
  <c r="U2719" i="1" a="1"/>
  <c r="U2719" i="1"/>
  <c r="U2720" i="1" a="1"/>
  <c r="U2720" i="1" s="1"/>
  <c r="U2721" i="1" a="1"/>
  <c r="U2721" i="1" s="1"/>
  <c r="U2722" i="1" a="1"/>
  <c r="U2722" i="1" s="1"/>
  <c r="U2723" i="1" a="1"/>
  <c r="U2723" i="1"/>
  <c r="U2724" i="1" a="1"/>
  <c r="U2724" i="1" s="1"/>
  <c r="U2725" i="1" a="1"/>
  <c r="U2725" i="1"/>
  <c r="U2726" i="1" a="1"/>
  <c r="U2726" i="1" s="1"/>
  <c r="U2727" i="1" a="1"/>
  <c r="U2727" i="1" s="1"/>
  <c r="U2728" i="1" a="1"/>
  <c r="U2728" i="1" s="1"/>
  <c r="U2729" i="1" a="1"/>
  <c r="U2729" i="1"/>
  <c r="U2730" i="1" a="1"/>
  <c r="U2730" i="1" s="1"/>
  <c r="U2731" i="1" a="1"/>
  <c r="U2731" i="1"/>
  <c r="U2732" i="1" a="1"/>
  <c r="U2732" i="1" s="1"/>
  <c r="U2733" i="1" a="1"/>
  <c r="U2733" i="1" s="1"/>
  <c r="U2734" i="1" a="1"/>
  <c r="U2734" i="1" s="1"/>
  <c r="U2735" i="1" a="1"/>
  <c r="U2735" i="1"/>
  <c r="U2736" i="1" a="1"/>
  <c r="U2736" i="1" s="1"/>
  <c r="U2737" i="1" a="1"/>
  <c r="U2737" i="1"/>
  <c r="U2738" i="1" a="1"/>
  <c r="U2738" i="1" s="1"/>
  <c r="U2739" i="1" a="1"/>
  <c r="U2739" i="1" s="1"/>
  <c r="U2740" i="1" a="1"/>
  <c r="U2740" i="1" s="1"/>
  <c r="U2741" i="1" a="1"/>
  <c r="U2741" i="1"/>
  <c r="U2742" i="1" a="1"/>
  <c r="U2742" i="1" s="1"/>
  <c r="U2743" i="1" a="1"/>
  <c r="U2743" i="1"/>
  <c r="U2744" i="1" a="1"/>
  <c r="U2744" i="1" s="1"/>
  <c r="U2745" i="1" a="1"/>
  <c r="U2745" i="1" s="1"/>
  <c r="U2746" i="1" a="1"/>
  <c r="U2746" i="1" s="1"/>
  <c r="U2747" i="1" a="1"/>
  <c r="U2747" i="1"/>
  <c r="U2748" i="1" a="1"/>
  <c r="U2748" i="1" s="1"/>
  <c r="U2749" i="1" a="1"/>
  <c r="U2749" i="1"/>
  <c r="U2750" i="1" a="1"/>
  <c r="U2750" i="1" s="1"/>
  <c r="U2751" i="1" a="1"/>
  <c r="U2751" i="1" s="1"/>
  <c r="U2752" i="1" a="1"/>
  <c r="U2752" i="1" s="1"/>
  <c r="U2753" i="1" a="1"/>
  <c r="U2753" i="1"/>
  <c r="U2754" i="1" a="1"/>
  <c r="U2754" i="1" s="1"/>
  <c r="U2755" i="1" a="1"/>
  <c r="U2755" i="1"/>
  <c r="U2756" i="1" a="1"/>
  <c r="U2756" i="1" s="1"/>
  <c r="U2757" i="1" a="1"/>
  <c r="U2757" i="1" s="1"/>
  <c r="U2758" i="1" a="1"/>
  <c r="U2758" i="1" s="1"/>
  <c r="U2759" i="1" a="1"/>
  <c r="U2759" i="1"/>
  <c r="U2760" i="1" a="1"/>
  <c r="U2760" i="1" s="1"/>
  <c r="U2761" i="1" a="1"/>
  <c r="U2761" i="1"/>
  <c r="U2762" i="1" a="1"/>
  <c r="U2762" i="1" s="1"/>
  <c r="U2763" i="1" a="1"/>
  <c r="U2763" i="1" s="1"/>
  <c r="U2764" i="1" a="1"/>
  <c r="U2764" i="1" s="1"/>
  <c r="U2765" i="1" a="1"/>
  <c r="U2765" i="1"/>
  <c r="U2766" i="1" a="1"/>
  <c r="U2766" i="1" s="1"/>
  <c r="U2767" i="1" a="1"/>
  <c r="U2767" i="1"/>
  <c r="U2768" i="1" a="1"/>
  <c r="U2768" i="1" s="1"/>
  <c r="U2769" i="1" a="1"/>
  <c r="U2769" i="1" s="1"/>
  <c r="U2770" i="1" a="1"/>
  <c r="U2770" i="1" s="1"/>
  <c r="U2771" i="1" a="1"/>
  <c r="U2771" i="1"/>
  <c r="U2772" i="1" a="1"/>
  <c r="U2772" i="1" s="1"/>
  <c r="U2773" i="1" a="1"/>
  <c r="U2773" i="1"/>
  <c r="U2774" i="1" a="1"/>
  <c r="U2774" i="1" s="1"/>
  <c r="U2775" i="1" a="1"/>
  <c r="U2775" i="1" s="1"/>
  <c r="U2776" i="1" a="1"/>
  <c r="U2776" i="1" s="1"/>
  <c r="U2777" i="1" a="1"/>
  <c r="U2777" i="1"/>
  <c r="U2778" i="1" a="1"/>
  <c r="U2778" i="1" s="1"/>
  <c r="U2779" i="1" a="1"/>
  <c r="U2779" i="1"/>
  <c r="U2780" i="1" a="1"/>
  <c r="U2780" i="1" s="1"/>
  <c r="U2781" i="1" a="1"/>
  <c r="U2781" i="1" s="1"/>
  <c r="U2782" i="1" a="1"/>
  <c r="U2782" i="1" s="1"/>
  <c r="U2783" i="1" a="1"/>
  <c r="U2783" i="1"/>
  <c r="U2784" i="1" a="1"/>
  <c r="U2784" i="1" s="1"/>
  <c r="U2785" i="1" a="1"/>
  <c r="U2785" i="1"/>
  <c r="U2786" i="1" a="1"/>
  <c r="U2786" i="1" s="1"/>
  <c r="U2787" i="1" a="1"/>
  <c r="U2787" i="1" s="1"/>
  <c r="U2788" i="1" a="1"/>
  <c r="U2788" i="1" s="1"/>
  <c r="U2789" i="1" a="1"/>
  <c r="U2789" i="1"/>
  <c r="U2790" i="1" a="1"/>
  <c r="U2790" i="1" s="1"/>
  <c r="U2791" i="1" a="1"/>
  <c r="U2791" i="1"/>
  <c r="U2792" i="1" a="1"/>
  <c r="U2792" i="1" s="1"/>
  <c r="U2793" i="1" a="1"/>
  <c r="U2793" i="1" s="1"/>
  <c r="U2794" i="1" a="1"/>
  <c r="U2794" i="1" s="1"/>
  <c r="U2795" i="1" a="1"/>
  <c r="U2795" i="1"/>
  <c r="U2796" i="1" a="1"/>
  <c r="U2796" i="1" s="1"/>
  <c r="U2797" i="1" a="1"/>
  <c r="U2797" i="1"/>
  <c r="U2798" i="1" a="1"/>
  <c r="U2798" i="1" s="1"/>
  <c r="U2799" i="1" a="1"/>
  <c r="U2799" i="1" s="1"/>
  <c r="U2800" i="1" a="1"/>
  <c r="U2800" i="1" s="1"/>
  <c r="U2" i="1" a="1"/>
  <c r="U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" i="1"/>
  <c r="B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<sst xmlns="http://schemas.openxmlformats.org/spreadsheetml/2006/main" count="16820" uniqueCount="51">
  <si>
    <t>record_id</t>
  </si>
  <si>
    <t>player_id</t>
  </si>
  <si>
    <t>team_name</t>
  </si>
  <si>
    <t>player_role</t>
  </si>
  <si>
    <t>map_played</t>
  </si>
  <si>
    <t>match_type</t>
  </si>
  <si>
    <t>kills</t>
  </si>
  <si>
    <t>assists</t>
  </si>
  <si>
    <t>deaths</t>
  </si>
  <si>
    <t>accuracy_percent</t>
  </si>
  <si>
    <t>reaction_time_ms</t>
  </si>
  <si>
    <t>fatigue_index</t>
  </si>
  <si>
    <t>performance_score</t>
  </si>
  <si>
    <t>win_probability</t>
  </si>
  <si>
    <t>match_outcome</t>
  </si>
  <si>
    <t>mvp_award</t>
  </si>
  <si>
    <t>Titan Esports</t>
  </si>
  <si>
    <t>Flex</t>
  </si>
  <si>
    <t>Dust Arena</t>
  </si>
  <si>
    <t>Playoff</t>
  </si>
  <si>
    <t>Win</t>
  </si>
  <si>
    <t>No</t>
  </si>
  <si>
    <t>Support</t>
  </si>
  <si>
    <t>Neon City</t>
  </si>
  <si>
    <t>Final</t>
  </si>
  <si>
    <t>Team Alpha</t>
  </si>
  <si>
    <t>Semi-Final</t>
  </si>
  <si>
    <t>Team Nova</t>
  </si>
  <si>
    <t>IGL</t>
  </si>
  <si>
    <t>Desert Storm</t>
  </si>
  <si>
    <t>Phantom Squad</t>
  </si>
  <si>
    <t>Sniper</t>
  </si>
  <si>
    <t>Skyline</t>
  </si>
  <si>
    <t>Frozen Base</t>
  </si>
  <si>
    <t>Qualifier</t>
  </si>
  <si>
    <t>Red Vortex</t>
  </si>
  <si>
    <t>Entry Fragger</t>
  </si>
  <si>
    <t>Group Stage</t>
  </si>
  <si>
    <t>Yes</t>
  </si>
  <si>
    <t>CyberX</t>
  </si>
  <si>
    <t>Loss</t>
  </si>
  <si>
    <t>Total score</t>
  </si>
  <si>
    <t>Rank</t>
  </si>
  <si>
    <t>K/D Ratio</t>
  </si>
  <si>
    <t>performance level</t>
  </si>
  <si>
    <t>Top kill role</t>
  </si>
  <si>
    <t xml:space="preserve">Top player </t>
  </si>
  <si>
    <t xml:space="preserve">Accuracy level </t>
  </si>
  <si>
    <t>Most player role</t>
  </si>
  <si>
    <t>Team average score</t>
  </si>
  <si>
    <t>Team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</si>
</sst>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/>
    <xf numFmtId="12" fontId="1" fillId="2" borderId="0" xfId="0" applyNumberFormat="1" applyFont="1" applyFill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BFB0-2C81-4610-882F-1418999ACC61}">
  <dimension ref="A1:X2800"/>
  <sheetViews>
    <sheetView tabSelected="1" topLeftCell="L1" workbookViewId="0">
      <selection activeCell="Y2" sqref="Y2"/>
    </sheetView>
  </sheetViews>
  <sheetFormatPr defaultRowHeight="14.4" x14ac:dyDescent="0.3"/>
  <cols>
    <col min="1" max="1" width="11.5546875" customWidth="1"/>
    <col min="2" max="2" width="16" customWidth="1"/>
    <col min="3" max="3" width="14.33203125" customWidth="1"/>
    <col min="4" max="4" width="14.109375" customWidth="1"/>
    <col min="5" max="5" width="15.44140625" customWidth="1"/>
    <col min="6" max="6" width="16" customWidth="1"/>
    <col min="7" max="7" width="8.33203125" customWidth="1"/>
    <col min="8" max="8" width="10.109375" customWidth="1"/>
    <col min="9" max="9" width="9" customWidth="1"/>
    <col min="10" max="10" width="21.33203125" customWidth="1"/>
    <col min="11" max="11" width="16.44140625" customWidth="1"/>
    <col min="12" max="12" width="15" customWidth="1"/>
    <col min="13" max="13" width="18.6640625" customWidth="1"/>
    <col min="14" max="14" width="22.5546875" customWidth="1"/>
    <col min="15" max="15" width="17.109375" customWidth="1"/>
    <col min="16" max="16" width="13.33203125" customWidth="1"/>
    <col min="17" max="17" width="10.6640625" customWidth="1"/>
    <col min="18" max="18" width="11.109375" style="4" bestFit="1" customWidth="1"/>
    <col min="19" max="19" width="8.88671875" customWidth="1"/>
    <col min="20" max="20" width="19.21875" customWidth="1"/>
    <col min="21" max="21" width="11.77734375" customWidth="1"/>
    <col min="22" max="22" width="17.33203125" customWidth="1"/>
    <col min="23" max="23" width="15.21875" customWidth="1"/>
    <col min="24" max="24" width="19.5546875" customWidth="1"/>
  </cols>
  <sheetData>
    <row r="1" spans="1:2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41</v>
      </c>
      <c r="R1" s="3" t="s">
        <v>42</v>
      </c>
      <c r="S1" s="1" t="s">
        <v>43</v>
      </c>
      <c r="T1" s="1" t="s">
        <v>44</v>
      </c>
      <c r="U1" s="1" t="s">
        <v>45</v>
      </c>
      <c r="V1" s="1" t="s">
        <v>47</v>
      </c>
      <c r="W1" s="1" t="s">
        <v>48</v>
      </c>
      <c r="X1" s="1" t="s">
        <v>49</v>
      </c>
    </row>
    <row r="2" spans="1:24" x14ac:dyDescent="0.3">
      <c r="A2">
        <v>870</v>
      </c>
      <c r="B2">
        <v>1</v>
      </c>
      <c r="C2" t="s">
        <v>39</v>
      </c>
      <c r="D2" t="s">
        <v>31</v>
      </c>
      <c r="E2" t="s">
        <v>29</v>
      </c>
      <c r="F2" t="s">
        <v>37</v>
      </c>
      <c r="G2">
        <v>28</v>
      </c>
      <c r="H2">
        <v>12</v>
      </c>
      <c r="I2">
        <v>11</v>
      </c>
      <c r="J2">
        <v>35.17</v>
      </c>
      <c r="K2">
        <v>222.8</v>
      </c>
      <c r="L2">
        <v>0.73</v>
      </c>
      <c r="M2">
        <v>67.290000000000006</v>
      </c>
      <c r="N2">
        <v>1</v>
      </c>
      <c r="O2" t="s">
        <v>20</v>
      </c>
      <c r="P2" t="s">
        <v>38</v>
      </c>
      <c r="Q2">
        <f>G2+H2-I2</f>
        <v>29</v>
      </c>
      <c r="R2" s="4">
        <f>RANK(N2,$N$2:N$2800,0)</f>
        <v>1</v>
      </c>
      <c r="S2">
        <f>G2/I2</f>
        <v>2.5454545454545454</v>
      </c>
      <c r="T2" t="str">
        <f>IF(Q2&lt;15,"Low",IF(Q2&lt;25,"Good","Excellent"))</f>
        <v>Excellent</v>
      </c>
      <c r="U2" t="str" cm="1">
        <f t="array" ref="U2">_xlfn.LET(_xlpm.roles,_xlfn.UNIQUE(D2:D2800),_xlpm.kills, SUMIF(D2:D2800,_xlpm.roles,G2:G2800),INDEX(_xlpm.roles,MATCH(MAX(_xlpm.kills),_xlpm.kills,0)))</f>
        <v>Entry Fragger</v>
      </c>
      <c r="V2" t="str">
        <f>IF(J2&gt;=50,"High Accuracy",IF(J2&gt;=30,"Medium Accuracy","Low Accuracy"))</f>
        <v>Medium Accuracy</v>
      </c>
      <c r="W2" t="str" cm="1">
        <f t="array" ref="W2">_xlfn.LET(_xlpm.roles,_xlfn.UNIQUE(D2:D2800), _xlpm.counts,COUNTIF(D2:D2800,_xlpm.roles), INDEX(_xlpm.roles,MATCH(MAX(_xlpm.counts),_xlpm.counts,0)))</f>
        <v>Entry Fragger</v>
      </c>
      <c r="X2" s="2">
        <f>AVERAGEIF($C$2:$C$2800,C2,$Q$2:$Q$2800)</f>
        <v>13.103594080338267</v>
      </c>
    </row>
    <row r="3" spans="1:24" x14ac:dyDescent="0.3">
      <c r="A3">
        <v>1146</v>
      </c>
      <c r="B3">
        <v>1</v>
      </c>
      <c r="C3" t="s">
        <v>16</v>
      </c>
      <c r="D3" t="s">
        <v>31</v>
      </c>
      <c r="E3" t="s">
        <v>18</v>
      </c>
      <c r="F3" t="s">
        <v>37</v>
      </c>
      <c r="G3">
        <v>9</v>
      </c>
      <c r="H3">
        <v>5</v>
      </c>
      <c r="I3">
        <v>4</v>
      </c>
      <c r="J3">
        <v>30.91</v>
      </c>
      <c r="K3">
        <v>216.43</v>
      </c>
      <c r="L3">
        <v>0.53</v>
      </c>
      <c r="M3">
        <v>29.15</v>
      </c>
      <c r="N3">
        <v>0.84</v>
      </c>
      <c r="O3" t="s">
        <v>20</v>
      </c>
      <c r="P3" t="s">
        <v>21</v>
      </c>
      <c r="Q3">
        <f t="shared" ref="Q3:Q66" si="0">G3+H3-I3</f>
        <v>10</v>
      </c>
      <c r="R3" s="4">
        <f>RANK(N3,$N$2:N$2800,0)</f>
        <v>2156</v>
      </c>
      <c r="S3">
        <f t="shared" ref="S3:S66" si="1">G3/I3</f>
        <v>2.25</v>
      </c>
      <c r="T3" t="str">
        <f t="shared" ref="T3:T66" si="2">IF(Q3&lt;15,"Low",IF(Q3&lt;25,"Good","Excellent"))</f>
        <v>Low</v>
      </c>
      <c r="U3" t="str" cm="1">
        <f t="array" ref="U3">_xlfn.LET(_xlpm.roles,_xlfn.UNIQUE(D3:D2801),_xlpm.kills, SUMIF(D3:D2801,_xlpm.roles,G3:G2801),INDEX(_xlpm.roles,MATCH(MAX(_xlpm.kills),_xlpm.kills,0)))</f>
        <v>Entry Fragger</v>
      </c>
      <c r="V3" t="str">
        <f t="shared" ref="V3:V66" si="3">IF(J3&gt;=50,"High Accuracy",IF(J3&gt;=30,"Medium Accuracy","Low Accuracy"))</f>
        <v>Medium Accuracy</v>
      </c>
      <c r="W3" t="str" cm="1">
        <f t="array" ref="W3">_xlfn.LET(_xlpm.roles,_xlfn.UNIQUE(D3:D2801), _xlpm.counts,COUNTIF(D3:D2801,_xlpm.roles), INDEX(_xlpm.roles,MATCH(MAX(_xlpm.counts),_xlpm.counts,0)))</f>
        <v>Entry Fragger</v>
      </c>
      <c r="X3" s="2">
        <f t="shared" ref="X3:X66" si="4">AVERAGEIF($C$2:$C$2800,C3,$Q$2:$Q$2800)</f>
        <v>12.520971302428256</v>
      </c>
    </row>
    <row r="4" spans="1:24" x14ac:dyDescent="0.3">
      <c r="A4">
        <v>1219</v>
      </c>
      <c r="B4">
        <v>1</v>
      </c>
      <c r="C4" t="s">
        <v>35</v>
      </c>
      <c r="D4" t="s">
        <v>22</v>
      </c>
      <c r="E4" t="s">
        <v>29</v>
      </c>
      <c r="F4" t="s">
        <v>24</v>
      </c>
      <c r="G4">
        <v>16</v>
      </c>
      <c r="H4">
        <v>4</v>
      </c>
      <c r="I4">
        <v>8</v>
      </c>
      <c r="J4">
        <v>34.020000000000003</v>
      </c>
      <c r="K4">
        <v>204.88</v>
      </c>
      <c r="L4">
        <v>0.35</v>
      </c>
      <c r="M4">
        <v>41.51</v>
      </c>
      <c r="N4">
        <v>0.99</v>
      </c>
      <c r="O4" t="s">
        <v>20</v>
      </c>
      <c r="P4" t="s">
        <v>21</v>
      </c>
      <c r="Q4">
        <f t="shared" si="0"/>
        <v>12</v>
      </c>
      <c r="R4" s="4">
        <f>RANK(N4,$N$2:N$2800,0)</f>
        <v>1080</v>
      </c>
      <c r="S4">
        <f t="shared" si="1"/>
        <v>2</v>
      </c>
      <c r="T4" t="str">
        <f t="shared" si="2"/>
        <v>Low</v>
      </c>
      <c r="U4" t="str" cm="1">
        <f t="array" ref="U4">_xlfn.LET(_xlpm.roles,_xlfn.UNIQUE(D4:D2802),_xlpm.kills, SUMIF(D4:D2802,_xlpm.roles,G4:G2802),INDEX(_xlpm.roles,MATCH(MAX(_xlpm.kills),_xlpm.kills,0)))</f>
        <v>Entry Fragger</v>
      </c>
      <c r="V4" t="str">
        <f t="shared" si="3"/>
        <v>Medium Accuracy</v>
      </c>
      <c r="W4" t="str" cm="1">
        <f t="array" ref="W4">_xlfn.LET(_xlpm.roles,_xlfn.UNIQUE(D4:D2802), _xlpm.counts,COUNTIF(D4:D2802,_xlpm.roles), INDEX(_xlpm.roles,MATCH(MAX(_xlpm.counts),_xlpm.counts,0)))</f>
        <v>Entry Fragger</v>
      </c>
      <c r="X4" s="2">
        <f t="shared" si="4"/>
        <v>12.599585062240664</v>
      </c>
    </row>
    <row r="5" spans="1:24" x14ac:dyDescent="0.3">
      <c r="A5">
        <v>1820</v>
      </c>
      <c r="B5">
        <v>1</v>
      </c>
      <c r="C5" t="s">
        <v>30</v>
      </c>
      <c r="D5" t="s">
        <v>28</v>
      </c>
      <c r="E5" t="s">
        <v>18</v>
      </c>
      <c r="F5" t="s">
        <v>19</v>
      </c>
      <c r="G5">
        <v>19</v>
      </c>
      <c r="H5">
        <v>9</v>
      </c>
      <c r="I5">
        <v>6</v>
      </c>
      <c r="J5">
        <v>59.47</v>
      </c>
      <c r="K5">
        <v>202.86</v>
      </c>
      <c r="L5">
        <v>0.89</v>
      </c>
      <c r="M5">
        <v>61.84</v>
      </c>
      <c r="N5">
        <v>1</v>
      </c>
      <c r="O5" t="s">
        <v>20</v>
      </c>
      <c r="P5" t="s">
        <v>38</v>
      </c>
      <c r="Q5">
        <f t="shared" si="0"/>
        <v>22</v>
      </c>
      <c r="R5" s="4">
        <f>RANK(N5,$N$2:N$2800,0)</f>
        <v>1</v>
      </c>
      <c r="S5">
        <f t="shared" si="1"/>
        <v>3.1666666666666665</v>
      </c>
      <c r="T5" t="str">
        <f t="shared" si="2"/>
        <v>Good</v>
      </c>
      <c r="U5" t="str" cm="1">
        <f t="array" ref="U5">_xlfn.LET(_xlpm.roles,_xlfn.UNIQUE(D5:D2803),_xlpm.kills, SUMIF(D5:D2803,_xlpm.roles,G5:G2803),INDEX(_xlpm.roles,MATCH(MAX(_xlpm.kills),_xlpm.kills,0)))</f>
        <v>Entry Fragger</v>
      </c>
      <c r="V5" t="str">
        <f t="shared" si="3"/>
        <v>High Accuracy</v>
      </c>
      <c r="W5" t="str" cm="1">
        <f t="array" ref="W5">_xlfn.LET(_xlpm.roles,_xlfn.UNIQUE(D5:D2803), _xlpm.counts,COUNTIF(D5:D2803,_xlpm.roles), INDEX(_xlpm.roles,MATCH(MAX(_xlpm.counts),_xlpm.counts,0)))</f>
        <v>Entry Fragger</v>
      </c>
      <c r="X5" s="2">
        <f t="shared" si="4"/>
        <v>13.135802469135802</v>
      </c>
    </row>
    <row r="6" spans="1:24" x14ac:dyDescent="0.3">
      <c r="A6">
        <v>2599</v>
      </c>
      <c r="B6">
        <v>1</v>
      </c>
      <c r="C6" t="s">
        <v>35</v>
      </c>
      <c r="D6" t="s">
        <v>17</v>
      </c>
      <c r="E6" t="s">
        <v>29</v>
      </c>
      <c r="F6" t="s">
        <v>24</v>
      </c>
      <c r="G6">
        <v>14</v>
      </c>
      <c r="H6">
        <v>5</v>
      </c>
      <c r="I6">
        <v>7</v>
      </c>
      <c r="J6">
        <v>47.68</v>
      </c>
      <c r="K6">
        <v>262.63</v>
      </c>
      <c r="L6">
        <v>0.32</v>
      </c>
      <c r="M6">
        <v>46.64</v>
      </c>
      <c r="N6">
        <v>1</v>
      </c>
      <c r="O6" t="s">
        <v>20</v>
      </c>
      <c r="P6" t="s">
        <v>21</v>
      </c>
      <c r="Q6">
        <f t="shared" si="0"/>
        <v>12</v>
      </c>
      <c r="R6" s="4">
        <f>RANK(N6,$N$2:N$2800,0)</f>
        <v>1</v>
      </c>
      <c r="S6">
        <f t="shared" si="1"/>
        <v>2</v>
      </c>
      <c r="T6" t="str">
        <f t="shared" si="2"/>
        <v>Low</v>
      </c>
      <c r="U6" t="str" cm="1">
        <f t="array" ref="U6">_xlfn.LET(_xlpm.roles,_xlfn.UNIQUE(D6:D2804),_xlpm.kills, SUMIF(D6:D2804,_xlpm.roles,G6:G2804),INDEX(_xlpm.roles,MATCH(MAX(_xlpm.kills),_xlpm.kills,0)))</f>
        <v>Entry Fragger</v>
      </c>
      <c r="V6" t="str">
        <f t="shared" si="3"/>
        <v>Medium Accuracy</v>
      </c>
      <c r="W6" t="str" cm="1">
        <f t="array" ref="W6">_xlfn.LET(_xlpm.roles,_xlfn.UNIQUE(D6:D2804), _xlpm.counts,COUNTIF(D6:D2804,_xlpm.roles), INDEX(_xlpm.roles,MATCH(MAX(_xlpm.counts),_xlpm.counts,0)))</f>
        <v>Entry Fragger</v>
      </c>
      <c r="X6" s="2">
        <f t="shared" si="4"/>
        <v>12.599585062240664</v>
      </c>
    </row>
    <row r="7" spans="1:24" x14ac:dyDescent="0.3">
      <c r="A7">
        <v>2</v>
      </c>
      <c r="B7">
        <v>2</v>
      </c>
      <c r="C7" t="s">
        <v>16</v>
      </c>
      <c r="D7" t="s">
        <v>22</v>
      </c>
      <c r="E7" t="s">
        <v>23</v>
      </c>
      <c r="F7" t="s">
        <v>24</v>
      </c>
      <c r="G7">
        <v>16</v>
      </c>
      <c r="H7">
        <v>7</v>
      </c>
      <c r="I7">
        <v>11</v>
      </c>
      <c r="J7">
        <v>40.5</v>
      </c>
      <c r="K7">
        <v>201.98</v>
      </c>
      <c r="L7">
        <v>0.68</v>
      </c>
      <c r="M7">
        <v>41.45</v>
      </c>
      <c r="N7">
        <v>0.89</v>
      </c>
      <c r="O7" t="s">
        <v>20</v>
      </c>
      <c r="P7" t="s">
        <v>21</v>
      </c>
      <c r="Q7">
        <f t="shared" si="0"/>
        <v>12</v>
      </c>
      <c r="R7" s="4">
        <f>RANK(N7,$N$2:N$2800,0)</f>
        <v>1815</v>
      </c>
      <c r="S7">
        <f t="shared" si="1"/>
        <v>1.4545454545454546</v>
      </c>
      <c r="T7" t="str">
        <f t="shared" si="2"/>
        <v>Low</v>
      </c>
      <c r="U7" t="str" cm="1">
        <f t="array" ref="U7">_xlfn.LET(_xlpm.roles,_xlfn.UNIQUE(D7:D2805),_xlpm.kills, SUMIF(D7:D2805,_xlpm.roles,G7:G2805),INDEX(_xlpm.roles,MATCH(MAX(_xlpm.kills),_xlpm.kills,0)))</f>
        <v>Entry Fragger</v>
      </c>
      <c r="V7" t="str">
        <f t="shared" si="3"/>
        <v>Medium Accuracy</v>
      </c>
      <c r="W7" t="str" cm="1">
        <f t="array" ref="W7">_xlfn.LET(_xlpm.roles,_xlfn.UNIQUE(D7:D2805), _xlpm.counts,COUNTIF(D7:D2805,_xlpm.roles), INDEX(_xlpm.roles,MATCH(MAX(_xlpm.counts),_xlpm.counts,0)))</f>
        <v>Entry Fragger</v>
      </c>
      <c r="X7" s="2">
        <f t="shared" si="4"/>
        <v>12.520971302428256</v>
      </c>
    </row>
    <row r="8" spans="1:24" x14ac:dyDescent="0.3">
      <c r="A8">
        <v>821</v>
      </c>
      <c r="B8">
        <v>2</v>
      </c>
      <c r="C8" t="s">
        <v>27</v>
      </c>
      <c r="D8" t="s">
        <v>22</v>
      </c>
      <c r="E8" t="s">
        <v>23</v>
      </c>
      <c r="F8" t="s">
        <v>24</v>
      </c>
      <c r="G8">
        <v>16</v>
      </c>
      <c r="H8">
        <v>10</v>
      </c>
      <c r="I8">
        <v>9</v>
      </c>
      <c r="J8">
        <v>41.98</v>
      </c>
      <c r="K8">
        <v>257.97000000000003</v>
      </c>
      <c r="L8">
        <v>0.03</v>
      </c>
      <c r="M8">
        <v>53.69</v>
      </c>
      <c r="N8">
        <v>1</v>
      </c>
      <c r="O8" t="s">
        <v>20</v>
      </c>
      <c r="P8" t="s">
        <v>21</v>
      </c>
      <c r="Q8">
        <f t="shared" si="0"/>
        <v>17</v>
      </c>
      <c r="R8" s="4">
        <f>RANK(N8,$N$2:N$2800,0)</f>
        <v>1</v>
      </c>
      <c r="S8">
        <f t="shared" si="1"/>
        <v>1.7777777777777777</v>
      </c>
      <c r="T8" t="str">
        <f t="shared" si="2"/>
        <v>Good</v>
      </c>
      <c r="U8" t="str" cm="1">
        <f t="array" ref="U8">_xlfn.LET(_xlpm.roles,_xlfn.UNIQUE(D8:D2806),_xlpm.kills, SUMIF(D8:D2806,_xlpm.roles,G8:G2806),INDEX(_xlpm.roles,MATCH(MAX(_xlpm.kills),_xlpm.kills,0)))</f>
        <v>Entry Fragger</v>
      </c>
      <c r="V8" t="str">
        <f t="shared" si="3"/>
        <v>Medium Accuracy</v>
      </c>
      <c r="W8" t="str" cm="1">
        <f t="array" ref="W8">_xlfn.LET(_xlpm.roles,_xlfn.UNIQUE(D8:D2806), _xlpm.counts,COUNTIF(D8:D2806,_xlpm.roles), INDEX(_xlpm.roles,MATCH(MAX(_xlpm.counts),_xlpm.counts,0)))</f>
        <v>Entry Fragger</v>
      </c>
      <c r="X8" s="2">
        <f t="shared" si="4"/>
        <v>13.057077625570777</v>
      </c>
    </row>
    <row r="9" spans="1:24" x14ac:dyDescent="0.3">
      <c r="A9">
        <v>2406</v>
      </c>
      <c r="B9">
        <v>2</v>
      </c>
      <c r="C9" t="s">
        <v>30</v>
      </c>
      <c r="D9" t="s">
        <v>17</v>
      </c>
      <c r="E9" t="s">
        <v>32</v>
      </c>
      <c r="F9" t="s">
        <v>26</v>
      </c>
      <c r="G9">
        <v>15</v>
      </c>
      <c r="H9">
        <v>9</v>
      </c>
      <c r="I9">
        <v>9</v>
      </c>
      <c r="J9">
        <v>40.31</v>
      </c>
      <c r="K9">
        <v>205.6</v>
      </c>
      <c r="L9">
        <v>0.21</v>
      </c>
      <c r="M9">
        <v>48.05</v>
      </c>
      <c r="N9">
        <v>0.79</v>
      </c>
      <c r="O9" t="s">
        <v>20</v>
      </c>
      <c r="P9" t="s">
        <v>21</v>
      </c>
      <c r="Q9">
        <f t="shared" si="0"/>
        <v>15</v>
      </c>
      <c r="R9" s="4">
        <f>RANK(N9,$N$2:N$2800,0)</f>
        <v>2436</v>
      </c>
      <c r="S9">
        <f t="shared" si="1"/>
        <v>1.6666666666666667</v>
      </c>
      <c r="T9" t="str">
        <f t="shared" si="2"/>
        <v>Good</v>
      </c>
      <c r="U9" t="str" cm="1">
        <f t="array" ref="U9">_xlfn.LET(_xlpm.roles,_xlfn.UNIQUE(D9:D2807),_xlpm.kills, SUMIF(D9:D2807,_xlpm.roles,G9:G2807),INDEX(_xlpm.roles,MATCH(MAX(_xlpm.kills),_xlpm.kills,0)))</f>
        <v>Entry Fragger</v>
      </c>
      <c r="V9" t="str">
        <f t="shared" si="3"/>
        <v>Medium Accuracy</v>
      </c>
      <c r="W9" t="str" cm="1">
        <f t="array" ref="W9">_xlfn.LET(_xlpm.roles,_xlfn.UNIQUE(D9:D2807), _xlpm.counts,COUNTIF(D9:D2807,_xlpm.roles), INDEX(_xlpm.roles,MATCH(MAX(_xlpm.counts),_xlpm.counts,0)))</f>
        <v>Entry Fragger</v>
      </c>
      <c r="X9" s="2">
        <f t="shared" si="4"/>
        <v>13.135802469135802</v>
      </c>
    </row>
    <row r="10" spans="1:24" x14ac:dyDescent="0.3">
      <c r="A10">
        <v>2488</v>
      </c>
      <c r="B10">
        <v>2</v>
      </c>
      <c r="C10" t="s">
        <v>30</v>
      </c>
      <c r="D10" t="s">
        <v>36</v>
      </c>
      <c r="E10" t="s">
        <v>32</v>
      </c>
      <c r="F10" t="s">
        <v>19</v>
      </c>
      <c r="G10">
        <v>25</v>
      </c>
      <c r="H10">
        <v>6</v>
      </c>
      <c r="I10">
        <v>11</v>
      </c>
      <c r="J10">
        <v>42.95</v>
      </c>
      <c r="K10">
        <v>242.44</v>
      </c>
      <c r="L10">
        <v>0.03</v>
      </c>
      <c r="M10">
        <v>66.17</v>
      </c>
      <c r="N10">
        <v>1</v>
      </c>
      <c r="O10" t="s">
        <v>20</v>
      </c>
      <c r="P10" t="s">
        <v>38</v>
      </c>
      <c r="Q10">
        <f t="shared" si="0"/>
        <v>20</v>
      </c>
      <c r="R10" s="4">
        <f>RANK(N10,$N$2:N$2800,0)</f>
        <v>1</v>
      </c>
      <c r="S10">
        <f t="shared" si="1"/>
        <v>2.2727272727272729</v>
      </c>
      <c r="T10" t="str">
        <f t="shared" si="2"/>
        <v>Good</v>
      </c>
      <c r="U10" t="str" cm="1">
        <f t="array" ref="U10">_xlfn.LET(_xlpm.roles,_xlfn.UNIQUE(D10:D2808),_xlpm.kills, SUMIF(D10:D2808,_xlpm.roles,G10:G2808),INDEX(_xlpm.roles,MATCH(MAX(_xlpm.kills),_xlpm.kills,0)))</f>
        <v>Entry Fragger</v>
      </c>
      <c r="V10" t="str">
        <f t="shared" si="3"/>
        <v>Medium Accuracy</v>
      </c>
      <c r="W10" t="str" cm="1">
        <f t="array" ref="W10">_xlfn.LET(_xlpm.roles,_xlfn.UNIQUE(D10:D2808), _xlpm.counts,COUNTIF(D10:D2808,_xlpm.roles), INDEX(_xlpm.roles,MATCH(MAX(_xlpm.counts),_xlpm.counts,0)))</f>
        <v>Entry Fragger</v>
      </c>
      <c r="X10" s="2">
        <f t="shared" si="4"/>
        <v>13.135802469135802</v>
      </c>
    </row>
    <row r="11" spans="1:24" x14ac:dyDescent="0.3">
      <c r="A11">
        <v>722</v>
      </c>
      <c r="B11">
        <v>3</v>
      </c>
      <c r="C11" t="s">
        <v>35</v>
      </c>
      <c r="D11" t="s">
        <v>22</v>
      </c>
      <c r="E11" t="s">
        <v>23</v>
      </c>
      <c r="F11" t="s">
        <v>24</v>
      </c>
      <c r="G11">
        <v>14</v>
      </c>
      <c r="H11">
        <v>5</v>
      </c>
      <c r="I11">
        <v>10</v>
      </c>
      <c r="J11">
        <v>53.26</v>
      </c>
      <c r="K11">
        <v>209.35</v>
      </c>
      <c r="L11">
        <v>0.68</v>
      </c>
      <c r="M11">
        <v>42.83</v>
      </c>
      <c r="N11">
        <v>0.83</v>
      </c>
      <c r="O11" t="s">
        <v>20</v>
      </c>
      <c r="P11" t="s">
        <v>21</v>
      </c>
      <c r="Q11">
        <f t="shared" si="0"/>
        <v>9</v>
      </c>
      <c r="R11" s="4">
        <f>RANK(N11,$N$2:N$2800,0)</f>
        <v>2218</v>
      </c>
      <c r="S11">
        <f t="shared" si="1"/>
        <v>1.4</v>
      </c>
      <c r="T11" t="str">
        <f t="shared" si="2"/>
        <v>Low</v>
      </c>
      <c r="U11" t="str" cm="1">
        <f t="array" ref="U11">_xlfn.LET(_xlpm.roles,_xlfn.UNIQUE(D11:D2809),_xlpm.kills, SUMIF(D11:D2809,_xlpm.roles,G11:G2809),INDEX(_xlpm.roles,MATCH(MAX(_xlpm.kills),_xlpm.kills,0)))</f>
        <v>Entry Fragger</v>
      </c>
      <c r="V11" t="str">
        <f t="shared" si="3"/>
        <v>High Accuracy</v>
      </c>
      <c r="W11" t="str" cm="1">
        <f t="array" ref="W11">_xlfn.LET(_xlpm.roles,_xlfn.UNIQUE(D11:D2809), _xlpm.counts,COUNTIF(D11:D2809,_xlpm.roles), INDEX(_xlpm.roles,MATCH(MAX(_xlpm.counts),_xlpm.counts,0)))</f>
        <v>Entry Fragger</v>
      </c>
      <c r="X11" s="2">
        <f t="shared" si="4"/>
        <v>12.599585062240664</v>
      </c>
    </row>
    <row r="12" spans="1:24" x14ac:dyDescent="0.3">
      <c r="A12">
        <v>960</v>
      </c>
      <c r="B12">
        <v>3</v>
      </c>
      <c r="C12" t="s">
        <v>27</v>
      </c>
      <c r="D12" t="s">
        <v>17</v>
      </c>
      <c r="E12" t="s">
        <v>29</v>
      </c>
      <c r="F12" t="s">
        <v>37</v>
      </c>
      <c r="G12">
        <v>16</v>
      </c>
      <c r="H12">
        <v>8</v>
      </c>
      <c r="I12">
        <v>12</v>
      </c>
      <c r="J12">
        <v>49.79</v>
      </c>
      <c r="K12">
        <v>201.6</v>
      </c>
      <c r="L12">
        <v>7.0000000000000007E-2</v>
      </c>
      <c r="M12">
        <v>52.19</v>
      </c>
      <c r="N12">
        <v>0.99</v>
      </c>
      <c r="O12" t="s">
        <v>20</v>
      </c>
      <c r="P12" t="s">
        <v>21</v>
      </c>
      <c r="Q12">
        <f t="shared" si="0"/>
        <v>12</v>
      </c>
      <c r="R12" s="4">
        <f>RANK(N12,$N$2:N$2800,0)</f>
        <v>1080</v>
      </c>
      <c r="S12">
        <f t="shared" si="1"/>
        <v>1.3333333333333333</v>
      </c>
      <c r="T12" t="str">
        <f t="shared" si="2"/>
        <v>Low</v>
      </c>
      <c r="U12" t="str" cm="1">
        <f t="array" ref="U12">_xlfn.LET(_xlpm.roles,_xlfn.UNIQUE(D12:D2810),_xlpm.kills, SUMIF(D12:D2810,_xlpm.roles,G12:G2810),INDEX(_xlpm.roles,MATCH(MAX(_xlpm.kills),_xlpm.kills,0)))</f>
        <v>Entry Fragger</v>
      </c>
      <c r="V12" t="str">
        <f t="shared" si="3"/>
        <v>Medium Accuracy</v>
      </c>
      <c r="W12" t="str" cm="1">
        <f t="array" ref="W12">_xlfn.LET(_xlpm.roles,_xlfn.UNIQUE(D12:D2810), _xlpm.counts,COUNTIF(D12:D2810,_xlpm.roles), INDEX(_xlpm.roles,MATCH(MAX(_xlpm.counts),_xlpm.counts,0)))</f>
        <v>Entry Fragger</v>
      </c>
      <c r="X12" s="2">
        <f t="shared" si="4"/>
        <v>13.057077625570777</v>
      </c>
    </row>
    <row r="13" spans="1:24" x14ac:dyDescent="0.3">
      <c r="A13">
        <v>977</v>
      </c>
      <c r="B13">
        <v>3</v>
      </c>
      <c r="C13" t="s">
        <v>16</v>
      </c>
      <c r="D13" t="s">
        <v>22</v>
      </c>
      <c r="E13" t="s">
        <v>33</v>
      </c>
      <c r="F13" t="s">
        <v>24</v>
      </c>
      <c r="G13">
        <v>9</v>
      </c>
      <c r="H13">
        <v>9</v>
      </c>
      <c r="I13">
        <v>9</v>
      </c>
      <c r="J13">
        <v>52.42</v>
      </c>
      <c r="K13">
        <v>217.36</v>
      </c>
      <c r="L13">
        <v>0.91</v>
      </c>
      <c r="M13">
        <v>35.11</v>
      </c>
      <c r="N13">
        <v>0.81</v>
      </c>
      <c r="O13" t="s">
        <v>20</v>
      </c>
      <c r="P13" t="s">
        <v>21</v>
      </c>
      <c r="Q13">
        <f t="shared" si="0"/>
        <v>9</v>
      </c>
      <c r="R13" s="4">
        <f>RANK(N13,$N$2:N$2800,0)</f>
        <v>2341</v>
      </c>
      <c r="S13">
        <f t="shared" si="1"/>
        <v>1</v>
      </c>
      <c r="T13" t="str">
        <f t="shared" si="2"/>
        <v>Low</v>
      </c>
      <c r="U13" t="str" cm="1">
        <f t="array" ref="U13">_xlfn.LET(_xlpm.roles,_xlfn.UNIQUE(D13:D2811),_xlpm.kills, SUMIF(D13:D2811,_xlpm.roles,G13:G2811),INDEX(_xlpm.roles,MATCH(MAX(_xlpm.kills),_xlpm.kills,0)))</f>
        <v>Entry Fragger</v>
      </c>
      <c r="V13" t="str">
        <f t="shared" si="3"/>
        <v>High Accuracy</v>
      </c>
      <c r="W13" t="str" cm="1">
        <f t="array" ref="W13">_xlfn.LET(_xlpm.roles,_xlfn.UNIQUE(D13:D2811), _xlpm.counts,COUNTIF(D13:D2811,_xlpm.roles), INDEX(_xlpm.roles,MATCH(MAX(_xlpm.counts),_xlpm.counts,0)))</f>
        <v>Entry Fragger</v>
      </c>
      <c r="X13" s="2">
        <f t="shared" si="4"/>
        <v>12.520971302428256</v>
      </c>
    </row>
    <row r="14" spans="1:24" x14ac:dyDescent="0.3">
      <c r="A14">
        <v>1609</v>
      </c>
      <c r="B14">
        <v>3</v>
      </c>
      <c r="C14" t="s">
        <v>30</v>
      </c>
      <c r="D14" t="s">
        <v>17</v>
      </c>
      <c r="E14" t="s">
        <v>29</v>
      </c>
      <c r="F14" t="s">
        <v>24</v>
      </c>
      <c r="G14">
        <v>13</v>
      </c>
      <c r="H14">
        <v>9</v>
      </c>
      <c r="I14">
        <v>10</v>
      </c>
      <c r="J14">
        <v>40.74</v>
      </c>
      <c r="K14">
        <v>233.21</v>
      </c>
      <c r="L14">
        <v>0.42</v>
      </c>
      <c r="M14">
        <v>41.17</v>
      </c>
      <c r="N14">
        <v>0.82</v>
      </c>
      <c r="O14" t="s">
        <v>20</v>
      </c>
      <c r="P14" t="s">
        <v>21</v>
      </c>
      <c r="Q14">
        <f t="shared" si="0"/>
        <v>12</v>
      </c>
      <c r="R14" s="4">
        <f>RANK(N14,$N$2:N$2800,0)</f>
        <v>2275</v>
      </c>
      <c r="S14">
        <f t="shared" si="1"/>
        <v>1.3</v>
      </c>
      <c r="T14" t="str">
        <f t="shared" si="2"/>
        <v>Low</v>
      </c>
      <c r="U14" t="str" cm="1">
        <f t="array" ref="U14">_xlfn.LET(_xlpm.roles,_xlfn.UNIQUE(D14:D2812),_xlpm.kills, SUMIF(D14:D2812,_xlpm.roles,G14:G2812),INDEX(_xlpm.roles,MATCH(MAX(_xlpm.kills),_xlpm.kills,0)))</f>
        <v>Entry Fragger</v>
      </c>
      <c r="V14" t="str">
        <f t="shared" si="3"/>
        <v>Medium Accuracy</v>
      </c>
      <c r="W14" t="str" cm="1">
        <f t="array" ref="W14">_xlfn.LET(_xlpm.roles,_xlfn.UNIQUE(D14:D2812), _xlpm.counts,COUNTIF(D14:D2812,_xlpm.roles), INDEX(_xlpm.roles,MATCH(MAX(_xlpm.counts),_xlpm.counts,0)))</f>
        <v>Entry Fragger</v>
      </c>
      <c r="X14" s="2">
        <f t="shared" si="4"/>
        <v>13.135802469135802</v>
      </c>
    </row>
    <row r="15" spans="1:24" x14ac:dyDescent="0.3">
      <c r="A15">
        <v>1636</v>
      </c>
      <c r="B15">
        <v>3</v>
      </c>
      <c r="C15" t="s">
        <v>39</v>
      </c>
      <c r="D15" t="s">
        <v>17</v>
      </c>
      <c r="E15" t="s">
        <v>18</v>
      </c>
      <c r="F15" t="s">
        <v>26</v>
      </c>
      <c r="G15">
        <v>16</v>
      </c>
      <c r="H15">
        <v>11</v>
      </c>
      <c r="I15">
        <v>11</v>
      </c>
      <c r="J15">
        <v>50.89</v>
      </c>
      <c r="K15">
        <v>225.46</v>
      </c>
      <c r="L15">
        <v>0.97</v>
      </c>
      <c r="M15">
        <v>47.75</v>
      </c>
      <c r="N15">
        <v>0.84</v>
      </c>
      <c r="O15" t="s">
        <v>20</v>
      </c>
      <c r="P15" t="s">
        <v>21</v>
      </c>
      <c r="Q15">
        <f t="shared" si="0"/>
        <v>16</v>
      </c>
      <c r="R15" s="4">
        <f>RANK(N15,$N$2:N$2800,0)</f>
        <v>2156</v>
      </c>
      <c r="S15">
        <f t="shared" si="1"/>
        <v>1.4545454545454546</v>
      </c>
      <c r="T15" t="str">
        <f t="shared" si="2"/>
        <v>Good</v>
      </c>
      <c r="U15" t="str" cm="1">
        <f t="array" ref="U15">_xlfn.LET(_xlpm.roles,_xlfn.UNIQUE(D15:D2813),_xlpm.kills, SUMIF(D15:D2813,_xlpm.roles,G15:G2813),INDEX(_xlpm.roles,MATCH(MAX(_xlpm.kills),_xlpm.kills,0)))</f>
        <v>Entry Fragger</v>
      </c>
      <c r="V15" t="str">
        <f t="shared" si="3"/>
        <v>High Accuracy</v>
      </c>
      <c r="W15" t="str" cm="1">
        <f t="array" ref="W15">_xlfn.LET(_xlpm.roles,_xlfn.UNIQUE(D15:D2813), _xlpm.counts,COUNTIF(D15:D2813,_xlpm.roles), INDEX(_xlpm.roles,MATCH(MAX(_xlpm.counts),_xlpm.counts,0)))</f>
        <v>Entry Fragger</v>
      </c>
      <c r="X15" s="2">
        <f t="shared" si="4"/>
        <v>13.103594080338267</v>
      </c>
    </row>
    <row r="16" spans="1:24" x14ac:dyDescent="0.3">
      <c r="A16">
        <v>1710</v>
      </c>
      <c r="B16">
        <v>3</v>
      </c>
      <c r="C16" t="s">
        <v>25</v>
      </c>
      <c r="D16" t="s">
        <v>28</v>
      </c>
      <c r="E16" t="s">
        <v>23</v>
      </c>
      <c r="F16" t="s">
        <v>24</v>
      </c>
      <c r="G16">
        <v>8</v>
      </c>
      <c r="H16">
        <v>7</v>
      </c>
      <c r="I16">
        <v>12</v>
      </c>
      <c r="J16">
        <v>70.72</v>
      </c>
      <c r="K16">
        <v>208.87</v>
      </c>
      <c r="L16">
        <v>0.87</v>
      </c>
      <c r="M16">
        <v>37.659999999999997</v>
      </c>
      <c r="N16">
        <v>0.89</v>
      </c>
      <c r="O16" t="s">
        <v>20</v>
      </c>
      <c r="P16" t="s">
        <v>21</v>
      </c>
      <c r="Q16">
        <f t="shared" si="0"/>
        <v>3</v>
      </c>
      <c r="R16" s="4">
        <f>RANK(N16,$N$2:N$2800,0)</f>
        <v>1815</v>
      </c>
      <c r="S16">
        <f t="shared" si="1"/>
        <v>0.66666666666666663</v>
      </c>
      <c r="T16" t="str">
        <f t="shared" si="2"/>
        <v>Low</v>
      </c>
      <c r="U16" t="str" cm="1">
        <f t="array" ref="U16">_xlfn.LET(_xlpm.roles,_xlfn.UNIQUE(D16:D2814),_xlpm.kills, SUMIF(D16:D2814,_xlpm.roles,G16:G2814),INDEX(_xlpm.roles,MATCH(MAX(_xlpm.kills),_xlpm.kills,0)))</f>
        <v>Entry Fragger</v>
      </c>
      <c r="V16" t="str">
        <f t="shared" si="3"/>
        <v>High Accuracy</v>
      </c>
      <c r="W16" t="str" cm="1">
        <f t="array" ref="W16">_xlfn.LET(_xlpm.roles,_xlfn.UNIQUE(D16:D2814), _xlpm.counts,COUNTIF(D16:D2814,_xlpm.roles), INDEX(_xlpm.roles,MATCH(MAX(_xlpm.counts),_xlpm.counts,0)))</f>
        <v>Entry Fragger</v>
      </c>
      <c r="X16" s="2">
        <f t="shared" si="4"/>
        <v>12.809421841541756</v>
      </c>
    </row>
    <row r="17" spans="1:24" x14ac:dyDescent="0.3">
      <c r="A17">
        <v>1767</v>
      </c>
      <c r="B17">
        <v>3</v>
      </c>
      <c r="C17" t="s">
        <v>25</v>
      </c>
      <c r="D17" t="s">
        <v>31</v>
      </c>
      <c r="E17" t="s">
        <v>32</v>
      </c>
      <c r="F17" t="s">
        <v>34</v>
      </c>
      <c r="G17">
        <v>10</v>
      </c>
      <c r="H17">
        <v>10</v>
      </c>
      <c r="I17">
        <v>13</v>
      </c>
      <c r="J17">
        <v>55.31</v>
      </c>
      <c r="K17">
        <v>205.39</v>
      </c>
      <c r="L17">
        <v>0.25</v>
      </c>
      <c r="M17">
        <v>42.16</v>
      </c>
      <c r="N17">
        <v>0.95</v>
      </c>
      <c r="O17" t="s">
        <v>20</v>
      </c>
      <c r="P17" t="s">
        <v>21</v>
      </c>
      <c r="Q17">
        <f t="shared" si="0"/>
        <v>7</v>
      </c>
      <c r="R17" s="4">
        <f>RANK(N17,$N$2:N$2800,0)</f>
        <v>1367</v>
      </c>
      <c r="S17">
        <f t="shared" si="1"/>
        <v>0.76923076923076927</v>
      </c>
      <c r="T17" t="str">
        <f t="shared" si="2"/>
        <v>Low</v>
      </c>
      <c r="U17" t="str" cm="1">
        <f t="array" ref="U17">_xlfn.LET(_xlpm.roles,_xlfn.UNIQUE(D17:D2815),_xlpm.kills, SUMIF(D17:D2815,_xlpm.roles,G17:G2815),INDEX(_xlpm.roles,MATCH(MAX(_xlpm.kills),_xlpm.kills,0)))</f>
        <v>Entry Fragger</v>
      </c>
      <c r="V17" t="str">
        <f t="shared" si="3"/>
        <v>High Accuracy</v>
      </c>
      <c r="W17" t="str" cm="1">
        <f t="array" ref="W17">_xlfn.LET(_xlpm.roles,_xlfn.UNIQUE(D17:D2815), _xlpm.counts,COUNTIF(D17:D2815,_xlpm.roles), INDEX(_xlpm.roles,MATCH(MAX(_xlpm.counts),_xlpm.counts,0)))</f>
        <v>Entry Fragger</v>
      </c>
      <c r="X17" s="2">
        <f t="shared" si="4"/>
        <v>12.809421841541756</v>
      </c>
    </row>
    <row r="18" spans="1:24" x14ac:dyDescent="0.3">
      <c r="A18">
        <v>2401</v>
      </c>
      <c r="B18">
        <v>3</v>
      </c>
      <c r="C18" t="s">
        <v>16</v>
      </c>
      <c r="D18" t="s">
        <v>22</v>
      </c>
      <c r="E18" t="s">
        <v>29</v>
      </c>
      <c r="F18" t="s">
        <v>19</v>
      </c>
      <c r="G18">
        <v>15</v>
      </c>
      <c r="H18">
        <v>11</v>
      </c>
      <c r="I18">
        <v>8</v>
      </c>
      <c r="J18">
        <v>34.04</v>
      </c>
      <c r="K18">
        <v>260.93</v>
      </c>
      <c r="L18">
        <v>0.53</v>
      </c>
      <c r="M18">
        <v>44.72</v>
      </c>
      <c r="N18">
        <v>0.83</v>
      </c>
      <c r="O18" t="s">
        <v>20</v>
      </c>
      <c r="P18" t="s">
        <v>21</v>
      </c>
      <c r="Q18">
        <f t="shared" si="0"/>
        <v>18</v>
      </c>
      <c r="R18" s="4">
        <f>RANK(N18,$N$2:N$2800,0)</f>
        <v>2218</v>
      </c>
      <c r="S18">
        <f t="shared" si="1"/>
        <v>1.875</v>
      </c>
      <c r="T18" t="str">
        <f t="shared" si="2"/>
        <v>Good</v>
      </c>
      <c r="U18" t="str" cm="1">
        <f t="array" ref="U18">_xlfn.LET(_xlpm.roles,_xlfn.UNIQUE(D18:D2816),_xlpm.kills, SUMIF(D18:D2816,_xlpm.roles,G18:G2816),INDEX(_xlpm.roles,MATCH(MAX(_xlpm.kills),_xlpm.kills,0)))</f>
        <v>Entry Fragger</v>
      </c>
      <c r="V18" t="str">
        <f t="shared" si="3"/>
        <v>Medium Accuracy</v>
      </c>
      <c r="W18" t="str" cm="1">
        <f t="array" ref="W18">_xlfn.LET(_xlpm.roles,_xlfn.UNIQUE(D18:D2816), _xlpm.counts,COUNTIF(D18:D2816,_xlpm.roles), INDEX(_xlpm.roles,MATCH(MAX(_xlpm.counts),_xlpm.counts,0)))</f>
        <v>Entry Fragger</v>
      </c>
      <c r="X18" s="2">
        <f t="shared" si="4"/>
        <v>12.520971302428256</v>
      </c>
    </row>
    <row r="19" spans="1:24" x14ac:dyDescent="0.3">
      <c r="A19">
        <v>36</v>
      </c>
      <c r="B19">
        <v>4</v>
      </c>
      <c r="C19" t="s">
        <v>39</v>
      </c>
      <c r="D19" t="s">
        <v>28</v>
      </c>
      <c r="E19" t="s">
        <v>23</v>
      </c>
      <c r="F19" t="s">
        <v>37</v>
      </c>
      <c r="G19">
        <v>9</v>
      </c>
      <c r="H19">
        <v>5</v>
      </c>
      <c r="I19">
        <v>5</v>
      </c>
      <c r="J19">
        <v>49.5</v>
      </c>
      <c r="K19">
        <v>202.7</v>
      </c>
      <c r="L19">
        <v>0.17</v>
      </c>
      <c r="M19">
        <v>41.05</v>
      </c>
      <c r="N19">
        <v>0.99</v>
      </c>
      <c r="O19" t="s">
        <v>20</v>
      </c>
      <c r="P19" t="s">
        <v>21</v>
      </c>
      <c r="Q19">
        <f t="shared" si="0"/>
        <v>9</v>
      </c>
      <c r="R19" s="4">
        <f>RANK(N19,$N$2:N$2800,0)</f>
        <v>1080</v>
      </c>
      <c r="S19">
        <f t="shared" si="1"/>
        <v>1.8</v>
      </c>
      <c r="T19" t="str">
        <f t="shared" si="2"/>
        <v>Low</v>
      </c>
      <c r="U19" t="str" cm="1">
        <f t="array" ref="U19">_xlfn.LET(_xlpm.roles,_xlfn.UNIQUE(D19:D2817),_xlpm.kills, SUMIF(D19:D2817,_xlpm.roles,G19:G2817),INDEX(_xlpm.roles,MATCH(MAX(_xlpm.kills),_xlpm.kills,0)))</f>
        <v>Entry Fragger</v>
      </c>
      <c r="V19" t="str">
        <f t="shared" si="3"/>
        <v>Medium Accuracy</v>
      </c>
      <c r="W19" t="str" cm="1">
        <f t="array" ref="W19">_xlfn.LET(_xlpm.roles,_xlfn.UNIQUE(D19:D2817), _xlpm.counts,COUNTIF(D19:D2817,_xlpm.roles), INDEX(_xlpm.roles,MATCH(MAX(_xlpm.counts),_xlpm.counts,0)))</f>
        <v>Entry Fragger</v>
      </c>
      <c r="X19" s="2">
        <f t="shared" si="4"/>
        <v>13.103594080338267</v>
      </c>
    </row>
    <row r="20" spans="1:24" x14ac:dyDescent="0.3">
      <c r="A20">
        <v>356</v>
      </c>
      <c r="B20">
        <v>4</v>
      </c>
      <c r="C20" t="s">
        <v>16</v>
      </c>
      <c r="D20" t="s">
        <v>36</v>
      </c>
      <c r="E20" t="s">
        <v>32</v>
      </c>
      <c r="F20" t="s">
        <v>34</v>
      </c>
      <c r="G20">
        <v>16</v>
      </c>
      <c r="H20">
        <v>8</v>
      </c>
      <c r="I20">
        <v>13</v>
      </c>
      <c r="J20">
        <v>39.090000000000003</v>
      </c>
      <c r="K20">
        <v>230.83</v>
      </c>
      <c r="L20">
        <v>0.25</v>
      </c>
      <c r="M20">
        <v>44.05</v>
      </c>
      <c r="N20">
        <v>1</v>
      </c>
      <c r="O20" t="s">
        <v>20</v>
      </c>
      <c r="P20" t="s">
        <v>21</v>
      </c>
      <c r="Q20">
        <f t="shared" si="0"/>
        <v>11</v>
      </c>
      <c r="R20" s="4">
        <f>RANK(N20,$N$2:N$2800,0)</f>
        <v>1</v>
      </c>
      <c r="S20">
        <f t="shared" si="1"/>
        <v>1.2307692307692308</v>
      </c>
      <c r="T20" t="str">
        <f t="shared" si="2"/>
        <v>Low</v>
      </c>
      <c r="U20" t="str" cm="1">
        <f t="array" ref="U20">_xlfn.LET(_xlpm.roles,_xlfn.UNIQUE(D20:D2818),_xlpm.kills, SUMIF(D20:D2818,_xlpm.roles,G20:G2818),INDEX(_xlpm.roles,MATCH(MAX(_xlpm.kills),_xlpm.kills,0)))</f>
        <v>Entry Fragger</v>
      </c>
      <c r="V20" t="str">
        <f t="shared" si="3"/>
        <v>Medium Accuracy</v>
      </c>
      <c r="W20" t="str" cm="1">
        <f t="array" ref="W20">_xlfn.LET(_xlpm.roles,_xlfn.UNIQUE(D20:D2818), _xlpm.counts,COUNTIF(D20:D2818,_xlpm.roles), INDEX(_xlpm.roles,MATCH(MAX(_xlpm.counts),_xlpm.counts,0)))</f>
        <v>Entry Fragger</v>
      </c>
      <c r="X20" s="2">
        <f t="shared" si="4"/>
        <v>12.520971302428256</v>
      </c>
    </row>
    <row r="21" spans="1:24" x14ac:dyDescent="0.3">
      <c r="A21">
        <v>899</v>
      </c>
      <c r="B21">
        <v>4</v>
      </c>
      <c r="C21" t="s">
        <v>39</v>
      </c>
      <c r="D21" t="s">
        <v>28</v>
      </c>
      <c r="E21" t="s">
        <v>32</v>
      </c>
      <c r="F21" t="s">
        <v>37</v>
      </c>
      <c r="G21">
        <v>15</v>
      </c>
      <c r="H21">
        <v>13</v>
      </c>
      <c r="I21">
        <v>13</v>
      </c>
      <c r="J21">
        <v>35</v>
      </c>
      <c r="K21">
        <v>241.88</v>
      </c>
      <c r="L21">
        <v>0.9</v>
      </c>
      <c r="M21">
        <v>38.5</v>
      </c>
      <c r="N21">
        <v>0.91</v>
      </c>
      <c r="O21" t="s">
        <v>20</v>
      </c>
      <c r="P21" t="s">
        <v>21</v>
      </c>
      <c r="Q21">
        <f t="shared" si="0"/>
        <v>15</v>
      </c>
      <c r="R21" s="4">
        <f>RANK(N21,$N$2:N$2800,0)</f>
        <v>1665</v>
      </c>
      <c r="S21">
        <f t="shared" si="1"/>
        <v>1.1538461538461537</v>
      </c>
      <c r="T21" t="str">
        <f t="shared" si="2"/>
        <v>Good</v>
      </c>
      <c r="U21" t="str" cm="1">
        <f t="array" ref="U21">_xlfn.LET(_xlpm.roles,_xlfn.UNIQUE(D21:D2819),_xlpm.kills, SUMIF(D21:D2819,_xlpm.roles,G21:G2819),INDEX(_xlpm.roles,MATCH(MAX(_xlpm.kills),_xlpm.kills,0)))</f>
        <v>Entry Fragger</v>
      </c>
      <c r="V21" t="str">
        <f t="shared" si="3"/>
        <v>Medium Accuracy</v>
      </c>
      <c r="W21" t="str" cm="1">
        <f t="array" ref="W21">_xlfn.LET(_xlpm.roles,_xlfn.UNIQUE(D21:D2819), _xlpm.counts,COUNTIF(D21:D2819,_xlpm.roles), INDEX(_xlpm.roles,MATCH(MAX(_xlpm.counts),_xlpm.counts,0)))</f>
        <v>Entry Fragger</v>
      </c>
      <c r="X21" s="2">
        <f t="shared" si="4"/>
        <v>13.103594080338267</v>
      </c>
    </row>
    <row r="22" spans="1:24" x14ac:dyDescent="0.3">
      <c r="A22">
        <v>914</v>
      </c>
      <c r="B22">
        <v>4</v>
      </c>
      <c r="C22" t="s">
        <v>35</v>
      </c>
      <c r="D22" t="s">
        <v>36</v>
      </c>
      <c r="E22" t="s">
        <v>23</v>
      </c>
      <c r="F22" t="s">
        <v>34</v>
      </c>
      <c r="G22">
        <v>13</v>
      </c>
      <c r="H22">
        <v>7</v>
      </c>
      <c r="I22">
        <v>13</v>
      </c>
      <c r="J22">
        <v>54.26</v>
      </c>
      <c r="K22">
        <v>290.86</v>
      </c>
      <c r="L22">
        <v>0.23</v>
      </c>
      <c r="M22">
        <v>44.83</v>
      </c>
      <c r="N22">
        <v>0.95</v>
      </c>
      <c r="O22" t="s">
        <v>20</v>
      </c>
      <c r="P22" t="s">
        <v>21</v>
      </c>
      <c r="Q22">
        <f t="shared" si="0"/>
        <v>7</v>
      </c>
      <c r="R22" s="4">
        <f>RANK(N22,$N$2:N$2800,0)</f>
        <v>1367</v>
      </c>
      <c r="S22">
        <f t="shared" si="1"/>
        <v>1</v>
      </c>
      <c r="T22" t="str">
        <f t="shared" si="2"/>
        <v>Low</v>
      </c>
      <c r="U22" t="str" cm="1">
        <f t="array" ref="U22">_xlfn.LET(_xlpm.roles,_xlfn.UNIQUE(D22:D2820),_xlpm.kills, SUMIF(D22:D2820,_xlpm.roles,G22:G2820),INDEX(_xlpm.roles,MATCH(MAX(_xlpm.kills),_xlpm.kills,0)))</f>
        <v>Entry Fragger</v>
      </c>
      <c r="V22" t="str">
        <f t="shared" si="3"/>
        <v>High Accuracy</v>
      </c>
      <c r="W22" t="str" cm="1">
        <f t="array" ref="W22">_xlfn.LET(_xlpm.roles,_xlfn.UNIQUE(D22:D2820), _xlpm.counts,COUNTIF(D22:D2820,_xlpm.roles), INDEX(_xlpm.roles,MATCH(MAX(_xlpm.counts),_xlpm.counts,0)))</f>
        <v>Entry Fragger</v>
      </c>
      <c r="X22" s="2">
        <f t="shared" si="4"/>
        <v>12.599585062240664</v>
      </c>
    </row>
    <row r="23" spans="1:24" x14ac:dyDescent="0.3">
      <c r="A23">
        <v>986</v>
      </c>
      <c r="B23">
        <v>4</v>
      </c>
      <c r="C23" t="s">
        <v>35</v>
      </c>
      <c r="D23" t="s">
        <v>17</v>
      </c>
      <c r="E23" t="s">
        <v>32</v>
      </c>
      <c r="F23" t="s">
        <v>26</v>
      </c>
      <c r="G23">
        <v>17</v>
      </c>
      <c r="H23">
        <v>5</v>
      </c>
      <c r="I23">
        <v>12</v>
      </c>
      <c r="J23">
        <v>32.96</v>
      </c>
      <c r="K23">
        <v>155.16999999999999</v>
      </c>
      <c r="L23">
        <v>0.55000000000000004</v>
      </c>
      <c r="M23">
        <v>37.979999999999997</v>
      </c>
      <c r="N23">
        <v>0.83</v>
      </c>
      <c r="O23" t="s">
        <v>20</v>
      </c>
      <c r="P23" t="s">
        <v>21</v>
      </c>
      <c r="Q23">
        <f t="shared" si="0"/>
        <v>10</v>
      </c>
      <c r="R23" s="4">
        <f>RANK(N23,$N$2:N$2800,0)</f>
        <v>2218</v>
      </c>
      <c r="S23">
        <f t="shared" si="1"/>
        <v>1.4166666666666667</v>
      </c>
      <c r="T23" t="str">
        <f t="shared" si="2"/>
        <v>Low</v>
      </c>
      <c r="U23" t="str" cm="1">
        <f t="array" ref="U23">_xlfn.LET(_xlpm.roles,_xlfn.UNIQUE(D23:D2821),_xlpm.kills, SUMIF(D23:D2821,_xlpm.roles,G23:G2821),INDEX(_xlpm.roles,MATCH(MAX(_xlpm.kills),_xlpm.kills,0)))</f>
        <v>Entry Fragger</v>
      </c>
      <c r="V23" t="str">
        <f t="shared" si="3"/>
        <v>Medium Accuracy</v>
      </c>
      <c r="W23" t="str" cm="1">
        <f t="array" ref="W23">_xlfn.LET(_xlpm.roles,_xlfn.UNIQUE(D23:D2821), _xlpm.counts,COUNTIF(D23:D2821,_xlpm.roles), INDEX(_xlpm.roles,MATCH(MAX(_xlpm.counts),_xlpm.counts,0)))</f>
        <v>Entry Fragger</v>
      </c>
      <c r="X23" s="2">
        <f t="shared" si="4"/>
        <v>12.599585062240664</v>
      </c>
    </row>
    <row r="24" spans="1:24" x14ac:dyDescent="0.3">
      <c r="A24">
        <v>1964</v>
      </c>
      <c r="B24">
        <v>4</v>
      </c>
      <c r="C24" t="s">
        <v>16</v>
      </c>
      <c r="D24" t="s">
        <v>31</v>
      </c>
      <c r="E24" t="s">
        <v>32</v>
      </c>
      <c r="F24" t="s">
        <v>19</v>
      </c>
      <c r="G24">
        <v>8</v>
      </c>
      <c r="H24">
        <v>6</v>
      </c>
      <c r="I24">
        <v>12</v>
      </c>
      <c r="J24">
        <v>48.31</v>
      </c>
      <c r="K24">
        <v>180.2</v>
      </c>
      <c r="L24">
        <v>0.57999999999999996</v>
      </c>
      <c r="M24">
        <v>28.36</v>
      </c>
      <c r="N24">
        <v>0.9</v>
      </c>
      <c r="O24" t="s">
        <v>20</v>
      </c>
      <c r="P24" t="s">
        <v>21</v>
      </c>
      <c r="Q24">
        <f t="shared" si="0"/>
        <v>2</v>
      </c>
      <c r="R24" s="4">
        <f>RANK(N24,$N$2:N$2800,0)</f>
        <v>1738</v>
      </c>
      <c r="S24">
        <f t="shared" si="1"/>
        <v>0.66666666666666663</v>
      </c>
      <c r="T24" t="str">
        <f t="shared" si="2"/>
        <v>Low</v>
      </c>
      <c r="U24" t="str" cm="1">
        <f t="array" ref="U24">_xlfn.LET(_xlpm.roles,_xlfn.UNIQUE(D24:D2822),_xlpm.kills, SUMIF(D24:D2822,_xlpm.roles,G24:G2822),INDEX(_xlpm.roles,MATCH(MAX(_xlpm.kills),_xlpm.kills,0)))</f>
        <v>Entry Fragger</v>
      </c>
      <c r="V24" t="str">
        <f t="shared" si="3"/>
        <v>Medium Accuracy</v>
      </c>
      <c r="W24" t="str" cm="1">
        <f t="array" ref="W24">_xlfn.LET(_xlpm.roles,_xlfn.UNIQUE(D24:D2822), _xlpm.counts,COUNTIF(D24:D2822,_xlpm.roles), INDEX(_xlpm.roles,MATCH(MAX(_xlpm.counts),_xlpm.counts,0)))</f>
        <v>Entry Fragger</v>
      </c>
      <c r="X24" s="2">
        <f t="shared" si="4"/>
        <v>12.520971302428256</v>
      </c>
    </row>
    <row r="25" spans="1:24" x14ac:dyDescent="0.3">
      <c r="A25">
        <v>2280</v>
      </c>
      <c r="B25">
        <v>4</v>
      </c>
      <c r="C25" t="s">
        <v>35</v>
      </c>
      <c r="D25" t="s">
        <v>31</v>
      </c>
      <c r="E25" t="s">
        <v>29</v>
      </c>
      <c r="F25" t="s">
        <v>34</v>
      </c>
      <c r="G25">
        <v>20</v>
      </c>
      <c r="H25">
        <v>10</v>
      </c>
      <c r="I25">
        <v>16</v>
      </c>
      <c r="J25">
        <v>25.64</v>
      </c>
      <c r="K25">
        <v>265.26</v>
      </c>
      <c r="L25">
        <v>0.23</v>
      </c>
      <c r="M25">
        <v>44.52</v>
      </c>
      <c r="N25">
        <v>1</v>
      </c>
      <c r="O25" t="s">
        <v>20</v>
      </c>
      <c r="P25" t="s">
        <v>21</v>
      </c>
      <c r="Q25">
        <f t="shared" si="0"/>
        <v>14</v>
      </c>
      <c r="R25" s="4">
        <f>RANK(N25,$N$2:N$2800,0)</f>
        <v>1</v>
      </c>
      <c r="S25">
        <f t="shared" si="1"/>
        <v>1.25</v>
      </c>
      <c r="T25" t="str">
        <f t="shared" si="2"/>
        <v>Low</v>
      </c>
      <c r="U25" t="str" cm="1">
        <f t="array" ref="U25">_xlfn.LET(_xlpm.roles,_xlfn.UNIQUE(D25:D2823),_xlpm.kills, SUMIF(D25:D2823,_xlpm.roles,G25:G2823),INDEX(_xlpm.roles,MATCH(MAX(_xlpm.kills),_xlpm.kills,0)))</f>
        <v>Entry Fragger</v>
      </c>
      <c r="V25" t="str">
        <f t="shared" si="3"/>
        <v>Low Accuracy</v>
      </c>
      <c r="W25" t="str" cm="1">
        <f t="array" ref="W25">_xlfn.LET(_xlpm.roles,_xlfn.UNIQUE(D25:D2823), _xlpm.counts,COUNTIF(D25:D2823,_xlpm.roles), INDEX(_xlpm.roles,MATCH(MAX(_xlpm.counts),_xlpm.counts,0)))</f>
        <v>Entry Fragger</v>
      </c>
      <c r="X25" s="2">
        <f t="shared" si="4"/>
        <v>12.599585062240664</v>
      </c>
    </row>
    <row r="26" spans="1:24" x14ac:dyDescent="0.3">
      <c r="A26">
        <v>2353</v>
      </c>
      <c r="B26">
        <v>4</v>
      </c>
      <c r="C26" t="s">
        <v>27</v>
      </c>
      <c r="D26" t="s">
        <v>17</v>
      </c>
      <c r="E26" t="s">
        <v>33</v>
      </c>
      <c r="F26" t="s">
        <v>24</v>
      </c>
      <c r="G26">
        <v>17</v>
      </c>
      <c r="H26">
        <v>7</v>
      </c>
      <c r="I26">
        <v>9</v>
      </c>
      <c r="J26">
        <v>52.75</v>
      </c>
      <c r="K26">
        <v>172.91</v>
      </c>
      <c r="L26">
        <v>0.06</v>
      </c>
      <c r="M26">
        <v>57.77</v>
      </c>
      <c r="N26">
        <v>1</v>
      </c>
      <c r="O26" t="s">
        <v>20</v>
      </c>
      <c r="P26" t="s">
        <v>21</v>
      </c>
      <c r="Q26">
        <f t="shared" si="0"/>
        <v>15</v>
      </c>
      <c r="R26" s="4">
        <f>RANK(N26,$N$2:N$2800,0)</f>
        <v>1</v>
      </c>
      <c r="S26">
        <f t="shared" si="1"/>
        <v>1.8888888888888888</v>
      </c>
      <c r="T26" t="str">
        <f t="shared" si="2"/>
        <v>Good</v>
      </c>
      <c r="U26" t="str" cm="1">
        <f t="array" ref="U26">_xlfn.LET(_xlpm.roles,_xlfn.UNIQUE(D26:D2824),_xlpm.kills, SUMIF(D26:D2824,_xlpm.roles,G26:G2824),INDEX(_xlpm.roles,MATCH(MAX(_xlpm.kills),_xlpm.kills,0)))</f>
        <v>Entry Fragger</v>
      </c>
      <c r="V26" t="str">
        <f t="shared" si="3"/>
        <v>High Accuracy</v>
      </c>
      <c r="W26" t="str" cm="1">
        <f t="array" ref="W26">_xlfn.LET(_xlpm.roles,_xlfn.UNIQUE(D26:D2824), _xlpm.counts,COUNTIF(D26:D2824,_xlpm.roles), INDEX(_xlpm.roles,MATCH(MAX(_xlpm.counts),_xlpm.counts,0)))</f>
        <v>Entry Fragger</v>
      </c>
      <c r="X26" s="2">
        <f t="shared" si="4"/>
        <v>13.057077625570777</v>
      </c>
    </row>
    <row r="27" spans="1:24" x14ac:dyDescent="0.3">
      <c r="A27">
        <v>2611</v>
      </c>
      <c r="B27">
        <v>4</v>
      </c>
      <c r="C27" t="s">
        <v>30</v>
      </c>
      <c r="D27" t="s">
        <v>31</v>
      </c>
      <c r="E27" t="s">
        <v>29</v>
      </c>
      <c r="F27" t="s">
        <v>34</v>
      </c>
      <c r="G27">
        <v>11</v>
      </c>
      <c r="H27">
        <v>9</v>
      </c>
      <c r="I27">
        <v>15</v>
      </c>
      <c r="J27">
        <v>44.72</v>
      </c>
      <c r="K27">
        <v>221.13</v>
      </c>
      <c r="L27">
        <v>0.77</v>
      </c>
      <c r="M27">
        <v>30.66</v>
      </c>
      <c r="N27">
        <v>0.91</v>
      </c>
      <c r="O27" t="s">
        <v>20</v>
      </c>
      <c r="P27" t="s">
        <v>21</v>
      </c>
      <c r="Q27">
        <f t="shared" si="0"/>
        <v>5</v>
      </c>
      <c r="R27" s="4">
        <f>RANK(N27,$N$2:N$2800,0)</f>
        <v>1665</v>
      </c>
      <c r="S27">
        <f t="shared" si="1"/>
        <v>0.73333333333333328</v>
      </c>
      <c r="T27" t="str">
        <f t="shared" si="2"/>
        <v>Low</v>
      </c>
      <c r="U27" t="str" cm="1">
        <f t="array" ref="U27">_xlfn.LET(_xlpm.roles,_xlfn.UNIQUE(D27:D2825),_xlpm.kills, SUMIF(D27:D2825,_xlpm.roles,G27:G2825),INDEX(_xlpm.roles,MATCH(MAX(_xlpm.kills),_xlpm.kills,0)))</f>
        <v>Entry Fragger</v>
      </c>
      <c r="V27" t="str">
        <f t="shared" si="3"/>
        <v>Medium Accuracy</v>
      </c>
      <c r="W27" t="str" cm="1">
        <f t="array" ref="W27">_xlfn.LET(_xlpm.roles,_xlfn.UNIQUE(D27:D2825), _xlpm.counts,COUNTIF(D27:D2825,_xlpm.roles), INDEX(_xlpm.roles,MATCH(MAX(_xlpm.counts),_xlpm.counts,0)))</f>
        <v>Entry Fragger</v>
      </c>
      <c r="X27" s="2">
        <f t="shared" si="4"/>
        <v>13.135802469135802</v>
      </c>
    </row>
    <row r="28" spans="1:24" x14ac:dyDescent="0.3">
      <c r="A28">
        <v>523</v>
      </c>
      <c r="B28">
        <v>5</v>
      </c>
      <c r="C28" t="s">
        <v>35</v>
      </c>
      <c r="D28" t="s">
        <v>31</v>
      </c>
      <c r="E28" t="s">
        <v>29</v>
      </c>
      <c r="F28" t="s">
        <v>24</v>
      </c>
      <c r="G28">
        <v>14</v>
      </c>
      <c r="H28">
        <v>13</v>
      </c>
      <c r="I28">
        <v>7</v>
      </c>
      <c r="J28">
        <v>47.74</v>
      </c>
      <c r="K28">
        <v>228.9</v>
      </c>
      <c r="L28">
        <v>0.99</v>
      </c>
      <c r="M28">
        <v>47.97</v>
      </c>
      <c r="N28">
        <v>1</v>
      </c>
      <c r="O28" t="s">
        <v>20</v>
      </c>
      <c r="P28" t="s">
        <v>21</v>
      </c>
      <c r="Q28">
        <f t="shared" si="0"/>
        <v>20</v>
      </c>
      <c r="R28" s="4">
        <f>RANK(N28,$N$2:N$2800,0)</f>
        <v>1</v>
      </c>
      <c r="S28">
        <f t="shared" si="1"/>
        <v>2</v>
      </c>
      <c r="T28" t="str">
        <f t="shared" si="2"/>
        <v>Good</v>
      </c>
      <c r="U28" t="str" cm="1">
        <f t="array" ref="U28">_xlfn.LET(_xlpm.roles,_xlfn.UNIQUE(D28:D2826),_xlpm.kills, SUMIF(D28:D2826,_xlpm.roles,G28:G2826),INDEX(_xlpm.roles,MATCH(MAX(_xlpm.kills),_xlpm.kills,0)))</f>
        <v>Entry Fragger</v>
      </c>
      <c r="V28" t="str">
        <f t="shared" si="3"/>
        <v>Medium Accuracy</v>
      </c>
      <c r="W28" t="str" cm="1">
        <f t="array" ref="W28">_xlfn.LET(_xlpm.roles,_xlfn.UNIQUE(D28:D2826), _xlpm.counts,COUNTIF(D28:D2826,_xlpm.roles), INDEX(_xlpm.roles,MATCH(MAX(_xlpm.counts),_xlpm.counts,0)))</f>
        <v>Entry Fragger</v>
      </c>
      <c r="X28" s="2">
        <f t="shared" si="4"/>
        <v>12.599585062240664</v>
      </c>
    </row>
    <row r="29" spans="1:24" x14ac:dyDescent="0.3">
      <c r="A29">
        <v>637</v>
      </c>
      <c r="B29">
        <v>5</v>
      </c>
      <c r="C29" t="s">
        <v>39</v>
      </c>
      <c r="D29" t="s">
        <v>31</v>
      </c>
      <c r="E29" t="s">
        <v>33</v>
      </c>
      <c r="F29" t="s">
        <v>26</v>
      </c>
      <c r="G29">
        <v>9</v>
      </c>
      <c r="H29">
        <v>3</v>
      </c>
      <c r="I29">
        <v>14</v>
      </c>
      <c r="J29">
        <v>43.61</v>
      </c>
      <c r="K29">
        <v>232.47</v>
      </c>
      <c r="L29">
        <v>0.65</v>
      </c>
      <c r="M29">
        <v>22.3</v>
      </c>
      <c r="N29">
        <v>0.71</v>
      </c>
      <c r="O29" t="s">
        <v>20</v>
      </c>
      <c r="P29" t="s">
        <v>21</v>
      </c>
      <c r="Q29">
        <f t="shared" si="0"/>
        <v>-2</v>
      </c>
      <c r="R29" s="4">
        <f>RANK(N29,$N$2:N$2800,0)</f>
        <v>2688</v>
      </c>
      <c r="S29">
        <f t="shared" si="1"/>
        <v>0.6428571428571429</v>
      </c>
      <c r="T29" t="str">
        <f t="shared" si="2"/>
        <v>Low</v>
      </c>
      <c r="U29" t="str" cm="1">
        <f t="array" ref="U29">_xlfn.LET(_xlpm.roles,_xlfn.UNIQUE(D29:D2827),_xlpm.kills, SUMIF(D29:D2827,_xlpm.roles,G29:G2827),INDEX(_xlpm.roles,MATCH(MAX(_xlpm.kills),_xlpm.kills,0)))</f>
        <v>Entry Fragger</v>
      </c>
      <c r="V29" t="str">
        <f t="shared" si="3"/>
        <v>Medium Accuracy</v>
      </c>
      <c r="W29" t="str" cm="1">
        <f t="array" ref="W29">_xlfn.LET(_xlpm.roles,_xlfn.UNIQUE(D29:D2827), _xlpm.counts,COUNTIF(D29:D2827,_xlpm.roles), INDEX(_xlpm.roles,MATCH(MAX(_xlpm.counts),_xlpm.counts,0)))</f>
        <v>Entry Fragger</v>
      </c>
      <c r="X29" s="2">
        <f t="shared" si="4"/>
        <v>13.103594080338267</v>
      </c>
    </row>
    <row r="30" spans="1:24" x14ac:dyDescent="0.3">
      <c r="A30">
        <v>1049</v>
      </c>
      <c r="B30">
        <v>5</v>
      </c>
      <c r="C30" t="s">
        <v>27</v>
      </c>
      <c r="D30" t="s">
        <v>28</v>
      </c>
      <c r="E30" t="s">
        <v>23</v>
      </c>
      <c r="F30" t="s">
        <v>34</v>
      </c>
      <c r="G30">
        <v>16</v>
      </c>
      <c r="H30">
        <v>4</v>
      </c>
      <c r="I30">
        <v>5</v>
      </c>
      <c r="J30">
        <v>54.39</v>
      </c>
      <c r="K30">
        <v>189.46</v>
      </c>
      <c r="L30">
        <v>0.87</v>
      </c>
      <c r="M30">
        <v>49.5</v>
      </c>
      <c r="N30">
        <v>1</v>
      </c>
      <c r="O30" t="s">
        <v>20</v>
      </c>
      <c r="P30" t="s">
        <v>21</v>
      </c>
      <c r="Q30">
        <f t="shared" si="0"/>
        <v>15</v>
      </c>
      <c r="R30" s="4">
        <f>RANK(N30,$N$2:N$2800,0)</f>
        <v>1</v>
      </c>
      <c r="S30">
        <f t="shared" si="1"/>
        <v>3.2</v>
      </c>
      <c r="T30" t="str">
        <f t="shared" si="2"/>
        <v>Good</v>
      </c>
      <c r="U30" t="str" cm="1">
        <f t="array" ref="U30">_xlfn.LET(_xlpm.roles,_xlfn.UNIQUE(D30:D2828),_xlpm.kills, SUMIF(D30:D2828,_xlpm.roles,G30:G2828),INDEX(_xlpm.roles,MATCH(MAX(_xlpm.kills),_xlpm.kills,0)))</f>
        <v>Entry Fragger</v>
      </c>
      <c r="V30" t="str">
        <f t="shared" si="3"/>
        <v>High Accuracy</v>
      </c>
      <c r="W30" t="str" cm="1">
        <f t="array" ref="W30">_xlfn.LET(_xlpm.roles,_xlfn.UNIQUE(D30:D2828), _xlpm.counts,COUNTIF(D30:D2828,_xlpm.roles), INDEX(_xlpm.roles,MATCH(MAX(_xlpm.counts),_xlpm.counts,0)))</f>
        <v>Entry Fragger</v>
      </c>
      <c r="X30" s="2">
        <f t="shared" si="4"/>
        <v>13.057077625570777</v>
      </c>
    </row>
    <row r="31" spans="1:24" x14ac:dyDescent="0.3">
      <c r="A31">
        <v>1071</v>
      </c>
      <c r="B31">
        <v>5</v>
      </c>
      <c r="C31" t="s">
        <v>25</v>
      </c>
      <c r="D31" t="s">
        <v>31</v>
      </c>
      <c r="E31" t="s">
        <v>32</v>
      </c>
      <c r="F31" t="s">
        <v>24</v>
      </c>
      <c r="G31">
        <v>20</v>
      </c>
      <c r="H31">
        <v>8</v>
      </c>
      <c r="I31">
        <v>7</v>
      </c>
      <c r="J31">
        <v>43.82</v>
      </c>
      <c r="K31">
        <v>234.08</v>
      </c>
      <c r="L31">
        <v>0</v>
      </c>
      <c r="M31">
        <v>62.91</v>
      </c>
      <c r="N31">
        <v>1</v>
      </c>
      <c r="O31" t="s">
        <v>20</v>
      </c>
      <c r="P31" t="s">
        <v>38</v>
      </c>
      <c r="Q31">
        <f t="shared" si="0"/>
        <v>21</v>
      </c>
      <c r="R31" s="4">
        <f>RANK(N31,$N$2:N$2800,0)</f>
        <v>1</v>
      </c>
      <c r="S31">
        <f t="shared" si="1"/>
        <v>2.8571428571428572</v>
      </c>
      <c r="T31" t="str">
        <f t="shared" si="2"/>
        <v>Good</v>
      </c>
      <c r="U31" t="str" cm="1">
        <f t="array" ref="U31">_xlfn.LET(_xlpm.roles,_xlfn.UNIQUE(D31:D2829),_xlpm.kills, SUMIF(D31:D2829,_xlpm.roles,G31:G2829),INDEX(_xlpm.roles,MATCH(MAX(_xlpm.kills),_xlpm.kills,0)))</f>
        <v>Entry Fragger</v>
      </c>
      <c r="V31" t="str">
        <f t="shared" si="3"/>
        <v>Medium Accuracy</v>
      </c>
      <c r="W31" t="str" cm="1">
        <f t="array" ref="W31">_xlfn.LET(_xlpm.roles,_xlfn.UNIQUE(D31:D2829), _xlpm.counts,COUNTIF(D31:D2829,_xlpm.roles), INDEX(_xlpm.roles,MATCH(MAX(_xlpm.counts),_xlpm.counts,0)))</f>
        <v>Entry Fragger</v>
      </c>
      <c r="X31" s="2">
        <f t="shared" si="4"/>
        <v>12.809421841541756</v>
      </c>
    </row>
    <row r="32" spans="1:24" x14ac:dyDescent="0.3">
      <c r="A32">
        <v>1188</v>
      </c>
      <c r="B32">
        <v>5</v>
      </c>
      <c r="C32" t="s">
        <v>35</v>
      </c>
      <c r="D32" t="s">
        <v>28</v>
      </c>
      <c r="E32" t="s">
        <v>33</v>
      </c>
      <c r="F32" t="s">
        <v>19</v>
      </c>
      <c r="G32">
        <v>15</v>
      </c>
      <c r="H32">
        <v>14</v>
      </c>
      <c r="I32">
        <v>7</v>
      </c>
      <c r="J32">
        <v>44.99</v>
      </c>
      <c r="K32">
        <v>248.83</v>
      </c>
      <c r="L32">
        <v>0</v>
      </c>
      <c r="M32">
        <v>59.5</v>
      </c>
      <c r="N32">
        <v>1</v>
      </c>
      <c r="O32" t="s">
        <v>20</v>
      </c>
      <c r="P32" t="s">
        <v>21</v>
      </c>
      <c r="Q32">
        <f t="shared" si="0"/>
        <v>22</v>
      </c>
      <c r="R32" s="4">
        <f>RANK(N32,$N$2:N$2800,0)</f>
        <v>1</v>
      </c>
      <c r="S32">
        <f t="shared" si="1"/>
        <v>2.1428571428571428</v>
      </c>
      <c r="T32" t="str">
        <f t="shared" si="2"/>
        <v>Good</v>
      </c>
      <c r="U32" t="str" cm="1">
        <f t="array" ref="U32">_xlfn.LET(_xlpm.roles,_xlfn.UNIQUE(D32:D2830),_xlpm.kills, SUMIF(D32:D2830,_xlpm.roles,G32:G2830),INDEX(_xlpm.roles,MATCH(MAX(_xlpm.kills),_xlpm.kills,0)))</f>
        <v>Entry Fragger</v>
      </c>
      <c r="V32" t="str">
        <f t="shared" si="3"/>
        <v>Medium Accuracy</v>
      </c>
      <c r="W32" t="str" cm="1">
        <f t="array" ref="W32">_xlfn.LET(_xlpm.roles,_xlfn.UNIQUE(D32:D2830), _xlpm.counts,COUNTIF(D32:D2830,_xlpm.roles), INDEX(_xlpm.roles,MATCH(MAX(_xlpm.counts),_xlpm.counts,0)))</f>
        <v>Entry Fragger</v>
      </c>
      <c r="X32" s="2">
        <f t="shared" si="4"/>
        <v>12.599585062240664</v>
      </c>
    </row>
    <row r="33" spans="1:24" x14ac:dyDescent="0.3">
      <c r="A33">
        <v>1021</v>
      </c>
      <c r="B33">
        <v>6</v>
      </c>
      <c r="C33" t="s">
        <v>16</v>
      </c>
      <c r="D33" t="s">
        <v>28</v>
      </c>
      <c r="E33" t="s">
        <v>33</v>
      </c>
      <c r="F33" t="s">
        <v>19</v>
      </c>
      <c r="G33">
        <v>13</v>
      </c>
      <c r="H33">
        <v>7</v>
      </c>
      <c r="I33">
        <v>13</v>
      </c>
      <c r="J33">
        <v>54.72</v>
      </c>
      <c r="K33">
        <v>192.26</v>
      </c>
      <c r="L33">
        <v>0.71</v>
      </c>
      <c r="M33">
        <v>40.26</v>
      </c>
      <c r="N33">
        <v>1</v>
      </c>
      <c r="O33" t="s">
        <v>20</v>
      </c>
      <c r="P33" t="s">
        <v>21</v>
      </c>
      <c r="Q33">
        <f t="shared" si="0"/>
        <v>7</v>
      </c>
      <c r="R33" s="4">
        <f>RANK(N33,$N$2:N$2800,0)</f>
        <v>1</v>
      </c>
      <c r="S33">
        <f t="shared" si="1"/>
        <v>1</v>
      </c>
      <c r="T33" t="str">
        <f t="shared" si="2"/>
        <v>Low</v>
      </c>
      <c r="U33" t="str" cm="1">
        <f t="array" ref="U33">_xlfn.LET(_xlpm.roles,_xlfn.UNIQUE(D33:D2831),_xlpm.kills, SUMIF(D33:D2831,_xlpm.roles,G33:G2831),INDEX(_xlpm.roles,MATCH(MAX(_xlpm.kills),_xlpm.kills,0)))</f>
        <v>Entry Fragger</v>
      </c>
      <c r="V33" t="str">
        <f t="shared" si="3"/>
        <v>High Accuracy</v>
      </c>
      <c r="W33" t="str" cm="1">
        <f t="array" ref="W33">_xlfn.LET(_xlpm.roles,_xlfn.UNIQUE(D33:D2831), _xlpm.counts,COUNTIF(D33:D2831,_xlpm.roles), INDEX(_xlpm.roles,MATCH(MAX(_xlpm.counts),_xlpm.counts,0)))</f>
        <v>Entry Fragger</v>
      </c>
      <c r="X33" s="2">
        <f t="shared" si="4"/>
        <v>12.520971302428256</v>
      </c>
    </row>
    <row r="34" spans="1:24" x14ac:dyDescent="0.3">
      <c r="A34">
        <v>1267</v>
      </c>
      <c r="B34">
        <v>6</v>
      </c>
      <c r="C34" t="s">
        <v>16</v>
      </c>
      <c r="D34" t="s">
        <v>22</v>
      </c>
      <c r="E34" t="s">
        <v>32</v>
      </c>
      <c r="F34" t="s">
        <v>37</v>
      </c>
      <c r="G34">
        <v>12</v>
      </c>
      <c r="H34">
        <v>4</v>
      </c>
      <c r="I34">
        <v>22</v>
      </c>
      <c r="J34">
        <v>47.09</v>
      </c>
      <c r="K34">
        <v>207.56</v>
      </c>
      <c r="L34">
        <v>0.31</v>
      </c>
      <c r="M34">
        <v>26.45</v>
      </c>
      <c r="N34">
        <v>0.68</v>
      </c>
      <c r="O34" t="s">
        <v>20</v>
      </c>
      <c r="P34" t="s">
        <v>21</v>
      </c>
      <c r="Q34">
        <f t="shared" si="0"/>
        <v>-6</v>
      </c>
      <c r="R34" s="4">
        <f>RANK(N34,$N$2:N$2800,0)</f>
        <v>2719</v>
      </c>
      <c r="S34">
        <f t="shared" si="1"/>
        <v>0.54545454545454541</v>
      </c>
      <c r="T34" t="str">
        <f t="shared" si="2"/>
        <v>Low</v>
      </c>
      <c r="U34" t="str" cm="1">
        <f t="array" ref="U34">_xlfn.LET(_xlpm.roles,_xlfn.UNIQUE(D34:D2832),_xlpm.kills, SUMIF(D34:D2832,_xlpm.roles,G34:G2832),INDEX(_xlpm.roles,MATCH(MAX(_xlpm.kills),_xlpm.kills,0)))</f>
        <v>Entry Fragger</v>
      </c>
      <c r="V34" t="str">
        <f t="shared" si="3"/>
        <v>Medium Accuracy</v>
      </c>
      <c r="W34" t="str" cm="1">
        <f t="array" ref="W34">_xlfn.LET(_xlpm.roles,_xlfn.UNIQUE(D34:D2832), _xlpm.counts,COUNTIF(D34:D2832,_xlpm.roles), INDEX(_xlpm.roles,MATCH(MAX(_xlpm.counts),_xlpm.counts,0)))</f>
        <v>Entry Fragger</v>
      </c>
      <c r="X34" s="2">
        <f t="shared" si="4"/>
        <v>12.520971302428256</v>
      </c>
    </row>
    <row r="35" spans="1:24" x14ac:dyDescent="0.3">
      <c r="A35">
        <v>1528</v>
      </c>
      <c r="B35">
        <v>6</v>
      </c>
      <c r="C35" t="s">
        <v>16</v>
      </c>
      <c r="D35" t="s">
        <v>36</v>
      </c>
      <c r="E35" t="s">
        <v>23</v>
      </c>
      <c r="F35" t="s">
        <v>19</v>
      </c>
      <c r="G35">
        <v>10</v>
      </c>
      <c r="H35">
        <v>10</v>
      </c>
      <c r="I35">
        <v>10</v>
      </c>
      <c r="J35">
        <v>46.34</v>
      </c>
      <c r="K35">
        <v>288.27999999999997</v>
      </c>
      <c r="L35">
        <v>0.55000000000000004</v>
      </c>
      <c r="M35">
        <v>37.67</v>
      </c>
      <c r="N35">
        <v>0.96</v>
      </c>
      <c r="O35" t="s">
        <v>20</v>
      </c>
      <c r="P35" t="s">
        <v>21</v>
      </c>
      <c r="Q35">
        <f t="shared" si="0"/>
        <v>10</v>
      </c>
      <c r="R35" s="4">
        <f>RANK(N35,$N$2:N$2800,0)</f>
        <v>1301</v>
      </c>
      <c r="S35">
        <f t="shared" si="1"/>
        <v>1</v>
      </c>
      <c r="T35" t="str">
        <f t="shared" si="2"/>
        <v>Low</v>
      </c>
      <c r="U35" t="str" cm="1">
        <f t="array" ref="U35">_xlfn.LET(_xlpm.roles,_xlfn.UNIQUE(D35:D2833),_xlpm.kills, SUMIF(D35:D2833,_xlpm.roles,G35:G2833),INDEX(_xlpm.roles,MATCH(MAX(_xlpm.kills),_xlpm.kills,0)))</f>
        <v>Entry Fragger</v>
      </c>
      <c r="V35" t="str">
        <f t="shared" si="3"/>
        <v>Medium Accuracy</v>
      </c>
      <c r="W35" t="str" cm="1">
        <f t="array" ref="W35">_xlfn.LET(_xlpm.roles,_xlfn.UNIQUE(D35:D2833), _xlpm.counts,COUNTIF(D35:D2833,_xlpm.roles), INDEX(_xlpm.roles,MATCH(MAX(_xlpm.counts),_xlpm.counts,0)))</f>
        <v>Entry Fragger</v>
      </c>
      <c r="X35" s="2">
        <f t="shared" si="4"/>
        <v>12.520971302428256</v>
      </c>
    </row>
    <row r="36" spans="1:24" x14ac:dyDescent="0.3">
      <c r="A36">
        <v>1863</v>
      </c>
      <c r="B36">
        <v>6</v>
      </c>
      <c r="C36" t="s">
        <v>25</v>
      </c>
      <c r="D36" t="s">
        <v>36</v>
      </c>
      <c r="E36" t="s">
        <v>29</v>
      </c>
      <c r="F36" t="s">
        <v>19</v>
      </c>
      <c r="G36">
        <v>11</v>
      </c>
      <c r="H36">
        <v>8</v>
      </c>
      <c r="I36">
        <v>11</v>
      </c>
      <c r="J36">
        <v>44.64</v>
      </c>
      <c r="K36">
        <v>216.12</v>
      </c>
      <c r="L36">
        <v>0.27</v>
      </c>
      <c r="M36">
        <v>38.619999999999997</v>
      </c>
      <c r="N36">
        <v>0.83</v>
      </c>
      <c r="O36" t="s">
        <v>20</v>
      </c>
      <c r="P36" t="s">
        <v>21</v>
      </c>
      <c r="Q36">
        <f t="shared" si="0"/>
        <v>8</v>
      </c>
      <c r="R36" s="4">
        <f>RANK(N36,$N$2:N$2800,0)</f>
        <v>2218</v>
      </c>
      <c r="S36">
        <f t="shared" si="1"/>
        <v>1</v>
      </c>
      <c r="T36" t="str">
        <f t="shared" si="2"/>
        <v>Low</v>
      </c>
      <c r="U36" t="str" cm="1">
        <f t="array" ref="U36">_xlfn.LET(_xlpm.roles,_xlfn.UNIQUE(D36:D2834),_xlpm.kills, SUMIF(D36:D2834,_xlpm.roles,G36:G2834),INDEX(_xlpm.roles,MATCH(MAX(_xlpm.kills),_xlpm.kills,0)))</f>
        <v>Entry Fragger</v>
      </c>
      <c r="V36" t="str">
        <f t="shared" si="3"/>
        <v>Medium Accuracy</v>
      </c>
      <c r="W36" t="str" cm="1">
        <f t="array" ref="W36">_xlfn.LET(_xlpm.roles,_xlfn.UNIQUE(D36:D2834), _xlpm.counts,COUNTIF(D36:D2834,_xlpm.roles), INDEX(_xlpm.roles,MATCH(MAX(_xlpm.counts),_xlpm.counts,0)))</f>
        <v>Entry Fragger</v>
      </c>
      <c r="X36" s="2">
        <f t="shared" si="4"/>
        <v>12.809421841541756</v>
      </c>
    </row>
    <row r="37" spans="1:24" x14ac:dyDescent="0.3">
      <c r="A37">
        <v>2032</v>
      </c>
      <c r="B37">
        <v>6</v>
      </c>
      <c r="C37" t="s">
        <v>35</v>
      </c>
      <c r="D37" t="s">
        <v>22</v>
      </c>
      <c r="E37" t="s">
        <v>32</v>
      </c>
      <c r="F37" t="s">
        <v>37</v>
      </c>
      <c r="G37">
        <v>17</v>
      </c>
      <c r="H37">
        <v>8</v>
      </c>
      <c r="I37">
        <v>6</v>
      </c>
      <c r="J37">
        <v>50.21</v>
      </c>
      <c r="K37">
        <v>281.2</v>
      </c>
      <c r="L37">
        <v>0.92</v>
      </c>
      <c r="M37">
        <v>51.91</v>
      </c>
      <c r="N37">
        <v>1</v>
      </c>
      <c r="O37" t="s">
        <v>20</v>
      </c>
      <c r="P37" t="s">
        <v>21</v>
      </c>
      <c r="Q37">
        <f t="shared" si="0"/>
        <v>19</v>
      </c>
      <c r="R37" s="4">
        <f>RANK(N37,$N$2:N$2800,0)</f>
        <v>1</v>
      </c>
      <c r="S37">
        <f t="shared" si="1"/>
        <v>2.8333333333333335</v>
      </c>
      <c r="T37" t="str">
        <f t="shared" si="2"/>
        <v>Good</v>
      </c>
      <c r="U37" t="str" cm="1">
        <f t="array" ref="U37">_xlfn.LET(_xlpm.roles,_xlfn.UNIQUE(D37:D2835),_xlpm.kills, SUMIF(D37:D2835,_xlpm.roles,G37:G2835),INDEX(_xlpm.roles,MATCH(MAX(_xlpm.kills),_xlpm.kills,0)))</f>
        <v>Entry Fragger</v>
      </c>
      <c r="V37" t="str">
        <f t="shared" si="3"/>
        <v>High Accuracy</v>
      </c>
      <c r="W37" t="str" cm="1">
        <f t="array" ref="W37">_xlfn.LET(_xlpm.roles,_xlfn.UNIQUE(D37:D2835), _xlpm.counts,COUNTIF(D37:D2835,_xlpm.roles), INDEX(_xlpm.roles,MATCH(MAX(_xlpm.counts),_xlpm.counts,0)))</f>
        <v>Entry Fragger</v>
      </c>
      <c r="X37" s="2">
        <f t="shared" si="4"/>
        <v>12.599585062240664</v>
      </c>
    </row>
    <row r="38" spans="1:24" x14ac:dyDescent="0.3">
      <c r="A38">
        <v>2061</v>
      </c>
      <c r="B38">
        <v>6</v>
      </c>
      <c r="C38" t="s">
        <v>25</v>
      </c>
      <c r="D38" t="s">
        <v>36</v>
      </c>
      <c r="E38" t="s">
        <v>23</v>
      </c>
      <c r="F38" t="s">
        <v>26</v>
      </c>
      <c r="G38">
        <v>15</v>
      </c>
      <c r="H38">
        <v>7</v>
      </c>
      <c r="I38">
        <v>9</v>
      </c>
      <c r="J38">
        <v>44.54</v>
      </c>
      <c r="K38">
        <v>211.14</v>
      </c>
      <c r="L38">
        <v>0.83</v>
      </c>
      <c r="M38">
        <v>41.97</v>
      </c>
      <c r="N38">
        <v>0.96</v>
      </c>
      <c r="O38" t="s">
        <v>20</v>
      </c>
      <c r="P38" t="s">
        <v>21</v>
      </c>
      <c r="Q38">
        <f t="shared" si="0"/>
        <v>13</v>
      </c>
      <c r="R38" s="4">
        <f>RANK(N38,$N$2:N$2800,0)</f>
        <v>1301</v>
      </c>
      <c r="S38">
        <f t="shared" si="1"/>
        <v>1.6666666666666667</v>
      </c>
      <c r="T38" t="str">
        <f t="shared" si="2"/>
        <v>Low</v>
      </c>
      <c r="U38" t="str" cm="1">
        <f t="array" ref="U38">_xlfn.LET(_xlpm.roles,_xlfn.UNIQUE(D38:D2836),_xlpm.kills, SUMIF(D38:D2836,_xlpm.roles,G38:G2836),INDEX(_xlpm.roles,MATCH(MAX(_xlpm.kills),_xlpm.kills,0)))</f>
        <v>Entry Fragger</v>
      </c>
      <c r="V38" t="str">
        <f t="shared" si="3"/>
        <v>Medium Accuracy</v>
      </c>
      <c r="W38" t="str" cm="1">
        <f t="array" ref="W38">_xlfn.LET(_xlpm.roles,_xlfn.UNIQUE(D38:D2836), _xlpm.counts,COUNTIF(D38:D2836,_xlpm.roles), INDEX(_xlpm.roles,MATCH(MAX(_xlpm.counts),_xlpm.counts,0)))</f>
        <v>Entry Fragger</v>
      </c>
      <c r="X38" s="2">
        <f t="shared" si="4"/>
        <v>12.809421841541756</v>
      </c>
    </row>
    <row r="39" spans="1:24" x14ac:dyDescent="0.3">
      <c r="A39">
        <v>2365</v>
      </c>
      <c r="B39">
        <v>6</v>
      </c>
      <c r="C39" t="s">
        <v>30</v>
      </c>
      <c r="D39" t="s">
        <v>17</v>
      </c>
      <c r="E39" t="s">
        <v>32</v>
      </c>
      <c r="F39" t="s">
        <v>19</v>
      </c>
      <c r="G39">
        <v>12</v>
      </c>
      <c r="H39">
        <v>8</v>
      </c>
      <c r="I39">
        <v>5</v>
      </c>
      <c r="J39">
        <v>47.29</v>
      </c>
      <c r="K39">
        <v>285.95</v>
      </c>
      <c r="L39">
        <v>0.24</v>
      </c>
      <c r="M39">
        <v>48.24</v>
      </c>
      <c r="N39">
        <v>0.93</v>
      </c>
      <c r="O39" t="s">
        <v>20</v>
      </c>
      <c r="P39" t="s">
        <v>21</v>
      </c>
      <c r="Q39">
        <f t="shared" si="0"/>
        <v>15</v>
      </c>
      <c r="R39" s="4">
        <f>RANK(N39,$N$2:N$2800,0)</f>
        <v>1505</v>
      </c>
      <c r="S39">
        <f t="shared" si="1"/>
        <v>2.4</v>
      </c>
      <c r="T39" t="str">
        <f t="shared" si="2"/>
        <v>Good</v>
      </c>
      <c r="U39" t="str" cm="1">
        <f t="array" ref="U39">_xlfn.LET(_xlpm.roles,_xlfn.UNIQUE(D39:D2837),_xlpm.kills, SUMIF(D39:D2837,_xlpm.roles,G39:G2837),INDEX(_xlpm.roles,MATCH(MAX(_xlpm.kills),_xlpm.kills,0)))</f>
        <v>Entry Fragger</v>
      </c>
      <c r="V39" t="str">
        <f t="shared" si="3"/>
        <v>Medium Accuracy</v>
      </c>
      <c r="W39" t="str" cm="1">
        <f t="array" ref="W39">_xlfn.LET(_xlpm.roles,_xlfn.UNIQUE(D39:D2837), _xlpm.counts,COUNTIF(D39:D2837,_xlpm.roles), INDEX(_xlpm.roles,MATCH(MAX(_xlpm.counts),_xlpm.counts,0)))</f>
        <v>Entry Fragger</v>
      </c>
      <c r="X39" s="2">
        <f t="shared" si="4"/>
        <v>13.135802469135802</v>
      </c>
    </row>
    <row r="40" spans="1:24" x14ac:dyDescent="0.3">
      <c r="A40">
        <v>49</v>
      </c>
      <c r="B40">
        <v>7</v>
      </c>
      <c r="C40" t="s">
        <v>25</v>
      </c>
      <c r="D40" t="s">
        <v>17</v>
      </c>
      <c r="E40" t="s">
        <v>29</v>
      </c>
      <c r="F40" t="s">
        <v>19</v>
      </c>
      <c r="G40">
        <v>13</v>
      </c>
      <c r="H40">
        <v>10</v>
      </c>
      <c r="I40">
        <v>14</v>
      </c>
      <c r="J40">
        <v>45.91</v>
      </c>
      <c r="K40">
        <v>224.51</v>
      </c>
      <c r="L40">
        <v>0.43</v>
      </c>
      <c r="M40">
        <v>40.659999999999997</v>
      </c>
      <c r="N40">
        <v>1</v>
      </c>
      <c r="O40" t="s">
        <v>20</v>
      </c>
      <c r="P40" t="s">
        <v>21</v>
      </c>
      <c r="Q40">
        <f t="shared" si="0"/>
        <v>9</v>
      </c>
      <c r="R40" s="4">
        <f>RANK(N40,$N$2:N$2800,0)</f>
        <v>1</v>
      </c>
      <c r="S40">
        <f t="shared" si="1"/>
        <v>0.9285714285714286</v>
      </c>
      <c r="T40" t="str">
        <f t="shared" si="2"/>
        <v>Low</v>
      </c>
      <c r="U40" t="str" cm="1">
        <f t="array" ref="U40">_xlfn.LET(_xlpm.roles,_xlfn.UNIQUE(D40:D2838),_xlpm.kills, SUMIF(D40:D2838,_xlpm.roles,G40:G2838),INDEX(_xlpm.roles,MATCH(MAX(_xlpm.kills),_xlpm.kills,0)))</f>
        <v>Entry Fragger</v>
      </c>
      <c r="V40" t="str">
        <f t="shared" si="3"/>
        <v>Medium Accuracy</v>
      </c>
      <c r="W40" t="str" cm="1">
        <f t="array" ref="W40">_xlfn.LET(_xlpm.roles,_xlfn.UNIQUE(D40:D2838), _xlpm.counts,COUNTIF(D40:D2838,_xlpm.roles), INDEX(_xlpm.roles,MATCH(MAX(_xlpm.counts),_xlpm.counts,0)))</f>
        <v>Entry Fragger</v>
      </c>
      <c r="X40" s="2">
        <f t="shared" si="4"/>
        <v>12.809421841541756</v>
      </c>
    </row>
    <row r="41" spans="1:24" x14ac:dyDescent="0.3">
      <c r="A41">
        <v>710</v>
      </c>
      <c r="B41">
        <v>7</v>
      </c>
      <c r="C41" t="s">
        <v>35</v>
      </c>
      <c r="D41" t="s">
        <v>36</v>
      </c>
      <c r="E41" t="s">
        <v>33</v>
      </c>
      <c r="F41" t="s">
        <v>26</v>
      </c>
      <c r="G41">
        <v>14</v>
      </c>
      <c r="H41">
        <v>9</v>
      </c>
      <c r="I41">
        <v>11</v>
      </c>
      <c r="J41">
        <v>38.049999999999997</v>
      </c>
      <c r="K41">
        <v>247.17</v>
      </c>
      <c r="L41">
        <v>0.97</v>
      </c>
      <c r="M41">
        <v>35.33</v>
      </c>
      <c r="N41">
        <v>0.87</v>
      </c>
      <c r="O41" t="s">
        <v>20</v>
      </c>
      <c r="P41" t="s">
        <v>21</v>
      </c>
      <c r="Q41">
        <f t="shared" si="0"/>
        <v>12</v>
      </c>
      <c r="R41" s="4">
        <f>RANK(N41,$N$2:N$2800,0)</f>
        <v>1965</v>
      </c>
      <c r="S41">
        <f t="shared" si="1"/>
        <v>1.2727272727272727</v>
      </c>
      <c r="T41" t="str">
        <f t="shared" si="2"/>
        <v>Low</v>
      </c>
      <c r="U41" t="str" cm="1">
        <f t="array" ref="U41">_xlfn.LET(_xlpm.roles,_xlfn.UNIQUE(D41:D2839),_xlpm.kills, SUMIF(D41:D2839,_xlpm.roles,G41:G2839),INDEX(_xlpm.roles,MATCH(MAX(_xlpm.kills),_xlpm.kills,0)))</f>
        <v>Entry Fragger</v>
      </c>
      <c r="V41" t="str">
        <f t="shared" si="3"/>
        <v>Medium Accuracy</v>
      </c>
      <c r="W41" t="str" cm="1">
        <f t="array" ref="W41">_xlfn.LET(_xlpm.roles,_xlfn.UNIQUE(D41:D2839), _xlpm.counts,COUNTIF(D41:D2839,_xlpm.roles), INDEX(_xlpm.roles,MATCH(MAX(_xlpm.counts),_xlpm.counts,0)))</f>
        <v>Entry Fragger</v>
      </c>
      <c r="X41" s="2">
        <f t="shared" si="4"/>
        <v>12.599585062240664</v>
      </c>
    </row>
    <row r="42" spans="1:24" x14ac:dyDescent="0.3">
      <c r="A42">
        <v>920</v>
      </c>
      <c r="B42">
        <v>7</v>
      </c>
      <c r="C42" t="s">
        <v>16</v>
      </c>
      <c r="D42" t="s">
        <v>22</v>
      </c>
      <c r="E42" t="s">
        <v>29</v>
      </c>
      <c r="F42" t="s">
        <v>34</v>
      </c>
      <c r="G42">
        <v>11</v>
      </c>
      <c r="H42">
        <v>14</v>
      </c>
      <c r="I42">
        <v>13</v>
      </c>
      <c r="J42">
        <v>51.57</v>
      </c>
      <c r="K42">
        <v>242.62</v>
      </c>
      <c r="L42">
        <v>0.67</v>
      </c>
      <c r="M42">
        <v>42.08</v>
      </c>
      <c r="N42">
        <v>0.99</v>
      </c>
      <c r="O42" t="s">
        <v>20</v>
      </c>
      <c r="P42" t="s">
        <v>21</v>
      </c>
      <c r="Q42">
        <f t="shared" si="0"/>
        <v>12</v>
      </c>
      <c r="R42" s="4">
        <f>RANK(N42,$N$2:N$2800,0)</f>
        <v>1080</v>
      </c>
      <c r="S42">
        <f t="shared" si="1"/>
        <v>0.84615384615384615</v>
      </c>
      <c r="T42" t="str">
        <f t="shared" si="2"/>
        <v>Low</v>
      </c>
      <c r="U42" t="str" cm="1">
        <f t="array" ref="U42">_xlfn.LET(_xlpm.roles,_xlfn.UNIQUE(D42:D2840),_xlpm.kills, SUMIF(D42:D2840,_xlpm.roles,G42:G2840),INDEX(_xlpm.roles,MATCH(MAX(_xlpm.kills),_xlpm.kills,0)))</f>
        <v>Entry Fragger</v>
      </c>
      <c r="V42" t="str">
        <f t="shared" si="3"/>
        <v>High Accuracy</v>
      </c>
      <c r="W42" t="str" cm="1">
        <f t="array" ref="W42">_xlfn.LET(_xlpm.roles,_xlfn.UNIQUE(D42:D2840), _xlpm.counts,COUNTIF(D42:D2840,_xlpm.roles), INDEX(_xlpm.roles,MATCH(MAX(_xlpm.counts),_xlpm.counts,0)))</f>
        <v>Entry Fragger</v>
      </c>
      <c r="X42" s="2">
        <f t="shared" si="4"/>
        <v>12.520971302428256</v>
      </c>
    </row>
    <row r="43" spans="1:24" x14ac:dyDescent="0.3">
      <c r="A43">
        <v>1447</v>
      </c>
      <c r="B43">
        <v>7</v>
      </c>
      <c r="C43" t="s">
        <v>25</v>
      </c>
      <c r="D43" t="s">
        <v>36</v>
      </c>
      <c r="E43" t="s">
        <v>33</v>
      </c>
      <c r="F43" t="s">
        <v>37</v>
      </c>
      <c r="G43">
        <v>15</v>
      </c>
      <c r="H43">
        <v>8</v>
      </c>
      <c r="I43">
        <v>12</v>
      </c>
      <c r="J43">
        <v>46.65</v>
      </c>
      <c r="K43">
        <v>272.33</v>
      </c>
      <c r="L43">
        <v>0.44</v>
      </c>
      <c r="M43">
        <v>44.93</v>
      </c>
      <c r="N43">
        <v>1</v>
      </c>
      <c r="O43" t="s">
        <v>20</v>
      </c>
      <c r="P43" t="s">
        <v>21</v>
      </c>
      <c r="Q43">
        <f t="shared" si="0"/>
        <v>11</v>
      </c>
      <c r="R43" s="4">
        <f>RANK(N43,$N$2:N$2800,0)</f>
        <v>1</v>
      </c>
      <c r="S43">
        <f t="shared" si="1"/>
        <v>1.25</v>
      </c>
      <c r="T43" t="str">
        <f t="shared" si="2"/>
        <v>Low</v>
      </c>
      <c r="U43" t="str" cm="1">
        <f t="array" ref="U43">_xlfn.LET(_xlpm.roles,_xlfn.UNIQUE(D43:D2841),_xlpm.kills, SUMIF(D43:D2841,_xlpm.roles,G43:G2841),INDEX(_xlpm.roles,MATCH(MAX(_xlpm.kills),_xlpm.kills,0)))</f>
        <v>Entry Fragger</v>
      </c>
      <c r="V43" t="str">
        <f t="shared" si="3"/>
        <v>Medium Accuracy</v>
      </c>
      <c r="W43" t="str" cm="1">
        <f t="array" ref="W43">_xlfn.LET(_xlpm.roles,_xlfn.UNIQUE(D43:D2841), _xlpm.counts,COUNTIF(D43:D2841,_xlpm.roles), INDEX(_xlpm.roles,MATCH(MAX(_xlpm.counts),_xlpm.counts,0)))</f>
        <v>Entry Fragger</v>
      </c>
      <c r="X43" s="2">
        <f t="shared" si="4"/>
        <v>12.809421841541756</v>
      </c>
    </row>
    <row r="44" spans="1:24" x14ac:dyDescent="0.3">
      <c r="A44">
        <v>2441</v>
      </c>
      <c r="B44">
        <v>7</v>
      </c>
      <c r="C44" t="s">
        <v>25</v>
      </c>
      <c r="D44" t="s">
        <v>22</v>
      </c>
      <c r="E44" t="s">
        <v>33</v>
      </c>
      <c r="F44" t="s">
        <v>34</v>
      </c>
      <c r="G44">
        <v>14</v>
      </c>
      <c r="H44">
        <v>4</v>
      </c>
      <c r="I44">
        <v>9</v>
      </c>
      <c r="J44">
        <v>33.630000000000003</v>
      </c>
      <c r="K44">
        <v>243.47</v>
      </c>
      <c r="L44">
        <v>0.91</v>
      </c>
      <c r="M44">
        <v>30.71</v>
      </c>
      <c r="N44">
        <v>0.84</v>
      </c>
      <c r="O44" t="s">
        <v>20</v>
      </c>
      <c r="P44" t="s">
        <v>21</v>
      </c>
      <c r="Q44">
        <f t="shared" si="0"/>
        <v>9</v>
      </c>
      <c r="R44" s="4">
        <f>RANK(N44,$N$2:N$2800,0)</f>
        <v>2156</v>
      </c>
      <c r="S44">
        <f t="shared" si="1"/>
        <v>1.5555555555555556</v>
      </c>
      <c r="T44" t="str">
        <f t="shared" si="2"/>
        <v>Low</v>
      </c>
      <c r="U44" t="str" cm="1">
        <f t="array" ref="U44">_xlfn.LET(_xlpm.roles,_xlfn.UNIQUE(D44:D2842),_xlpm.kills, SUMIF(D44:D2842,_xlpm.roles,G44:G2842),INDEX(_xlpm.roles,MATCH(MAX(_xlpm.kills),_xlpm.kills,0)))</f>
        <v>Entry Fragger</v>
      </c>
      <c r="V44" t="str">
        <f t="shared" si="3"/>
        <v>Medium Accuracy</v>
      </c>
      <c r="W44" t="str" cm="1">
        <f t="array" ref="W44">_xlfn.LET(_xlpm.roles,_xlfn.UNIQUE(D44:D2842), _xlpm.counts,COUNTIF(D44:D2842,_xlpm.roles), INDEX(_xlpm.roles,MATCH(MAX(_xlpm.counts),_xlpm.counts,0)))</f>
        <v>Entry Fragger</v>
      </c>
      <c r="X44" s="2">
        <f t="shared" si="4"/>
        <v>12.809421841541756</v>
      </c>
    </row>
    <row r="45" spans="1:24" x14ac:dyDescent="0.3">
      <c r="A45">
        <v>463</v>
      </c>
      <c r="B45">
        <v>8</v>
      </c>
      <c r="C45" t="s">
        <v>27</v>
      </c>
      <c r="D45" t="s">
        <v>28</v>
      </c>
      <c r="E45" t="s">
        <v>18</v>
      </c>
      <c r="F45" t="s">
        <v>19</v>
      </c>
      <c r="G45">
        <v>15</v>
      </c>
      <c r="H45">
        <v>4</v>
      </c>
      <c r="I45">
        <v>11</v>
      </c>
      <c r="J45">
        <v>44.35</v>
      </c>
      <c r="K45">
        <v>216.38</v>
      </c>
      <c r="L45">
        <v>0.19</v>
      </c>
      <c r="M45">
        <v>43.27</v>
      </c>
      <c r="N45">
        <v>1</v>
      </c>
      <c r="O45" t="s">
        <v>20</v>
      </c>
      <c r="P45" t="s">
        <v>21</v>
      </c>
      <c r="Q45">
        <f t="shared" si="0"/>
        <v>8</v>
      </c>
      <c r="R45" s="4">
        <f>RANK(N45,$N$2:N$2800,0)</f>
        <v>1</v>
      </c>
      <c r="S45">
        <f t="shared" si="1"/>
        <v>1.3636363636363635</v>
      </c>
      <c r="T45" t="str">
        <f t="shared" si="2"/>
        <v>Low</v>
      </c>
      <c r="U45" t="str" cm="1">
        <f t="array" ref="U45">_xlfn.LET(_xlpm.roles,_xlfn.UNIQUE(D45:D2843),_xlpm.kills, SUMIF(D45:D2843,_xlpm.roles,G45:G2843),INDEX(_xlpm.roles,MATCH(MAX(_xlpm.kills),_xlpm.kills,0)))</f>
        <v>Entry Fragger</v>
      </c>
      <c r="V45" t="str">
        <f t="shared" si="3"/>
        <v>Medium Accuracy</v>
      </c>
      <c r="W45" t="str" cm="1">
        <f t="array" ref="W45">_xlfn.LET(_xlpm.roles,_xlfn.UNIQUE(D45:D2843), _xlpm.counts,COUNTIF(D45:D2843,_xlpm.roles), INDEX(_xlpm.roles,MATCH(MAX(_xlpm.counts),_xlpm.counts,0)))</f>
        <v>Entry Fragger</v>
      </c>
      <c r="X45" s="2">
        <f t="shared" si="4"/>
        <v>13.057077625570777</v>
      </c>
    </row>
    <row r="46" spans="1:24" x14ac:dyDescent="0.3">
      <c r="A46">
        <v>1355</v>
      </c>
      <c r="B46">
        <v>8</v>
      </c>
      <c r="C46" t="s">
        <v>30</v>
      </c>
      <c r="D46" t="s">
        <v>36</v>
      </c>
      <c r="E46" t="s">
        <v>32</v>
      </c>
      <c r="F46" t="s">
        <v>37</v>
      </c>
      <c r="G46">
        <v>10</v>
      </c>
      <c r="H46">
        <v>7</v>
      </c>
      <c r="I46">
        <v>15</v>
      </c>
      <c r="J46">
        <v>47.75</v>
      </c>
      <c r="K46">
        <v>242.67</v>
      </c>
      <c r="L46">
        <v>0.37</v>
      </c>
      <c r="M46">
        <v>32.17</v>
      </c>
      <c r="N46">
        <v>0.87</v>
      </c>
      <c r="O46" t="s">
        <v>20</v>
      </c>
      <c r="P46" t="s">
        <v>21</v>
      </c>
      <c r="Q46">
        <f t="shared" si="0"/>
        <v>2</v>
      </c>
      <c r="R46" s="4">
        <f>RANK(N46,$N$2:N$2800,0)</f>
        <v>1965</v>
      </c>
      <c r="S46">
        <f t="shared" si="1"/>
        <v>0.66666666666666663</v>
      </c>
      <c r="T46" t="str">
        <f t="shared" si="2"/>
        <v>Low</v>
      </c>
      <c r="U46" t="str" cm="1">
        <f t="array" ref="U46">_xlfn.LET(_xlpm.roles,_xlfn.UNIQUE(D46:D2844),_xlpm.kills, SUMIF(D46:D2844,_xlpm.roles,G46:G2844),INDEX(_xlpm.roles,MATCH(MAX(_xlpm.kills),_xlpm.kills,0)))</f>
        <v>Entry Fragger</v>
      </c>
      <c r="V46" t="str">
        <f t="shared" si="3"/>
        <v>Medium Accuracy</v>
      </c>
      <c r="W46" t="str" cm="1">
        <f t="array" ref="W46">_xlfn.LET(_xlpm.roles,_xlfn.UNIQUE(D46:D2844), _xlpm.counts,COUNTIF(D46:D2844,_xlpm.roles), INDEX(_xlpm.roles,MATCH(MAX(_xlpm.counts),_xlpm.counts,0)))</f>
        <v>Entry Fragger</v>
      </c>
      <c r="X46" s="2">
        <f t="shared" si="4"/>
        <v>13.135802469135802</v>
      </c>
    </row>
    <row r="47" spans="1:24" x14ac:dyDescent="0.3">
      <c r="A47">
        <v>2060</v>
      </c>
      <c r="B47">
        <v>8</v>
      </c>
      <c r="C47" t="s">
        <v>25</v>
      </c>
      <c r="D47" t="s">
        <v>17</v>
      </c>
      <c r="E47" t="s">
        <v>29</v>
      </c>
      <c r="F47" t="s">
        <v>37</v>
      </c>
      <c r="G47">
        <v>15</v>
      </c>
      <c r="H47">
        <v>4</v>
      </c>
      <c r="I47">
        <v>11</v>
      </c>
      <c r="J47">
        <v>40.159999999999997</v>
      </c>
      <c r="K47">
        <v>267.31</v>
      </c>
      <c r="L47">
        <v>0.5</v>
      </c>
      <c r="M47">
        <v>38.08</v>
      </c>
      <c r="N47">
        <v>1</v>
      </c>
      <c r="O47" t="s">
        <v>20</v>
      </c>
      <c r="P47" t="s">
        <v>21</v>
      </c>
      <c r="Q47">
        <f t="shared" si="0"/>
        <v>8</v>
      </c>
      <c r="R47" s="4">
        <f>RANK(N47,$N$2:N$2800,0)</f>
        <v>1</v>
      </c>
      <c r="S47">
        <f t="shared" si="1"/>
        <v>1.3636363636363635</v>
      </c>
      <c r="T47" t="str">
        <f t="shared" si="2"/>
        <v>Low</v>
      </c>
      <c r="U47" t="str" cm="1">
        <f t="array" ref="U47">_xlfn.LET(_xlpm.roles,_xlfn.UNIQUE(D47:D2845),_xlpm.kills, SUMIF(D47:D2845,_xlpm.roles,G47:G2845),INDEX(_xlpm.roles,MATCH(MAX(_xlpm.kills),_xlpm.kills,0)))</f>
        <v>Entry Fragger</v>
      </c>
      <c r="V47" t="str">
        <f t="shared" si="3"/>
        <v>Medium Accuracy</v>
      </c>
      <c r="W47" t="str" cm="1">
        <f t="array" ref="W47">_xlfn.LET(_xlpm.roles,_xlfn.UNIQUE(D47:D2845), _xlpm.counts,COUNTIF(D47:D2845,_xlpm.roles), INDEX(_xlpm.roles,MATCH(MAX(_xlpm.counts),_xlpm.counts,0)))</f>
        <v>Entry Fragger</v>
      </c>
      <c r="X47" s="2">
        <f t="shared" si="4"/>
        <v>12.809421841541756</v>
      </c>
    </row>
    <row r="48" spans="1:24" x14ac:dyDescent="0.3">
      <c r="A48">
        <v>2323</v>
      </c>
      <c r="B48">
        <v>8</v>
      </c>
      <c r="C48" t="s">
        <v>16</v>
      </c>
      <c r="D48" t="s">
        <v>31</v>
      </c>
      <c r="E48" t="s">
        <v>32</v>
      </c>
      <c r="F48" t="s">
        <v>34</v>
      </c>
      <c r="G48">
        <v>11</v>
      </c>
      <c r="H48">
        <v>8</v>
      </c>
      <c r="I48">
        <v>14</v>
      </c>
      <c r="J48">
        <v>34.11</v>
      </c>
      <c r="K48">
        <v>268.42</v>
      </c>
      <c r="L48">
        <v>0.67</v>
      </c>
      <c r="M48">
        <v>26.36</v>
      </c>
      <c r="N48">
        <v>0.7</v>
      </c>
      <c r="O48" t="s">
        <v>20</v>
      </c>
      <c r="P48" t="s">
        <v>21</v>
      </c>
      <c r="Q48">
        <f t="shared" si="0"/>
        <v>5</v>
      </c>
      <c r="R48" s="4">
        <f>RANK(N48,$N$2:N$2800,0)</f>
        <v>2702</v>
      </c>
      <c r="S48">
        <f t="shared" si="1"/>
        <v>0.7857142857142857</v>
      </c>
      <c r="T48" t="str">
        <f t="shared" si="2"/>
        <v>Low</v>
      </c>
      <c r="U48" t="str" cm="1">
        <f t="array" ref="U48">_xlfn.LET(_xlpm.roles,_xlfn.UNIQUE(D48:D2846),_xlpm.kills, SUMIF(D48:D2846,_xlpm.roles,G48:G2846),INDEX(_xlpm.roles,MATCH(MAX(_xlpm.kills),_xlpm.kills,0)))</f>
        <v>Entry Fragger</v>
      </c>
      <c r="V48" t="str">
        <f t="shared" si="3"/>
        <v>Medium Accuracy</v>
      </c>
      <c r="W48" t="str" cm="1">
        <f t="array" ref="W48">_xlfn.LET(_xlpm.roles,_xlfn.UNIQUE(D48:D2846), _xlpm.counts,COUNTIF(D48:D2846,_xlpm.roles), INDEX(_xlpm.roles,MATCH(MAX(_xlpm.counts),_xlpm.counts,0)))</f>
        <v>Entry Fragger</v>
      </c>
      <c r="X48" s="2">
        <f t="shared" si="4"/>
        <v>12.520971302428256</v>
      </c>
    </row>
    <row r="49" spans="1:24" x14ac:dyDescent="0.3">
      <c r="A49">
        <v>2470</v>
      </c>
      <c r="B49">
        <v>8</v>
      </c>
      <c r="C49" t="s">
        <v>30</v>
      </c>
      <c r="D49" t="s">
        <v>17</v>
      </c>
      <c r="E49" t="s">
        <v>32</v>
      </c>
      <c r="F49" t="s">
        <v>26</v>
      </c>
      <c r="G49">
        <v>4</v>
      </c>
      <c r="H49">
        <v>7</v>
      </c>
      <c r="I49">
        <v>6</v>
      </c>
      <c r="J49">
        <v>42.24</v>
      </c>
      <c r="K49">
        <v>210.29</v>
      </c>
      <c r="L49">
        <v>0.49</v>
      </c>
      <c r="M49">
        <v>25.22</v>
      </c>
      <c r="N49">
        <v>0.67</v>
      </c>
      <c r="O49" t="s">
        <v>20</v>
      </c>
      <c r="P49" t="s">
        <v>21</v>
      </c>
      <c r="Q49">
        <f t="shared" si="0"/>
        <v>5</v>
      </c>
      <c r="R49" s="4">
        <f>RANK(N49,$N$2:N$2800,0)</f>
        <v>2731</v>
      </c>
      <c r="S49">
        <f t="shared" si="1"/>
        <v>0.66666666666666663</v>
      </c>
      <c r="T49" t="str">
        <f t="shared" si="2"/>
        <v>Low</v>
      </c>
      <c r="U49" t="str" cm="1">
        <f t="array" ref="U49">_xlfn.LET(_xlpm.roles,_xlfn.UNIQUE(D49:D2847),_xlpm.kills, SUMIF(D49:D2847,_xlpm.roles,G49:G2847),INDEX(_xlpm.roles,MATCH(MAX(_xlpm.kills),_xlpm.kills,0)))</f>
        <v>Entry Fragger</v>
      </c>
      <c r="V49" t="str">
        <f t="shared" si="3"/>
        <v>Medium Accuracy</v>
      </c>
      <c r="W49" t="str" cm="1">
        <f t="array" ref="W49">_xlfn.LET(_xlpm.roles,_xlfn.UNIQUE(D49:D2847), _xlpm.counts,COUNTIF(D49:D2847,_xlpm.roles), INDEX(_xlpm.roles,MATCH(MAX(_xlpm.counts),_xlpm.counts,0)))</f>
        <v>Entry Fragger</v>
      </c>
      <c r="X49" s="2">
        <f t="shared" si="4"/>
        <v>13.135802469135802</v>
      </c>
    </row>
    <row r="50" spans="1:24" x14ac:dyDescent="0.3">
      <c r="A50">
        <v>2628</v>
      </c>
      <c r="B50">
        <v>8</v>
      </c>
      <c r="C50" t="s">
        <v>16</v>
      </c>
      <c r="D50" t="s">
        <v>36</v>
      </c>
      <c r="E50" t="s">
        <v>33</v>
      </c>
      <c r="F50" t="s">
        <v>26</v>
      </c>
      <c r="G50">
        <v>13</v>
      </c>
      <c r="H50">
        <v>8</v>
      </c>
      <c r="I50">
        <v>9</v>
      </c>
      <c r="J50">
        <v>44.74</v>
      </c>
      <c r="K50">
        <v>203.96</v>
      </c>
      <c r="L50">
        <v>0.56999999999999995</v>
      </c>
      <c r="M50">
        <v>41.67</v>
      </c>
      <c r="N50">
        <v>0.8</v>
      </c>
      <c r="O50" t="s">
        <v>20</v>
      </c>
      <c r="P50" t="s">
        <v>21</v>
      </c>
      <c r="Q50">
        <f t="shared" si="0"/>
        <v>12</v>
      </c>
      <c r="R50" s="4">
        <f>RANK(N50,$N$2:N$2800,0)</f>
        <v>2393</v>
      </c>
      <c r="S50">
        <f t="shared" si="1"/>
        <v>1.4444444444444444</v>
      </c>
      <c r="T50" t="str">
        <f t="shared" si="2"/>
        <v>Low</v>
      </c>
      <c r="U50" t="str" cm="1">
        <f t="array" ref="U50">_xlfn.LET(_xlpm.roles,_xlfn.UNIQUE(D50:D2848),_xlpm.kills, SUMIF(D50:D2848,_xlpm.roles,G50:G2848),INDEX(_xlpm.roles,MATCH(MAX(_xlpm.kills),_xlpm.kills,0)))</f>
        <v>Entry Fragger</v>
      </c>
      <c r="V50" t="str">
        <f t="shared" si="3"/>
        <v>Medium Accuracy</v>
      </c>
      <c r="W50" t="str" cm="1">
        <f t="array" ref="W50">_xlfn.LET(_xlpm.roles,_xlfn.UNIQUE(D50:D2848), _xlpm.counts,COUNTIF(D50:D2848,_xlpm.roles), INDEX(_xlpm.roles,MATCH(MAX(_xlpm.counts),_xlpm.counts,0)))</f>
        <v>Entry Fragger</v>
      </c>
      <c r="X50" s="2">
        <f t="shared" si="4"/>
        <v>12.520971302428256</v>
      </c>
    </row>
    <row r="51" spans="1:24" x14ac:dyDescent="0.3">
      <c r="A51">
        <v>240</v>
      </c>
      <c r="B51">
        <v>9</v>
      </c>
      <c r="C51" t="s">
        <v>16</v>
      </c>
      <c r="D51" t="s">
        <v>22</v>
      </c>
      <c r="E51" t="s">
        <v>33</v>
      </c>
      <c r="F51" t="s">
        <v>26</v>
      </c>
      <c r="G51">
        <v>23</v>
      </c>
      <c r="H51">
        <v>8</v>
      </c>
      <c r="I51">
        <v>14</v>
      </c>
      <c r="J51">
        <v>42.12</v>
      </c>
      <c r="K51">
        <v>226.73</v>
      </c>
      <c r="L51">
        <v>0.81</v>
      </c>
      <c r="M51">
        <v>52.96</v>
      </c>
      <c r="N51">
        <v>1</v>
      </c>
      <c r="O51" t="s">
        <v>20</v>
      </c>
      <c r="P51" t="s">
        <v>21</v>
      </c>
      <c r="Q51">
        <f t="shared" si="0"/>
        <v>17</v>
      </c>
      <c r="R51" s="4">
        <f>RANK(N51,$N$2:N$2800,0)</f>
        <v>1</v>
      </c>
      <c r="S51">
        <f t="shared" si="1"/>
        <v>1.6428571428571428</v>
      </c>
      <c r="T51" t="str">
        <f t="shared" si="2"/>
        <v>Good</v>
      </c>
      <c r="U51" t="str" cm="1">
        <f t="array" ref="U51">_xlfn.LET(_xlpm.roles,_xlfn.UNIQUE(D51:D2849),_xlpm.kills, SUMIF(D51:D2849,_xlpm.roles,G51:G2849),INDEX(_xlpm.roles,MATCH(MAX(_xlpm.kills),_xlpm.kills,0)))</f>
        <v>Entry Fragger</v>
      </c>
      <c r="V51" t="str">
        <f t="shared" si="3"/>
        <v>Medium Accuracy</v>
      </c>
      <c r="W51" t="str" cm="1">
        <f t="array" ref="W51">_xlfn.LET(_xlpm.roles,_xlfn.UNIQUE(D51:D2849), _xlpm.counts,COUNTIF(D51:D2849,_xlpm.roles), INDEX(_xlpm.roles,MATCH(MAX(_xlpm.counts),_xlpm.counts,0)))</f>
        <v>Entry Fragger</v>
      </c>
      <c r="X51" s="2">
        <f t="shared" si="4"/>
        <v>12.520971302428256</v>
      </c>
    </row>
    <row r="52" spans="1:24" x14ac:dyDescent="0.3">
      <c r="A52">
        <v>444</v>
      </c>
      <c r="B52">
        <v>9</v>
      </c>
      <c r="C52" t="s">
        <v>16</v>
      </c>
      <c r="D52" t="s">
        <v>36</v>
      </c>
      <c r="E52" t="s">
        <v>33</v>
      </c>
      <c r="F52" t="s">
        <v>19</v>
      </c>
      <c r="G52">
        <v>14</v>
      </c>
      <c r="H52">
        <v>5</v>
      </c>
      <c r="I52">
        <v>14</v>
      </c>
      <c r="J52">
        <v>36.81</v>
      </c>
      <c r="K52">
        <v>231.92</v>
      </c>
      <c r="L52">
        <v>0.21</v>
      </c>
      <c r="M52">
        <v>35.299999999999997</v>
      </c>
      <c r="N52">
        <v>0.78</v>
      </c>
      <c r="O52" t="s">
        <v>20</v>
      </c>
      <c r="P52" t="s">
        <v>21</v>
      </c>
      <c r="Q52">
        <f t="shared" si="0"/>
        <v>5</v>
      </c>
      <c r="R52" s="4">
        <f>RANK(N52,$N$2:N$2800,0)</f>
        <v>2469</v>
      </c>
      <c r="S52">
        <f t="shared" si="1"/>
        <v>1</v>
      </c>
      <c r="T52" t="str">
        <f t="shared" si="2"/>
        <v>Low</v>
      </c>
      <c r="U52" t="str" cm="1">
        <f t="array" ref="U52">_xlfn.LET(_xlpm.roles,_xlfn.UNIQUE(D52:D2850),_xlpm.kills, SUMIF(D52:D2850,_xlpm.roles,G52:G2850),INDEX(_xlpm.roles,MATCH(MAX(_xlpm.kills),_xlpm.kills,0)))</f>
        <v>Entry Fragger</v>
      </c>
      <c r="V52" t="str">
        <f t="shared" si="3"/>
        <v>Medium Accuracy</v>
      </c>
      <c r="W52" t="str" cm="1">
        <f t="array" ref="W52">_xlfn.LET(_xlpm.roles,_xlfn.UNIQUE(D52:D2850), _xlpm.counts,COUNTIF(D52:D2850,_xlpm.roles), INDEX(_xlpm.roles,MATCH(MAX(_xlpm.counts),_xlpm.counts,0)))</f>
        <v>Entry Fragger</v>
      </c>
      <c r="X52" s="2">
        <f t="shared" si="4"/>
        <v>12.520971302428256</v>
      </c>
    </row>
    <row r="53" spans="1:24" x14ac:dyDescent="0.3">
      <c r="A53">
        <v>554</v>
      </c>
      <c r="B53">
        <v>9</v>
      </c>
      <c r="C53" t="s">
        <v>27</v>
      </c>
      <c r="D53" t="s">
        <v>28</v>
      </c>
      <c r="E53" t="s">
        <v>33</v>
      </c>
      <c r="F53" t="s">
        <v>24</v>
      </c>
      <c r="G53">
        <v>10</v>
      </c>
      <c r="H53">
        <v>8</v>
      </c>
      <c r="I53">
        <v>13</v>
      </c>
      <c r="J53">
        <v>38.590000000000003</v>
      </c>
      <c r="K53">
        <v>215.38</v>
      </c>
      <c r="L53">
        <v>0.56000000000000005</v>
      </c>
      <c r="M53">
        <v>28.7</v>
      </c>
      <c r="N53">
        <v>0.71</v>
      </c>
      <c r="O53" t="s">
        <v>20</v>
      </c>
      <c r="P53" t="s">
        <v>21</v>
      </c>
      <c r="Q53">
        <f t="shared" si="0"/>
        <v>5</v>
      </c>
      <c r="R53" s="4">
        <f>RANK(N53,$N$2:N$2800,0)</f>
        <v>2688</v>
      </c>
      <c r="S53">
        <f t="shared" si="1"/>
        <v>0.76923076923076927</v>
      </c>
      <c r="T53" t="str">
        <f t="shared" si="2"/>
        <v>Low</v>
      </c>
      <c r="U53" t="str" cm="1">
        <f t="array" ref="U53">_xlfn.LET(_xlpm.roles,_xlfn.UNIQUE(D53:D2851),_xlpm.kills, SUMIF(D53:D2851,_xlpm.roles,G53:G2851),INDEX(_xlpm.roles,MATCH(MAX(_xlpm.kills),_xlpm.kills,0)))</f>
        <v>Entry Fragger</v>
      </c>
      <c r="V53" t="str">
        <f t="shared" si="3"/>
        <v>Medium Accuracy</v>
      </c>
      <c r="W53" t="str" cm="1">
        <f t="array" ref="W53">_xlfn.LET(_xlpm.roles,_xlfn.UNIQUE(D53:D2851), _xlpm.counts,COUNTIF(D53:D2851,_xlpm.roles), INDEX(_xlpm.roles,MATCH(MAX(_xlpm.counts),_xlpm.counts,0)))</f>
        <v>Entry Fragger</v>
      </c>
      <c r="X53" s="2">
        <f t="shared" si="4"/>
        <v>13.057077625570777</v>
      </c>
    </row>
    <row r="54" spans="1:24" x14ac:dyDescent="0.3">
      <c r="A54">
        <v>677</v>
      </c>
      <c r="B54">
        <v>9</v>
      </c>
      <c r="C54" t="s">
        <v>27</v>
      </c>
      <c r="D54" t="s">
        <v>31</v>
      </c>
      <c r="E54" t="s">
        <v>29</v>
      </c>
      <c r="F54" t="s">
        <v>24</v>
      </c>
      <c r="G54">
        <v>15</v>
      </c>
      <c r="H54">
        <v>10</v>
      </c>
      <c r="I54">
        <v>9</v>
      </c>
      <c r="J54">
        <v>48.91</v>
      </c>
      <c r="K54">
        <v>203.61</v>
      </c>
      <c r="L54">
        <v>0.96</v>
      </c>
      <c r="M54">
        <v>45.85</v>
      </c>
      <c r="N54">
        <v>1</v>
      </c>
      <c r="O54" t="s">
        <v>20</v>
      </c>
      <c r="P54" t="s">
        <v>21</v>
      </c>
      <c r="Q54">
        <f t="shared" si="0"/>
        <v>16</v>
      </c>
      <c r="R54" s="4">
        <f>RANK(N54,$N$2:N$2800,0)</f>
        <v>1</v>
      </c>
      <c r="S54">
        <f t="shared" si="1"/>
        <v>1.6666666666666667</v>
      </c>
      <c r="T54" t="str">
        <f t="shared" si="2"/>
        <v>Good</v>
      </c>
      <c r="U54" t="str" cm="1">
        <f t="array" ref="U54">_xlfn.LET(_xlpm.roles,_xlfn.UNIQUE(D54:D2852),_xlpm.kills, SUMIF(D54:D2852,_xlpm.roles,G54:G2852),INDEX(_xlpm.roles,MATCH(MAX(_xlpm.kills),_xlpm.kills,0)))</f>
        <v>Entry Fragger</v>
      </c>
      <c r="V54" t="str">
        <f t="shared" si="3"/>
        <v>Medium Accuracy</v>
      </c>
      <c r="W54" t="str" cm="1">
        <f t="array" ref="W54">_xlfn.LET(_xlpm.roles,_xlfn.UNIQUE(D54:D2852), _xlpm.counts,COUNTIF(D54:D2852,_xlpm.roles), INDEX(_xlpm.roles,MATCH(MAX(_xlpm.counts),_xlpm.counts,0)))</f>
        <v>Entry Fragger</v>
      </c>
      <c r="X54" s="2">
        <f t="shared" si="4"/>
        <v>13.057077625570777</v>
      </c>
    </row>
    <row r="55" spans="1:24" x14ac:dyDescent="0.3">
      <c r="A55">
        <v>731</v>
      </c>
      <c r="B55">
        <v>9</v>
      </c>
      <c r="C55" t="s">
        <v>30</v>
      </c>
      <c r="D55" t="s">
        <v>17</v>
      </c>
      <c r="E55" t="s">
        <v>33</v>
      </c>
      <c r="F55" t="s">
        <v>37</v>
      </c>
      <c r="G55">
        <v>13</v>
      </c>
      <c r="H55">
        <v>4</v>
      </c>
      <c r="I55">
        <v>10</v>
      </c>
      <c r="J55">
        <v>56.66</v>
      </c>
      <c r="K55">
        <v>235.62</v>
      </c>
      <c r="L55">
        <v>0.19</v>
      </c>
      <c r="M55">
        <v>46.43</v>
      </c>
      <c r="N55">
        <v>1</v>
      </c>
      <c r="O55" t="s">
        <v>20</v>
      </c>
      <c r="P55" t="s">
        <v>21</v>
      </c>
      <c r="Q55">
        <f t="shared" si="0"/>
        <v>7</v>
      </c>
      <c r="R55" s="4">
        <f>RANK(N55,$N$2:N$2800,0)</f>
        <v>1</v>
      </c>
      <c r="S55">
        <f t="shared" si="1"/>
        <v>1.3</v>
      </c>
      <c r="T55" t="str">
        <f t="shared" si="2"/>
        <v>Low</v>
      </c>
      <c r="U55" t="str" cm="1">
        <f t="array" ref="U55">_xlfn.LET(_xlpm.roles,_xlfn.UNIQUE(D55:D2853),_xlpm.kills, SUMIF(D55:D2853,_xlpm.roles,G55:G2853),INDEX(_xlpm.roles,MATCH(MAX(_xlpm.kills),_xlpm.kills,0)))</f>
        <v>Entry Fragger</v>
      </c>
      <c r="V55" t="str">
        <f t="shared" si="3"/>
        <v>High Accuracy</v>
      </c>
      <c r="W55" t="str" cm="1">
        <f t="array" ref="W55">_xlfn.LET(_xlpm.roles,_xlfn.UNIQUE(D55:D2853), _xlpm.counts,COUNTIF(D55:D2853,_xlpm.roles), INDEX(_xlpm.roles,MATCH(MAX(_xlpm.counts),_xlpm.counts,0)))</f>
        <v>Entry Fragger</v>
      </c>
      <c r="X55" s="2">
        <f t="shared" si="4"/>
        <v>13.135802469135802</v>
      </c>
    </row>
    <row r="56" spans="1:24" x14ac:dyDescent="0.3">
      <c r="A56">
        <v>998</v>
      </c>
      <c r="B56">
        <v>9</v>
      </c>
      <c r="C56" t="s">
        <v>30</v>
      </c>
      <c r="D56" t="s">
        <v>31</v>
      </c>
      <c r="E56" t="s">
        <v>32</v>
      </c>
      <c r="F56" t="s">
        <v>19</v>
      </c>
      <c r="G56">
        <v>8</v>
      </c>
      <c r="H56">
        <v>5</v>
      </c>
      <c r="I56">
        <v>11</v>
      </c>
      <c r="J56">
        <v>55.95</v>
      </c>
      <c r="K56">
        <v>219.97</v>
      </c>
      <c r="L56">
        <v>0.71</v>
      </c>
      <c r="M56">
        <v>30.88</v>
      </c>
      <c r="N56">
        <v>0.89</v>
      </c>
      <c r="O56" t="s">
        <v>20</v>
      </c>
      <c r="P56" t="s">
        <v>21</v>
      </c>
      <c r="Q56">
        <f t="shared" si="0"/>
        <v>2</v>
      </c>
      <c r="R56" s="4">
        <f>RANK(N56,$N$2:N$2800,0)</f>
        <v>1815</v>
      </c>
      <c r="S56">
        <f t="shared" si="1"/>
        <v>0.72727272727272729</v>
      </c>
      <c r="T56" t="str">
        <f t="shared" si="2"/>
        <v>Low</v>
      </c>
      <c r="U56" t="str" cm="1">
        <f t="array" ref="U56">_xlfn.LET(_xlpm.roles,_xlfn.UNIQUE(D56:D2854),_xlpm.kills, SUMIF(D56:D2854,_xlpm.roles,G56:G2854),INDEX(_xlpm.roles,MATCH(MAX(_xlpm.kills),_xlpm.kills,0)))</f>
        <v>Entry Fragger</v>
      </c>
      <c r="V56" t="str">
        <f t="shared" si="3"/>
        <v>High Accuracy</v>
      </c>
      <c r="W56" t="str" cm="1">
        <f t="array" ref="W56">_xlfn.LET(_xlpm.roles,_xlfn.UNIQUE(D56:D2854), _xlpm.counts,COUNTIF(D56:D2854,_xlpm.roles), INDEX(_xlpm.roles,MATCH(MAX(_xlpm.counts),_xlpm.counts,0)))</f>
        <v>Entry Fragger</v>
      </c>
      <c r="X56" s="2">
        <f t="shared" si="4"/>
        <v>13.135802469135802</v>
      </c>
    </row>
    <row r="57" spans="1:24" x14ac:dyDescent="0.3">
      <c r="A57">
        <v>1481</v>
      </c>
      <c r="B57">
        <v>9</v>
      </c>
      <c r="C57" t="s">
        <v>30</v>
      </c>
      <c r="D57" t="s">
        <v>28</v>
      </c>
      <c r="E57" t="s">
        <v>18</v>
      </c>
      <c r="F57" t="s">
        <v>37</v>
      </c>
      <c r="G57">
        <v>19</v>
      </c>
      <c r="H57">
        <v>8</v>
      </c>
      <c r="I57">
        <v>7</v>
      </c>
      <c r="J57">
        <v>44.77</v>
      </c>
      <c r="K57">
        <v>215.16</v>
      </c>
      <c r="L57">
        <v>0.9</v>
      </c>
      <c r="M57">
        <v>52.39</v>
      </c>
      <c r="N57">
        <v>0.98</v>
      </c>
      <c r="O57" t="s">
        <v>20</v>
      </c>
      <c r="P57" t="s">
        <v>21</v>
      </c>
      <c r="Q57">
        <f t="shared" si="0"/>
        <v>20</v>
      </c>
      <c r="R57" s="4">
        <f>RANK(N57,$N$2:N$2800,0)</f>
        <v>1157</v>
      </c>
      <c r="S57">
        <f t="shared" si="1"/>
        <v>2.7142857142857144</v>
      </c>
      <c r="T57" t="str">
        <f t="shared" si="2"/>
        <v>Good</v>
      </c>
      <c r="U57" t="str" cm="1">
        <f t="array" ref="U57">_xlfn.LET(_xlpm.roles,_xlfn.UNIQUE(D57:D2855),_xlpm.kills, SUMIF(D57:D2855,_xlpm.roles,G57:G2855),INDEX(_xlpm.roles,MATCH(MAX(_xlpm.kills),_xlpm.kills,0)))</f>
        <v>Entry Fragger</v>
      </c>
      <c r="V57" t="str">
        <f t="shared" si="3"/>
        <v>Medium Accuracy</v>
      </c>
      <c r="W57" t="str" cm="1">
        <f t="array" ref="W57">_xlfn.LET(_xlpm.roles,_xlfn.UNIQUE(D57:D2855), _xlpm.counts,COUNTIF(D57:D2855,_xlpm.roles), INDEX(_xlpm.roles,MATCH(MAX(_xlpm.counts),_xlpm.counts,0)))</f>
        <v>Entry Fragger</v>
      </c>
      <c r="X57" s="2">
        <f t="shared" si="4"/>
        <v>13.135802469135802</v>
      </c>
    </row>
    <row r="58" spans="1:24" x14ac:dyDescent="0.3">
      <c r="A58">
        <v>1704</v>
      </c>
      <c r="B58">
        <v>9</v>
      </c>
      <c r="C58" t="s">
        <v>25</v>
      </c>
      <c r="D58" t="s">
        <v>22</v>
      </c>
      <c r="E58" t="s">
        <v>32</v>
      </c>
      <c r="F58" t="s">
        <v>26</v>
      </c>
      <c r="G58">
        <v>12</v>
      </c>
      <c r="H58">
        <v>11</v>
      </c>
      <c r="I58">
        <v>7</v>
      </c>
      <c r="J58">
        <v>38.85</v>
      </c>
      <c r="K58">
        <v>276.97000000000003</v>
      </c>
      <c r="L58">
        <v>0.48</v>
      </c>
      <c r="M58">
        <v>42.62</v>
      </c>
      <c r="N58">
        <v>0.88</v>
      </c>
      <c r="O58" t="s">
        <v>20</v>
      </c>
      <c r="P58" t="s">
        <v>21</v>
      </c>
      <c r="Q58">
        <f t="shared" si="0"/>
        <v>16</v>
      </c>
      <c r="R58" s="4">
        <f>RANK(N58,$N$2:N$2800,0)</f>
        <v>1894</v>
      </c>
      <c r="S58">
        <f t="shared" si="1"/>
        <v>1.7142857142857142</v>
      </c>
      <c r="T58" t="str">
        <f t="shared" si="2"/>
        <v>Good</v>
      </c>
      <c r="U58" t="str" cm="1">
        <f t="array" ref="U58">_xlfn.LET(_xlpm.roles,_xlfn.UNIQUE(D58:D2856),_xlpm.kills, SUMIF(D58:D2856,_xlpm.roles,G58:G2856),INDEX(_xlpm.roles,MATCH(MAX(_xlpm.kills),_xlpm.kills,0)))</f>
        <v>Entry Fragger</v>
      </c>
      <c r="V58" t="str">
        <f t="shared" si="3"/>
        <v>Medium Accuracy</v>
      </c>
      <c r="W58" t="str" cm="1">
        <f t="array" ref="W58">_xlfn.LET(_xlpm.roles,_xlfn.UNIQUE(D58:D2856), _xlpm.counts,COUNTIF(D58:D2856,_xlpm.roles), INDEX(_xlpm.roles,MATCH(MAX(_xlpm.counts),_xlpm.counts,0)))</f>
        <v>Entry Fragger</v>
      </c>
      <c r="X58" s="2">
        <f t="shared" si="4"/>
        <v>12.809421841541756</v>
      </c>
    </row>
    <row r="59" spans="1:24" x14ac:dyDescent="0.3">
      <c r="A59">
        <v>1711</v>
      </c>
      <c r="B59">
        <v>9</v>
      </c>
      <c r="C59" t="s">
        <v>39</v>
      </c>
      <c r="D59" t="s">
        <v>31</v>
      </c>
      <c r="E59" t="s">
        <v>23</v>
      </c>
      <c r="F59" t="s">
        <v>26</v>
      </c>
      <c r="G59">
        <v>13</v>
      </c>
      <c r="H59">
        <v>6</v>
      </c>
      <c r="I59">
        <v>12</v>
      </c>
      <c r="J59">
        <v>54.18</v>
      </c>
      <c r="K59">
        <v>237.77</v>
      </c>
      <c r="L59">
        <v>0.63</v>
      </c>
      <c r="M59">
        <v>40.79</v>
      </c>
      <c r="N59">
        <v>0.72</v>
      </c>
      <c r="O59" t="s">
        <v>20</v>
      </c>
      <c r="P59" t="s">
        <v>21</v>
      </c>
      <c r="Q59">
        <f t="shared" si="0"/>
        <v>7</v>
      </c>
      <c r="R59" s="4">
        <f>RANK(N59,$N$2:N$2800,0)</f>
        <v>2663</v>
      </c>
      <c r="S59">
        <f t="shared" si="1"/>
        <v>1.0833333333333333</v>
      </c>
      <c r="T59" t="str">
        <f t="shared" si="2"/>
        <v>Low</v>
      </c>
      <c r="U59" t="str" cm="1">
        <f t="array" ref="U59">_xlfn.LET(_xlpm.roles,_xlfn.UNIQUE(D59:D2857),_xlpm.kills, SUMIF(D59:D2857,_xlpm.roles,G59:G2857),INDEX(_xlpm.roles,MATCH(MAX(_xlpm.kills),_xlpm.kills,0)))</f>
        <v>Entry Fragger</v>
      </c>
      <c r="V59" t="str">
        <f t="shared" si="3"/>
        <v>High Accuracy</v>
      </c>
      <c r="W59" t="str" cm="1">
        <f t="array" ref="W59">_xlfn.LET(_xlpm.roles,_xlfn.UNIQUE(D59:D2857), _xlpm.counts,COUNTIF(D59:D2857,_xlpm.roles), INDEX(_xlpm.roles,MATCH(MAX(_xlpm.counts),_xlpm.counts,0)))</f>
        <v>Entry Fragger</v>
      </c>
      <c r="X59" s="2">
        <f t="shared" si="4"/>
        <v>13.103594080338267</v>
      </c>
    </row>
    <row r="60" spans="1:24" x14ac:dyDescent="0.3">
      <c r="A60">
        <v>2047</v>
      </c>
      <c r="B60">
        <v>9</v>
      </c>
      <c r="C60" t="s">
        <v>35</v>
      </c>
      <c r="D60" t="s">
        <v>22</v>
      </c>
      <c r="E60" t="s">
        <v>23</v>
      </c>
      <c r="F60" t="s">
        <v>24</v>
      </c>
      <c r="G60">
        <v>13</v>
      </c>
      <c r="H60">
        <v>7</v>
      </c>
      <c r="I60">
        <v>11</v>
      </c>
      <c r="J60">
        <v>45.51</v>
      </c>
      <c r="K60">
        <v>281.70999999999998</v>
      </c>
      <c r="L60">
        <v>0.65</v>
      </c>
      <c r="M60">
        <v>38.25</v>
      </c>
      <c r="N60">
        <v>0.91</v>
      </c>
      <c r="O60" t="s">
        <v>20</v>
      </c>
      <c r="P60" t="s">
        <v>21</v>
      </c>
      <c r="Q60">
        <f t="shared" si="0"/>
        <v>9</v>
      </c>
      <c r="R60" s="4">
        <f>RANK(N60,$N$2:N$2800,0)</f>
        <v>1665</v>
      </c>
      <c r="S60">
        <f t="shared" si="1"/>
        <v>1.1818181818181819</v>
      </c>
      <c r="T60" t="str">
        <f t="shared" si="2"/>
        <v>Low</v>
      </c>
      <c r="U60" t="str" cm="1">
        <f t="array" ref="U60">_xlfn.LET(_xlpm.roles,_xlfn.UNIQUE(D60:D2858),_xlpm.kills, SUMIF(D60:D2858,_xlpm.roles,G60:G2858),INDEX(_xlpm.roles,MATCH(MAX(_xlpm.kills),_xlpm.kills,0)))</f>
        <v>Entry Fragger</v>
      </c>
      <c r="V60" t="str">
        <f t="shared" si="3"/>
        <v>Medium Accuracy</v>
      </c>
      <c r="W60" t="str" cm="1">
        <f t="array" ref="W60">_xlfn.LET(_xlpm.roles,_xlfn.UNIQUE(D60:D2858), _xlpm.counts,COUNTIF(D60:D2858,_xlpm.roles), INDEX(_xlpm.roles,MATCH(MAX(_xlpm.counts),_xlpm.counts,0)))</f>
        <v>Entry Fragger</v>
      </c>
      <c r="X60" s="2">
        <f t="shared" si="4"/>
        <v>12.599585062240664</v>
      </c>
    </row>
    <row r="61" spans="1:24" x14ac:dyDescent="0.3">
      <c r="A61">
        <v>340</v>
      </c>
      <c r="B61">
        <v>10</v>
      </c>
      <c r="C61" t="s">
        <v>39</v>
      </c>
      <c r="D61" t="s">
        <v>31</v>
      </c>
      <c r="E61" t="s">
        <v>29</v>
      </c>
      <c r="F61" t="s">
        <v>26</v>
      </c>
      <c r="G61">
        <v>23</v>
      </c>
      <c r="H61">
        <v>6</v>
      </c>
      <c r="I61">
        <v>6</v>
      </c>
      <c r="J61">
        <v>61.34</v>
      </c>
      <c r="K61">
        <v>234.73</v>
      </c>
      <c r="L61">
        <v>0.34</v>
      </c>
      <c r="M61">
        <v>73.27</v>
      </c>
      <c r="N61">
        <v>1</v>
      </c>
      <c r="O61" t="s">
        <v>20</v>
      </c>
      <c r="P61" t="s">
        <v>38</v>
      </c>
      <c r="Q61">
        <f t="shared" si="0"/>
        <v>23</v>
      </c>
      <c r="R61" s="4">
        <f>RANK(N61,$N$2:N$2800,0)</f>
        <v>1</v>
      </c>
      <c r="S61">
        <f t="shared" si="1"/>
        <v>3.8333333333333335</v>
      </c>
      <c r="T61" t="str">
        <f t="shared" si="2"/>
        <v>Good</v>
      </c>
      <c r="U61" t="str" cm="1">
        <f t="array" ref="U61">_xlfn.LET(_xlpm.roles,_xlfn.UNIQUE(D61:D2859),_xlpm.kills, SUMIF(D61:D2859,_xlpm.roles,G61:G2859),INDEX(_xlpm.roles,MATCH(MAX(_xlpm.kills),_xlpm.kills,0)))</f>
        <v>Entry Fragger</v>
      </c>
      <c r="V61" t="str">
        <f t="shared" si="3"/>
        <v>High Accuracy</v>
      </c>
      <c r="W61" t="str" cm="1">
        <f t="array" ref="W61">_xlfn.LET(_xlpm.roles,_xlfn.UNIQUE(D61:D2859), _xlpm.counts,COUNTIF(D61:D2859,_xlpm.roles), INDEX(_xlpm.roles,MATCH(MAX(_xlpm.counts),_xlpm.counts,0)))</f>
        <v>Entry Fragger</v>
      </c>
      <c r="X61" s="2">
        <f t="shared" si="4"/>
        <v>13.103594080338267</v>
      </c>
    </row>
    <row r="62" spans="1:24" x14ac:dyDescent="0.3">
      <c r="A62">
        <v>427</v>
      </c>
      <c r="B62">
        <v>10</v>
      </c>
      <c r="C62" t="s">
        <v>35</v>
      </c>
      <c r="D62" t="s">
        <v>28</v>
      </c>
      <c r="E62" t="s">
        <v>18</v>
      </c>
      <c r="F62" t="s">
        <v>37</v>
      </c>
      <c r="G62">
        <v>14</v>
      </c>
      <c r="H62">
        <v>8</v>
      </c>
      <c r="I62">
        <v>12</v>
      </c>
      <c r="J62">
        <v>43.52</v>
      </c>
      <c r="K62">
        <v>256.36</v>
      </c>
      <c r="L62">
        <v>0.64</v>
      </c>
      <c r="M62">
        <v>39.36</v>
      </c>
      <c r="N62">
        <v>0.96</v>
      </c>
      <c r="O62" t="s">
        <v>20</v>
      </c>
      <c r="P62" t="s">
        <v>21</v>
      </c>
      <c r="Q62">
        <f t="shared" si="0"/>
        <v>10</v>
      </c>
      <c r="R62" s="4">
        <f>RANK(N62,$N$2:N$2800,0)</f>
        <v>1301</v>
      </c>
      <c r="S62">
        <f t="shared" si="1"/>
        <v>1.1666666666666667</v>
      </c>
      <c r="T62" t="str">
        <f t="shared" si="2"/>
        <v>Low</v>
      </c>
      <c r="U62" t="str" cm="1">
        <f t="array" ref="U62">_xlfn.LET(_xlpm.roles,_xlfn.UNIQUE(D62:D2860),_xlpm.kills, SUMIF(D62:D2860,_xlpm.roles,G62:G2860),INDEX(_xlpm.roles,MATCH(MAX(_xlpm.kills),_xlpm.kills,0)))</f>
        <v>Entry Fragger</v>
      </c>
      <c r="V62" t="str">
        <f t="shared" si="3"/>
        <v>Medium Accuracy</v>
      </c>
      <c r="W62" t="str" cm="1">
        <f t="array" ref="W62">_xlfn.LET(_xlpm.roles,_xlfn.UNIQUE(D62:D2860), _xlpm.counts,COUNTIF(D62:D2860,_xlpm.roles), INDEX(_xlpm.roles,MATCH(MAX(_xlpm.counts),_xlpm.counts,0)))</f>
        <v>Entry Fragger</v>
      </c>
      <c r="X62" s="2">
        <f t="shared" si="4"/>
        <v>12.599585062240664</v>
      </c>
    </row>
    <row r="63" spans="1:24" x14ac:dyDescent="0.3">
      <c r="A63">
        <v>864</v>
      </c>
      <c r="B63">
        <v>10</v>
      </c>
      <c r="C63" t="s">
        <v>39</v>
      </c>
      <c r="D63" t="s">
        <v>36</v>
      </c>
      <c r="E63" t="s">
        <v>29</v>
      </c>
      <c r="F63" t="s">
        <v>26</v>
      </c>
      <c r="G63">
        <v>5</v>
      </c>
      <c r="H63">
        <v>9</v>
      </c>
      <c r="I63">
        <v>9</v>
      </c>
      <c r="J63">
        <v>36.36</v>
      </c>
      <c r="K63">
        <v>172.8</v>
      </c>
      <c r="L63">
        <v>0.63</v>
      </c>
      <c r="M63">
        <v>21.88</v>
      </c>
      <c r="N63">
        <v>0.61</v>
      </c>
      <c r="O63" t="s">
        <v>20</v>
      </c>
      <c r="P63" t="s">
        <v>21</v>
      </c>
      <c r="Q63">
        <f t="shared" si="0"/>
        <v>5</v>
      </c>
      <c r="R63" s="4">
        <f>RANK(N63,$N$2:N$2800,0)</f>
        <v>2778</v>
      </c>
      <c r="S63">
        <f t="shared" si="1"/>
        <v>0.55555555555555558</v>
      </c>
      <c r="T63" t="str">
        <f t="shared" si="2"/>
        <v>Low</v>
      </c>
      <c r="U63" t="str" cm="1">
        <f t="array" ref="U63">_xlfn.LET(_xlpm.roles,_xlfn.UNIQUE(D63:D2861),_xlpm.kills, SUMIF(D63:D2861,_xlpm.roles,G63:G2861),INDEX(_xlpm.roles,MATCH(MAX(_xlpm.kills),_xlpm.kills,0)))</f>
        <v>Entry Fragger</v>
      </c>
      <c r="V63" t="str">
        <f t="shared" si="3"/>
        <v>Medium Accuracy</v>
      </c>
      <c r="W63" t="str" cm="1">
        <f t="array" ref="W63">_xlfn.LET(_xlpm.roles,_xlfn.UNIQUE(D63:D2861), _xlpm.counts,COUNTIF(D63:D2861,_xlpm.roles), INDEX(_xlpm.roles,MATCH(MAX(_xlpm.counts),_xlpm.counts,0)))</f>
        <v>Entry Fragger</v>
      </c>
      <c r="X63" s="2">
        <f t="shared" si="4"/>
        <v>13.103594080338267</v>
      </c>
    </row>
    <row r="64" spans="1:24" x14ac:dyDescent="0.3">
      <c r="A64">
        <v>1031</v>
      </c>
      <c r="B64">
        <v>10</v>
      </c>
      <c r="C64" t="s">
        <v>35</v>
      </c>
      <c r="D64" t="s">
        <v>31</v>
      </c>
      <c r="E64" t="s">
        <v>18</v>
      </c>
      <c r="F64" t="s">
        <v>26</v>
      </c>
      <c r="G64">
        <v>20</v>
      </c>
      <c r="H64">
        <v>7</v>
      </c>
      <c r="I64">
        <v>12</v>
      </c>
      <c r="J64">
        <v>38.33</v>
      </c>
      <c r="K64">
        <v>210.25</v>
      </c>
      <c r="L64">
        <v>0.15</v>
      </c>
      <c r="M64">
        <v>52.66</v>
      </c>
      <c r="N64">
        <v>0.97</v>
      </c>
      <c r="O64" t="s">
        <v>20</v>
      </c>
      <c r="P64" t="s">
        <v>21</v>
      </c>
      <c r="Q64">
        <f t="shared" si="0"/>
        <v>15</v>
      </c>
      <c r="R64" s="4">
        <f>RANK(N64,$N$2:N$2800,0)</f>
        <v>1243</v>
      </c>
      <c r="S64">
        <f t="shared" si="1"/>
        <v>1.6666666666666667</v>
      </c>
      <c r="T64" t="str">
        <f t="shared" si="2"/>
        <v>Good</v>
      </c>
      <c r="U64" t="str" cm="1">
        <f t="array" ref="U64">_xlfn.LET(_xlpm.roles,_xlfn.UNIQUE(D64:D2862),_xlpm.kills, SUMIF(D64:D2862,_xlpm.roles,G64:G2862),INDEX(_xlpm.roles,MATCH(MAX(_xlpm.kills),_xlpm.kills,0)))</f>
        <v>Entry Fragger</v>
      </c>
      <c r="V64" t="str">
        <f t="shared" si="3"/>
        <v>Medium Accuracy</v>
      </c>
      <c r="W64" t="str" cm="1">
        <f t="array" ref="W64">_xlfn.LET(_xlpm.roles,_xlfn.UNIQUE(D64:D2862), _xlpm.counts,COUNTIF(D64:D2862,_xlpm.roles), INDEX(_xlpm.roles,MATCH(MAX(_xlpm.counts),_xlpm.counts,0)))</f>
        <v>Entry Fragger</v>
      </c>
      <c r="X64" s="2">
        <f t="shared" si="4"/>
        <v>12.599585062240664</v>
      </c>
    </row>
    <row r="65" spans="1:24" x14ac:dyDescent="0.3">
      <c r="A65">
        <v>1844</v>
      </c>
      <c r="B65">
        <v>10</v>
      </c>
      <c r="C65" t="s">
        <v>16</v>
      </c>
      <c r="D65" t="s">
        <v>17</v>
      </c>
      <c r="E65" t="s">
        <v>23</v>
      </c>
      <c r="F65" t="s">
        <v>24</v>
      </c>
      <c r="G65">
        <v>10</v>
      </c>
      <c r="H65">
        <v>14</v>
      </c>
      <c r="I65">
        <v>12</v>
      </c>
      <c r="J65">
        <v>47.43</v>
      </c>
      <c r="K65">
        <v>232.35</v>
      </c>
      <c r="L65">
        <v>0.66</v>
      </c>
      <c r="M65">
        <v>39.119999999999997</v>
      </c>
      <c r="N65">
        <v>0.97</v>
      </c>
      <c r="O65" t="s">
        <v>20</v>
      </c>
      <c r="P65" t="s">
        <v>21</v>
      </c>
      <c r="Q65">
        <f t="shared" si="0"/>
        <v>12</v>
      </c>
      <c r="R65" s="4">
        <f>RANK(N65,$N$2:N$2800,0)</f>
        <v>1243</v>
      </c>
      <c r="S65">
        <f t="shared" si="1"/>
        <v>0.83333333333333337</v>
      </c>
      <c r="T65" t="str">
        <f t="shared" si="2"/>
        <v>Low</v>
      </c>
      <c r="U65" t="str" cm="1">
        <f t="array" ref="U65">_xlfn.LET(_xlpm.roles,_xlfn.UNIQUE(D65:D2863),_xlpm.kills, SUMIF(D65:D2863,_xlpm.roles,G65:G2863),INDEX(_xlpm.roles,MATCH(MAX(_xlpm.kills),_xlpm.kills,0)))</f>
        <v>Entry Fragger</v>
      </c>
      <c r="V65" t="str">
        <f t="shared" si="3"/>
        <v>Medium Accuracy</v>
      </c>
      <c r="W65" t="str" cm="1">
        <f t="array" ref="W65">_xlfn.LET(_xlpm.roles,_xlfn.UNIQUE(D65:D2863), _xlpm.counts,COUNTIF(D65:D2863,_xlpm.roles), INDEX(_xlpm.roles,MATCH(MAX(_xlpm.counts),_xlpm.counts,0)))</f>
        <v>Entry Fragger</v>
      </c>
      <c r="X65" s="2">
        <f t="shared" si="4"/>
        <v>12.520971302428256</v>
      </c>
    </row>
    <row r="66" spans="1:24" x14ac:dyDescent="0.3">
      <c r="A66">
        <v>257</v>
      </c>
      <c r="B66">
        <v>11</v>
      </c>
      <c r="C66" t="s">
        <v>35</v>
      </c>
      <c r="D66" t="s">
        <v>17</v>
      </c>
      <c r="E66" t="s">
        <v>23</v>
      </c>
      <c r="F66" t="s">
        <v>19</v>
      </c>
      <c r="G66">
        <v>13</v>
      </c>
      <c r="H66">
        <v>9</v>
      </c>
      <c r="I66">
        <v>10</v>
      </c>
      <c r="J66">
        <v>34.880000000000003</v>
      </c>
      <c r="K66">
        <v>166.21</v>
      </c>
      <c r="L66">
        <v>0.04</v>
      </c>
      <c r="M66">
        <v>42.04</v>
      </c>
      <c r="N66">
        <v>0.91</v>
      </c>
      <c r="O66" t="s">
        <v>20</v>
      </c>
      <c r="P66" t="s">
        <v>21</v>
      </c>
      <c r="Q66">
        <f t="shared" si="0"/>
        <v>12</v>
      </c>
      <c r="R66" s="4">
        <f>RANK(N66,$N$2:N$2800,0)</f>
        <v>1665</v>
      </c>
      <c r="S66">
        <f t="shared" si="1"/>
        <v>1.3</v>
      </c>
      <c r="T66" t="str">
        <f t="shared" si="2"/>
        <v>Low</v>
      </c>
      <c r="U66" t="str" cm="1">
        <f t="array" ref="U66">_xlfn.LET(_xlpm.roles,_xlfn.UNIQUE(D66:D2864),_xlpm.kills, SUMIF(D66:D2864,_xlpm.roles,G66:G2864),INDEX(_xlpm.roles,MATCH(MAX(_xlpm.kills),_xlpm.kills,0)))</f>
        <v>Entry Fragger</v>
      </c>
      <c r="V66" t="str">
        <f t="shared" si="3"/>
        <v>Medium Accuracy</v>
      </c>
      <c r="W66" t="str" cm="1">
        <f t="array" ref="W66">_xlfn.LET(_xlpm.roles,_xlfn.UNIQUE(D66:D2864), _xlpm.counts,COUNTIF(D66:D2864,_xlpm.roles), INDEX(_xlpm.roles,MATCH(MAX(_xlpm.counts),_xlpm.counts,0)))</f>
        <v>Entry Fragger</v>
      </c>
      <c r="X66" s="2">
        <f t="shared" si="4"/>
        <v>12.599585062240664</v>
      </c>
    </row>
    <row r="67" spans="1:24" x14ac:dyDescent="0.3">
      <c r="A67">
        <v>416</v>
      </c>
      <c r="B67">
        <v>11</v>
      </c>
      <c r="C67" t="s">
        <v>30</v>
      </c>
      <c r="D67" t="s">
        <v>28</v>
      </c>
      <c r="E67" t="s">
        <v>33</v>
      </c>
      <c r="F67" t="s">
        <v>19</v>
      </c>
      <c r="G67">
        <v>11</v>
      </c>
      <c r="H67">
        <v>3</v>
      </c>
      <c r="I67">
        <v>6</v>
      </c>
      <c r="J67">
        <v>62.67</v>
      </c>
      <c r="K67">
        <v>198.48</v>
      </c>
      <c r="L67">
        <v>0.11</v>
      </c>
      <c r="M67">
        <v>49.23</v>
      </c>
      <c r="N67">
        <v>0.96</v>
      </c>
      <c r="O67" t="s">
        <v>20</v>
      </c>
      <c r="P67" t="s">
        <v>21</v>
      </c>
      <c r="Q67">
        <f t="shared" ref="Q67:Q130" si="5">G67+H67-I67</f>
        <v>8</v>
      </c>
      <c r="R67" s="4">
        <f>RANK(N67,$N$2:N$2800,0)</f>
        <v>1301</v>
      </c>
      <c r="S67">
        <f t="shared" ref="S67:S130" si="6">G67/I67</f>
        <v>1.8333333333333333</v>
      </c>
      <c r="T67" t="str">
        <f t="shared" ref="T67:T130" si="7">IF(Q67&lt;15,"Low",IF(Q67&lt;25,"Good","Excellent"))</f>
        <v>Low</v>
      </c>
      <c r="U67" t="str" cm="1">
        <f t="array" ref="U67">_xlfn.LET(_xlpm.roles,_xlfn.UNIQUE(D67:D2865),_xlpm.kills, SUMIF(D67:D2865,_xlpm.roles,G67:G2865),INDEX(_xlpm.roles,MATCH(MAX(_xlpm.kills),_xlpm.kills,0)))</f>
        <v>Entry Fragger</v>
      </c>
      <c r="V67" t="str">
        <f t="shared" ref="V67:V130" si="8">IF(J67&gt;=50,"High Accuracy",IF(J67&gt;=30,"Medium Accuracy","Low Accuracy"))</f>
        <v>High Accuracy</v>
      </c>
      <c r="W67" t="str" cm="1">
        <f t="array" ref="W67">_xlfn.LET(_xlpm.roles,_xlfn.UNIQUE(D67:D2865), _xlpm.counts,COUNTIF(D67:D2865,_xlpm.roles), INDEX(_xlpm.roles,MATCH(MAX(_xlpm.counts),_xlpm.counts,0)))</f>
        <v>Entry Fragger</v>
      </c>
      <c r="X67" s="2">
        <f t="shared" ref="X67:X130" si="9">AVERAGEIF($C$2:$C$2800,C67,$Q$2:$Q$2800)</f>
        <v>13.135802469135802</v>
      </c>
    </row>
    <row r="68" spans="1:24" x14ac:dyDescent="0.3">
      <c r="A68">
        <v>926</v>
      </c>
      <c r="B68">
        <v>11</v>
      </c>
      <c r="C68" t="s">
        <v>16</v>
      </c>
      <c r="D68" t="s">
        <v>28</v>
      </c>
      <c r="E68" t="s">
        <v>23</v>
      </c>
      <c r="F68" t="s">
        <v>34</v>
      </c>
      <c r="G68">
        <v>8</v>
      </c>
      <c r="H68">
        <v>7</v>
      </c>
      <c r="I68">
        <v>10</v>
      </c>
      <c r="J68">
        <v>43.38</v>
      </c>
      <c r="K68">
        <v>242.37</v>
      </c>
      <c r="L68">
        <v>0.48</v>
      </c>
      <c r="M68">
        <v>29.89</v>
      </c>
      <c r="N68">
        <v>0.81</v>
      </c>
      <c r="O68" t="s">
        <v>20</v>
      </c>
      <c r="P68" t="s">
        <v>21</v>
      </c>
      <c r="Q68">
        <f t="shared" si="5"/>
        <v>5</v>
      </c>
      <c r="R68" s="4">
        <f>RANK(N68,$N$2:N$2800,0)</f>
        <v>2341</v>
      </c>
      <c r="S68">
        <f t="shared" si="6"/>
        <v>0.8</v>
      </c>
      <c r="T68" t="str">
        <f t="shared" si="7"/>
        <v>Low</v>
      </c>
      <c r="U68" t="str" cm="1">
        <f t="array" ref="U68">_xlfn.LET(_xlpm.roles,_xlfn.UNIQUE(D68:D2866),_xlpm.kills, SUMIF(D68:D2866,_xlpm.roles,G68:G2866),INDEX(_xlpm.roles,MATCH(MAX(_xlpm.kills),_xlpm.kills,0)))</f>
        <v>Entry Fragger</v>
      </c>
      <c r="V68" t="str">
        <f t="shared" si="8"/>
        <v>Medium Accuracy</v>
      </c>
      <c r="W68" t="str" cm="1">
        <f t="array" ref="W68">_xlfn.LET(_xlpm.roles,_xlfn.UNIQUE(D68:D2866), _xlpm.counts,COUNTIF(D68:D2866,_xlpm.roles), INDEX(_xlpm.roles,MATCH(MAX(_xlpm.counts),_xlpm.counts,0)))</f>
        <v>Entry Fragger</v>
      </c>
      <c r="X68" s="2">
        <f t="shared" si="9"/>
        <v>12.520971302428256</v>
      </c>
    </row>
    <row r="69" spans="1:24" x14ac:dyDescent="0.3">
      <c r="A69">
        <v>2055</v>
      </c>
      <c r="B69">
        <v>11</v>
      </c>
      <c r="C69" t="s">
        <v>16</v>
      </c>
      <c r="D69" t="s">
        <v>31</v>
      </c>
      <c r="E69" t="s">
        <v>18</v>
      </c>
      <c r="F69" t="s">
        <v>37</v>
      </c>
      <c r="G69">
        <v>14</v>
      </c>
      <c r="H69">
        <v>10</v>
      </c>
      <c r="I69">
        <v>10</v>
      </c>
      <c r="J69">
        <v>59.08</v>
      </c>
      <c r="K69">
        <v>224.45</v>
      </c>
      <c r="L69">
        <v>0</v>
      </c>
      <c r="M69">
        <v>57.54</v>
      </c>
      <c r="N69">
        <v>0.97</v>
      </c>
      <c r="O69" t="s">
        <v>20</v>
      </c>
      <c r="P69" t="s">
        <v>21</v>
      </c>
      <c r="Q69">
        <f t="shared" si="5"/>
        <v>14</v>
      </c>
      <c r="R69" s="4">
        <f>RANK(N69,$N$2:N$2800,0)</f>
        <v>1243</v>
      </c>
      <c r="S69">
        <f t="shared" si="6"/>
        <v>1.4</v>
      </c>
      <c r="T69" t="str">
        <f t="shared" si="7"/>
        <v>Low</v>
      </c>
      <c r="U69" t="str" cm="1">
        <f t="array" ref="U69">_xlfn.LET(_xlpm.roles,_xlfn.UNIQUE(D69:D2867),_xlpm.kills, SUMIF(D69:D2867,_xlpm.roles,G69:G2867),INDEX(_xlpm.roles,MATCH(MAX(_xlpm.kills),_xlpm.kills,0)))</f>
        <v>Entry Fragger</v>
      </c>
      <c r="V69" t="str">
        <f t="shared" si="8"/>
        <v>High Accuracy</v>
      </c>
      <c r="W69" t="str" cm="1">
        <f t="array" ref="W69">_xlfn.LET(_xlpm.roles,_xlfn.UNIQUE(D69:D2867), _xlpm.counts,COUNTIF(D69:D2867,_xlpm.roles), INDEX(_xlpm.roles,MATCH(MAX(_xlpm.counts),_xlpm.counts,0)))</f>
        <v>Entry Fragger</v>
      </c>
      <c r="X69" s="2">
        <f t="shared" si="9"/>
        <v>12.520971302428256</v>
      </c>
    </row>
    <row r="70" spans="1:24" x14ac:dyDescent="0.3">
      <c r="A70">
        <v>2200</v>
      </c>
      <c r="B70">
        <v>11</v>
      </c>
      <c r="C70" t="s">
        <v>35</v>
      </c>
      <c r="D70" t="s">
        <v>36</v>
      </c>
      <c r="E70" t="s">
        <v>23</v>
      </c>
      <c r="F70" t="s">
        <v>37</v>
      </c>
      <c r="G70">
        <v>9</v>
      </c>
      <c r="H70">
        <v>6</v>
      </c>
      <c r="I70">
        <v>13</v>
      </c>
      <c r="J70">
        <v>30.5</v>
      </c>
      <c r="K70">
        <v>234.56</v>
      </c>
      <c r="L70">
        <v>0.37</v>
      </c>
      <c r="M70">
        <v>22.55</v>
      </c>
      <c r="N70">
        <v>0.88</v>
      </c>
      <c r="O70" t="s">
        <v>20</v>
      </c>
      <c r="P70" t="s">
        <v>21</v>
      </c>
      <c r="Q70">
        <f t="shared" si="5"/>
        <v>2</v>
      </c>
      <c r="R70" s="4">
        <f>RANK(N70,$N$2:N$2800,0)</f>
        <v>1894</v>
      </c>
      <c r="S70">
        <f t="shared" si="6"/>
        <v>0.69230769230769229</v>
      </c>
      <c r="T70" t="str">
        <f t="shared" si="7"/>
        <v>Low</v>
      </c>
      <c r="U70" t="str" cm="1">
        <f t="array" ref="U70">_xlfn.LET(_xlpm.roles,_xlfn.UNIQUE(D70:D2868),_xlpm.kills, SUMIF(D70:D2868,_xlpm.roles,G70:G2868),INDEX(_xlpm.roles,MATCH(MAX(_xlpm.kills),_xlpm.kills,0)))</f>
        <v>Entry Fragger</v>
      </c>
      <c r="V70" t="str">
        <f t="shared" si="8"/>
        <v>Medium Accuracy</v>
      </c>
      <c r="W70" t="str" cm="1">
        <f t="array" ref="W70">_xlfn.LET(_xlpm.roles,_xlfn.UNIQUE(D70:D2868), _xlpm.counts,COUNTIF(D70:D2868,_xlpm.roles), INDEX(_xlpm.roles,MATCH(MAX(_xlpm.counts),_xlpm.counts,0)))</f>
        <v>Entry Fragger</v>
      </c>
      <c r="X70" s="2">
        <f t="shared" si="9"/>
        <v>12.599585062240664</v>
      </c>
    </row>
    <row r="71" spans="1:24" x14ac:dyDescent="0.3">
      <c r="A71">
        <v>2289</v>
      </c>
      <c r="B71">
        <v>11</v>
      </c>
      <c r="C71" t="s">
        <v>16</v>
      </c>
      <c r="D71" t="s">
        <v>31</v>
      </c>
      <c r="E71" t="s">
        <v>33</v>
      </c>
      <c r="F71" t="s">
        <v>24</v>
      </c>
      <c r="G71">
        <v>13</v>
      </c>
      <c r="H71">
        <v>6</v>
      </c>
      <c r="I71">
        <v>8</v>
      </c>
      <c r="J71">
        <v>31.16</v>
      </c>
      <c r="K71">
        <v>239.72</v>
      </c>
      <c r="L71">
        <v>0.02</v>
      </c>
      <c r="M71">
        <v>39.380000000000003</v>
      </c>
      <c r="N71">
        <v>0.92</v>
      </c>
      <c r="O71" t="s">
        <v>20</v>
      </c>
      <c r="P71" t="s">
        <v>21</v>
      </c>
      <c r="Q71">
        <f t="shared" si="5"/>
        <v>11</v>
      </c>
      <c r="R71" s="4">
        <f>RANK(N71,$N$2:N$2800,0)</f>
        <v>1585</v>
      </c>
      <c r="S71">
        <f t="shared" si="6"/>
        <v>1.625</v>
      </c>
      <c r="T71" t="str">
        <f t="shared" si="7"/>
        <v>Low</v>
      </c>
      <c r="U71" t="str" cm="1">
        <f t="array" ref="U71">_xlfn.LET(_xlpm.roles,_xlfn.UNIQUE(D71:D2869),_xlpm.kills, SUMIF(D71:D2869,_xlpm.roles,G71:G2869),INDEX(_xlpm.roles,MATCH(MAX(_xlpm.kills),_xlpm.kills,0)))</f>
        <v>Entry Fragger</v>
      </c>
      <c r="V71" t="str">
        <f t="shared" si="8"/>
        <v>Medium Accuracy</v>
      </c>
      <c r="W71" t="str" cm="1">
        <f t="array" ref="W71">_xlfn.LET(_xlpm.roles,_xlfn.UNIQUE(D71:D2869), _xlpm.counts,COUNTIF(D71:D2869,_xlpm.roles), INDEX(_xlpm.roles,MATCH(MAX(_xlpm.counts),_xlpm.counts,0)))</f>
        <v>Entry Fragger</v>
      </c>
      <c r="X71" s="2">
        <f t="shared" si="9"/>
        <v>12.520971302428256</v>
      </c>
    </row>
    <row r="72" spans="1:24" x14ac:dyDescent="0.3">
      <c r="A72">
        <v>2529</v>
      </c>
      <c r="B72">
        <v>11</v>
      </c>
      <c r="C72" t="s">
        <v>30</v>
      </c>
      <c r="D72" t="s">
        <v>28</v>
      </c>
      <c r="E72" t="s">
        <v>32</v>
      </c>
      <c r="F72" t="s">
        <v>37</v>
      </c>
      <c r="G72">
        <v>10</v>
      </c>
      <c r="H72">
        <v>4</v>
      </c>
      <c r="I72">
        <v>9</v>
      </c>
      <c r="J72">
        <v>55.29</v>
      </c>
      <c r="K72">
        <v>226.51</v>
      </c>
      <c r="L72">
        <v>0.9</v>
      </c>
      <c r="M72">
        <v>33.64</v>
      </c>
      <c r="N72">
        <v>0.66</v>
      </c>
      <c r="O72" t="s">
        <v>20</v>
      </c>
      <c r="P72" t="s">
        <v>21</v>
      </c>
      <c r="Q72">
        <f t="shared" si="5"/>
        <v>5</v>
      </c>
      <c r="R72" s="4">
        <f>RANK(N72,$N$2:N$2800,0)</f>
        <v>2746</v>
      </c>
      <c r="S72">
        <f t="shared" si="6"/>
        <v>1.1111111111111112</v>
      </c>
      <c r="T72" t="str">
        <f t="shared" si="7"/>
        <v>Low</v>
      </c>
      <c r="U72" t="str" cm="1">
        <f t="array" ref="U72">_xlfn.LET(_xlpm.roles,_xlfn.UNIQUE(D72:D2870),_xlpm.kills, SUMIF(D72:D2870,_xlpm.roles,G72:G2870),INDEX(_xlpm.roles,MATCH(MAX(_xlpm.kills),_xlpm.kills,0)))</f>
        <v>Entry Fragger</v>
      </c>
      <c r="V72" t="str">
        <f t="shared" si="8"/>
        <v>High Accuracy</v>
      </c>
      <c r="W72" t="str" cm="1">
        <f t="array" ref="W72">_xlfn.LET(_xlpm.roles,_xlfn.UNIQUE(D72:D2870), _xlpm.counts,COUNTIF(D72:D2870,_xlpm.roles), INDEX(_xlpm.roles,MATCH(MAX(_xlpm.counts),_xlpm.counts,0)))</f>
        <v>Entry Fragger</v>
      </c>
      <c r="X72" s="2">
        <f t="shared" si="9"/>
        <v>13.135802469135802</v>
      </c>
    </row>
    <row r="73" spans="1:24" x14ac:dyDescent="0.3">
      <c r="A73">
        <v>77</v>
      </c>
      <c r="B73">
        <v>12</v>
      </c>
      <c r="C73" t="s">
        <v>39</v>
      </c>
      <c r="D73" t="s">
        <v>31</v>
      </c>
      <c r="E73" t="s">
        <v>33</v>
      </c>
      <c r="F73" t="s">
        <v>34</v>
      </c>
      <c r="G73">
        <v>22</v>
      </c>
      <c r="H73">
        <v>8</v>
      </c>
      <c r="I73">
        <v>11</v>
      </c>
      <c r="J73">
        <v>43.05</v>
      </c>
      <c r="K73">
        <v>248.92</v>
      </c>
      <c r="L73">
        <v>0.33</v>
      </c>
      <c r="M73">
        <v>59.23</v>
      </c>
      <c r="N73">
        <v>1</v>
      </c>
      <c r="O73" t="s">
        <v>20</v>
      </c>
      <c r="P73" t="s">
        <v>21</v>
      </c>
      <c r="Q73">
        <f t="shared" si="5"/>
        <v>19</v>
      </c>
      <c r="R73" s="4">
        <f>RANK(N73,$N$2:N$2800,0)</f>
        <v>1</v>
      </c>
      <c r="S73">
        <f t="shared" si="6"/>
        <v>2</v>
      </c>
      <c r="T73" t="str">
        <f t="shared" si="7"/>
        <v>Good</v>
      </c>
      <c r="U73" t="str" cm="1">
        <f t="array" ref="U73">_xlfn.LET(_xlpm.roles,_xlfn.UNIQUE(D73:D2871),_xlpm.kills, SUMIF(D73:D2871,_xlpm.roles,G73:G2871),INDEX(_xlpm.roles,MATCH(MAX(_xlpm.kills),_xlpm.kills,0)))</f>
        <v>Entry Fragger</v>
      </c>
      <c r="V73" t="str">
        <f t="shared" si="8"/>
        <v>Medium Accuracy</v>
      </c>
      <c r="W73" t="str" cm="1">
        <f t="array" ref="W73">_xlfn.LET(_xlpm.roles,_xlfn.UNIQUE(D73:D2871), _xlpm.counts,COUNTIF(D73:D2871,_xlpm.roles), INDEX(_xlpm.roles,MATCH(MAX(_xlpm.counts),_xlpm.counts,0)))</f>
        <v>Entry Fragger</v>
      </c>
      <c r="X73" s="2">
        <f t="shared" si="9"/>
        <v>13.103594080338267</v>
      </c>
    </row>
    <row r="74" spans="1:24" x14ac:dyDescent="0.3">
      <c r="A74">
        <v>656</v>
      </c>
      <c r="B74">
        <v>12</v>
      </c>
      <c r="C74" t="s">
        <v>30</v>
      </c>
      <c r="D74" t="s">
        <v>22</v>
      </c>
      <c r="E74" t="s">
        <v>18</v>
      </c>
      <c r="F74" t="s">
        <v>26</v>
      </c>
      <c r="G74">
        <v>10</v>
      </c>
      <c r="H74">
        <v>7</v>
      </c>
      <c r="I74">
        <v>8</v>
      </c>
      <c r="J74">
        <v>50.21</v>
      </c>
      <c r="K74">
        <v>216.2</v>
      </c>
      <c r="L74">
        <v>0.37</v>
      </c>
      <c r="M74">
        <v>40.409999999999997</v>
      </c>
      <c r="N74">
        <v>0.85</v>
      </c>
      <c r="O74" t="s">
        <v>20</v>
      </c>
      <c r="P74" t="s">
        <v>21</v>
      </c>
      <c r="Q74">
        <f t="shared" si="5"/>
        <v>9</v>
      </c>
      <c r="R74" s="4">
        <f>RANK(N74,$N$2:N$2800,0)</f>
        <v>2105</v>
      </c>
      <c r="S74">
        <f t="shared" si="6"/>
        <v>1.25</v>
      </c>
      <c r="T74" t="str">
        <f t="shared" si="7"/>
        <v>Low</v>
      </c>
      <c r="U74" t="str" cm="1">
        <f t="array" ref="U74">_xlfn.LET(_xlpm.roles,_xlfn.UNIQUE(D74:D2872),_xlpm.kills, SUMIF(D74:D2872,_xlpm.roles,G74:G2872),INDEX(_xlpm.roles,MATCH(MAX(_xlpm.kills),_xlpm.kills,0)))</f>
        <v>Entry Fragger</v>
      </c>
      <c r="V74" t="str">
        <f t="shared" si="8"/>
        <v>High Accuracy</v>
      </c>
      <c r="W74" t="str" cm="1">
        <f t="array" ref="W74">_xlfn.LET(_xlpm.roles,_xlfn.UNIQUE(D74:D2872), _xlpm.counts,COUNTIF(D74:D2872,_xlpm.roles), INDEX(_xlpm.roles,MATCH(MAX(_xlpm.counts),_xlpm.counts,0)))</f>
        <v>Entry Fragger</v>
      </c>
      <c r="X74" s="2">
        <f t="shared" si="9"/>
        <v>13.135802469135802</v>
      </c>
    </row>
    <row r="75" spans="1:24" x14ac:dyDescent="0.3">
      <c r="A75">
        <v>779</v>
      </c>
      <c r="B75">
        <v>12</v>
      </c>
      <c r="C75" t="s">
        <v>35</v>
      </c>
      <c r="D75" t="s">
        <v>36</v>
      </c>
      <c r="E75" t="s">
        <v>18</v>
      </c>
      <c r="F75" t="s">
        <v>24</v>
      </c>
      <c r="G75">
        <v>15</v>
      </c>
      <c r="H75">
        <v>4</v>
      </c>
      <c r="I75">
        <v>13</v>
      </c>
      <c r="J75">
        <v>45.57</v>
      </c>
      <c r="K75">
        <v>252.36</v>
      </c>
      <c r="L75">
        <v>0.02</v>
      </c>
      <c r="M75">
        <v>43.58</v>
      </c>
      <c r="N75">
        <v>0.88</v>
      </c>
      <c r="O75" t="s">
        <v>20</v>
      </c>
      <c r="P75" t="s">
        <v>21</v>
      </c>
      <c r="Q75">
        <f t="shared" si="5"/>
        <v>6</v>
      </c>
      <c r="R75" s="4">
        <f>RANK(N75,$N$2:N$2800,0)</f>
        <v>1894</v>
      </c>
      <c r="S75">
        <f t="shared" si="6"/>
        <v>1.1538461538461537</v>
      </c>
      <c r="T75" t="str">
        <f t="shared" si="7"/>
        <v>Low</v>
      </c>
      <c r="U75" t="str" cm="1">
        <f t="array" ref="U75">_xlfn.LET(_xlpm.roles,_xlfn.UNIQUE(D75:D2873),_xlpm.kills, SUMIF(D75:D2873,_xlpm.roles,G75:G2873),INDEX(_xlpm.roles,MATCH(MAX(_xlpm.kills),_xlpm.kills,0)))</f>
        <v>Entry Fragger</v>
      </c>
      <c r="V75" t="str">
        <f t="shared" si="8"/>
        <v>Medium Accuracy</v>
      </c>
      <c r="W75" t="str" cm="1">
        <f t="array" ref="W75">_xlfn.LET(_xlpm.roles,_xlfn.UNIQUE(D75:D2873), _xlpm.counts,COUNTIF(D75:D2873,_xlpm.roles), INDEX(_xlpm.roles,MATCH(MAX(_xlpm.counts),_xlpm.counts,0)))</f>
        <v>Entry Fragger</v>
      </c>
      <c r="X75" s="2">
        <f t="shared" si="9"/>
        <v>12.599585062240664</v>
      </c>
    </row>
    <row r="76" spans="1:24" x14ac:dyDescent="0.3">
      <c r="A76">
        <v>1090</v>
      </c>
      <c r="B76">
        <v>12</v>
      </c>
      <c r="C76" t="s">
        <v>16</v>
      </c>
      <c r="D76" t="s">
        <v>17</v>
      </c>
      <c r="E76" t="s">
        <v>29</v>
      </c>
      <c r="F76" t="s">
        <v>19</v>
      </c>
      <c r="G76">
        <v>13</v>
      </c>
      <c r="H76">
        <v>7</v>
      </c>
      <c r="I76">
        <v>9</v>
      </c>
      <c r="J76">
        <v>39.29</v>
      </c>
      <c r="K76">
        <v>167.98</v>
      </c>
      <c r="L76">
        <v>0.52</v>
      </c>
      <c r="M76">
        <v>38.44</v>
      </c>
      <c r="N76">
        <v>0.92</v>
      </c>
      <c r="O76" t="s">
        <v>20</v>
      </c>
      <c r="P76" t="s">
        <v>21</v>
      </c>
      <c r="Q76">
        <f t="shared" si="5"/>
        <v>11</v>
      </c>
      <c r="R76" s="4">
        <f>RANK(N76,$N$2:N$2800,0)</f>
        <v>1585</v>
      </c>
      <c r="S76">
        <f t="shared" si="6"/>
        <v>1.4444444444444444</v>
      </c>
      <c r="T76" t="str">
        <f t="shared" si="7"/>
        <v>Low</v>
      </c>
      <c r="U76" t="str" cm="1">
        <f t="array" ref="U76">_xlfn.LET(_xlpm.roles,_xlfn.UNIQUE(D76:D2874),_xlpm.kills, SUMIF(D76:D2874,_xlpm.roles,G76:G2874),INDEX(_xlpm.roles,MATCH(MAX(_xlpm.kills),_xlpm.kills,0)))</f>
        <v>Entry Fragger</v>
      </c>
      <c r="V76" t="str">
        <f t="shared" si="8"/>
        <v>Medium Accuracy</v>
      </c>
      <c r="W76" t="str" cm="1">
        <f t="array" ref="W76">_xlfn.LET(_xlpm.roles,_xlfn.UNIQUE(D76:D2874), _xlpm.counts,COUNTIF(D76:D2874,_xlpm.roles), INDEX(_xlpm.roles,MATCH(MAX(_xlpm.counts),_xlpm.counts,0)))</f>
        <v>Entry Fragger</v>
      </c>
      <c r="X76" s="2">
        <f t="shared" si="9"/>
        <v>12.520971302428256</v>
      </c>
    </row>
    <row r="77" spans="1:24" x14ac:dyDescent="0.3">
      <c r="A77">
        <v>1453</v>
      </c>
      <c r="B77">
        <v>12</v>
      </c>
      <c r="C77" t="s">
        <v>25</v>
      </c>
      <c r="D77" t="s">
        <v>28</v>
      </c>
      <c r="E77" t="s">
        <v>23</v>
      </c>
      <c r="F77" t="s">
        <v>34</v>
      </c>
      <c r="G77">
        <v>7</v>
      </c>
      <c r="H77">
        <v>8</v>
      </c>
      <c r="I77">
        <v>11</v>
      </c>
      <c r="J77">
        <v>38.07</v>
      </c>
      <c r="K77">
        <v>199.74</v>
      </c>
      <c r="L77">
        <v>0.2</v>
      </c>
      <c r="M77">
        <v>28.04</v>
      </c>
      <c r="N77">
        <v>0.87</v>
      </c>
      <c r="O77" t="s">
        <v>20</v>
      </c>
      <c r="P77" t="s">
        <v>21</v>
      </c>
      <c r="Q77">
        <f t="shared" si="5"/>
        <v>4</v>
      </c>
      <c r="R77" s="4">
        <f>RANK(N77,$N$2:N$2800,0)</f>
        <v>1965</v>
      </c>
      <c r="S77">
        <f t="shared" si="6"/>
        <v>0.63636363636363635</v>
      </c>
      <c r="T77" t="str">
        <f t="shared" si="7"/>
        <v>Low</v>
      </c>
      <c r="U77" t="str" cm="1">
        <f t="array" ref="U77">_xlfn.LET(_xlpm.roles,_xlfn.UNIQUE(D77:D2875),_xlpm.kills, SUMIF(D77:D2875,_xlpm.roles,G77:G2875),INDEX(_xlpm.roles,MATCH(MAX(_xlpm.kills),_xlpm.kills,0)))</f>
        <v>Entry Fragger</v>
      </c>
      <c r="V77" t="str">
        <f t="shared" si="8"/>
        <v>Medium Accuracy</v>
      </c>
      <c r="W77" t="str" cm="1">
        <f t="array" ref="W77">_xlfn.LET(_xlpm.roles,_xlfn.UNIQUE(D77:D2875), _xlpm.counts,COUNTIF(D77:D2875,_xlpm.roles), INDEX(_xlpm.roles,MATCH(MAX(_xlpm.counts),_xlpm.counts,0)))</f>
        <v>Entry Fragger</v>
      </c>
      <c r="X77" s="2">
        <f t="shared" si="9"/>
        <v>12.809421841541756</v>
      </c>
    </row>
    <row r="78" spans="1:24" x14ac:dyDescent="0.3">
      <c r="A78">
        <v>2730</v>
      </c>
      <c r="B78">
        <v>12</v>
      </c>
      <c r="C78" t="s">
        <v>27</v>
      </c>
      <c r="D78" t="s">
        <v>36</v>
      </c>
      <c r="E78" t="s">
        <v>33</v>
      </c>
      <c r="F78" t="s">
        <v>19</v>
      </c>
      <c r="G78">
        <v>14</v>
      </c>
      <c r="H78">
        <v>8</v>
      </c>
      <c r="I78">
        <v>12</v>
      </c>
      <c r="J78">
        <v>34.590000000000003</v>
      </c>
      <c r="K78">
        <v>201.43</v>
      </c>
      <c r="L78">
        <v>0.54</v>
      </c>
      <c r="M78">
        <v>35.9</v>
      </c>
      <c r="N78">
        <v>0.7</v>
      </c>
      <c r="O78" t="s">
        <v>20</v>
      </c>
      <c r="P78" t="s">
        <v>21</v>
      </c>
      <c r="Q78">
        <f t="shared" si="5"/>
        <v>10</v>
      </c>
      <c r="R78" s="4">
        <f>RANK(N78,$N$2:N$2800,0)</f>
        <v>2702</v>
      </c>
      <c r="S78">
        <f t="shared" si="6"/>
        <v>1.1666666666666667</v>
      </c>
      <c r="T78" t="str">
        <f t="shared" si="7"/>
        <v>Low</v>
      </c>
      <c r="U78" t="str" cm="1">
        <f t="array" ref="U78">_xlfn.LET(_xlpm.roles,_xlfn.UNIQUE(D78:D2876),_xlpm.kills, SUMIF(D78:D2876,_xlpm.roles,G78:G2876),INDEX(_xlpm.roles,MATCH(MAX(_xlpm.kills),_xlpm.kills,0)))</f>
        <v>Entry Fragger</v>
      </c>
      <c r="V78" t="str">
        <f t="shared" si="8"/>
        <v>Medium Accuracy</v>
      </c>
      <c r="W78" t="str" cm="1">
        <f t="array" ref="W78">_xlfn.LET(_xlpm.roles,_xlfn.UNIQUE(D78:D2876), _xlpm.counts,COUNTIF(D78:D2876,_xlpm.roles), INDEX(_xlpm.roles,MATCH(MAX(_xlpm.counts),_xlpm.counts,0)))</f>
        <v>Entry Fragger</v>
      </c>
      <c r="X78" s="2">
        <f t="shared" si="9"/>
        <v>13.057077625570777</v>
      </c>
    </row>
    <row r="79" spans="1:24" x14ac:dyDescent="0.3">
      <c r="A79">
        <v>1250</v>
      </c>
      <c r="B79">
        <v>13</v>
      </c>
      <c r="C79" t="s">
        <v>30</v>
      </c>
      <c r="D79" t="s">
        <v>28</v>
      </c>
      <c r="E79" t="s">
        <v>29</v>
      </c>
      <c r="F79" t="s">
        <v>26</v>
      </c>
      <c r="G79">
        <v>14</v>
      </c>
      <c r="H79">
        <v>8</v>
      </c>
      <c r="I79">
        <v>10</v>
      </c>
      <c r="J79">
        <v>38.79</v>
      </c>
      <c r="K79">
        <v>187.46</v>
      </c>
      <c r="L79">
        <v>0.84</v>
      </c>
      <c r="M79">
        <v>36.99</v>
      </c>
      <c r="N79">
        <v>0.95</v>
      </c>
      <c r="O79" t="s">
        <v>20</v>
      </c>
      <c r="P79" t="s">
        <v>21</v>
      </c>
      <c r="Q79">
        <f t="shared" si="5"/>
        <v>12</v>
      </c>
      <c r="R79" s="4">
        <f>RANK(N79,$N$2:N$2800,0)</f>
        <v>1367</v>
      </c>
      <c r="S79">
        <f t="shared" si="6"/>
        <v>1.4</v>
      </c>
      <c r="T79" t="str">
        <f t="shared" si="7"/>
        <v>Low</v>
      </c>
      <c r="U79" t="str" cm="1">
        <f t="array" ref="U79">_xlfn.LET(_xlpm.roles,_xlfn.UNIQUE(D79:D2877),_xlpm.kills, SUMIF(D79:D2877,_xlpm.roles,G79:G2877),INDEX(_xlpm.roles,MATCH(MAX(_xlpm.kills),_xlpm.kills,0)))</f>
        <v>Entry Fragger</v>
      </c>
      <c r="V79" t="str">
        <f t="shared" si="8"/>
        <v>Medium Accuracy</v>
      </c>
      <c r="W79" t="str" cm="1">
        <f t="array" ref="W79">_xlfn.LET(_xlpm.roles,_xlfn.UNIQUE(D79:D2877), _xlpm.counts,COUNTIF(D79:D2877,_xlpm.roles), INDEX(_xlpm.roles,MATCH(MAX(_xlpm.counts),_xlpm.counts,0)))</f>
        <v>Entry Fragger</v>
      </c>
      <c r="X79" s="2">
        <f t="shared" si="9"/>
        <v>13.135802469135802</v>
      </c>
    </row>
    <row r="80" spans="1:24" x14ac:dyDescent="0.3">
      <c r="A80">
        <v>1549</v>
      </c>
      <c r="B80">
        <v>13</v>
      </c>
      <c r="C80" t="s">
        <v>30</v>
      </c>
      <c r="D80" t="s">
        <v>22</v>
      </c>
      <c r="E80" t="s">
        <v>23</v>
      </c>
      <c r="F80" t="s">
        <v>26</v>
      </c>
      <c r="G80">
        <v>14</v>
      </c>
      <c r="H80">
        <v>9</v>
      </c>
      <c r="I80">
        <v>11</v>
      </c>
      <c r="J80">
        <v>51.92</v>
      </c>
      <c r="K80">
        <v>202.4</v>
      </c>
      <c r="L80">
        <v>0</v>
      </c>
      <c r="M80">
        <v>51.96</v>
      </c>
      <c r="N80">
        <v>1</v>
      </c>
      <c r="O80" t="s">
        <v>20</v>
      </c>
      <c r="P80" t="s">
        <v>21</v>
      </c>
      <c r="Q80">
        <f t="shared" si="5"/>
        <v>12</v>
      </c>
      <c r="R80" s="4">
        <f>RANK(N80,$N$2:N$2800,0)</f>
        <v>1</v>
      </c>
      <c r="S80">
        <f t="shared" si="6"/>
        <v>1.2727272727272727</v>
      </c>
      <c r="T80" t="str">
        <f t="shared" si="7"/>
        <v>Low</v>
      </c>
      <c r="U80" t="str" cm="1">
        <f t="array" ref="U80">_xlfn.LET(_xlpm.roles,_xlfn.UNIQUE(D80:D2878),_xlpm.kills, SUMIF(D80:D2878,_xlpm.roles,G80:G2878),INDEX(_xlpm.roles,MATCH(MAX(_xlpm.kills),_xlpm.kills,0)))</f>
        <v>Entry Fragger</v>
      </c>
      <c r="V80" t="str">
        <f t="shared" si="8"/>
        <v>High Accuracy</v>
      </c>
      <c r="W80" t="str" cm="1">
        <f t="array" ref="W80">_xlfn.LET(_xlpm.roles,_xlfn.UNIQUE(D80:D2878), _xlpm.counts,COUNTIF(D80:D2878,_xlpm.roles), INDEX(_xlpm.roles,MATCH(MAX(_xlpm.counts),_xlpm.counts,0)))</f>
        <v>Entry Fragger</v>
      </c>
      <c r="X80" s="2">
        <f t="shared" si="9"/>
        <v>13.135802469135802</v>
      </c>
    </row>
    <row r="81" spans="1:24" x14ac:dyDescent="0.3">
      <c r="A81">
        <v>2709</v>
      </c>
      <c r="B81">
        <v>13</v>
      </c>
      <c r="C81" t="s">
        <v>16</v>
      </c>
      <c r="D81" t="s">
        <v>22</v>
      </c>
      <c r="E81" t="s">
        <v>23</v>
      </c>
      <c r="F81" t="s">
        <v>24</v>
      </c>
      <c r="G81">
        <v>19</v>
      </c>
      <c r="H81">
        <v>7</v>
      </c>
      <c r="I81">
        <v>11</v>
      </c>
      <c r="J81">
        <v>53.41</v>
      </c>
      <c r="K81">
        <v>216.08</v>
      </c>
      <c r="L81">
        <v>0.23</v>
      </c>
      <c r="M81">
        <v>58.41</v>
      </c>
      <c r="N81">
        <v>0.98</v>
      </c>
      <c r="O81" t="s">
        <v>20</v>
      </c>
      <c r="P81" t="s">
        <v>21</v>
      </c>
      <c r="Q81">
        <f t="shared" si="5"/>
        <v>15</v>
      </c>
      <c r="R81" s="4">
        <f>RANK(N81,$N$2:N$2800,0)</f>
        <v>1157</v>
      </c>
      <c r="S81">
        <f t="shared" si="6"/>
        <v>1.7272727272727273</v>
      </c>
      <c r="T81" t="str">
        <f t="shared" si="7"/>
        <v>Good</v>
      </c>
      <c r="U81" t="str" cm="1">
        <f t="array" ref="U81">_xlfn.LET(_xlpm.roles,_xlfn.UNIQUE(D81:D2879),_xlpm.kills, SUMIF(D81:D2879,_xlpm.roles,G81:G2879),INDEX(_xlpm.roles,MATCH(MAX(_xlpm.kills),_xlpm.kills,0)))</f>
        <v>Entry Fragger</v>
      </c>
      <c r="V81" t="str">
        <f t="shared" si="8"/>
        <v>High Accuracy</v>
      </c>
      <c r="W81" t="str" cm="1">
        <f t="array" ref="W81">_xlfn.LET(_xlpm.roles,_xlfn.UNIQUE(D81:D2879), _xlpm.counts,COUNTIF(D81:D2879,_xlpm.roles), INDEX(_xlpm.roles,MATCH(MAX(_xlpm.counts),_xlpm.counts,0)))</f>
        <v>Entry Fragger</v>
      </c>
      <c r="X81" s="2">
        <f t="shared" si="9"/>
        <v>12.520971302428256</v>
      </c>
    </row>
    <row r="82" spans="1:24" x14ac:dyDescent="0.3">
      <c r="A82">
        <v>954</v>
      </c>
      <c r="B82">
        <v>14</v>
      </c>
      <c r="C82" t="s">
        <v>25</v>
      </c>
      <c r="D82" t="s">
        <v>36</v>
      </c>
      <c r="E82" t="s">
        <v>33</v>
      </c>
      <c r="F82" t="s">
        <v>37</v>
      </c>
      <c r="G82">
        <v>20</v>
      </c>
      <c r="H82">
        <v>6</v>
      </c>
      <c r="I82">
        <v>9</v>
      </c>
      <c r="J82">
        <v>44.35</v>
      </c>
      <c r="K82">
        <v>195.45</v>
      </c>
      <c r="L82">
        <v>0.89</v>
      </c>
      <c r="M82">
        <v>50.27</v>
      </c>
      <c r="N82">
        <v>0.99</v>
      </c>
      <c r="O82" t="s">
        <v>20</v>
      </c>
      <c r="P82" t="s">
        <v>21</v>
      </c>
      <c r="Q82">
        <f t="shared" si="5"/>
        <v>17</v>
      </c>
      <c r="R82" s="4">
        <f>RANK(N82,$N$2:N$2800,0)</f>
        <v>1080</v>
      </c>
      <c r="S82">
        <f t="shared" si="6"/>
        <v>2.2222222222222223</v>
      </c>
      <c r="T82" t="str">
        <f t="shared" si="7"/>
        <v>Good</v>
      </c>
      <c r="U82" t="str" cm="1">
        <f t="array" ref="U82">_xlfn.LET(_xlpm.roles,_xlfn.UNIQUE(D82:D2880),_xlpm.kills, SUMIF(D82:D2880,_xlpm.roles,G82:G2880),INDEX(_xlpm.roles,MATCH(MAX(_xlpm.kills),_xlpm.kills,0)))</f>
        <v>Entry Fragger</v>
      </c>
      <c r="V82" t="str">
        <f t="shared" si="8"/>
        <v>Medium Accuracy</v>
      </c>
      <c r="W82" t="str" cm="1">
        <f t="array" ref="W82">_xlfn.LET(_xlpm.roles,_xlfn.UNIQUE(D82:D2880), _xlpm.counts,COUNTIF(D82:D2880,_xlpm.roles), INDEX(_xlpm.roles,MATCH(MAX(_xlpm.counts),_xlpm.counts,0)))</f>
        <v>Entry Fragger</v>
      </c>
      <c r="X82" s="2">
        <f t="shared" si="9"/>
        <v>12.809421841541756</v>
      </c>
    </row>
    <row r="83" spans="1:24" x14ac:dyDescent="0.3">
      <c r="A83">
        <v>1224</v>
      </c>
      <c r="B83">
        <v>14</v>
      </c>
      <c r="C83" t="s">
        <v>39</v>
      </c>
      <c r="D83" t="s">
        <v>17</v>
      </c>
      <c r="E83" t="s">
        <v>29</v>
      </c>
      <c r="F83" t="s">
        <v>26</v>
      </c>
      <c r="G83">
        <v>20</v>
      </c>
      <c r="H83">
        <v>4</v>
      </c>
      <c r="I83">
        <v>7</v>
      </c>
      <c r="J83">
        <v>34.03</v>
      </c>
      <c r="K83">
        <v>250.79</v>
      </c>
      <c r="L83">
        <v>0.25</v>
      </c>
      <c r="M83">
        <v>51.52</v>
      </c>
      <c r="N83">
        <v>1</v>
      </c>
      <c r="O83" t="s">
        <v>20</v>
      </c>
      <c r="P83" t="s">
        <v>21</v>
      </c>
      <c r="Q83">
        <f t="shared" si="5"/>
        <v>17</v>
      </c>
      <c r="R83" s="4">
        <f>RANK(N83,$N$2:N$2800,0)</f>
        <v>1</v>
      </c>
      <c r="S83">
        <f t="shared" si="6"/>
        <v>2.8571428571428572</v>
      </c>
      <c r="T83" t="str">
        <f t="shared" si="7"/>
        <v>Good</v>
      </c>
      <c r="U83" t="str" cm="1">
        <f t="array" ref="U83">_xlfn.LET(_xlpm.roles,_xlfn.UNIQUE(D83:D2881),_xlpm.kills, SUMIF(D83:D2881,_xlpm.roles,G83:G2881),INDEX(_xlpm.roles,MATCH(MAX(_xlpm.kills),_xlpm.kills,0)))</f>
        <v>Entry Fragger</v>
      </c>
      <c r="V83" t="str">
        <f t="shared" si="8"/>
        <v>Medium Accuracy</v>
      </c>
      <c r="W83" t="str" cm="1">
        <f t="array" ref="W83">_xlfn.LET(_xlpm.roles,_xlfn.UNIQUE(D83:D2881), _xlpm.counts,COUNTIF(D83:D2881,_xlpm.roles), INDEX(_xlpm.roles,MATCH(MAX(_xlpm.counts),_xlpm.counts,0)))</f>
        <v>Entry Fragger</v>
      </c>
      <c r="X83" s="2">
        <f t="shared" si="9"/>
        <v>13.103594080338267</v>
      </c>
    </row>
    <row r="84" spans="1:24" x14ac:dyDescent="0.3">
      <c r="A84">
        <v>2141</v>
      </c>
      <c r="B84">
        <v>14</v>
      </c>
      <c r="C84" t="s">
        <v>16</v>
      </c>
      <c r="D84" t="s">
        <v>22</v>
      </c>
      <c r="E84" t="s">
        <v>29</v>
      </c>
      <c r="F84" t="s">
        <v>24</v>
      </c>
      <c r="G84">
        <v>15</v>
      </c>
      <c r="H84">
        <v>8</v>
      </c>
      <c r="I84">
        <v>15</v>
      </c>
      <c r="J84">
        <v>42.34</v>
      </c>
      <c r="K84">
        <v>256.01</v>
      </c>
      <c r="L84">
        <v>0.09</v>
      </c>
      <c r="M84">
        <v>43.27</v>
      </c>
      <c r="N84">
        <v>0.86</v>
      </c>
      <c r="O84" t="s">
        <v>20</v>
      </c>
      <c r="P84" t="s">
        <v>21</v>
      </c>
      <c r="Q84">
        <f t="shared" si="5"/>
        <v>8</v>
      </c>
      <c r="R84" s="4">
        <f>RANK(N84,$N$2:N$2800,0)</f>
        <v>2040</v>
      </c>
      <c r="S84">
        <f t="shared" si="6"/>
        <v>1</v>
      </c>
      <c r="T84" t="str">
        <f t="shared" si="7"/>
        <v>Low</v>
      </c>
      <c r="U84" t="str" cm="1">
        <f t="array" ref="U84">_xlfn.LET(_xlpm.roles,_xlfn.UNIQUE(D84:D2882),_xlpm.kills, SUMIF(D84:D2882,_xlpm.roles,G84:G2882),INDEX(_xlpm.roles,MATCH(MAX(_xlpm.kills),_xlpm.kills,0)))</f>
        <v>Entry Fragger</v>
      </c>
      <c r="V84" t="str">
        <f t="shared" si="8"/>
        <v>Medium Accuracy</v>
      </c>
      <c r="W84" t="str" cm="1">
        <f t="array" ref="W84">_xlfn.LET(_xlpm.roles,_xlfn.UNIQUE(D84:D2882), _xlpm.counts,COUNTIF(D84:D2882,_xlpm.roles), INDEX(_xlpm.roles,MATCH(MAX(_xlpm.counts),_xlpm.counts,0)))</f>
        <v>Entry Fragger</v>
      </c>
      <c r="X84" s="2">
        <f t="shared" si="9"/>
        <v>12.520971302428256</v>
      </c>
    </row>
    <row r="85" spans="1:24" x14ac:dyDescent="0.3">
      <c r="A85">
        <v>371</v>
      </c>
      <c r="B85">
        <v>15</v>
      </c>
      <c r="C85" t="s">
        <v>39</v>
      </c>
      <c r="D85" t="s">
        <v>22</v>
      </c>
      <c r="E85" t="s">
        <v>32</v>
      </c>
      <c r="F85" t="s">
        <v>19</v>
      </c>
      <c r="G85">
        <v>15</v>
      </c>
      <c r="H85">
        <v>7</v>
      </c>
      <c r="I85">
        <v>11</v>
      </c>
      <c r="J85">
        <v>56.26</v>
      </c>
      <c r="K85">
        <v>183.74</v>
      </c>
      <c r="L85">
        <v>0.47</v>
      </c>
      <c r="M85">
        <v>49.43</v>
      </c>
      <c r="N85">
        <v>1</v>
      </c>
      <c r="O85" t="s">
        <v>20</v>
      </c>
      <c r="P85" t="s">
        <v>21</v>
      </c>
      <c r="Q85">
        <f t="shared" si="5"/>
        <v>11</v>
      </c>
      <c r="R85" s="4">
        <f>RANK(N85,$N$2:N$2800,0)</f>
        <v>1</v>
      </c>
      <c r="S85">
        <f t="shared" si="6"/>
        <v>1.3636363636363635</v>
      </c>
      <c r="T85" t="str">
        <f t="shared" si="7"/>
        <v>Low</v>
      </c>
      <c r="U85" t="str" cm="1">
        <f t="array" ref="U85">_xlfn.LET(_xlpm.roles,_xlfn.UNIQUE(D85:D2883),_xlpm.kills, SUMIF(D85:D2883,_xlpm.roles,G85:G2883),INDEX(_xlpm.roles,MATCH(MAX(_xlpm.kills),_xlpm.kills,0)))</f>
        <v>Entry Fragger</v>
      </c>
      <c r="V85" t="str">
        <f t="shared" si="8"/>
        <v>High Accuracy</v>
      </c>
      <c r="W85" t="str" cm="1">
        <f t="array" ref="W85">_xlfn.LET(_xlpm.roles,_xlfn.UNIQUE(D85:D2883), _xlpm.counts,COUNTIF(D85:D2883,_xlpm.roles), INDEX(_xlpm.roles,MATCH(MAX(_xlpm.counts),_xlpm.counts,0)))</f>
        <v>Entry Fragger</v>
      </c>
      <c r="X85" s="2">
        <f t="shared" si="9"/>
        <v>13.103594080338267</v>
      </c>
    </row>
    <row r="86" spans="1:24" x14ac:dyDescent="0.3">
      <c r="A86">
        <v>1082</v>
      </c>
      <c r="B86">
        <v>15</v>
      </c>
      <c r="C86" t="s">
        <v>39</v>
      </c>
      <c r="D86" t="s">
        <v>17</v>
      </c>
      <c r="E86" t="s">
        <v>33</v>
      </c>
      <c r="F86" t="s">
        <v>34</v>
      </c>
      <c r="G86">
        <v>11</v>
      </c>
      <c r="H86">
        <v>12</v>
      </c>
      <c r="I86">
        <v>10</v>
      </c>
      <c r="J86">
        <v>49.06</v>
      </c>
      <c r="K86">
        <v>169.13</v>
      </c>
      <c r="L86">
        <v>0.21</v>
      </c>
      <c r="M86">
        <v>46.43</v>
      </c>
      <c r="N86">
        <v>1</v>
      </c>
      <c r="O86" t="s">
        <v>20</v>
      </c>
      <c r="P86" t="s">
        <v>21</v>
      </c>
      <c r="Q86">
        <f t="shared" si="5"/>
        <v>13</v>
      </c>
      <c r="R86" s="4">
        <f>RANK(N86,$N$2:N$2800,0)</f>
        <v>1</v>
      </c>
      <c r="S86">
        <f t="shared" si="6"/>
        <v>1.1000000000000001</v>
      </c>
      <c r="T86" t="str">
        <f t="shared" si="7"/>
        <v>Low</v>
      </c>
      <c r="U86" t="str" cm="1">
        <f t="array" ref="U86">_xlfn.LET(_xlpm.roles,_xlfn.UNIQUE(D86:D2884),_xlpm.kills, SUMIF(D86:D2884,_xlpm.roles,G86:G2884),INDEX(_xlpm.roles,MATCH(MAX(_xlpm.kills),_xlpm.kills,0)))</f>
        <v>Entry Fragger</v>
      </c>
      <c r="V86" t="str">
        <f t="shared" si="8"/>
        <v>Medium Accuracy</v>
      </c>
      <c r="W86" t="str" cm="1">
        <f t="array" ref="W86">_xlfn.LET(_xlpm.roles,_xlfn.UNIQUE(D86:D2884), _xlpm.counts,COUNTIF(D86:D2884,_xlpm.roles), INDEX(_xlpm.roles,MATCH(MAX(_xlpm.counts),_xlpm.counts,0)))</f>
        <v>Entry Fragger</v>
      </c>
      <c r="X86" s="2">
        <f t="shared" si="9"/>
        <v>13.103594080338267</v>
      </c>
    </row>
    <row r="87" spans="1:24" x14ac:dyDescent="0.3">
      <c r="A87">
        <v>1613</v>
      </c>
      <c r="B87">
        <v>15</v>
      </c>
      <c r="C87" t="s">
        <v>27</v>
      </c>
      <c r="D87" t="s">
        <v>28</v>
      </c>
      <c r="E87" t="s">
        <v>33</v>
      </c>
      <c r="F87" t="s">
        <v>26</v>
      </c>
      <c r="G87">
        <v>16</v>
      </c>
      <c r="H87">
        <v>10</v>
      </c>
      <c r="I87">
        <v>11</v>
      </c>
      <c r="J87">
        <v>39.520000000000003</v>
      </c>
      <c r="K87">
        <v>198.81</v>
      </c>
      <c r="L87">
        <v>0.43</v>
      </c>
      <c r="M87">
        <v>46.46</v>
      </c>
      <c r="N87">
        <v>0.98</v>
      </c>
      <c r="O87" t="s">
        <v>20</v>
      </c>
      <c r="P87" t="s">
        <v>21</v>
      </c>
      <c r="Q87">
        <f t="shared" si="5"/>
        <v>15</v>
      </c>
      <c r="R87" s="4">
        <f>RANK(N87,$N$2:N$2800,0)</f>
        <v>1157</v>
      </c>
      <c r="S87">
        <f t="shared" si="6"/>
        <v>1.4545454545454546</v>
      </c>
      <c r="T87" t="str">
        <f t="shared" si="7"/>
        <v>Good</v>
      </c>
      <c r="U87" t="str" cm="1">
        <f t="array" ref="U87">_xlfn.LET(_xlpm.roles,_xlfn.UNIQUE(D87:D2885),_xlpm.kills, SUMIF(D87:D2885,_xlpm.roles,G87:G2885),INDEX(_xlpm.roles,MATCH(MAX(_xlpm.kills),_xlpm.kills,0)))</f>
        <v>Entry Fragger</v>
      </c>
      <c r="V87" t="str">
        <f t="shared" si="8"/>
        <v>Medium Accuracy</v>
      </c>
      <c r="W87" t="str" cm="1">
        <f t="array" ref="W87">_xlfn.LET(_xlpm.roles,_xlfn.UNIQUE(D87:D2885), _xlpm.counts,COUNTIF(D87:D2885,_xlpm.roles), INDEX(_xlpm.roles,MATCH(MAX(_xlpm.counts),_xlpm.counts,0)))</f>
        <v>Entry Fragger</v>
      </c>
      <c r="X87" s="2">
        <f t="shared" si="9"/>
        <v>13.057077625570777</v>
      </c>
    </row>
    <row r="88" spans="1:24" x14ac:dyDescent="0.3">
      <c r="A88">
        <v>2502</v>
      </c>
      <c r="B88">
        <v>15</v>
      </c>
      <c r="C88" t="s">
        <v>35</v>
      </c>
      <c r="D88" t="s">
        <v>22</v>
      </c>
      <c r="E88" t="s">
        <v>29</v>
      </c>
      <c r="F88" t="s">
        <v>19</v>
      </c>
      <c r="G88">
        <v>19</v>
      </c>
      <c r="H88">
        <v>6</v>
      </c>
      <c r="I88">
        <v>5</v>
      </c>
      <c r="J88">
        <v>50.05</v>
      </c>
      <c r="K88">
        <v>261.64999999999998</v>
      </c>
      <c r="L88">
        <v>0.19</v>
      </c>
      <c r="M88">
        <v>62.13</v>
      </c>
      <c r="N88">
        <v>1</v>
      </c>
      <c r="O88" t="s">
        <v>20</v>
      </c>
      <c r="P88" t="s">
        <v>38</v>
      </c>
      <c r="Q88">
        <f t="shared" si="5"/>
        <v>20</v>
      </c>
      <c r="R88" s="4">
        <f>RANK(N88,$N$2:N$2800,0)</f>
        <v>1</v>
      </c>
      <c r="S88">
        <f t="shared" si="6"/>
        <v>3.8</v>
      </c>
      <c r="T88" t="str">
        <f t="shared" si="7"/>
        <v>Good</v>
      </c>
      <c r="U88" t="str" cm="1">
        <f t="array" ref="U88">_xlfn.LET(_xlpm.roles,_xlfn.UNIQUE(D88:D2886),_xlpm.kills, SUMIF(D88:D2886,_xlpm.roles,G88:G2886),INDEX(_xlpm.roles,MATCH(MAX(_xlpm.kills),_xlpm.kills,0)))</f>
        <v>Entry Fragger</v>
      </c>
      <c r="V88" t="str">
        <f t="shared" si="8"/>
        <v>High Accuracy</v>
      </c>
      <c r="W88" t="str" cm="1">
        <f t="array" ref="W88">_xlfn.LET(_xlpm.roles,_xlfn.UNIQUE(D88:D2886), _xlpm.counts,COUNTIF(D88:D2886,_xlpm.roles), INDEX(_xlpm.roles,MATCH(MAX(_xlpm.counts),_xlpm.counts,0)))</f>
        <v>Entry Fragger</v>
      </c>
      <c r="X88" s="2">
        <f t="shared" si="9"/>
        <v>12.599585062240664</v>
      </c>
    </row>
    <row r="89" spans="1:24" x14ac:dyDescent="0.3">
      <c r="A89">
        <v>41</v>
      </c>
      <c r="B89">
        <v>16</v>
      </c>
      <c r="C89" t="s">
        <v>25</v>
      </c>
      <c r="D89" t="s">
        <v>36</v>
      </c>
      <c r="E89" t="s">
        <v>33</v>
      </c>
      <c r="F89" t="s">
        <v>26</v>
      </c>
      <c r="G89">
        <v>13</v>
      </c>
      <c r="H89">
        <v>7</v>
      </c>
      <c r="I89">
        <v>14</v>
      </c>
      <c r="J89">
        <v>55.3</v>
      </c>
      <c r="K89">
        <v>206.66</v>
      </c>
      <c r="L89">
        <v>0.15</v>
      </c>
      <c r="M89">
        <v>45.15</v>
      </c>
      <c r="N89">
        <v>1</v>
      </c>
      <c r="O89" t="s">
        <v>20</v>
      </c>
      <c r="P89" t="s">
        <v>21</v>
      </c>
      <c r="Q89">
        <f t="shared" si="5"/>
        <v>6</v>
      </c>
      <c r="R89" s="4">
        <f>RANK(N89,$N$2:N$2800,0)</f>
        <v>1</v>
      </c>
      <c r="S89">
        <f t="shared" si="6"/>
        <v>0.9285714285714286</v>
      </c>
      <c r="T89" t="str">
        <f t="shared" si="7"/>
        <v>Low</v>
      </c>
      <c r="U89" t="str" cm="1">
        <f t="array" ref="U89">_xlfn.LET(_xlpm.roles,_xlfn.UNIQUE(D89:D2887),_xlpm.kills, SUMIF(D89:D2887,_xlpm.roles,G89:G2887),INDEX(_xlpm.roles,MATCH(MAX(_xlpm.kills),_xlpm.kills,0)))</f>
        <v>Entry Fragger</v>
      </c>
      <c r="V89" t="str">
        <f t="shared" si="8"/>
        <v>High Accuracy</v>
      </c>
      <c r="W89" t="str" cm="1">
        <f t="array" ref="W89">_xlfn.LET(_xlpm.roles,_xlfn.UNIQUE(D89:D2887), _xlpm.counts,COUNTIF(D89:D2887,_xlpm.roles), INDEX(_xlpm.roles,MATCH(MAX(_xlpm.counts),_xlpm.counts,0)))</f>
        <v>Entry Fragger</v>
      </c>
      <c r="X89" s="2">
        <f t="shared" si="9"/>
        <v>12.809421841541756</v>
      </c>
    </row>
    <row r="90" spans="1:24" x14ac:dyDescent="0.3">
      <c r="A90">
        <v>376</v>
      </c>
      <c r="B90">
        <v>16</v>
      </c>
      <c r="C90" t="s">
        <v>35</v>
      </c>
      <c r="D90" t="s">
        <v>28</v>
      </c>
      <c r="E90" t="s">
        <v>23</v>
      </c>
      <c r="F90" t="s">
        <v>37</v>
      </c>
      <c r="G90">
        <v>15</v>
      </c>
      <c r="H90">
        <v>11</v>
      </c>
      <c r="I90">
        <v>11</v>
      </c>
      <c r="J90">
        <v>44.71</v>
      </c>
      <c r="K90">
        <v>183.48</v>
      </c>
      <c r="L90">
        <v>0.18</v>
      </c>
      <c r="M90">
        <v>50.56</v>
      </c>
      <c r="N90">
        <v>1</v>
      </c>
      <c r="O90" t="s">
        <v>20</v>
      </c>
      <c r="P90" t="s">
        <v>21</v>
      </c>
      <c r="Q90">
        <f t="shared" si="5"/>
        <v>15</v>
      </c>
      <c r="R90" s="4">
        <f>RANK(N90,$N$2:N$2800,0)</f>
        <v>1</v>
      </c>
      <c r="S90">
        <f t="shared" si="6"/>
        <v>1.3636363636363635</v>
      </c>
      <c r="T90" t="str">
        <f t="shared" si="7"/>
        <v>Good</v>
      </c>
      <c r="U90" t="str" cm="1">
        <f t="array" ref="U90">_xlfn.LET(_xlpm.roles,_xlfn.UNIQUE(D90:D2888),_xlpm.kills, SUMIF(D90:D2888,_xlpm.roles,G90:G2888),INDEX(_xlpm.roles,MATCH(MAX(_xlpm.kills),_xlpm.kills,0)))</f>
        <v>Entry Fragger</v>
      </c>
      <c r="V90" t="str">
        <f t="shared" si="8"/>
        <v>Medium Accuracy</v>
      </c>
      <c r="W90" t="str" cm="1">
        <f t="array" ref="W90">_xlfn.LET(_xlpm.roles,_xlfn.UNIQUE(D90:D2888), _xlpm.counts,COUNTIF(D90:D2888,_xlpm.roles), INDEX(_xlpm.roles,MATCH(MAX(_xlpm.counts),_xlpm.counts,0)))</f>
        <v>Entry Fragger</v>
      </c>
      <c r="X90" s="2">
        <f t="shared" si="9"/>
        <v>12.599585062240664</v>
      </c>
    </row>
    <row r="91" spans="1:24" x14ac:dyDescent="0.3">
      <c r="A91">
        <v>1256</v>
      </c>
      <c r="B91">
        <v>16</v>
      </c>
      <c r="C91" t="s">
        <v>35</v>
      </c>
      <c r="D91" t="s">
        <v>36</v>
      </c>
      <c r="E91" t="s">
        <v>23</v>
      </c>
      <c r="F91" t="s">
        <v>37</v>
      </c>
      <c r="G91">
        <v>17</v>
      </c>
      <c r="H91">
        <v>9</v>
      </c>
      <c r="I91">
        <v>8</v>
      </c>
      <c r="J91">
        <v>56.88</v>
      </c>
      <c r="K91">
        <v>264.86</v>
      </c>
      <c r="L91">
        <v>0.66</v>
      </c>
      <c r="M91">
        <v>56.84</v>
      </c>
      <c r="N91">
        <v>0.91</v>
      </c>
      <c r="O91" t="s">
        <v>20</v>
      </c>
      <c r="P91" t="s">
        <v>21</v>
      </c>
      <c r="Q91">
        <f t="shared" si="5"/>
        <v>18</v>
      </c>
      <c r="R91" s="4">
        <f>RANK(N91,$N$2:N$2800,0)</f>
        <v>1665</v>
      </c>
      <c r="S91">
        <f t="shared" si="6"/>
        <v>2.125</v>
      </c>
      <c r="T91" t="str">
        <f t="shared" si="7"/>
        <v>Good</v>
      </c>
      <c r="U91" t="str" cm="1">
        <f t="array" ref="U91">_xlfn.LET(_xlpm.roles,_xlfn.UNIQUE(D91:D2889),_xlpm.kills, SUMIF(D91:D2889,_xlpm.roles,G91:G2889),INDEX(_xlpm.roles,MATCH(MAX(_xlpm.kills),_xlpm.kills,0)))</f>
        <v>Entry Fragger</v>
      </c>
      <c r="V91" t="str">
        <f t="shared" si="8"/>
        <v>High Accuracy</v>
      </c>
      <c r="W91" t="str" cm="1">
        <f t="array" ref="W91">_xlfn.LET(_xlpm.roles,_xlfn.UNIQUE(D91:D2889), _xlpm.counts,COUNTIF(D91:D2889,_xlpm.roles), INDEX(_xlpm.roles,MATCH(MAX(_xlpm.counts),_xlpm.counts,0)))</f>
        <v>Entry Fragger</v>
      </c>
      <c r="X91" s="2">
        <f t="shared" si="9"/>
        <v>12.599585062240664</v>
      </c>
    </row>
    <row r="92" spans="1:24" x14ac:dyDescent="0.3">
      <c r="A92">
        <v>2227</v>
      </c>
      <c r="B92">
        <v>16</v>
      </c>
      <c r="C92" t="s">
        <v>39</v>
      </c>
      <c r="D92" t="s">
        <v>28</v>
      </c>
      <c r="E92" t="s">
        <v>29</v>
      </c>
      <c r="F92" t="s">
        <v>37</v>
      </c>
      <c r="G92">
        <v>9</v>
      </c>
      <c r="H92">
        <v>6</v>
      </c>
      <c r="I92">
        <v>8</v>
      </c>
      <c r="J92">
        <v>52.63</v>
      </c>
      <c r="K92">
        <v>264.67</v>
      </c>
      <c r="L92">
        <v>0.61</v>
      </c>
      <c r="M92">
        <v>36.21</v>
      </c>
      <c r="N92">
        <v>0.98</v>
      </c>
      <c r="O92" t="s">
        <v>20</v>
      </c>
      <c r="P92" t="s">
        <v>21</v>
      </c>
      <c r="Q92">
        <f t="shared" si="5"/>
        <v>7</v>
      </c>
      <c r="R92" s="4">
        <f>RANK(N92,$N$2:N$2800,0)</f>
        <v>1157</v>
      </c>
      <c r="S92">
        <f t="shared" si="6"/>
        <v>1.125</v>
      </c>
      <c r="T92" t="str">
        <f t="shared" si="7"/>
        <v>Low</v>
      </c>
      <c r="U92" t="str" cm="1">
        <f t="array" ref="U92">_xlfn.LET(_xlpm.roles,_xlfn.UNIQUE(D92:D2890),_xlpm.kills, SUMIF(D92:D2890,_xlpm.roles,G92:G2890),INDEX(_xlpm.roles,MATCH(MAX(_xlpm.kills),_xlpm.kills,0)))</f>
        <v>Entry Fragger</v>
      </c>
      <c r="V92" t="str">
        <f t="shared" si="8"/>
        <v>High Accuracy</v>
      </c>
      <c r="W92" t="str" cm="1">
        <f t="array" ref="W92">_xlfn.LET(_xlpm.roles,_xlfn.UNIQUE(D92:D2890), _xlpm.counts,COUNTIF(D92:D2890,_xlpm.roles), INDEX(_xlpm.roles,MATCH(MAX(_xlpm.counts),_xlpm.counts,0)))</f>
        <v>Entry Fragger</v>
      </c>
      <c r="X92" s="2">
        <f t="shared" si="9"/>
        <v>13.103594080338267</v>
      </c>
    </row>
    <row r="93" spans="1:24" x14ac:dyDescent="0.3">
      <c r="A93">
        <v>2328</v>
      </c>
      <c r="B93">
        <v>16</v>
      </c>
      <c r="C93" t="s">
        <v>30</v>
      </c>
      <c r="D93" t="s">
        <v>31</v>
      </c>
      <c r="E93" t="s">
        <v>33</v>
      </c>
      <c r="F93" t="s">
        <v>26</v>
      </c>
      <c r="G93">
        <v>15</v>
      </c>
      <c r="H93">
        <v>8</v>
      </c>
      <c r="I93">
        <v>3</v>
      </c>
      <c r="J93">
        <v>48.55</v>
      </c>
      <c r="K93">
        <v>241.59</v>
      </c>
      <c r="L93">
        <v>0.71</v>
      </c>
      <c r="M93">
        <v>52.17</v>
      </c>
      <c r="N93">
        <v>0.82</v>
      </c>
      <c r="O93" t="s">
        <v>20</v>
      </c>
      <c r="P93" t="s">
        <v>21</v>
      </c>
      <c r="Q93">
        <f t="shared" si="5"/>
        <v>20</v>
      </c>
      <c r="R93" s="4">
        <f>RANK(N93,$N$2:N$2800,0)</f>
        <v>2275</v>
      </c>
      <c r="S93">
        <f t="shared" si="6"/>
        <v>5</v>
      </c>
      <c r="T93" t="str">
        <f t="shared" si="7"/>
        <v>Good</v>
      </c>
      <c r="U93" t="str" cm="1">
        <f t="array" ref="U93">_xlfn.LET(_xlpm.roles,_xlfn.UNIQUE(D93:D2891),_xlpm.kills, SUMIF(D93:D2891,_xlpm.roles,G93:G2891),INDEX(_xlpm.roles,MATCH(MAX(_xlpm.kills),_xlpm.kills,0)))</f>
        <v>Entry Fragger</v>
      </c>
      <c r="V93" t="str">
        <f t="shared" si="8"/>
        <v>Medium Accuracy</v>
      </c>
      <c r="W93" t="str" cm="1">
        <f t="array" ref="W93">_xlfn.LET(_xlpm.roles,_xlfn.UNIQUE(D93:D2891), _xlpm.counts,COUNTIF(D93:D2891,_xlpm.roles), INDEX(_xlpm.roles,MATCH(MAX(_xlpm.counts),_xlpm.counts,0)))</f>
        <v>Entry Fragger</v>
      </c>
      <c r="X93" s="2">
        <f t="shared" si="9"/>
        <v>13.135802469135802</v>
      </c>
    </row>
    <row r="94" spans="1:24" x14ac:dyDescent="0.3">
      <c r="A94">
        <v>2358</v>
      </c>
      <c r="B94">
        <v>16</v>
      </c>
      <c r="C94" t="s">
        <v>35</v>
      </c>
      <c r="D94" t="s">
        <v>28</v>
      </c>
      <c r="E94" t="s">
        <v>18</v>
      </c>
      <c r="F94" t="s">
        <v>34</v>
      </c>
      <c r="G94">
        <v>12</v>
      </c>
      <c r="H94">
        <v>5</v>
      </c>
      <c r="I94">
        <v>9</v>
      </c>
      <c r="J94">
        <v>46.87</v>
      </c>
      <c r="K94">
        <v>242.74</v>
      </c>
      <c r="L94">
        <v>0.33</v>
      </c>
      <c r="M94">
        <v>40.14</v>
      </c>
      <c r="N94">
        <v>1</v>
      </c>
      <c r="O94" t="s">
        <v>20</v>
      </c>
      <c r="P94" t="s">
        <v>21</v>
      </c>
      <c r="Q94">
        <f t="shared" si="5"/>
        <v>8</v>
      </c>
      <c r="R94" s="4">
        <f>RANK(N94,$N$2:N$2800,0)</f>
        <v>1</v>
      </c>
      <c r="S94">
        <f t="shared" si="6"/>
        <v>1.3333333333333333</v>
      </c>
      <c r="T94" t="str">
        <f t="shared" si="7"/>
        <v>Low</v>
      </c>
      <c r="U94" t="str" cm="1">
        <f t="array" ref="U94">_xlfn.LET(_xlpm.roles,_xlfn.UNIQUE(D94:D2892),_xlpm.kills, SUMIF(D94:D2892,_xlpm.roles,G94:G2892),INDEX(_xlpm.roles,MATCH(MAX(_xlpm.kills),_xlpm.kills,0)))</f>
        <v>Entry Fragger</v>
      </c>
      <c r="V94" t="str">
        <f t="shared" si="8"/>
        <v>Medium Accuracy</v>
      </c>
      <c r="W94" t="str" cm="1">
        <f t="array" ref="W94">_xlfn.LET(_xlpm.roles,_xlfn.UNIQUE(D94:D2892), _xlpm.counts,COUNTIF(D94:D2892,_xlpm.roles), INDEX(_xlpm.roles,MATCH(MAX(_xlpm.counts),_xlpm.counts,0)))</f>
        <v>Entry Fragger</v>
      </c>
      <c r="X94" s="2">
        <f t="shared" si="9"/>
        <v>12.599585062240664</v>
      </c>
    </row>
    <row r="95" spans="1:24" x14ac:dyDescent="0.3">
      <c r="A95">
        <v>2795</v>
      </c>
      <c r="B95">
        <v>16</v>
      </c>
      <c r="C95" t="s">
        <v>30</v>
      </c>
      <c r="D95" t="s">
        <v>36</v>
      </c>
      <c r="E95" t="s">
        <v>23</v>
      </c>
      <c r="F95" t="s">
        <v>34</v>
      </c>
      <c r="G95">
        <v>19</v>
      </c>
      <c r="H95">
        <v>15</v>
      </c>
      <c r="I95">
        <v>10</v>
      </c>
      <c r="J95">
        <v>47.05</v>
      </c>
      <c r="K95">
        <v>191.42</v>
      </c>
      <c r="L95">
        <v>0.04</v>
      </c>
      <c r="M95">
        <v>66.12</v>
      </c>
      <c r="N95">
        <v>1</v>
      </c>
      <c r="O95" t="s">
        <v>20</v>
      </c>
      <c r="P95" t="s">
        <v>38</v>
      </c>
      <c r="Q95">
        <f t="shared" si="5"/>
        <v>24</v>
      </c>
      <c r="R95" s="4">
        <f>RANK(N95,$N$2:N$2800,0)</f>
        <v>1</v>
      </c>
      <c r="S95">
        <f t="shared" si="6"/>
        <v>1.9</v>
      </c>
      <c r="T95" t="str">
        <f t="shared" si="7"/>
        <v>Good</v>
      </c>
      <c r="U95" t="str" cm="1">
        <f t="array" ref="U95">_xlfn.LET(_xlpm.roles,_xlfn.UNIQUE(D95:D2893),_xlpm.kills, SUMIF(D95:D2893,_xlpm.roles,G95:G2893),INDEX(_xlpm.roles,MATCH(MAX(_xlpm.kills),_xlpm.kills,0)))</f>
        <v>Entry Fragger</v>
      </c>
      <c r="V95" t="str">
        <f t="shared" si="8"/>
        <v>Medium Accuracy</v>
      </c>
      <c r="W95" t="str" cm="1">
        <f t="array" ref="W95">_xlfn.LET(_xlpm.roles,_xlfn.UNIQUE(D95:D2893), _xlpm.counts,COUNTIF(D95:D2893,_xlpm.roles), INDEX(_xlpm.roles,MATCH(MAX(_xlpm.counts),_xlpm.counts,0)))</f>
        <v>Entry Fragger</v>
      </c>
      <c r="X95" s="2">
        <f t="shared" si="9"/>
        <v>13.135802469135802</v>
      </c>
    </row>
    <row r="96" spans="1:24" x14ac:dyDescent="0.3">
      <c r="A96">
        <v>938</v>
      </c>
      <c r="B96">
        <v>17</v>
      </c>
      <c r="C96" t="s">
        <v>27</v>
      </c>
      <c r="D96" t="s">
        <v>31</v>
      </c>
      <c r="E96" t="s">
        <v>18</v>
      </c>
      <c r="F96" t="s">
        <v>37</v>
      </c>
      <c r="G96">
        <v>17</v>
      </c>
      <c r="H96">
        <v>5</v>
      </c>
      <c r="I96">
        <v>8</v>
      </c>
      <c r="J96">
        <v>34.340000000000003</v>
      </c>
      <c r="K96">
        <v>210.43</v>
      </c>
      <c r="L96">
        <v>0.74</v>
      </c>
      <c r="M96">
        <v>40.770000000000003</v>
      </c>
      <c r="N96">
        <v>0.82</v>
      </c>
      <c r="O96" t="s">
        <v>20</v>
      </c>
      <c r="P96" t="s">
        <v>21</v>
      </c>
      <c r="Q96">
        <f t="shared" si="5"/>
        <v>14</v>
      </c>
      <c r="R96" s="4">
        <f>RANK(N96,$N$2:N$2800,0)</f>
        <v>2275</v>
      </c>
      <c r="S96">
        <f t="shared" si="6"/>
        <v>2.125</v>
      </c>
      <c r="T96" t="str">
        <f t="shared" si="7"/>
        <v>Low</v>
      </c>
      <c r="U96" t="str" cm="1">
        <f t="array" ref="U96">_xlfn.LET(_xlpm.roles,_xlfn.UNIQUE(D96:D2894),_xlpm.kills, SUMIF(D96:D2894,_xlpm.roles,G96:G2894),INDEX(_xlpm.roles,MATCH(MAX(_xlpm.kills),_xlpm.kills,0)))</f>
        <v>Entry Fragger</v>
      </c>
      <c r="V96" t="str">
        <f t="shared" si="8"/>
        <v>Medium Accuracy</v>
      </c>
      <c r="W96" t="str" cm="1">
        <f t="array" ref="W96">_xlfn.LET(_xlpm.roles,_xlfn.UNIQUE(D96:D2894), _xlpm.counts,COUNTIF(D96:D2894,_xlpm.roles), INDEX(_xlpm.roles,MATCH(MAX(_xlpm.counts),_xlpm.counts,0)))</f>
        <v>Entry Fragger</v>
      </c>
      <c r="X96" s="2">
        <f t="shared" si="9"/>
        <v>13.057077625570777</v>
      </c>
    </row>
    <row r="97" spans="1:24" x14ac:dyDescent="0.3">
      <c r="A97">
        <v>1471</v>
      </c>
      <c r="B97">
        <v>17</v>
      </c>
      <c r="C97" t="s">
        <v>35</v>
      </c>
      <c r="D97" t="s">
        <v>31</v>
      </c>
      <c r="E97" t="s">
        <v>33</v>
      </c>
      <c r="F97" t="s">
        <v>37</v>
      </c>
      <c r="G97">
        <v>11</v>
      </c>
      <c r="H97">
        <v>5</v>
      </c>
      <c r="I97">
        <v>12</v>
      </c>
      <c r="J97">
        <v>55.48</v>
      </c>
      <c r="K97">
        <v>250.41</v>
      </c>
      <c r="L97">
        <v>0.35</v>
      </c>
      <c r="M97">
        <v>39.24</v>
      </c>
      <c r="N97">
        <v>0.65</v>
      </c>
      <c r="O97" t="s">
        <v>20</v>
      </c>
      <c r="P97" t="s">
        <v>21</v>
      </c>
      <c r="Q97">
        <f t="shared" si="5"/>
        <v>4</v>
      </c>
      <c r="R97" s="4">
        <f>RANK(N97,$N$2:N$2800,0)</f>
        <v>2756</v>
      </c>
      <c r="S97">
        <f t="shared" si="6"/>
        <v>0.91666666666666663</v>
      </c>
      <c r="T97" t="str">
        <f t="shared" si="7"/>
        <v>Low</v>
      </c>
      <c r="U97" t="str" cm="1">
        <f t="array" ref="U97">_xlfn.LET(_xlpm.roles,_xlfn.UNIQUE(D97:D2895),_xlpm.kills, SUMIF(D97:D2895,_xlpm.roles,G97:G2895),INDEX(_xlpm.roles,MATCH(MAX(_xlpm.kills),_xlpm.kills,0)))</f>
        <v>Entry Fragger</v>
      </c>
      <c r="V97" t="str">
        <f t="shared" si="8"/>
        <v>High Accuracy</v>
      </c>
      <c r="W97" t="str" cm="1">
        <f t="array" ref="W97">_xlfn.LET(_xlpm.roles,_xlfn.UNIQUE(D97:D2895), _xlpm.counts,COUNTIF(D97:D2895,_xlpm.roles), INDEX(_xlpm.roles,MATCH(MAX(_xlpm.counts),_xlpm.counts,0)))</f>
        <v>Entry Fragger</v>
      </c>
      <c r="X97" s="2">
        <f t="shared" si="9"/>
        <v>12.599585062240664</v>
      </c>
    </row>
    <row r="98" spans="1:24" x14ac:dyDescent="0.3">
      <c r="A98">
        <v>1560</v>
      </c>
      <c r="B98">
        <v>17</v>
      </c>
      <c r="C98" t="s">
        <v>25</v>
      </c>
      <c r="D98" t="s">
        <v>31</v>
      </c>
      <c r="E98" t="s">
        <v>23</v>
      </c>
      <c r="F98" t="s">
        <v>26</v>
      </c>
      <c r="G98">
        <v>15</v>
      </c>
      <c r="H98">
        <v>10</v>
      </c>
      <c r="I98">
        <v>11</v>
      </c>
      <c r="J98">
        <v>50.9</v>
      </c>
      <c r="K98">
        <v>182.03</v>
      </c>
      <c r="L98">
        <v>0.8</v>
      </c>
      <c r="M98">
        <v>46.45</v>
      </c>
      <c r="N98">
        <v>0.78</v>
      </c>
      <c r="O98" t="s">
        <v>20</v>
      </c>
      <c r="P98" t="s">
        <v>21</v>
      </c>
      <c r="Q98">
        <f t="shared" si="5"/>
        <v>14</v>
      </c>
      <c r="R98" s="4">
        <f>RANK(N98,$N$2:N$2800,0)</f>
        <v>2469</v>
      </c>
      <c r="S98">
        <f t="shared" si="6"/>
        <v>1.3636363636363635</v>
      </c>
      <c r="T98" t="str">
        <f t="shared" si="7"/>
        <v>Low</v>
      </c>
      <c r="U98" t="str" cm="1">
        <f t="array" ref="U98">_xlfn.LET(_xlpm.roles,_xlfn.UNIQUE(D98:D2896),_xlpm.kills, SUMIF(D98:D2896,_xlpm.roles,G98:G2896),INDEX(_xlpm.roles,MATCH(MAX(_xlpm.kills),_xlpm.kills,0)))</f>
        <v>Entry Fragger</v>
      </c>
      <c r="V98" t="str">
        <f t="shared" si="8"/>
        <v>High Accuracy</v>
      </c>
      <c r="W98" t="str" cm="1">
        <f t="array" ref="W98">_xlfn.LET(_xlpm.roles,_xlfn.UNIQUE(D98:D2896), _xlpm.counts,COUNTIF(D98:D2896,_xlpm.roles), INDEX(_xlpm.roles,MATCH(MAX(_xlpm.counts),_xlpm.counts,0)))</f>
        <v>Entry Fragger</v>
      </c>
      <c r="X98" s="2">
        <f t="shared" si="9"/>
        <v>12.809421841541756</v>
      </c>
    </row>
    <row r="99" spans="1:24" x14ac:dyDescent="0.3">
      <c r="A99">
        <v>1950</v>
      </c>
      <c r="B99">
        <v>17</v>
      </c>
      <c r="C99" t="s">
        <v>25</v>
      </c>
      <c r="D99" t="s">
        <v>17</v>
      </c>
      <c r="E99" t="s">
        <v>33</v>
      </c>
      <c r="F99" t="s">
        <v>24</v>
      </c>
      <c r="G99">
        <v>12</v>
      </c>
      <c r="H99">
        <v>7</v>
      </c>
      <c r="I99">
        <v>8</v>
      </c>
      <c r="J99">
        <v>43.97</v>
      </c>
      <c r="K99">
        <v>202.57</v>
      </c>
      <c r="L99">
        <v>0.21</v>
      </c>
      <c r="M99">
        <v>42.88</v>
      </c>
      <c r="N99">
        <v>0.75</v>
      </c>
      <c r="O99" t="s">
        <v>20</v>
      </c>
      <c r="P99" t="s">
        <v>21</v>
      </c>
      <c r="Q99">
        <f t="shared" si="5"/>
        <v>11</v>
      </c>
      <c r="R99" s="4">
        <f>RANK(N99,$N$2:N$2800,0)</f>
        <v>2586</v>
      </c>
      <c r="S99">
        <f t="shared" si="6"/>
        <v>1.5</v>
      </c>
      <c r="T99" t="str">
        <f t="shared" si="7"/>
        <v>Low</v>
      </c>
      <c r="U99" t="str" cm="1">
        <f t="array" ref="U99">_xlfn.LET(_xlpm.roles,_xlfn.UNIQUE(D99:D2897),_xlpm.kills, SUMIF(D99:D2897,_xlpm.roles,G99:G2897),INDEX(_xlpm.roles,MATCH(MAX(_xlpm.kills),_xlpm.kills,0)))</f>
        <v>Entry Fragger</v>
      </c>
      <c r="V99" t="str">
        <f t="shared" si="8"/>
        <v>Medium Accuracy</v>
      </c>
      <c r="W99" t="str" cm="1">
        <f t="array" ref="W99">_xlfn.LET(_xlpm.roles,_xlfn.UNIQUE(D99:D2897), _xlpm.counts,COUNTIF(D99:D2897,_xlpm.roles), INDEX(_xlpm.roles,MATCH(MAX(_xlpm.counts),_xlpm.counts,0)))</f>
        <v>Entry Fragger</v>
      </c>
      <c r="X99" s="2">
        <f t="shared" si="9"/>
        <v>12.809421841541756</v>
      </c>
    </row>
    <row r="100" spans="1:24" x14ac:dyDescent="0.3">
      <c r="A100">
        <v>2726</v>
      </c>
      <c r="B100">
        <v>17</v>
      </c>
      <c r="C100" t="s">
        <v>39</v>
      </c>
      <c r="D100" t="s">
        <v>17</v>
      </c>
      <c r="E100" t="s">
        <v>23</v>
      </c>
      <c r="F100" t="s">
        <v>37</v>
      </c>
      <c r="G100">
        <v>17</v>
      </c>
      <c r="H100">
        <v>11</v>
      </c>
      <c r="I100">
        <v>9</v>
      </c>
      <c r="J100">
        <v>44.38</v>
      </c>
      <c r="K100">
        <v>181.23</v>
      </c>
      <c r="L100">
        <v>0.87</v>
      </c>
      <c r="M100">
        <v>49.49</v>
      </c>
      <c r="N100">
        <v>0.95</v>
      </c>
      <c r="O100" t="s">
        <v>20</v>
      </c>
      <c r="P100" t="s">
        <v>21</v>
      </c>
      <c r="Q100">
        <f t="shared" si="5"/>
        <v>19</v>
      </c>
      <c r="R100" s="4">
        <f>RANK(N100,$N$2:N$2800,0)</f>
        <v>1367</v>
      </c>
      <c r="S100">
        <f t="shared" si="6"/>
        <v>1.8888888888888888</v>
      </c>
      <c r="T100" t="str">
        <f t="shared" si="7"/>
        <v>Good</v>
      </c>
      <c r="U100" t="str" cm="1">
        <f t="array" ref="U100">_xlfn.LET(_xlpm.roles,_xlfn.UNIQUE(D100:D2898),_xlpm.kills, SUMIF(D100:D2898,_xlpm.roles,G100:G2898),INDEX(_xlpm.roles,MATCH(MAX(_xlpm.kills),_xlpm.kills,0)))</f>
        <v>Entry Fragger</v>
      </c>
      <c r="V100" t="str">
        <f t="shared" si="8"/>
        <v>Medium Accuracy</v>
      </c>
      <c r="W100" t="str" cm="1">
        <f t="array" ref="W100">_xlfn.LET(_xlpm.roles,_xlfn.UNIQUE(D100:D2898), _xlpm.counts,COUNTIF(D100:D2898,_xlpm.roles), INDEX(_xlpm.roles,MATCH(MAX(_xlpm.counts),_xlpm.counts,0)))</f>
        <v>Entry Fragger</v>
      </c>
      <c r="X100" s="2">
        <f t="shared" si="9"/>
        <v>13.103594080338267</v>
      </c>
    </row>
    <row r="101" spans="1:24" x14ac:dyDescent="0.3">
      <c r="A101">
        <v>720</v>
      </c>
      <c r="B101">
        <v>18</v>
      </c>
      <c r="C101" t="s">
        <v>25</v>
      </c>
      <c r="D101" t="s">
        <v>28</v>
      </c>
      <c r="E101" t="s">
        <v>29</v>
      </c>
      <c r="F101" t="s">
        <v>34</v>
      </c>
      <c r="G101">
        <v>13</v>
      </c>
      <c r="H101">
        <v>8</v>
      </c>
      <c r="I101">
        <v>16</v>
      </c>
      <c r="J101">
        <v>45.2</v>
      </c>
      <c r="K101">
        <v>264.82</v>
      </c>
      <c r="L101">
        <v>0.31</v>
      </c>
      <c r="M101">
        <v>37.5</v>
      </c>
      <c r="N101">
        <v>0.9</v>
      </c>
      <c r="O101" t="s">
        <v>20</v>
      </c>
      <c r="P101" t="s">
        <v>21</v>
      </c>
      <c r="Q101">
        <f t="shared" si="5"/>
        <v>5</v>
      </c>
      <c r="R101" s="4">
        <f>RANK(N101,$N$2:N$2800,0)</f>
        <v>1738</v>
      </c>
      <c r="S101">
        <f t="shared" si="6"/>
        <v>0.8125</v>
      </c>
      <c r="T101" t="str">
        <f t="shared" si="7"/>
        <v>Low</v>
      </c>
      <c r="U101" t="str" cm="1">
        <f t="array" ref="U101">_xlfn.LET(_xlpm.roles,_xlfn.UNIQUE(D101:D2899),_xlpm.kills, SUMIF(D101:D2899,_xlpm.roles,G101:G2899),INDEX(_xlpm.roles,MATCH(MAX(_xlpm.kills),_xlpm.kills,0)))</f>
        <v>Entry Fragger</v>
      </c>
      <c r="V101" t="str">
        <f t="shared" si="8"/>
        <v>Medium Accuracy</v>
      </c>
      <c r="W101" t="str" cm="1">
        <f t="array" ref="W101">_xlfn.LET(_xlpm.roles,_xlfn.UNIQUE(D101:D2899), _xlpm.counts,COUNTIF(D101:D2899,_xlpm.roles), INDEX(_xlpm.roles,MATCH(MAX(_xlpm.counts),_xlpm.counts,0)))</f>
        <v>Entry Fragger</v>
      </c>
      <c r="X101" s="2">
        <f t="shared" si="9"/>
        <v>12.809421841541756</v>
      </c>
    </row>
    <row r="102" spans="1:24" x14ac:dyDescent="0.3">
      <c r="A102">
        <v>930</v>
      </c>
      <c r="B102">
        <v>18</v>
      </c>
      <c r="C102" t="s">
        <v>25</v>
      </c>
      <c r="D102" t="s">
        <v>17</v>
      </c>
      <c r="E102" t="s">
        <v>32</v>
      </c>
      <c r="F102" t="s">
        <v>37</v>
      </c>
      <c r="G102">
        <v>13</v>
      </c>
      <c r="H102">
        <v>10</v>
      </c>
      <c r="I102">
        <v>13</v>
      </c>
      <c r="J102">
        <v>40.9</v>
      </c>
      <c r="K102">
        <v>195.03</v>
      </c>
      <c r="L102">
        <v>0.51</v>
      </c>
      <c r="M102">
        <v>38.35</v>
      </c>
      <c r="N102">
        <v>0.92</v>
      </c>
      <c r="O102" t="s">
        <v>20</v>
      </c>
      <c r="P102" t="s">
        <v>21</v>
      </c>
      <c r="Q102">
        <f t="shared" si="5"/>
        <v>10</v>
      </c>
      <c r="R102" s="4">
        <f>RANK(N102,$N$2:N$2800,0)</f>
        <v>1585</v>
      </c>
      <c r="S102">
        <f t="shared" si="6"/>
        <v>1</v>
      </c>
      <c r="T102" t="str">
        <f t="shared" si="7"/>
        <v>Low</v>
      </c>
      <c r="U102" t="str" cm="1">
        <f t="array" ref="U102">_xlfn.LET(_xlpm.roles,_xlfn.UNIQUE(D102:D2900),_xlpm.kills, SUMIF(D102:D2900,_xlpm.roles,G102:G2900),INDEX(_xlpm.roles,MATCH(MAX(_xlpm.kills),_xlpm.kills,0)))</f>
        <v>Entry Fragger</v>
      </c>
      <c r="V102" t="str">
        <f t="shared" si="8"/>
        <v>Medium Accuracy</v>
      </c>
      <c r="W102" t="str" cm="1">
        <f t="array" ref="W102">_xlfn.LET(_xlpm.roles,_xlfn.UNIQUE(D102:D2900), _xlpm.counts,COUNTIF(D102:D2900,_xlpm.roles), INDEX(_xlpm.roles,MATCH(MAX(_xlpm.counts),_xlpm.counts,0)))</f>
        <v>Entry Fragger</v>
      </c>
      <c r="X102" s="2">
        <f t="shared" si="9"/>
        <v>12.809421841541756</v>
      </c>
    </row>
    <row r="103" spans="1:24" x14ac:dyDescent="0.3">
      <c r="A103">
        <v>962</v>
      </c>
      <c r="B103">
        <v>18</v>
      </c>
      <c r="C103" t="s">
        <v>30</v>
      </c>
      <c r="D103" t="s">
        <v>36</v>
      </c>
      <c r="E103" t="s">
        <v>29</v>
      </c>
      <c r="F103" t="s">
        <v>24</v>
      </c>
      <c r="G103">
        <v>11</v>
      </c>
      <c r="H103">
        <v>6</v>
      </c>
      <c r="I103">
        <v>9</v>
      </c>
      <c r="J103">
        <v>52.32</v>
      </c>
      <c r="K103">
        <v>227.85</v>
      </c>
      <c r="L103">
        <v>0.17</v>
      </c>
      <c r="M103">
        <v>43.46</v>
      </c>
      <c r="N103">
        <v>0.96</v>
      </c>
      <c r="O103" t="s">
        <v>20</v>
      </c>
      <c r="P103" t="s">
        <v>21</v>
      </c>
      <c r="Q103">
        <f t="shared" si="5"/>
        <v>8</v>
      </c>
      <c r="R103" s="4">
        <f>RANK(N103,$N$2:N$2800,0)</f>
        <v>1301</v>
      </c>
      <c r="S103">
        <f t="shared" si="6"/>
        <v>1.2222222222222223</v>
      </c>
      <c r="T103" t="str">
        <f t="shared" si="7"/>
        <v>Low</v>
      </c>
      <c r="U103" t="str" cm="1">
        <f t="array" ref="U103">_xlfn.LET(_xlpm.roles,_xlfn.UNIQUE(D103:D2901),_xlpm.kills, SUMIF(D103:D2901,_xlpm.roles,G103:G2901),INDEX(_xlpm.roles,MATCH(MAX(_xlpm.kills),_xlpm.kills,0)))</f>
        <v>Entry Fragger</v>
      </c>
      <c r="V103" t="str">
        <f t="shared" si="8"/>
        <v>High Accuracy</v>
      </c>
      <c r="W103" t="str" cm="1">
        <f t="array" ref="W103">_xlfn.LET(_xlpm.roles,_xlfn.UNIQUE(D103:D2901), _xlpm.counts,COUNTIF(D103:D2901,_xlpm.roles), INDEX(_xlpm.roles,MATCH(MAX(_xlpm.counts),_xlpm.counts,0)))</f>
        <v>Entry Fragger</v>
      </c>
      <c r="X103" s="2">
        <f t="shared" si="9"/>
        <v>13.135802469135802</v>
      </c>
    </row>
    <row r="104" spans="1:24" x14ac:dyDescent="0.3">
      <c r="A104">
        <v>1092</v>
      </c>
      <c r="B104">
        <v>18</v>
      </c>
      <c r="C104" t="s">
        <v>16</v>
      </c>
      <c r="D104" t="s">
        <v>36</v>
      </c>
      <c r="E104" t="s">
        <v>32</v>
      </c>
      <c r="F104" t="s">
        <v>19</v>
      </c>
      <c r="G104">
        <v>9</v>
      </c>
      <c r="H104">
        <v>8</v>
      </c>
      <c r="I104">
        <v>10</v>
      </c>
      <c r="J104">
        <v>22.96</v>
      </c>
      <c r="K104">
        <v>160.88999999999999</v>
      </c>
      <c r="L104">
        <v>0.53</v>
      </c>
      <c r="M104">
        <v>22.18</v>
      </c>
      <c r="N104">
        <v>0.66</v>
      </c>
      <c r="O104" t="s">
        <v>20</v>
      </c>
      <c r="P104" t="s">
        <v>21</v>
      </c>
      <c r="Q104">
        <f t="shared" si="5"/>
        <v>7</v>
      </c>
      <c r="R104" s="4">
        <f>RANK(N104,$N$2:N$2800,0)</f>
        <v>2746</v>
      </c>
      <c r="S104">
        <f t="shared" si="6"/>
        <v>0.9</v>
      </c>
      <c r="T104" t="str">
        <f t="shared" si="7"/>
        <v>Low</v>
      </c>
      <c r="U104" t="str" cm="1">
        <f t="array" ref="U104">_xlfn.LET(_xlpm.roles,_xlfn.UNIQUE(D104:D2902),_xlpm.kills, SUMIF(D104:D2902,_xlpm.roles,G104:G2902),INDEX(_xlpm.roles,MATCH(MAX(_xlpm.kills),_xlpm.kills,0)))</f>
        <v>Entry Fragger</v>
      </c>
      <c r="V104" t="str">
        <f t="shared" si="8"/>
        <v>Low Accuracy</v>
      </c>
      <c r="W104" t="str" cm="1">
        <f t="array" ref="W104">_xlfn.LET(_xlpm.roles,_xlfn.UNIQUE(D104:D2902), _xlpm.counts,COUNTIF(D104:D2902,_xlpm.roles), INDEX(_xlpm.roles,MATCH(MAX(_xlpm.counts),_xlpm.counts,0)))</f>
        <v>Entry Fragger</v>
      </c>
      <c r="X104" s="2">
        <f t="shared" si="9"/>
        <v>12.520971302428256</v>
      </c>
    </row>
    <row r="105" spans="1:24" x14ac:dyDescent="0.3">
      <c r="A105">
        <v>1262</v>
      </c>
      <c r="B105">
        <v>18</v>
      </c>
      <c r="C105" t="s">
        <v>30</v>
      </c>
      <c r="D105" t="s">
        <v>28</v>
      </c>
      <c r="E105" t="s">
        <v>33</v>
      </c>
      <c r="F105" t="s">
        <v>34</v>
      </c>
      <c r="G105">
        <v>14</v>
      </c>
      <c r="H105">
        <v>9</v>
      </c>
      <c r="I105">
        <v>9</v>
      </c>
      <c r="J105">
        <v>39.770000000000003</v>
      </c>
      <c r="K105">
        <v>162.36000000000001</v>
      </c>
      <c r="L105">
        <v>0.08</v>
      </c>
      <c r="M105">
        <v>47.09</v>
      </c>
      <c r="N105">
        <v>0.92</v>
      </c>
      <c r="O105" t="s">
        <v>20</v>
      </c>
      <c r="P105" t="s">
        <v>21</v>
      </c>
      <c r="Q105">
        <f t="shared" si="5"/>
        <v>14</v>
      </c>
      <c r="R105" s="4">
        <f>RANK(N105,$N$2:N$2800,0)</f>
        <v>1585</v>
      </c>
      <c r="S105">
        <f t="shared" si="6"/>
        <v>1.5555555555555556</v>
      </c>
      <c r="T105" t="str">
        <f t="shared" si="7"/>
        <v>Low</v>
      </c>
      <c r="U105" t="str" cm="1">
        <f t="array" ref="U105">_xlfn.LET(_xlpm.roles,_xlfn.UNIQUE(D105:D2903),_xlpm.kills, SUMIF(D105:D2903,_xlpm.roles,G105:G2903),INDEX(_xlpm.roles,MATCH(MAX(_xlpm.kills),_xlpm.kills,0)))</f>
        <v>Entry Fragger</v>
      </c>
      <c r="V105" t="str">
        <f t="shared" si="8"/>
        <v>Medium Accuracy</v>
      </c>
      <c r="W105" t="str" cm="1">
        <f t="array" ref="W105">_xlfn.LET(_xlpm.roles,_xlfn.UNIQUE(D105:D2903), _xlpm.counts,COUNTIF(D105:D2903,_xlpm.roles), INDEX(_xlpm.roles,MATCH(MAX(_xlpm.counts),_xlpm.counts,0)))</f>
        <v>Entry Fragger</v>
      </c>
      <c r="X105" s="2">
        <f t="shared" si="9"/>
        <v>13.135802469135802</v>
      </c>
    </row>
    <row r="106" spans="1:24" x14ac:dyDescent="0.3">
      <c r="A106">
        <v>1294</v>
      </c>
      <c r="B106">
        <v>18</v>
      </c>
      <c r="C106" t="s">
        <v>25</v>
      </c>
      <c r="D106" t="s">
        <v>22</v>
      </c>
      <c r="E106" t="s">
        <v>33</v>
      </c>
      <c r="F106" t="s">
        <v>24</v>
      </c>
      <c r="G106">
        <v>7</v>
      </c>
      <c r="H106">
        <v>8</v>
      </c>
      <c r="I106">
        <v>7</v>
      </c>
      <c r="J106">
        <v>40.270000000000003</v>
      </c>
      <c r="K106">
        <v>270.52999999999997</v>
      </c>
      <c r="L106">
        <v>0.49</v>
      </c>
      <c r="M106">
        <v>30.24</v>
      </c>
      <c r="N106">
        <v>0.8</v>
      </c>
      <c r="O106" t="s">
        <v>20</v>
      </c>
      <c r="P106" t="s">
        <v>21</v>
      </c>
      <c r="Q106">
        <f t="shared" si="5"/>
        <v>8</v>
      </c>
      <c r="R106" s="4">
        <f>RANK(N106,$N$2:N$2800,0)</f>
        <v>2393</v>
      </c>
      <c r="S106">
        <f t="shared" si="6"/>
        <v>1</v>
      </c>
      <c r="T106" t="str">
        <f t="shared" si="7"/>
        <v>Low</v>
      </c>
      <c r="U106" t="str" cm="1">
        <f t="array" ref="U106">_xlfn.LET(_xlpm.roles,_xlfn.UNIQUE(D106:D2904),_xlpm.kills, SUMIF(D106:D2904,_xlpm.roles,G106:G2904),INDEX(_xlpm.roles,MATCH(MAX(_xlpm.kills),_xlpm.kills,0)))</f>
        <v>Entry Fragger</v>
      </c>
      <c r="V106" t="str">
        <f t="shared" si="8"/>
        <v>Medium Accuracy</v>
      </c>
      <c r="W106" t="str" cm="1">
        <f t="array" ref="W106">_xlfn.LET(_xlpm.roles,_xlfn.UNIQUE(D106:D2904), _xlpm.counts,COUNTIF(D106:D2904,_xlpm.roles), INDEX(_xlpm.roles,MATCH(MAX(_xlpm.counts),_xlpm.counts,0)))</f>
        <v>Entry Fragger</v>
      </c>
      <c r="X106" s="2">
        <f t="shared" si="9"/>
        <v>12.809421841541756</v>
      </c>
    </row>
    <row r="107" spans="1:24" x14ac:dyDescent="0.3">
      <c r="A107">
        <v>2008</v>
      </c>
      <c r="B107">
        <v>18</v>
      </c>
      <c r="C107" t="s">
        <v>39</v>
      </c>
      <c r="D107" t="s">
        <v>28</v>
      </c>
      <c r="E107" t="s">
        <v>18</v>
      </c>
      <c r="F107" t="s">
        <v>19</v>
      </c>
      <c r="G107">
        <v>14</v>
      </c>
      <c r="H107">
        <v>9</v>
      </c>
      <c r="I107">
        <v>9</v>
      </c>
      <c r="J107">
        <v>44.74</v>
      </c>
      <c r="K107">
        <v>257.37</v>
      </c>
      <c r="L107">
        <v>0.66</v>
      </c>
      <c r="M107">
        <v>43.77</v>
      </c>
      <c r="N107">
        <v>0.85</v>
      </c>
      <c r="O107" t="s">
        <v>20</v>
      </c>
      <c r="P107" t="s">
        <v>21</v>
      </c>
      <c r="Q107">
        <f t="shared" si="5"/>
        <v>14</v>
      </c>
      <c r="R107" s="4">
        <f>RANK(N107,$N$2:N$2800,0)</f>
        <v>2105</v>
      </c>
      <c r="S107">
        <f t="shared" si="6"/>
        <v>1.5555555555555556</v>
      </c>
      <c r="T107" t="str">
        <f t="shared" si="7"/>
        <v>Low</v>
      </c>
      <c r="U107" t="str" cm="1">
        <f t="array" ref="U107">_xlfn.LET(_xlpm.roles,_xlfn.UNIQUE(D107:D2905),_xlpm.kills, SUMIF(D107:D2905,_xlpm.roles,G107:G2905),INDEX(_xlpm.roles,MATCH(MAX(_xlpm.kills),_xlpm.kills,0)))</f>
        <v>Entry Fragger</v>
      </c>
      <c r="V107" t="str">
        <f t="shared" si="8"/>
        <v>Medium Accuracy</v>
      </c>
      <c r="W107" t="str" cm="1">
        <f t="array" ref="W107">_xlfn.LET(_xlpm.roles,_xlfn.UNIQUE(D107:D2905), _xlpm.counts,COUNTIF(D107:D2905,_xlpm.roles), INDEX(_xlpm.roles,MATCH(MAX(_xlpm.counts),_xlpm.counts,0)))</f>
        <v>Entry Fragger</v>
      </c>
      <c r="X107" s="2">
        <f t="shared" si="9"/>
        <v>13.103594080338267</v>
      </c>
    </row>
    <row r="108" spans="1:24" x14ac:dyDescent="0.3">
      <c r="A108">
        <v>192</v>
      </c>
      <c r="B108">
        <v>19</v>
      </c>
      <c r="C108" t="s">
        <v>35</v>
      </c>
      <c r="D108" t="s">
        <v>28</v>
      </c>
      <c r="E108" t="s">
        <v>23</v>
      </c>
      <c r="F108" t="s">
        <v>34</v>
      </c>
      <c r="G108">
        <v>13</v>
      </c>
      <c r="H108">
        <v>5</v>
      </c>
      <c r="I108">
        <v>15</v>
      </c>
      <c r="J108">
        <v>35.53</v>
      </c>
      <c r="K108">
        <v>267.73</v>
      </c>
      <c r="L108">
        <v>0.15</v>
      </c>
      <c r="M108">
        <v>32.270000000000003</v>
      </c>
      <c r="N108">
        <v>0.8</v>
      </c>
      <c r="O108" t="s">
        <v>20</v>
      </c>
      <c r="P108" t="s">
        <v>21</v>
      </c>
      <c r="Q108">
        <f t="shared" si="5"/>
        <v>3</v>
      </c>
      <c r="R108" s="4">
        <f>RANK(N108,$N$2:N$2800,0)</f>
        <v>2393</v>
      </c>
      <c r="S108">
        <f t="shared" si="6"/>
        <v>0.8666666666666667</v>
      </c>
      <c r="T108" t="str">
        <f t="shared" si="7"/>
        <v>Low</v>
      </c>
      <c r="U108" t="str" cm="1">
        <f t="array" ref="U108">_xlfn.LET(_xlpm.roles,_xlfn.UNIQUE(D108:D2906),_xlpm.kills, SUMIF(D108:D2906,_xlpm.roles,G108:G2906),INDEX(_xlpm.roles,MATCH(MAX(_xlpm.kills),_xlpm.kills,0)))</f>
        <v>Entry Fragger</v>
      </c>
      <c r="V108" t="str">
        <f t="shared" si="8"/>
        <v>Medium Accuracy</v>
      </c>
      <c r="W108" t="str" cm="1">
        <f t="array" ref="W108">_xlfn.LET(_xlpm.roles,_xlfn.UNIQUE(D108:D2906), _xlpm.counts,COUNTIF(D108:D2906,_xlpm.roles), INDEX(_xlpm.roles,MATCH(MAX(_xlpm.counts),_xlpm.counts,0)))</f>
        <v>Entry Fragger</v>
      </c>
      <c r="X108" s="2">
        <f t="shared" si="9"/>
        <v>12.599585062240664</v>
      </c>
    </row>
    <row r="109" spans="1:24" x14ac:dyDescent="0.3">
      <c r="A109">
        <v>370</v>
      </c>
      <c r="B109">
        <v>19</v>
      </c>
      <c r="C109" t="s">
        <v>35</v>
      </c>
      <c r="D109" t="s">
        <v>28</v>
      </c>
      <c r="E109" t="s">
        <v>33</v>
      </c>
      <c r="F109" t="s">
        <v>26</v>
      </c>
      <c r="G109">
        <v>13</v>
      </c>
      <c r="H109">
        <v>11</v>
      </c>
      <c r="I109">
        <v>11</v>
      </c>
      <c r="J109">
        <v>56.2</v>
      </c>
      <c r="K109">
        <v>208.8</v>
      </c>
      <c r="L109">
        <v>0.88</v>
      </c>
      <c r="M109">
        <v>45.3</v>
      </c>
      <c r="N109">
        <v>0.9</v>
      </c>
      <c r="O109" t="s">
        <v>20</v>
      </c>
      <c r="P109" t="s">
        <v>21</v>
      </c>
      <c r="Q109">
        <f t="shared" si="5"/>
        <v>13</v>
      </c>
      <c r="R109" s="4">
        <f>RANK(N109,$N$2:N$2800,0)</f>
        <v>1738</v>
      </c>
      <c r="S109">
        <f t="shared" si="6"/>
        <v>1.1818181818181819</v>
      </c>
      <c r="T109" t="str">
        <f t="shared" si="7"/>
        <v>Low</v>
      </c>
      <c r="U109" t="str" cm="1">
        <f t="array" ref="U109">_xlfn.LET(_xlpm.roles,_xlfn.UNIQUE(D109:D2907),_xlpm.kills, SUMIF(D109:D2907,_xlpm.roles,G109:G2907),INDEX(_xlpm.roles,MATCH(MAX(_xlpm.kills),_xlpm.kills,0)))</f>
        <v>Entry Fragger</v>
      </c>
      <c r="V109" t="str">
        <f t="shared" si="8"/>
        <v>High Accuracy</v>
      </c>
      <c r="W109" t="str" cm="1">
        <f t="array" ref="W109">_xlfn.LET(_xlpm.roles,_xlfn.UNIQUE(D109:D2907), _xlpm.counts,COUNTIF(D109:D2907,_xlpm.roles), INDEX(_xlpm.roles,MATCH(MAX(_xlpm.counts),_xlpm.counts,0)))</f>
        <v>Entry Fragger</v>
      </c>
      <c r="X109" s="2">
        <f t="shared" si="9"/>
        <v>12.599585062240664</v>
      </c>
    </row>
    <row r="110" spans="1:24" x14ac:dyDescent="0.3">
      <c r="A110">
        <v>527</v>
      </c>
      <c r="B110">
        <v>19</v>
      </c>
      <c r="C110" t="s">
        <v>16</v>
      </c>
      <c r="D110" t="s">
        <v>17</v>
      </c>
      <c r="E110" t="s">
        <v>29</v>
      </c>
      <c r="F110" t="s">
        <v>37</v>
      </c>
      <c r="G110">
        <v>18</v>
      </c>
      <c r="H110">
        <v>5</v>
      </c>
      <c r="I110">
        <v>9</v>
      </c>
      <c r="J110">
        <v>51.55</v>
      </c>
      <c r="K110">
        <v>223.44</v>
      </c>
      <c r="L110">
        <v>0.39</v>
      </c>
      <c r="M110">
        <v>53.88</v>
      </c>
      <c r="N110">
        <v>1</v>
      </c>
      <c r="O110" t="s">
        <v>20</v>
      </c>
      <c r="P110" t="s">
        <v>21</v>
      </c>
      <c r="Q110">
        <f t="shared" si="5"/>
        <v>14</v>
      </c>
      <c r="R110" s="4">
        <f>RANK(N110,$N$2:N$2800,0)</f>
        <v>1</v>
      </c>
      <c r="S110">
        <f t="shared" si="6"/>
        <v>2</v>
      </c>
      <c r="T110" t="str">
        <f t="shared" si="7"/>
        <v>Low</v>
      </c>
      <c r="U110" t="str" cm="1">
        <f t="array" ref="U110">_xlfn.LET(_xlpm.roles,_xlfn.UNIQUE(D110:D2908),_xlpm.kills, SUMIF(D110:D2908,_xlpm.roles,G110:G2908),INDEX(_xlpm.roles,MATCH(MAX(_xlpm.kills),_xlpm.kills,0)))</f>
        <v>Entry Fragger</v>
      </c>
      <c r="V110" t="str">
        <f t="shared" si="8"/>
        <v>High Accuracy</v>
      </c>
      <c r="W110" t="str" cm="1">
        <f t="array" ref="W110">_xlfn.LET(_xlpm.roles,_xlfn.UNIQUE(D110:D2908), _xlpm.counts,COUNTIF(D110:D2908,_xlpm.roles), INDEX(_xlpm.roles,MATCH(MAX(_xlpm.counts),_xlpm.counts,0)))</f>
        <v>Entry Fragger</v>
      </c>
      <c r="X110" s="2">
        <f t="shared" si="9"/>
        <v>12.520971302428256</v>
      </c>
    </row>
    <row r="111" spans="1:24" x14ac:dyDescent="0.3">
      <c r="A111">
        <v>1185</v>
      </c>
      <c r="B111">
        <v>19</v>
      </c>
      <c r="C111" t="s">
        <v>16</v>
      </c>
      <c r="D111" t="s">
        <v>22</v>
      </c>
      <c r="E111" t="s">
        <v>23</v>
      </c>
      <c r="F111" t="s">
        <v>26</v>
      </c>
      <c r="G111">
        <v>16</v>
      </c>
      <c r="H111">
        <v>6</v>
      </c>
      <c r="I111">
        <v>10</v>
      </c>
      <c r="J111">
        <v>44.34</v>
      </c>
      <c r="K111">
        <v>240.61</v>
      </c>
      <c r="L111">
        <v>0.66</v>
      </c>
      <c r="M111">
        <v>43.57</v>
      </c>
      <c r="N111">
        <v>0.77</v>
      </c>
      <c r="O111" t="s">
        <v>20</v>
      </c>
      <c r="P111" t="s">
        <v>21</v>
      </c>
      <c r="Q111">
        <f t="shared" si="5"/>
        <v>12</v>
      </c>
      <c r="R111" s="4">
        <f>RANK(N111,$N$2:N$2800,0)</f>
        <v>2511</v>
      </c>
      <c r="S111">
        <f t="shared" si="6"/>
        <v>1.6</v>
      </c>
      <c r="T111" t="str">
        <f t="shared" si="7"/>
        <v>Low</v>
      </c>
      <c r="U111" t="str" cm="1">
        <f t="array" ref="U111">_xlfn.LET(_xlpm.roles,_xlfn.UNIQUE(D111:D2909),_xlpm.kills, SUMIF(D111:D2909,_xlpm.roles,G111:G2909),INDEX(_xlpm.roles,MATCH(MAX(_xlpm.kills),_xlpm.kills,0)))</f>
        <v>Entry Fragger</v>
      </c>
      <c r="V111" t="str">
        <f t="shared" si="8"/>
        <v>Medium Accuracy</v>
      </c>
      <c r="W111" t="str" cm="1">
        <f t="array" ref="W111">_xlfn.LET(_xlpm.roles,_xlfn.UNIQUE(D111:D2909), _xlpm.counts,COUNTIF(D111:D2909,_xlpm.roles), INDEX(_xlpm.roles,MATCH(MAX(_xlpm.counts),_xlpm.counts,0)))</f>
        <v>Entry Fragger</v>
      </c>
      <c r="X111" s="2">
        <f t="shared" si="9"/>
        <v>12.520971302428256</v>
      </c>
    </row>
    <row r="112" spans="1:24" x14ac:dyDescent="0.3">
      <c r="A112">
        <v>2269</v>
      </c>
      <c r="B112">
        <v>19</v>
      </c>
      <c r="C112" t="s">
        <v>16</v>
      </c>
      <c r="D112" t="s">
        <v>36</v>
      </c>
      <c r="E112" t="s">
        <v>23</v>
      </c>
      <c r="F112" t="s">
        <v>34</v>
      </c>
      <c r="G112">
        <v>15</v>
      </c>
      <c r="H112">
        <v>9</v>
      </c>
      <c r="I112">
        <v>10</v>
      </c>
      <c r="J112">
        <v>39.36</v>
      </c>
      <c r="K112">
        <v>215.57</v>
      </c>
      <c r="L112">
        <v>0.66</v>
      </c>
      <c r="M112">
        <v>42.08</v>
      </c>
      <c r="N112">
        <v>1</v>
      </c>
      <c r="O112" t="s">
        <v>20</v>
      </c>
      <c r="P112" t="s">
        <v>21</v>
      </c>
      <c r="Q112">
        <f t="shared" si="5"/>
        <v>14</v>
      </c>
      <c r="R112" s="4">
        <f>RANK(N112,$N$2:N$2800,0)</f>
        <v>1</v>
      </c>
      <c r="S112">
        <f t="shared" si="6"/>
        <v>1.5</v>
      </c>
      <c r="T112" t="str">
        <f t="shared" si="7"/>
        <v>Low</v>
      </c>
      <c r="U112" t="str" cm="1">
        <f t="array" ref="U112">_xlfn.LET(_xlpm.roles,_xlfn.UNIQUE(D112:D2910),_xlpm.kills, SUMIF(D112:D2910,_xlpm.roles,G112:G2910),INDEX(_xlpm.roles,MATCH(MAX(_xlpm.kills),_xlpm.kills,0)))</f>
        <v>Entry Fragger</v>
      </c>
      <c r="V112" t="str">
        <f t="shared" si="8"/>
        <v>Medium Accuracy</v>
      </c>
      <c r="W112" t="str" cm="1">
        <f t="array" ref="W112">_xlfn.LET(_xlpm.roles,_xlfn.UNIQUE(D112:D2910), _xlpm.counts,COUNTIF(D112:D2910,_xlpm.roles), INDEX(_xlpm.roles,MATCH(MAX(_xlpm.counts),_xlpm.counts,0)))</f>
        <v>Entry Fragger</v>
      </c>
      <c r="X112" s="2">
        <f t="shared" si="9"/>
        <v>12.520971302428256</v>
      </c>
    </row>
    <row r="113" spans="1:24" x14ac:dyDescent="0.3">
      <c r="A113">
        <v>2272</v>
      </c>
      <c r="B113">
        <v>19</v>
      </c>
      <c r="C113" t="s">
        <v>35</v>
      </c>
      <c r="D113" t="s">
        <v>36</v>
      </c>
      <c r="E113" t="s">
        <v>32</v>
      </c>
      <c r="F113" t="s">
        <v>19</v>
      </c>
      <c r="G113">
        <v>13</v>
      </c>
      <c r="H113">
        <v>7</v>
      </c>
      <c r="I113">
        <v>11</v>
      </c>
      <c r="J113">
        <v>44.37</v>
      </c>
      <c r="K113">
        <v>224.27</v>
      </c>
      <c r="L113">
        <v>0.39</v>
      </c>
      <c r="M113">
        <v>40.29</v>
      </c>
      <c r="N113">
        <v>0.82</v>
      </c>
      <c r="O113" t="s">
        <v>20</v>
      </c>
      <c r="P113" t="s">
        <v>21</v>
      </c>
      <c r="Q113">
        <f t="shared" si="5"/>
        <v>9</v>
      </c>
      <c r="R113" s="4">
        <f>RANK(N113,$N$2:N$2800,0)</f>
        <v>2275</v>
      </c>
      <c r="S113">
        <f t="shared" si="6"/>
        <v>1.1818181818181819</v>
      </c>
      <c r="T113" t="str">
        <f t="shared" si="7"/>
        <v>Low</v>
      </c>
      <c r="U113" t="str" cm="1">
        <f t="array" ref="U113">_xlfn.LET(_xlpm.roles,_xlfn.UNIQUE(D113:D2911),_xlpm.kills, SUMIF(D113:D2911,_xlpm.roles,G113:G2911),INDEX(_xlpm.roles,MATCH(MAX(_xlpm.kills),_xlpm.kills,0)))</f>
        <v>Entry Fragger</v>
      </c>
      <c r="V113" t="str">
        <f t="shared" si="8"/>
        <v>Medium Accuracy</v>
      </c>
      <c r="W113" t="str" cm="1">
        <f t="array" ref="W113">_xlfn.LET(_xlpm.roles,_xlfn.UNIQUE(D113:D2911), _xlpm.counts,COUNTIF(D113:D2911,_xlpm.roles), INDEX(_xlpm.roles,MATCH(MAX(_xlpm.counts),_xlpm.counts,0)))</f>
        <v>Entry Fragger</v>
      </c>
      <c r="X113" s="2">
        <f t="shared" si="9"/>
        <v>12.599585062240664</v>
      </c>
    </row>
    <row r="114" spans="1:24" x14ac:dyDescent="0.3">
      <c r="A114">
        <v>59</v>
      </c>
      <c r="B114">
        <v>20</v>
      </c>
      <c r="C114" t="s">
        <v>35</v>
      </c>
      <c r="D114" t="s">
        <v>28</v>
      </c>
      <c r="E114" t="s">
        <v>32</v>
      </c>
      <c r="F114" t="s">
        <v>24</v>
      </c>
      <c r="G114">
        <v>16</v>
      </c>
      <c r="H114">
        <v>10</v>
      </c>
      <c r="I114">
        <v>9</v>
      </c>
      <c r="J114">
        <v>44.73</v>
      </c>
      <c r="K114">
        <v>273.83999999999997</v>
      </c>
      <c r="L114">
        <v>0.08</v>
      </c>
      <c r="M114">
        <v>54.56</v>
      </c>
      <c r="N114">
        <v>1</v>
      </c>
      <c r="O114" t="s">
        <v>20</v>
      </c>
      <c r="P114" t="s">
        <v>21</v>
      </c>
      <c r="Q114">
        <f t="shared" si="5"/>
        <v>17</v>
      </c>
      <c r="R114" s="4">
        <f>RANK(N114,$N$2:N$2800,0)</f>
        <v>1</v>
      </c>
      <c r="S114">
        <f t="shared" si="6"/>
        <v>1.7777777777777777</v>
      </c>
      <c r="T114" t="str">
        <f t="shared" si="7"/>
        <v>Good</v>
      </c>
      <c r="U114" t="str" cm="1">
        <f t="array" ref="U114">_xlfn.LET(_xlpm.roles,_xlfn.UNIQUE(D114:D2912),_xlpm.kills, SUMIF(D114:D2912,_xlpm.roles,G114:G2912),INDEX(_xlpm.roles,MATCH(MAX(_xlpm.kills),_xlpm.kills,0)))</f>
        <v>Entry Fragger</v>
      </c>
      <c r="V114" t="str">
        <f t="shared" si="8"/>
        <v>Medium Accuracy</v>
      </c>
      <c r="W114" t="str" cm="1">
        <f t="array" ref="W114">_xlfn.LET(_xlpm.roles,_xlfn.UNIQUE(D114:D2912), _xlpm.counts,COUNTIF(D114:D2912,_xlpm.roles), INDEX(_xlpm.roles,MATCH(MAX(_xlpm.counts),_xlpm.counts,0)))</f>
        <v>Entry Fragger</v>
      </c>
      <c r="X114" s="2">
        <f t="shared" si="9"/>
        <v>12.599585062240664</v>
      </c>
    </row>
    <row r="115" spans="1:24" x14ac:dyDescent="0.3">
      <c r="A115">
        <v>69</v>
      </c>
      <c r="B115">
        <v>20</v>
      </c>
      <c r="C115" t="s">
        <v>25</v>
      </c>
      <c r="D115" t="s">
        <v>17</v>
      </c>
      <c r="E115" t="s">
        <v>23</v>
      </c>
      <c r="F115" t="s">
        <v>24</v>
      </c>
      <c r="G115">
        <v>13</v>
      </c>
      <c r="H115">
        <v>8</v>
      </c>
      <c r="I115">
        <v>4</v>
      </c>
      <c r="J115">
        <v>36.75</v>
      </c>
      <c r="K115">
        <v>204.12</v>
      </c>
      <c r="L115">
        <v>0.79</v>
      </c>
      <c r="M115">
        <v>40.479999999999997</v>
      </c>
      <c r="N115">
        <v>0.9</v>
      </c>
      <c r="O115" t="s">
        <v>20</v>
      </c>
      <c r="P115" t="s">
        <v>21</v>
      </c>
      <c r="Q115">
        <f t="shared" si="5"/>
        <v>17</v>
      </c>
      <c r="R115" s="4">
        <f>RANK(N115,$N$2:N$2800,0)</f>
        <v>1738</v>
      </c>
      <c r="S115">
        <f t="shared" si="6"/>
        <v>3.25</v>
      </c>
      <c r="T115" t="str">
        <f t="shared" si="7"/>
        <v>Good</v>
      </c>
      <c r="U115" t="str" cm="1">
        <f t="array" ref="U115">_xlfn.LET(_xlpm.roles,_xlfn.UNIQUE(D115:D2913),_xlpm.kills, SUMIF(D115:D2913,_xlpm.roles,G115:G2913),INDEX(_xlpm.roles,MATCH(MAX(_xlpm.kills),_xlpm.kills,0)))</f>
        <v>Entry Fragger</v>
      </c>
      <c r="V115" t="str">
        <f t="shared" si="8"/>
        <v>Medium Accuracy</v>
      </c>
      <c r="W115" t="str" cm="1">
        <f t="array" ref="W115">_xlfn.LET(_xlpm.roles,_xlfn.UNIQUE(D115:D2913), _xlpm.counts,COUNTIF(D115:D2913,_xlpm.roles), INDEX(_xlpm.roles,MATCH(MAX(_xlpm.counts),_xlpm.counts,0)))</f>
        <v>Entry Fragger</v>
      </c>
      <c r="X115" s="2">
        <f t="shared" si="9"/>
        <v>12.809421841541756</v>
      </c>
    </row>
    <row r="116" spans="1:24" x14ac:dyDescent="0.3">
      <c r="A116">
        <v>862</v>
      </c>
      <c r="B116">
        <v>20</v>
      </c>
      <c r="C116" t="s">
        <v>27</v>
      </c>
      <c r="D116" t="s">
        <v>31</v>
      </c>
      <c r="E116" t="s">
        <v>29</v>
      </c>
      <c r="F116" t="s">
        <v>19</v>
      </c>
      <c r="G116">
        <v>14</v>
      </c>
      <c r="H116">
        <v>5</v>
      </c>
      <c r="I116">
        <v>12</v>
      </c>
      <c r="J116">
        <v>42.1</v>
      </c>
      <c r="K116">
        <v>182.9</v>
      </c>
      <c r="L116">
        <v>0.78</v>
      </c>
      <c r="M116">
        <v>34.25</v>
      </c>
      <c r="N116">
        <v>0.88</v>
      </c>
      <c r="O116" t="s">
        <v>20</v>
      </c>
      <c r="P116" t="s">
        <v>21</v>
      </c>
      <c r="Q116">
        <f t="shared" si="5"/>
        <v>7</v>
      </c>
      <c r="R116" s="4">
        <f>RANK(N116,$N$2:N$2800,0)</f>
        <v>1894</v>
      </c>
      <c r="S116">
        <f t="shared" si="6"/>
        <v>1.1666666666666667</v>
      </c>
      <c r="T116" t="str">
        <f t="shared" si="7"/>
        <v>Low</v>
      </c>
      <c r="U116" t="str" cm="1">
        <f t="array" ref="U116">_xlfn.LET(_xlpm.roles,_xlfn.UNIQUE(D116:D2914),_xlpm.kills, SUMIF(D116:D2914,_xlpm.roles,G116:G2914),INDEX(_xlpm.roles,MATCH(MAX(_xlpm.kills),_xlpm.kills,0)))</f>
        <v>Entry Fragger</v>
      </c>
      <c r="V116" t="str">
        <f t="shared" si="8"/>
        <v>Medium Accuracy</v>
      </c>
      <c r="W116" t="str" cm="1">
        <f t="array" ref="W116">_xlfn.LET(_xlpm.roles,_xlfn.UNIQUE(D116:D2914), _xlpm.counts,COUNTIF(D116:D2914,_xlpm.roles), INDEX(_xlpm.roles,MATCH(MAX(_xlpm.counts),_xlpm.counts,0)))</f>
        <v>Entry Fragger</v>
      </c>
      <c r="X116" s="2">
        <f t="shared" si="9"/>
        <v>13.057077625570777</v>
      </c>
    </row>
    <row r="117" spans="1:24" x14ac:dyDescent="0.3">
      <c r="A117">
        <v>1052</v>
      </c>
      <c r="B117">
        <v>20</v>
      </c>
      <c r="C117" t="s">
        <v>30</v>
      </c>
      <c r="D117" t="s">
        <v>31</v>
      </c>
      <c r="E117" t="s">
        <v>23</v>
      </c>
      <c r="F117" t="s">
        <v>24</v>
      </c>
      <c r="G117">
        <v>16</v>
      </c>
      <c r="H117">
        <v>10</v>
      </c>
      <c r="I117">
        <v>5</v>
      </c>
      <c r="J117">
        <v>33.83</v>
      </c>
      <c r="K117">
        <v>243.36</v>
      </c>
      <c r="L117">
        <v>0.7</v>
      </c>
      <c r="M117">
        <v>46.91</v>
      </c>
      <c r="N117">
        <v>0.83</v>
      </c>
      <c r="O117" t="s">
        <v>20</v>
      </c>
      <c r="P117" t="s">
        <v>21</v>
      </c>
      <c r="Q117">
        <f t="shared" si="5"/>
        <v>21</v>
      </c>
      <c r="R117" s="4">
        <f>RANK(N117,$N$2:N$2800,0)</f>
        <v>2218</v>
      </c>
      <c r="S117">
        <f t="shared" si="6"/>
        <v>3.2</v>
      </c>
      <c r="T117" t="str">
        <f t="shared" si="7"/>
        <v>Good</v>
      </c>
      <c r="U117" t="str" cm="1">
        <f t="array" ref="U117">_xlfn.LET(_xlpm.roles,_xlfn.UNIQUE(D117:D2915),_xlpm.kills, SUMIF(D117:D2915,_xlpm.roles,G117:G2915),INDEX(_xlpm.roles,MATCH(MAX(_xlpm.kills),_xlpm.kills,0)))</f>
        <v>Entry Fragger</v>
      </c>
      <c r="V117" t="str">
        <f t="shared" si="8"/>
        <v>Medium Accuracy</v>
      </c>
      <c r="W117" t="str" cm="1">
        <f t="array" ref="W117">_xlfn.LET(_xlpm.roles,_xlfn.UNIQUE(D117:D2915), _xlpm.counts,COUNTIF(D117:D2915,_xlpm.roles), INDEX(_xlpm.roles,MATCH(MAX(_xlpm.counts),_xlpm.counts,0)))</f>
        <v>Entry Fragger</v>
      </c>
      <c r="X117" s="2">
        <f t="shared" si="9"/>
        <v>13.135802469135802</v>
      </c>
    </row>
    <row r="118" spans="1:24" x14ac:dyDescent="0.3">
      <c r="A118">
        <v>1291</v>
      </c>
      <c r="B118">
        <v>20</v>
      </c>
      <c r="C118" t="s">
        <v>16</v>
      </c>
      <c r="D118" t="s">
        <v>22</v>
      </c>
      <c r="E118" t="s">
        <v>29</v>
      </c>
      <c r="F118" t="s">
        <v>19</v>
      </c>
      <c r="G118">
        <v>15</v>
      </c>
      <c r="H118">
        <v>4</v>
      </c>
      <c r="I118">
        <v>13</v>
      </c>
      <c r="J118">
        <v>35.630000000000003</v>
      </c>
      <c r="K118">
        <v>250.55</v>
      </c>
      <c r="L118">
        <v>0.8</v>
      </c>
      <c r="M118">
        <v>30.81</v>
      </c>
      <c r="N118">
        <v>0.98</v>
      </c>
      <c r="O118" t="s">
        <v>20</v>
      </c>
      <c r="P118" t="s">
        <v>21</v>
      </c>
      <c r="Q118">
        <f t="shared" si="5"/>
        <v>6</v>
      </c>
      <c r="R118" s="4">
        <f>RANK(N118,$N$2:N$2800,0)</f>
        <v>1157</v>
      </c>
      <c r="S118">
        <f t="shared" si="6"/>
        <v>1.1538461538461537</v>
      </c>
      <c r="T118" t="str">
        <f t="shared" si="7"/>
        <v>Low</v>
      </c>
      <c r="U118" t="str" cm="1">
        <f t="array" ref="U118">_xlfn.LET(_xlpm.roles,_xlfn.UNIQUE(D118:D2916),_xlpm.kills, SUMIF(D118:D2916,_xlpm.roles,G118:G2916),INDEX(_xlpm.roles,MATCH(MAX(_xlpm.kills),_xlpm.kills,0)))</f>
        <v>Entry Fragger</v>
      </c>
      <c r="V118" t="str">
        <f t="shared" si="8"/>
        <v>Medium Accuracy</v>
      </c>
      <c r="W118" t="str" cm="1">
        <f t="array" ref="W118">_xlfn.LET(_xlpm.roles,_xlfn.UNIQUE(D118:D2916), _xlpm.counts,COUNTIF(D118:D2916,_xlpm.roles), INDEX(_xlpm.roles,MATCH(MAX(_xlpm.counts),_xlpm.counts,0)))</f>
        <v>Entry Fragger</v>
      </c>
      <c r="X118" s="2">
        <f t="shared" si="9"/>
        <v>12.520971302428256</v>
      </c>
    </row>
    <row r="119" spans="1:24" x14ac:dyDescent="0.3">
      <c r="A119">
        <v>2089</v>
      </c>
      <c r="B119">
        <v>20</v>
      </c>
      <c r="C119" t="s">
        <v>25</v>
      </c>
      <c r="D119" t="s">
        <v>36</v>
      </c>
      <c r="E119" t="s">
        <v>29</v>
      </c>
      <c r="F119" t="s">
        <v>26</v>
      </c>
      <c r="G119">
        <v>19</v>
      </c>
      <c r="H119">
        <v>4</v>
      </c>
      <c r="I119">
        <v>11</v>
      </c>
      <c r="J119">
        <v>36.58</v>
      </c>
      <c r="K119">
        <v>246.8</v>
      </c>
      <c r="L119">
        <v>0.59</v>
      </c>
      <c r="M119">
        <v>43.39</v>
      </c>
      <c r="N119">
        <v>1</v>
      </c>
      <c r="O119" t="s">
        <v>20</v>
      </c>
      <c r="P119" t="s">
        <v>21</v>
      </c>
      <c r="Q119">
        <f t="shared" si="5"/>
        <v>12</v>
      </c>
      <c r="R119" s="4">
        <f>RANK(N119,$N$2:N$2800,0)</f>
        <v>1</v>
      </c>
      <c r="S119">
        <f t="shared" si="6"/>
        <v>1.7272727272727273</v>
      </c>
      <c r="T119" t="str">
        <f t="shared" si="7"/>
        <v>Low</v>
      </c>
      <c r="U119" t="str" cm="1">
        <f t="array" ref="U119">_xlfn.LET(_xlpm.roles,_xlfn.UNIQUE(D119:D2917),_xlpm.kills, SUMIF(D119:D2917,_xlpm.roles,G119:G2917),INDEX(_xlpm.roles,MATCH(MAX(_xlpm.kills),_xlpm.kills,0)))</f>
        <v>Entry Fragger</v>
      </c>
      <c r="V119" t="str">
        <f t="shared" si="8"/>
        <v>Medium Accuracy</v>
      </c>
      <c r="W119" t="str" cm="1">
        <f t="array" ref="W119">_xlfn.LET(_xlpm.roles,_xlfn.UNIQUE(D119:D2917), _xlpm.counts,COUNTIF(D119:D2917,_xlpm.roles), INDEX(_xlpm.roles,MATCH(MAX(_xlpm.counts),_xlpm.counts,0)))</f>
        <v>Entry Fragger</v>
      </c>
      <c r="X119" s="2">
        <f t="shared" si="9"/>
        <v>12.809421841541756</v>
      </c>
    </row>
    <row r="120" spans="1:24" x14ac:dyDescent="0.3">
      <c r="A120">
        <v>2167</v>
      </c>
      <c r="B120">
        <v>20</v>
      </c>
      <c r="C120" t="s">
        <v>27</v>
      </c>
      <c r="D120" t="s">
        <v>31</v>
      </c>
      <c r="E120" t="s">
        <v>18</v>
      </c>
      <c r="F120" t="s">
        <v>19</v>
      </c>
      <c r="G120">
        <v>15</v>
      </c>
      <c r="H120">
        <v>4</v>
      </c>
      <c r="I120">
        <v>12</v>
      </c>
      <c r="J120">
        <v>44.09</v>
      </c>
      <c r="K120">
        <v>182.15</v>
      </c>
      <c r="L120">
        <v>1</v>
      </c>
      <c r="M120">
        <v>34.049999999999997</v>
      </c>
      <c r="N120">
        <v>0.74</v>
      </c>
      <c r="O120" t="s">
        <v>20</v>
      </c>
      <c r="P120" t="s">
        <v>21</v>
      </c>
      <c r="Q120">
        <f t="shared" si="5"/>
        <v>7</v>
      </c>
      <c r="R120" s="4">
        <f>RANK(N120,$N$2:N$2800,0)</f>
        <v>2613</v>
      </c>
      <c r="S120">
        <f t="shared" si="6"/>
        <v>1.25</v>
      </c>
      <c r="T120" t="str">
        <f t="shared" si="7"/>
        <v>Low</v>
      </c>
      <c r="U120" t="str" cm="1">
        <f t="array" ref="U120">_xlfn.LET(_xlpm.roles,_xlfn.UNIQUE(D120:D2918),_xlpm.kills, SUMIF(D120:D2918,_xlpm.roles,G120:G2918),INDEX(_xlpm.roles,MATCH(MAX(_xlpm.kills),_xlpm.kills,0)))</f>
        <v>Entry Fragger</v>
      </c>
      <c r="V120" t="str">
        <f t="shared" si="8"/>
        <v>Medium Accuracy</v>
      </c>
      <c r="W120" t="str" cm="1">
        <f t="array" ref="W120">_xlfn.LET(_xlpm.roles,_xlfn.UNIQUE(D120:D2918), _xlpm.counts,COUNTIF(D120:D2918,_xlpm.roles), INDEX(_xlpm.roles,MATCH(MAX(_xlpm.counts),_xlpm.counts,0)))</f>
        <v>Entry Fragger</v>
      </c>
      <c r="X120" s="2">
        <f t="shared" si="9"/>
        <v>13.057077625570777</v>
      </c>
    </row>
    <row r="121" spans="1:24" x14ac:dyDescent="0.3">
      <c r="A121">
        <v>2593</v>
      </c>
      <c r="B121">
        <v>20</v>
      </c>
      <c r="C121" t="s">
        <v>27</v>
      </c>
      <c r="D121" t="s">
        <v>28</v>
      </c>
      <c r="E121" t="s">
        <v>32</v>
      </c>
      <c r="F121" t="s">
        <v>24</v>
      </c>
      <c r="G121">
        <v>19</v>
      </c>
      <c r="H121">
        <v>8</v>
      </c>
      <c r="I121">
        <v>11</v>
      </c>
      <c r="J121">
        <v>46.59</v>
      </c>
      <c r="K121">
        <v>218.76</v>
      </c>
      <c r="L121">
        <v>0.13</v>
      </c>
      <c r="M121">
        <v>57</v>
      </c>
      <c r="N121">
        <v>1</v>
      </c>
      <c r="O121" t="s">
        <v>20</v>
      </c>
      <c r="P121" t="s">
        <v>21</v>
      </c>
      <c r="Q121">
        <f t="shared" si="5"/>
        <v>16</v>
      </c>
      <c r="R121" s="4">
        <f>RANK(N121,$N$2:N$2800,0)</f>
        <v>1</v>
      </c>
      <c r="S121">
        <f t="shared" si="6"/>
        <v>1.7272727272727273</v>
      </c>
      <c r="T121" t="str">
        <f t="shared" si="7"/>
        <v>Good</v>
      </c>
      <c r="U121" t="str" cm="1">
        <f t="array" ref="U121">_xlfn.LET(_xlpm.roles,_xlfn.UNIQUE(D121:D2919),_xlpm.kills, SUMIF(D121:D2919,_xlpm.roles,G121:G2919),INDEX(_xlpm.roles,MATCH(MAX(_xlpm.kills),_xlpm.kills,0)))</f>
        <v>Entry Fragger</v>
      </c>
      <c r="V121" t="str">
        <f t="shared" si="8"/>
        <v>Medium Accuracy</v>
      </c>
      <c r="W121" t="str" cm="1">
        <f t="array" ref="W121">_xlfn.LET(_xlpm.roles,_xlfn.UNIQUE(D121:D2919), _xlpm.counts,COUNTIF(D121:D2919,_xlpm.roles), INDEX(_xlpm.roles,MATCH(MAX(_xlpm.counts),_xlpm.counts,0)))</f>
        <v>Entry Fragger</v>
      </c>
      <c r="X121" s="2">
        <f t="shared" si="9"/>
        <v>13.057077625570777</v>
      </c>
    </row>
    <row r="122" spans="1:24" x14ac:dyDescent="0.3">
      <c r="A122">
        <v>2646</v>
      </c>
      <c r="B122">
        <v>20</v>
      </c>
      <c r="C122" t="s">
        <v>25</v>
      </c>
      <c r="D122" t="s">
        <v>36</v>
      </c>
      <c r="E122" t="s">
        <v>29</v>
      </c>
      <c r="F122" t="s">
        <v>34</v>
      </c>
      <c r="G122">
        <v>11</v>
      </c>
      <c r="H122">
        <v>6</v>
      </c>
      <c r="I122">
        <v>5</v>
      </c>
      <c r="J122">
        <v>37.31</v>
      </c>
      <c r="K122">
        <v>211.13</v>
      </c>
      <c r="L122">
        <v>0.11</v>
      </c>
      <c r="M122">
        <v>40.549999999999997</v>
      </c>
      <c r="N122">
        <v>0.94</v>
      </c>
      <c r="O122" t="s">
        <v>20</v>
      </c>
      <c r="P122" t="s">
        <v>21</v>
      </c>
      <c r="Q122">
        <f t="shared" si="5"/>
        <v>12</v>
      </c>
      <c r="R122" s="4">
        <f>RANK(N122,$N$2:N$2800,0)</f>
        <v>1431</v>
      </c>
      <c r="S122">
        <f t="shared" si="6"/>
        <v>2.2000000000000002</v>
      </c>
      <c r="T122" t="str">
        <f t="shared" si="7"/>
        <v>Low</v>
      </c>
      <c r="U122" t="str" cm="1">
        <f t="array" ref="U122">_xlfn.LET(_xlpm.roles,_xlfn.UNIQUE(D122:D2920),_xlpm.kills, SUMIF(D122:D2920,_xlpm.roles,G122:G2920),INDEX(_xlpm.roles,MATCH(MAX(_xlpm.kills),_xlpm.kills,0)))</f>
        <v>Entry Fragger</v>
      </c>
      <c r="V122" t="str">
        <f t="shared" si="8"/>
        <v>Medium Accuracy</v>
      </c>
      <c r="W122" t="str" cm="1">
        <f t="array" ref="W122">_xlfn.LET(_xlpm.roles,_xlfn.UNIQUE(D122:D2920), _xlpm.counts,COUNTIF(D122:D2920,_xlpm.roles), INDEX(_xlpm.roles,MATCH(MAX(_xlpm.counts),_xlpm.counts,0)))</f>
        <v>Entry Fragger</v>
      </c>
      <c r="X122" s="2">
        <f t="shared" si="9"/>
        <v>12.809421841541756</v>
      </c>
    </row>
    <row r="123" spans="1:24" x14ac:dyDescent="0.3">
      <c r="A123">
        <v>824</v>
      </c>
      <c r="B123">
        <v>21</v>
      </c>
      <c r="C123" t="s">
        <v>35</v>
      </c>
      <c r="D123" t="s">
        <v>28</v>
      </c>
      <c r="E123" t="s">
        <v>29</v>
      </c>
      <c r="F123" t="s">
        <v>37</v>
      </c>
      <c r="G123">
        <v>17</v>
      </c>
      <c r="H123">
        <v>4</v>
      </c>
      <c r="I123">
        <v>4</v>
      </c>
      <c r="J123">
        <v>54.41</v>
      </c>
      <c r="K123">
        <v>221.8</v>
      </c>
      <c r="L123">
        <v>0.22</v>
      </c>
      <c r="M123">
        <v>59</v>
      </c>
      <c r="N123">
        <v>1</v>
      </c>
      <c r="O123" t="s">
        <v>20</v>
      </c>
      <c r="P123" t="s">
        <v>21</v>
      </c>
      <c r="Q123">
        <f t="shared" si="5"/>
        <v>17</v>
      </c>
      <c r="R123" s="4">
        <f>RANK(N123,$N$2:N$2800,0)</f>
        <v>1</v>
      </c>
      <c r="S123">
        <f t="shared" si="6"/>
        <v>4.25</v>
      </c>
      <c r="T123" t="str">
        <f t="shared" si="7"/>
        <v>Good</v>
      </c>
      <c r="U123" t="str" cm="1">
        <f t="array" ref="U123">_xlfn.LET(_xlpm.roles,_xlfn.UNIQUE(D123:D2921),_xlpm.kills, SUMIF(D123:D2921,_xlpm.roles,G123:G2921),INDEX(_xlpm.roles,MATCH(MAX(_xlpm.kills),_xlpm.kills,0)))</f>
        <v>Entry Fragger</v>
      </c>
      <c r="V123" t="str">
        <f t="shared" si="8"/>
        <v>High Accuracy</v>
      </c>
      <c r="W123" t="str" cm="1">
        <f t="array" ref="W123">_xlfn.LET(_xlpm.roles,_xlfn.UNIQUE(D123:D2921), _xlpm.counts,COUNTIF(D123:D2921,_xlpm.roles), INDEX(_xlpm.roles,MATCH(MAX(_xlpm.counts),_xlpm.counts,0)))</f>
        <v>Entry Fragger</v>
      </c>
      <c r="X123" s="2">
        <f t="shared" si="9"/>
        <v>12.599585062240664</v>
      </c>
    </row>
    <row r="124" spans="1:24" x14ac:dyDescent="0.3">
      <c r="A124">
        <v>900</v>
      </c>
      <c r="B124">
        <v>21</v>
      </c>
      <c r="C124" t="s">
        <v>35</v>
      </c>
      <c r="D124" t="s">
        <v>22</v>
      </c>
      <c r="E124" t="s">
        <v>29</v>
      </c>
      <c r="F124" t="s">
        <v>26</v>
      </c>
      <c r="G124">
        <v>19</v>
      </c>
      <c r="H124">
        <v>5</v>
      </c>
      <c r="I124">
        <v>4</v>
      </c>
      <c r="J124">
        <v>39.200000000000003</v>
      </c>
      <c r="K124">
        <v>193.45</v>
      </c>
      <c r="L124">
        <v>0.38</v>
      </c>
      <c r="M124">
        <v>54.8</v>
      </c>
      <c r="N124">
        <v>1</v>
      </c>
      <c r="O124" t="s">
        <v>20</v>
      </c>
      <c r="P124" t="s">
        <v>21</v>
      </c>
      <c r="Q124">
        <f t="shared" si="5"/>
        <v>20</v>
      </c>
      <c r="R124" s="4">
        <f>RANK(N124,$N$2:N$2800,0)</f>
        <v>1</v>
      </c>
      <c r="S124">
        <f t="shared" si="6"/>
        <v>4.75</v>
      </c>
      <c r="T124" t="str">
        <f t="shared" si="7"/>
        <v>Good</v>
      </c>
      <c r="U124" t="str" cm="1">
        <f t="array" ref="U124">_xlfn.LET(_xlpm.roles,_xlfn.UNIQUE(D124:D2922),_xlpm.kills, SUMIF(D124:D2922,_xlpm.roles,G124:G2922),INDEX(_xlpm.roles,MATCH(MAX(_xlpm.kills),_xlpm.kills,0)))</f>
        <v>Entry Fragger</v>
      </c>
      <c r="V124" t="str">
        <f t="shared" si="8"/>
        <v>Medium Accuracy</v>
      </c>
      <c r="W124" t="str" cm="1">
        <f t="array" ref="W124">_xlfn.LET(_xlpm.roles,_xlfn.UNIQUE(D124:D2922), _xlpm.counts,COUNTIF(D124:D2922,_xlpm.roles), INDEX(_xlpm.roles,MATCH(MAX(_xlpm.counts),_xlpm.counts,0)))</f>
        <v>Entry Fragger</v>
      </c>
      <c r="X124" s="2">
        <f t="shared" si="9"/>
        <v>12.599585062240664</v>
      </c>
    </row>
    <row r="125" spans="1:24" x14ac:dyDescent="0.3">
      <c r="A125">
        <v>911</v>
      </c>
      <c r="B125">
        <v>21</v>
      </c>
      <c r="C125" t="s">
        <v>35</v>
      </c>
      <c r="D125" t="s">
        <v>17</v>
      </c>
      <c r="E125" t="s">
        <v>33</v>
      </c>
      <c r="F125" t="s">
        <v>34</v>
      </c>
      <c r="G125">
        <v>10</v>
      </c>
      <c r="H125">
        <v>7</v>
      </c>
      <c r="I125">
        <v>6</v>
      </c>
      <c r="J125">
        <v>45.98</v>
      </c>
      <c r="K125">
        <v>262.83999999999997</v>
      </c>
      <c r="L125">
        <v>0.09</v>
      </c>
      <c r="M125">
        <v>43.09</v>
      </c>
      <c r="N125">
        <v>1</v>
      </c>
      <c r="O125" t="s">
        <v>20</v>
      </c>
      <c r="P125" t="s">
        <v>21</v>
      </c>
      <c r="Q125">
        <f t="shared" si="5"/>
        <v>11</v>
      </c>
      <c r="R125" s="4">
        <f>RANK(N125,$N$2:N$2800,0)</f>
        <v>1</v>
      </c>
      <c r="S125">
        <f t="shared" si="6"/>
        <v>1.6666666666666667</v>
      </c>
      <c r="T125" t="str">
        <f t="shared" si="7"/>
        <v>Low</v>
      </c>
      <c r="U125" t="str" cm="1">
        <f t="array" ref="U125">_xlfn.LET(_xlpm.roles,_xlfn.UNIQUE(D125:D2923),_xlpm.kills, SUMIF(D125:D2923,_xlpm.roles,G125:G2923),INDEX(_xlpm.roles,MATCH(MAX(_xlpm.kills),_xlpm.kills,0)))</f>
        <v>Entry Fragger</v>
      </c>
      <c r="V125" t="str">
        <f t="shared" si="8"/>
        <v>Medium Accuracy</v>
      </c>
      <c r="W125" t="str" cm="1">
        <f t="array" ref="W125">_xlfn.LET(_xlpm.roles,_xlfn.UNIQUE(D125:D2923), _xlpm.counts,COUNTIF(D125:D2923,_xlpm.roles), INDEX(_xlpm.roles,MATCH(MAX(_xlpm.counts),_xlpm.counts,0)))</f>
        <v>Entry Fragger</v>
      </c>
      <c r="X125" s="2">
        <f t="shared" si="9"/>
        <v>12.599585062240664</v>
      </c>
    </row>
    <row r="126" spans="1:24" x14ac:dyDescent="0.3">
      <c r="A126">
        <v>1625</v>
      </c>
      <c r="B126">
        <v>21</v>
      </c>
      <c r="C126" t="s">
        <v>39</v>
      </c>
      <c r="D126" t="s">
        <v>17</v>
      </c>
      <c r="E126" t="s">
        <v>18</v>
      </c>
      <c r="F126" t="s">
        <v>37</v>
      </c>
      <c r="G126">
        <v>9</v>
      </c>
      <c r="H126">
        <v>2</v>
      </c>
      <c r="I126">
        <v>15</v>
      </c>
      <c r="J126">
        <v>43.68</v>
      </c>
      <c r="K126">
        <v>266.08999999999997</v>
      </c>
      <c r="L126">
        <v>0.52</v>
      </c>
      <c r="M126">
        <v>21.64</v>
      </c>
      <c r="N126">
        <v>0.76</v>
      </c>
      <c r="O126" t="s">
        <v>20</v>
      </c>
      <c r="P126" t="s">
        <v>21</v>
      </c>
      <c r="Q126">
        <f t="shared" si="5"/>
        <v>-4</v>
      </c>
      <c r="R126" s="4">
        <f>RANK(N126,$N$2:N$2800,0)</f>
        <v>2547</v>
      </c>
      <c r="S126">
        <f t="shared" si="6"/>
        <v>0.6</v>
      </c>
      <c r="T126" t="str">
        <f t="shared" si="7"/>
        <v>Low</v>
      </c>
      <c r="U126" t="str" cm="1">
        <f t="array" ref="U126">_xlfn.LET(_xlpm.roles,_xlfn.UNIQUE(D126:D2924),_xlpm.kills, SUMIF(D126:D2924,_xlpm.roles,G126:G2924),INDEX(_xlpm.roles,MATCH(MAX(_xlpm.kills),_xlpm.kills,0)))</f>
        <v>Entry Fragger</v>
      </c>
      <c r="V126" t="str">
        <f t="shared" si="8"/>
        <v>Medium Accuracy</v>
      </c>
      <c r="W126" t="str" cm="1">
        <f t="array" ref="W126">_xlfn.LET(_xlpm.roles,_xlfn.UNIQUE(D126:D2924), _xlpm.counts,COUNTIF(D126:D2924,_xlpm.roles), INDEX(_xlpm.roles,MATCH(MAX(_xlpm.counts),_xlpm.counts,0)))</f>
        <v>Entry Fragger</v>
      </c>
      <c r="X126" s="2">
        <f t="shared" si="9"/>
        <v>13.103594080338267</v>
      </c>
    </row>
    <row r="127" spans="1:24" x14ac:dyDescent="0.3">
      <c r="A127">
        <v>1975</v>
      </c>
      <c r="B127">
        <v>21</v>
      </c>
      <c r="C127" t="s">
        <v>25</v>
      </c>
      <c r="D127" t="s">
        <v>31</v>
      </c>
      <c r="E127" t="s">
        <v>33</v>
      </c>
      <c r="F127" t="s">
        <v>34</v>
      </c>
      <c r="G127">
        <v>10</v>
      </c>
      <c r="H127">
        <v>8</v>
      </c>
      <c r="I127">
        <v>10</v>
      </c>
      <c r="J127">
        <v>34.619999999999997</v>
      </c>
      <c r="K127">
        <v>181.81</v>
      </c>
      <c r="L127">
        <v>0.83</v>
      </c>
      <c r="M127">
        <v>27.01</v>
      </c>
      <c r="N127">
        <v>0.76</v>
      </c>
      <c r="O127" t="s">
        <v>20</v>
      </c>
      <c r="P127" t="s">
        <v>21</v>
      </c>
      <c r="Q127">
        <f t="shared" si="5"/>
        <v>8</v>
      </c>
      <c r="R127" s="4">
        <f>RANK(N127,$N$2:N$2800,0)</f>
        <v>2547</v>
      </c>
      <c r="S127">
        <f t="shared" si="6"/>
        <v>1</v>
      </c>
      <c r="T127" t="str">
        <f t="shared" si="7"/>
        <v>Low</v>
      </c>
      <c r="U127" t="str" cm="1">
        <f t="array" ref="U127">_xlfn.LET(_xlpm.roles,_xlfn.UNIQUE(D127:D2925),_xlpm.kills, SUMIF(D127:D2925,_xlpm.roles,G127:G2925),INDEX(_xlpm.roles,MATCH(MAX(_xlpm.kills),_xlpm.kills,0)))</f>
        <v>Entry Fragger</v>
      </c>
      <c r="V127" t="str">
        <f t="shared" si="8"/>
        <v>Medium Accuracy</v>
      </c>
      <c r="W127" t="str" cm="1">
        <f t="array" ref="W127">_xlfn.LET(_xlpm.roles,_xlfn.UNIQUE(D127:D2925), _xlpm.counts,COUNTIF(D127:D2925,_xlpm.roles), INDEX(_xlpm.roles,MATCH(MAX(_xlpm.counts),_xlpm.counts,0)))</f>
        <v>Entry Fragger</v>
      </c>
      <c r="X127" s="2">
        <f t="shared" si="9"/>
        <v>12.809421841541756</v>
      </c>
    </row>
    <row r="128" spans="1:24" x14ac:dyDescent="0.3">
      <c r="A128">
        <v>2587</v>
      </c>
      <c r="B128">
        <v>21</v>
      </c>
      <c r="C128" t="s">
        <v>25</v>
      </c>
      <c r="D128" t="s">
        <v>17</v>
      </c>
      <c r="E128" t="s">
        <v>33</v>
      </c>
      <c r="F128" t="s">
        <v>26</v>
      </c>
      <c r="G128">
        <v>11</v>
      </c>
      <c r="H128">
        <v>4</v>
      </c>
      <c r="I128">
        <v>5</v>
      </c>
      <c r="J128">
        <v>53.03</v>
      </c>
      <c r="K128">
        <v>196</v>
      </c>
      <c r="L128">
        <v>0.51</v>
      </c>
      <c r="M128">
        <v>42.41</v>
      </c>
      <c r="N128">
        <v>0.99</v>
      </c>
      <c r="O128" t="s">
        <v>20</v>
      </c>
      <c r="P128" t="s">
        <v>21</v>
      </c>
      <c r="Q128">
        <f t="shared" si="5"/>
        <v>10</v>
      </c>
      <c r="R128" s="4">
        <f>RANK(N128,$N$2:N$2800,0)</f>
        <v>1080</v>
      </c>
      <c r="S128">
        <f t="shared" si="6"/>
        <v>2.2000000000000002</v>
      </c>
      <c r="T128" t="str">
        <f t="shared" si="7"/>
        <v>Low</v>
      </c>
      <c r="U128" t="str" cm="1">
        <f t="array" ref="U128">_xlfn.LET(_xlpm.roles,_xlfn.UNIQUE(D128:D2926),_xlpm.kills, SUMIF(D128:D2926,_xlpm.roles,G128:G2926),INDEX(_xlpm.roles,MATCH(MAX(_xlpm.kills),_xlpm.kills,0)))</f>
        <v>Entry Fragger</v>
      </c>
      <c r="V128" t="str">
        <f t="shared" si="8"/>
        <v>High Accuracy</v>
      </c>
      <c r="W128" t="str" cm="1">
        <f t="array" ref="W128">_xlfn.LET(_xlpm.roles,_xlfn.UNIQUE(D128:D2926), _xlpm.counts,COUNTIF(D128:D2926,_xlpm.roles), INDEX(_xlpm.roles,MATCH(MAX(_xlpm.counts),_xlpm.counts,0)))</f>
        <v>Entry Fragger</v>
      </c>
      <c r="X128" s="2">
        <f t="shared" si="9"/>
        <v>12.809421841541756</v>
      </c>
    </row>
    <row r="129" spans="1:24" x14ac:dyDescent="0.3">
      <c r="A129">
        <v>45</v>
      </c>
      <c r="B129">
        <v>22</v>
      </c>
      <c r="C129" t="s">
        <v>39</v>
      </c>
      <c r="D129" t="s">
        <v>31</v>
      </c>
      <c r="E129" t="s">
        <v>18</v>
      </c>
      <c r="F129" t="s">
        <v>34</v>
      </c>
      <c r="G129">
        <v>11</v>
      </c>
      <c r="H129">
        <v>8</v>
      </c>
      <c r="I129">
        <v>12</v>
      </c>
      <c r="J129">
        <v>38.61</v>
      </c>
      <c r="K129">
        <v>215.06</v>
      </c>
      <c r="L129">
        <v>1</v>
      </c>
      <c r="M129">
        <v>27.3</v>
      </c>
      <c r="N129">
        <v>1</v>
      </c>
      <c r="O129" t="s">
        <v>20</v>
      </c>
      <c r="P129" t="s">
        <v>21</v>
      </c>
      <c r="Q129">
        <f t="shared" si="5"/>
        <v>7</v>
      </c>
      <c r="R129" s="4">
        <f>RANK(N129,$N$2:N$2800,0)</f>
        <v>1</v>
      </c>
      <c r="S129">
        <f t="shared" si="6"/>
        <v>0.91666666666666663</v>
      </c>
      <c r="T129" t="str">
        <f t="shared" si="7"/>
        <v>Low</v>
      </c>
      <c r="U129" t="str" cm="1">
        <f t="array" ref="U129">_xlfn.LET(_xlpm.roles,_xlfn.UNIQUE(D129:D2927),_xlpm.kills, SUMIF(D129:D2927,_xlpm.roles,G129:G2927),INDEX(_xlpm.roles,MATCH(MAX(_xlpm.kills),_xlpm.kills,0)))</f>
        <v>Entry Fragger</v>
      </c>
      <c r="V129" t="str">
        <f t="shared" si="8"/>
        <v>Medium Accuracy</v>
      </c>
      <c r="W129" t="str" cm="1">
        <f t="array" ref="W129">_xlfn.LET(_xlpm.roles,_xlfn.UNIQUE(D129:D2927), _xlpm.counts,COUNTIF(D129:D2927,_xlpm.roles), INDEX(_xlpm.roles,MATCH(MAX(_xlpm.counts),_xlpm.counts,0)))</f>
        <v>Entry Fragger</v>
      </c>
      <c r="X129" s="2">
        <f t="shared" si="9"/>
        <v>13.103594080338267</v>
      </c>
    </row>
    <row r="130" spans="1:24" x14ac:dyDescent="0.3">
      <c r="A130">
        <v>856</v>
      </c>
      <c r="B130">
        <v>22</v>
      </c>
      <c r="C130" t="s">
        <v>35</v>
      </c>
      <c r="D130" t="s">
        <v>36</v>
      </c>
      <c r="E130" t="s">
        <v>33</v>
      </c>
      <c r="F130" t="s">
        <v>34</v>
      </c>
      <c r="G130">
        <v>14</v>
      </c>
      <c r="H130">
        <v>8</v>
      </c>
      <c r="I130">
        <v>9</v>
      </c>
      <c r="J130">
        <v>43.2</v>
      </c>
      <c r="K130">
        <v>191.16</v>
      </c>
      <c r="L130">
        <v>0.79</v>
      </c>
      <c r="M130">
        <v>40.700000000000003</v>
      </c>
      <c r="N130">
        <v>0.9</v>
      </c>
      <c r="O130" t="s">
        <v>20</v>
      </c>
      <c r="P130" t="s">
        <v>21</v>
      </c>
      <c r="Q130">
        <f t="shared" si="5"/>
        <v>13</v>
      </c>
      <c r="R130" s="4">
        <f>RANK(N130,$N$2:N$2800,0)</f>
        <v>1738</v>
      </c>
      <c r="S130">
        <f t="shared" si="6"/>
        <v>1.5555555555555556</v>
      </c>
      <c r="T130" t="str">
        <f t="shared" si="7"/>
        <v>Low</v>
      </c>
      <c r="U130" t="str" cm="1">
        <f t="array" ref="U130">_xlfn.LET(_xlpm.roles,_xlfn.UNIQUE(D130:D2928),_xlpm.kills, SUMIF(D130:D2928,_xlpm.roles,G130:G2928),INDEX(_xlpm.roles,MATCH(MAX(_xlpm.kills),_xlpm.kills,0)))</f>
        <v>Entry Fragger</v>
      </c>
      <c r="V130" t="str">
        <f t="shared" si="8"/>
        <v>Medium Accuracy</v>
      </c>
      <c r="W130" t="str" cm="1">
        <f t="array" ref="W130">_xlfn.LET(_xlpm.roles,_xlfn.UNIQUE(D130:D2928), _xlpm.counts,COUNTIF(D130:D2928,_xlpm.roles), INDEX(_xlpm.roles,MATCH(MAX(_xlpm.counts),_xlpm.counts,0)))</f>
        <v>Entry Fragger</v>
      </c>
      <c r="X130" s="2">
        <f t="shared" si="9"/>
        <v>12.599585062240664</v>
      </c>
    </row>
    <row r="131" spans="1:24" x14ac:dyDescent="0.3">
      <c r="A131">
        <v>876</v>
      </c>
      <c r="B131">
        <v>22</v>
      </c>
      <c r="C131" t="s">
        <v>16</v>
      </c>
      <c r="D131" t="s">
        <v>17</v>
      </c>
      <c r="E131" t="s">
        <v>33</v>
      </c>
      <c r="F131" t="s">
        <v>24</v>
      </c>
      <c r="G131">
        <v>9</v>
      </c>
      <c r="H131">
        <v>12</v>
      </c>
      <c r="I131">
        <v>9</v>
      </c>
      <c r="J131">
        <v>48.01</v>
      </c>
      <c r="K131">
        <v>179.77</v>
      </c>
      <c r="L131">
        <v>0.61</v>
      </c>
      <c r="M131">
        <v>38.9</v>
      </c>
      <c r="N131">
        <v>1</v>
      </c>
      <c r="O131" t="s">
        <v>20</v>
      </c>
      <c r="P131" t="s">
        <v>21</v>
      </c>
      <c r="Q131">
        <f t="shared" ref="Q131:Q194" si="10">G131+H131-I131</f>
        <v>12</v>
      </c>
      <c r="R131" s="4">
        <f>RANK(N131,$N$2:N$2800,0)</f>
        <v>1</v>
      </c>
      <c r="S131">
        <f t="shared" ref="S131:S194" si="11">G131/I131</f>
        <v>1</v>
      </c>
      <c r="T131" t="str">
        <f t="shared" ref="T131:T194" si="12">IF(Q131&lt;15,"Low",IF(Q131&lt;25,"Good","Excellent"))</f>
        <v>Low</v>
      </c>
      <c r="U131" t="str" cm="1">
        <f t="array" ref="U131">_xlfn.LET(_xlpm.roles,_xlfn.UNIQUE(D131:D2929),_xlpm.kills, SUMIF(D131:D2929,_xlpm.roles,G131:G2929),INDEX(_xlpm.roles,MATCH(MAX(_xlpm.kills),_xlpm.kills,0)))</f>
        <v>Entry Fragger</v>
      </c>
      <c r="V131" t="str">
        <f t="shared" ref="V131:V194" si="13">IF(J131&gt;=50,"High Accuracy",IF(J131&gt;=30,"Medium Accuracy","Low Accuracy"))</f>
        <v>Medium Accuracy</v>
      </c>
      <c r="W131" t="str" cm="1">
        <f t="array" ref="W131">_xlfn.LET(_xlpm.roles,_xlfn.UNIQUE(D131:D2929), _xlpm.counts,COUNTIF(D131:D2929,_xlpm.roles), INDEX(_xlpm.roles,MATCH(MAX(_xlpm.counts),_xlpm.counts,0)))</f>
        <v>Entry Fragger</v>
      </c>
      <c r="X131" s="2">
        <f t="shared" ref="X131:X194" si="14">AVERAGEIF($C$2:$C$2800,C131,$Q$2:$Q$2800)</f>
        <v>12.520971302428256</v>
      </c>
    </row>
    <row r="132" spans="1:24" x14ac:dyDescent="0.3">
      <c r="A132">
        <v>1232</v>
      </c>
      <c r="B132">
        <v>22</v>
      </c>
      <c r="C132" t="s">
        <v>16</v>
      </c>
      <c r="D132" t="s">
        <v>28</v>
      </c>
      <c r="E132" t="s">
        <v>32</v>
      </c>
      <c r="F132" t="s">
        <v>34</v>
      </c>
      <c r="G132">
        <v>10</v>
      </c>
      <c r="H132">
        <v>12</v>
      </c>
      <c r="I132">
        <v>17</v>
      </c>
      <c r="J132">
        <v>38.28</v>
      </c>
      <c r="K132">
        <v>256.47000000000003</v>
      </c>
      <c r="L132">
        <v>0.82</v>
      </c>
      <c r="M132">
        <v>25.94</v>
      </c>
      <c r="N132">
        <v>0.65</v>
      </c>
      <c r="O132" t="s">
        <v>20</v>
      </c>
      <c r="P132" t="s">
        <v>21</v>
      </c>
      <c r="Q132">
        <f t="shared" si="10"/>
        <v>5</v>
      </c>
      <c r="R132" s="4">
        <f>RANK(N132,$N$2:N$2800,0)</f>
        <v>2756</v>
      </c>
      <c r="S132">
        <f t="shared" si="11"/>
        <v>0.58823529411764708</v>
      </c>
      <c r="T132" t="str">
        <f t="shared" si="12"/>
        <v>Low</v>
      </c>
      <c r="U132" t="str" cm="1">
        <f t="array" ref="U132">_xlfn.LET(_xlpm.roles,_xlfn.UNIQUE(D132:D2930),_xlpm.kills, SUMIF(D132:D2930,_xlpm.roles,G132:G2930),INDEX(_xlpm.roles,MATCH(MAX(_xlpm.kills),_xlpm.kills,0)))</f>
        <v>Entry Fragger</v>
      </c>
      <c r="V132" t="str">
        <f t="shared" si="13"/>
        <v>Medium Accuracy</v>
      </c>
      <c r="W132" t="str" cm="1">
        <f t="array" ref="W132">_xlfn.LET(_xlpm.roles,_xlfn.UNIQUE(D132:D2930), _xlpm.counts,COUNTIF(D132:D2930,_xlpm.roles), INDEX(_xlpm.roles,MATCH(MAX(_xlpm.counts),_xlpm.counts,0)))</f>
        <v>Entry Fragger</v>
      </c>
      <c r="X132" s="2">
        <f t="shared" si="14"/>
        <v>12.520971302428256</v>
      </c>
    </row>
    <row r="133" spans="1:24" x14ac:dyDescent="0.3">
      <c r="A133">
        <v>43</v>
      </c>
      <c r="B133">
        <v>23</v>
      </c>
      <c r="C133" t="s">
        <v>27</v>
      </c>
      <c r="D133" t="s">
        <v>17</v>
      </c>
      <c r="E133" t="s">
        <v>18</v>
      </c>
      <c r="F133" t="s">
        <v>19</v>
      </c>
      <c r="G133">
        <v>22</v>
      </c>
      <c r="H133">
        <v>11</v>
      </c>
      <c r="I133">
        <v>6</v>
      </c>
      <c r="J133">
        <v>45.45</v>
      </c>
      <c r="K133">
        <v>252.83</v>
      </c>
      <c r="L133">
        <v>0.59</v>
      </c>
      <c r="M133">
        <v>65.819999999999993</v>
      </c>
      <c r="N133">
        <v>1</v>
      </c>
      <c r="O133" t="s">
        <v>20</v>
      </c>
      <c r="P133" t="s">
        <v>38</v>
      </c>
      <c r="Q133">
        <f t="shared" si="10"/>
        <v>27</v>
      </c>
      <c r="R133" s="4">
        <f>RANK(N133,$N$2:N$2800,0)</f>
        <v>1</v>
      </c>
      <c r="S133">
        <f t="shared" si="11"/>
        <v>3.6666666666666665</v>
      </c>
      <c r="T133" t="str">
        <f t="shared" si="12"/>
        <v>Excellent</v>
      </c>
      <c r="U133" t="str" cm="1">
        <f t="array" ref="U133">_xlfn.LET(_xlpm.roles,_xlfn.UNIQUE(D133:D2931),_xlpm.kills, SUMIF(D133:D2931,_xlpm.roles,G133:G2931),INDEX(_xlpm.roles,MATCH(MAX(_xlpm.kills),_xlpm.kills,0)))</f>
        <v>Entry Fragger</v>
      </c>
      <c r="V133" t="str">
        <f t="shared" si="13"/>
        <v>Medium Accuracy</v>
      </c>
      <c r="W133" t="str" cm="1">
        <f t="array" ref="W133">_xlfn.LET(_xlpm.roles,_xlfn.UNIQUE(D133:D2931), _xlpm.counts,COUNTIF(D133:D2931,_xlpm.roles), INDEX(_xlpm.roles,MATCH(MAX(_xlpm.counts),_xlpm.counts,0)))</f>
        <v>Entry Fragger</v>
      </c>
      <c r="X133" s="2">
        <f t="shared" si="14"/>
        <v>13.057077625570777</v>
      </c>
    </row>
    <row r="134" spans="1:24" x14ac:dyDescent="0.3">
      <c r="A134">
        <v>229</v>
      </c>
      <c r="B134">
        <v>23</v>
      </c>
      <c r="C134" t="s">
        <v>39</v>
      </c>
      <c r="D134" t="s">
        <v>28</v>
      </c>
      <c r="E134" t="s">
        <v>23</v>
      </c>
      <c r="F134" t="s">
        <v>26</v>
      </c>
      <c r="G134">
        <v>23</v>
      </c>
      <c r="H134">
        <v>9</v>
      </c>
      <c r="I134">
        <v>10</v>
      </c>
      <c r="J134">
        <v>40.28</v>
      </c>
      <c r="K134">
        <v>245.33</v>
      </c>
      <c r="L134">
        <v>0.13</v>
      </c>
      <c r="M134">
        <v>63.84</v>
      </c>
      <c r="N134">
        <v>1</v>
      </c>
      <c r="O134" t="s">
        <v>20</v>
      </c>
      <c r="P134" t="s">
        <v>38</v>
      </c>
      <c r="Q134">
        <f t="shared" si="10"/>
        <v>22</v>
      </c>
      <c r="R134" s="4">
        <f>RANK(N134,$N$2:N$2800,0)</f>
        <v>1</v>
      </c>
      <c r="S134">
        <f t="shared" si="11"/>
        <v>2.2999999999999998</v>
      </c>
      <c r="T134" t="str">
        <f t="shared" si="12"/>
        <v>Good</v>
      </c>
      <c r="U134" t="str" cm="1">
        <f t="array" ref="U134">_xlfn.LET(_xlpm.roles,_xlfn.UNIQUE(D134:D2932),_xlpm.kills, SUMIF(D134:D2932,_xlpm.roles,G134:G2932),INDEX(_xlpm.roles,MATCH(MAX(_xlpm.kills),_xlpm.kills,0)))</f>
        <v>Entry Fragger</v>
      </c>
      <c r="V134" t="str">
        <f t="shared" si="13"/>
        <v>Medium Accuracy</v>
      </c>
      <c r="W134" t="str" cm="1">
        <f t="array" ref="W134">_xlfn.LET(_xlpm.roles,_xlfn.UNIQUE(D134:D2932), _xlpm.counts,COUNTIF(D134:D2932,_xlpm.roles), INDEX(_xlpm.roles,MATCH(MAX(_xlpm.counts),_xlpm.counts,0)))</f>
        <v>Entry Fragger</v>
      </c>
      <c r="X134" s="2">
        <f t="shared" si="14"/>
        <v>13.103594080338267</v>
      </c>
    </row>
    <row r="135" spans="1:24" x14ac:dyDescent="0.3">
      <c r="A135">
        <v>1170</v>
      </c>
      <c r="B135">
        <v>23</v>
      </c>
      <c r="C135" t="s">
        <v>27</v>
      </c>
      <c r="D135" t="s">
        <v>17</v>
      </c>
      <c r="E135" t="s">
        <v>23</v>
      </c>
      <c r="F135" t="s">
        <v>37</v>
      </c>
      <c r="G135">
        <v>23</v>
      </c>
      <c r="H135">
        <v>10</v>
      </c>
      <c r="I135">
        <v>10</v>
      </c>
      <c r="J135">
        <v>41.69</v>
      </c>
      <c r="K135">
        <v>165.32</v>
      </c>
      <c r="L135">
        <v>0.18</v>
      </c>
      <c r="M135">
        <v>65.05</v>
      </c>
      <c r="N135">
        <v>1</v>
      </c>
      <c r="O135" t="s">
        <v>20</v>
      </c>
      <c r="P135" t="s">
        <v>38</v>
      </c>
      <c r="Q135">
        <f t="shared" si="10"/>
        <v>23</v>
      </c>
      <c r="R135" s="4">
        <f>RANK(N135,$N$2:N$2800,0)</f>
        <v>1</v>
      </c>
      <c r="S135">
        <f t="shared" si="11"/>
        <v>2.2999999999999998</v>
      </c>
      <c r="T135" t="str">
        <f t="shared" si="12"/>
        <v>Good</v>
      </c>
      <c r="U135" t="str" cm="1">
        <f t="array" ref="U135">_xlfn.LET(_xlpm.roles,_xlfn.UNIQUE(D135:D2933),_xlpm.kills, SUMIF(D135:D2933,_xlpm.roles,G135:G2933),INDEX(_xlpm.roles,MATCH(MAX(_xlpm.kills),_xlpm.kills,0)))</f>
        <v>Entry Fragger</v>
      </c>
      <c r="V135" t="str">
        <f t="shared" si="13"/>
        <v>Medium Accuracy</v>
      </c>
      <c r="W135" t="str" cm="1">
        <f t="array" ref="W135">_xlfn.LET(_xlpm.roles,_xlfn.UNIQUE(D135:D2933), _xlpm.counts,COUNTIF(D135:D2933,_xlpm.roles), INDEX(_xlpm.roles,MATCH(MAX(_xlpm.counts),_xlpm.counts,0)))</f>
        <v>Entry Fragger</v>
      </c>
      <c r="X135" s="2">
        <f t="shared" si="14"/>
        <v>13.057077625570777</v>
      </c>
    </row>
    <row r="136" spans="1:24" x14ac:dyDescent="0.3">
      <c r="A136">
        <v>2121</v>
      </c>
      <c r="B136">
        <v>23</v>
      </c>
      <c r="C136" t="s">
        <v>27</v>
      </c>
      <c r="D136" t="s">
        <v>36</v>
      </c>
      <c r="E136" t="s">
        <v>32</v>
      </c>
      <c r="F136" t="s">
        <v>37</v>
      </c>
      <c r="G136">
        <v>20</v>
      </c>
      <c r="H136">
        <v>5</v>
      </c>
      <c r="I136">
        <v>11</v>
      </c>
      <c r="J136">
        <v>45.69</v>
      </c>
      <c r="K136">
        <v>250.02</v>
      </c>
      <c r="L136">
        <v>0.59</v>
      </c>
      <c r="M136">
        <v>50.95</v>
      </c>
      <c r="N136">
        <v>0.91</v>
      </c>
      <c r="O136" t="s">
        <v>20</v>
      </c>
      <c r="P136" t="s">
        <v>21</v>
      </c>
      <c r="Q136">
        <f t="shared" si="10"/>
        <v>14</v>
      </c>
      <c r="R136" s="4">
        <f>RANK(N136,$N$2:N$2800,0)</f>
        <v>1665</v>
      </c>
      <c r="S136">
        <f t="shared" si="11"/>
        <v>1.8181818181818181</v>
      </c>
      <c r="T136" t="str">
        <f t="shared" si="12"/>
        <v>Low</v>
      </c>
      <c r="U136" t="str" cm="1">
        <f t="array" ref="U136">_xlfn.LET(_xlpm.roles,_xlfn.UNIQUE(D136:D2934),_xlpm.kills, SUMIF(D136:D2934,_xlpm.roles,G136:G2934),INDEX(_xlpm.roles,MATCH(MAX(_xlpm.kills),_xlpm.kills,0)))</f>
        <v>Entry Fragger</v>
      </c>
      <c r="V136" t="str">
        <f t="shared" si="13"/>
        <v>Medium Accuracy</v>
      </c>
      <c r="W136" t="str" cm="1">
        <f t="array" ref="W136">_xlfn.LET(_xlpm.roles,_xlfn.UNIQUE(D136:D2934), _xlpm.counts,COUNTIF(D136:D2934,_xlpm.roles), INDEX(_xlpm.roles,MATCH(MAX(_xlpm.counts),_xlpm.counts,0)))</f>
        <v>Entry Fragger</v>
      </c>
      <c r="X136" s="2">
        <f t="shared" si="14"/>
        <v>13.057077625570777</v>
      </c>
    </row>
    <row r="137" spans="1:24" x14ac:dyDescent="0.3">
      <c r="A137">
        <v>913</v>
      </c>
      <c r="B137">
        <v>24</v>
      </c>
      <c r="C137" t="s">
        <v>30</v>
      </c>
      <c r="D137" t="s">
        <v>36</v>
      </c>
      <c r="E137" t="s">
        <v>29</v>
      </c>
      <c r="F137" t="s">
        <v>34</v>
      </c>
      <c r="G137">
        <v>13</v>
      </c>
      <c r="H137">
        <v>10</v>
      </c>
      <c r="I137">
        <v>8</v>
      </c>
      <c r="J137">
        <v>39.020000000000003</v>
      </c>
      <c r="K137">
        <v>166.45</v>
      </c>
      <c r="L137">
        <v>0.49</v>
      </c>
      <c r="M137">
        <v>42.61</v>
      </c>
      <c r="N137">
        <v>0.93</v>
      </c>
      <c r="O137" t="s">
        <v>20</v>
      </c>
      <c r="P137" t="s">
        <v>21</v>
      </c>
      <c r="Q137">
        <f t="shared" si="10"/>
        <v>15</v>
      </c>
      <c r="R137" s="4">
        <f>RANK(N137,$N$2:N$2800,0)</f>
        <v>1505</v>
      </c>
      <c r="S137">
        <f t="shared" si="11"/>
        <v>1.625</v>
      </c>
      <c r="T137" t="str">
        <f t="shared" si="12"/>
        <v>Good</v>
      </c>
      <c r="U137" t="str" cm="1">
        <f t="array" ref="U137">_xlfn.LET(_xlpm.roles,_xlfn.UNIQUE(D137:D2935),_xlpm.kills, SUMIF(D137:D2935,_xlpm.roles,G137:G2935),INDEX(_xlpm.roles,MATCH(MAX(_xlpm.kills),_xlpm.kills,0)))</f>
        <v>Entry Fragger</v>
      </c>
      <c r="V137" t="str">
        <f t="shared" si="13"/>
        <v>Medium Accuracy</v>
      </c>
      <c r="W137" t="str" cm="1">
        <f t="array" ref="W137">_xlfn.LET(_xlpm.roles,_xlfn.UNIQUE(D137:D2935), _xlpm.counts,COUNTIF(D137:D2935,_xlpm.roles), INDEX(_xlpm.roles,MATCH(MAX(_xlpm.counts),_xlpm.counts,0)))</f>
        <v>Entry Fragger</v>
      </c>
      <c r="X137" s="2">
        <f t="shared" si="14"/>
        <v>13.135802469135802</v>
      </c>
    </row>
    <row r="138" spans="1:24" x14ac:dyDescent="0.3">
      <c r="A138">
        <v>1320</v>
      </c>
      <c r="B138">
        <v>24</v>
      </c>
      <c r="C138" t="s">
        <v>39</v>
      </c>
      <c r="D138" t="s">
        <v>28</v>
      </c>
      <c r="E138" t="s">
        <v>29</v>
      </c>
      <c r="F138" t="s">
        <v>37</v>
      </c>
      <c r="G138">
        <v>18</v>
      </c>
      <c r="H138">
        <v>11</v>
      </c>
      <c r="I138">
        <v>15</v>
      </c>
      <c r="J138">
        <v>34.79</v>
      </c>
      <c r="K138">
        <v>213.49</v>
      </c>
      <c r="L138">
        <v>0.9</v>
      </c>
      <c r="M138">
        <v>40.39</v>
      </c>
      <c r="N138">
        <v>0.93</v>
      </c>
      <c r="O138" t="s">
        <v>20</v>
      </c>
      <c r="P138" t="s">
        <v>21</v>
      </c>
      <c r="Q138">
        <f t="shared" si="10"/>
        <v>14</v>
      </c>
      <c r="R138" s="4">
        <f>RANK(N138,$N$2:N$2800,0)</f>
        <v>1505</v>
      </c>
      <c r="S138">
        <f t="shared" si="11"/>
        <v>1.2</v>
      </c>
      <c r="T138" t="str">
        <f t="shared" si="12"/>
        <v>Low</v>
      </c>
      <c r="U138" t="str" cm="1">
        <f t="array" ref="U138">_xlfn.LET(_xlpm.roles,_xlfn.UNIQUE(D138:D2936),_xlpm.kills, SUMIF(D138:D2936,_xlpm.roles,G138:G2936),INDEX(_xlpm.roles,MATCH(MAX(_xlpm.kills),_xlpm.kills,0)))</f>
        <v>Entry Fragger</v>
      </c>
      <c r="V138" t="str">
        <f t="shared" si="13"/>
        <v>Medium Accuracy</v>
      </c>
      <c r="W138" t="str" cm="1">
        <f t="array" ref="W138">_xlfn.LET(_xlpm.roles,_xlfn.UNIQUE(D138:D2936), _xlpm.counts,COUNTIF(D138:D2936,_xlpm.roles), INDEX(_xlpm.roles,MATCH(MAX(_xlpm.counts),_xlpm.counts,0)))</f>
        <v>Entry Fragger</v>
      </c>
      <c r="X138" s="2">
        <f t="shared" si="14"/>
        <v>13.103594080338267</v>
      </c>
    </row>
    <row r="139" spans="1:24" x14ac:dyDescent="0.3">
      <c r="A139">
        <v>743</v>
      </c>
      <c r="B139">
        <v>25</v>
      </c>
      <c r="C139" t="s">
        <v>39</v>
      </c>
      <c r="D139" t="s">
        <v>36</v>
      </c>
      <c r="E139" t="s">
        <v>23</v>
      </c>
      <c r="F139" t="s">
        <v>19</v>
      </c>
      <c r="G139">
        <v>16</v>
      </c>
      <c r="H139">
        <v>2</v>
      </c>
      <c r="I139">
        <v>14</v>
      </c>
      <c r="J139">
        <v>39.93</v>
      </c>
      <c r="K139">
        <v>209.2</v>
      </c>
      <c r="L139">
        <v>0.1</v>
      </c>
      <c r="M139">
        <v>38.97</v>
      </c>
      <c r="N139">
        <v>0.91</v>
      </c>
      <c r="O139" t="s">
        <v>20</v>
      </c>
      <c r="P139" t="s">
        <v>21</v>
      </c>
      <c r="Q139">
        <f t="shared" si="10"/>
        <v>4</v>
      </c>
      <c r="R139" s="4">
        <f>RANK(N139,$N$2:N$2800,0)</f>
        <v>1665</v>
      </c>
      <c r="S139">
        <f t="shared" si="11"/>
        <v>1.1428571428571428</v>
      </c>
      <c r="T139" t="str">
        <f t="shared" si="12"/>
        <v>Low</v>
      </c>
      <c r="U139" t="str" cm="1">
        <f t="array" ref="U139">_xlfn.LET(_xlpm.roles,_xlfn.UNIQUE(D139:D2937),_xlpm.kills, SUMIF(D139:D2937,_xlpm.roles,G139:G2937),INDEX(_xlpm.roles,MATCH(MAX(_xlpm.kills),_xlpm.kills,0)))</f>
        <v>Entry Fragger</v>
      </c>
      <c r="V139" t="str">
        <f t="shared" si="13"/>
        <v>Medium Accuracy</v>
      </c>
      <c r="W139" t="str" cm="1">
        <f t="array" ref="W139">_xlfn.LET(_xlpm.roles,_xlfn.UNIQUE(D139:D2937), _xlpm.counts,COUNTIF(D139:D2937,_xlpm.roles), INDEX(_xlpm.roles,MATCH(MAX(_xlpm.counts),_xlpm.counts,0)))</f>
        <v>Entry Fragger</v>
      </c>
      <c r="X139" s="2">
        <f t="shared" si="14"/>
        <v>13.103594080338267</v>
      </c>
    </row>
    <row r="140" spans="1:24" x14ac:dyDescent="0.3">
      <c r="A140">
        <v>928</v>
      </c>
      <c r="B140">
        <v>25</v>
      </c>
      <c r="C140" t="s">
        <v>39</v>
      </c>
      <c r="D140" t="s">
        <v>28</v>
      </c>
      <c r="E140" t="s">
        <v>29</v>
      </c>
      <c r="F140" t="s">
        <v>37</v>
      </c>
      <c r="G140">
        <v>19</v>
      </c>
      <c r="H140">
        <v>9</v>
      </c>
      <c r="I140">
        <v>11</v>
      </c>
      <c r="J140">
        <v>42.05</v>
      </c>
      <c r="K140">
        <v>194.32</v>
      </c>
      <c r="L140">
        <v>0.73</v>
      </c>
      <c r="M140">
        <v>49.73</v>
      </c>
      <c r="N140">
        <v>1</v>
      </c>
      <c r="O140" t="s">
        <v>20</v>
      </c>
      <c r="P140" t="s">
        <v>21</v>
      </c>
      <c r="Q140">
        <f t="shared" si="10"/>
        <v>17</v>
      </c>
      <c r="R140" s="4">
        <f>RANK(N140,$N$2:N$2800,0)</f>
        <v>1</v>
      </c>
      <c r="S140">
        <f t="shared" si="11"/>
        <v>1.7272727272727273</v>
      </c>
      <c r="T140" t="str">
        <f t="shared" si="12"/>
        <v>Good</v>
      </c>
      <c r="U140" t="str" cm="1">
        <f t="array" ref="U140">_xlfn.LET(_xlpm.roles,_xlfn.UNIQUE(D140:D2938),_xlpm.kills, SUMIF(D140:D2938,_xlpm.roles,G140:G2938),INDEX(_xlpm.roles,MATCH(MAX(_xlpm.kills),_xlpm.kills,0)))</f>
        <v>Entry Fragger</v>
      </c>
      <c r="V140" t="str">
        <f t="shared" si="13"/>
        <v>Medium Accuracy</v>
      </c>
      <c r="W140" t="str" cm="1">
        <f t="array" ref="W140">_xlfn.LET(_xlpm.roles,_xlfn.UNIQUE(D140:D2938), _xlpm.counts,COUNTIF(D140:D2938,_xlpm.roles), INDEX(_xlpm.roles,MATCH(MAX(_xlpm.counts),_xlpm.counts,0)))</f>
        <v>Entry Fragger</v>
      </c>
      <c r="X140" s="2">
        <f t="shared" si="14"/>
        <v>13.103594080338267</v>
      </c>
    </row>
    <row r="141" spans="1:24" x14ac:dyDescent="0.3">
      <c r="A141">
        <v>1033</v>
      </c>
      <c r="B141">
        <v>25</v>
      </c>
      <c r="C141" t="s">
        <v>35</v>
      </c>
      <c r="D141" t="s">
        <v>17</v>
      </c>
      <c r="E141" t="s">
        <v>33</v>
      </c>
      <c r="F141" t="s">
        <v>26</v>
      </c>
      <c r="G141">
        <v>15</v>
      </c>
      <c r="H141">
        <v>8</v>
      </c>
      <c r="I141">
        <v>8</v>
      </c>
      <c r="J141">
        <v>52.49</v>
      </c>
      <c r="K141">
        <v>252.85</v>
      </c>
      <c r="L141">
        <v>0.2</v>
      </c>
      <c r="M141">
        <v>54.25</v>
      </c>
      <c r="N141">
        <v>1</v>
      </c>
      <c r="O141" t="s">
        <v>20</v>
      </c>
      <c r="P141" t="s">
        <v>21</v>
      </c>
      <c r="Q141">
        <f t="shared" si="10"/>
        <v>15</v>
      </c>
      <c r="R141" s="4">
        <f>RANK(N141,$N$2:N$2800,0)</f>
        <v>1</v>
      </c>
      <c r="S141">
        <f t="shared" si="11"/>
        <v>1.875</v>
      </c>
      <c r="T141" t="str">
        <f t="shared" si="12"/>
        <v>Good</v>
      </c>
      <c r="U141" t="str" cm="1">
        <f t="array" ref="U141">_xlfn.LET(_xlpm.roles,_xlfn.UNIQUE(D141:D2939),_xlpm.kills, SUMIF(D141:D2939,_xlpm.roles,G141:G2939),INDEX(_xlpm.roles,MATCH(MAX(_xlpm.kills),_xlpm.kills,0)))</f>
        <v>Entry Fragger</v>
      </c>
      <c r="V141" t="str">
        <f t="shared" si="13"/>
        <v>High Accuracy</v>
      </c>
      <c r="W141" t="str" cm="1">
        <f t="array" ref="W141">_xlfn.LET(_xlpm.roles,_xlfn.UNIQUE(D141:D2939), _xlpm.counts,COUNTIF(D141:D2939,_xlpm.roles), INDEX(_xlpm.roles,MATCH(MAX(_xlpm.counts),_xlpm.counts,0)))</f>
        <v>Entry Fragger</v>
      </c>
      <c r="X141" s="2">
        <f t="shared" si="14"/>
        <v>12.599585062240664</v>
      </c>
    </row>
    <row r="142" spans="1:24" x14ac:dyDescent="0.3">
      <c r="A142">
        <v>1084</v>
      </c>
      <c r="B142">
        <v>25</v>
      </c>
      <c r="C142" t="s">
        <v>30</v>
      </c>
      <c r="D142" t="s">
        <v>28</v>
      </c>
      <c r="E142" t="s">
        <v>18</v>
      </c>
      <c r="F142" t="s">
        <v>24</v>
      </c>
      <c r="G142">
        <v>15</v>
      </c>
      <c r="H142">
        <v>7</v>
      </c>
      <c r="I142">
        <v>13</v>
      </c>
      <c r="J142">
        <v>51.48</v>
      </c>
      <c r="K142">
        <v>273.69</v>
      </c>
      <c r="L142">
        <v>0.34</v>
      </c>
      <c r="M142">
        <v>46.34</v>
      </c>
      <c r="N142">
        <v>1</v>
      </c>
      <c r="O142" t="s">
        <v>20</v>
      </c>
      <c r="P142" t="s">
        <v>21</v>
      </c>
      <c r="Q142">
        <f t="shared" si="10"/>
        <v>9</v>
      </c>
      <c r="R142" s="4">
        <f>RANK(N142,$N$2:N$2800,0)</f>
        <v>1</v>
      </c>
      <c r="S142">
        <f t="shared" si="11"/>
        <v>1.1538461538461537</v>
      </c>
      <c r="T142" t="str">
        <f t="shared" si="12"/>
        <v>Low</v>
      </c>
      <c r="U142" t="str" cm="1">
        <f t="array" ref="U142">_xlfn.LET(_xlpm.roles,_xlfn.UNIQUE(D142:D2940),_xlpm.kills, SUMIF(D142:D2940,_xlpm.roles,G142:G2940),INDEX(_xlpm.roles,MATCH(MAX(_xlpm.kills),_xlpm.kills,0)))</f>
        <v>Entry Fragger</v>
      </c>
      <c r="V142" t="str">
        <f t="shared" si="13"/>
        <v>High Accuracy</v>
      </c>
      <c r="W142" t="str" cm="1">
        <f t="array" ref="W142">_xlfn.LET(_xlpm.roles,_xlfn.UNIQUE(D142:D2940), _xlpm.counts,COUNTIF(D142:D2940,_xlpm.roles), INDEX(_xlpm.roles,MATCH(MAX(_xlpm.counts),_xlpm.counts,0)))</f>
        <v>Entry Fragger</v>
      </c>
      <c r="X142" s="2">
        <f t="shared" si="14"/>
        <v>13.135802469135802</v>
      </c>
    </row>
    <row r="143" spans="1:24" x14ac:dyDescent="0.3">
      <c r="A143">
        <v>1899</v>
      </c>
      <c r="B143">
        <v>25</v>
      </c>
      <c r="C143" t="s">
        <v>25</v>
      </c>
      <c r="D143" t="s">
        <v>28</v>
      </c>
      <c r="E143" t="s">
        <v>23</v>
      </c>
      <c r="F143" t="s">
        <v>34</v>
      </c>
      <c r="G143">
        <v>19</v>
      </c>
      <c r="H143">
        <v>14</v>
      </c>
      <c r="I143">
        <v>7</v>
      </c>
      <c r="J143">
        <v>46.07</v>
      </c>
      <c r="K143">
        <v>257.14</v>
      </c>
      <c r="L143">
        <v>0.81</v>
      </c>
      <c r="M143">
        <v>59.93</v>
      </c>
      <c r="N143">
        <v>1</v>
      </c>
      <c r="O143" t="s">
        <v>20</v>
      </c>
      <c r="P143" t="s">
        <v>21</v>
      </c>
      <c r="Q143">
        <f t="shared" si="10"/>
        <v>26</v>
      </c>
      <c r="R143" s="4">
        <f>RANK(N143,$N$2:N$2800,0)</f>
        <v>1</v>
      </c>
      <c r="S143">
        <f t="shared" si="11"/>
        <v>2.7142857142857144</v>
      </c>
      <c r="T143" t="str">
        <f t="shared" si="12"/>
        <v>Excellent</v>
      </c>
      <c r="U143" t="str" cm="1">
        <f t="array" ref="U143">_xlfn.LET(_xlpm.roles,_xlfn.UNIQUE(D143:D2941),_xlpm.kills, SUMIF(D143:D2941,_xlpm.roles,G143:G2941),INDEX(_xlpm.roles,MATCH(MAX(_xlpm.kills),_xlpm.kills,0)))</f>
        <v>Entry Fragger</v>
      </c>
      <c r="V143" t="str">
        <f t="shared" si="13"/>
        <v>Medium Accuracy</v>
      </c>
      <c r="W143" t="str" cm="1">
        <f t="array" ref="W143">_xlfn.LET(_xlpm.roles,_xlfn.UNIQUE(D143:D2941), _xlpm.counts,COUNTIF(D143:D2941,_xlpm.roles), INDEX(_xlpm.roles,MATCH(MAX(_xlpm.counts),_xlpm.counts,0)))</f>
        <v>Entry Fragger</v>
      </c>
      <c r="X143" s="2">
        <f t="shared" si="14"/>
        <v>12.809421841541756</v>
      </c>
    </row>
    <row r="144" spans="1:24" x14ac:dyDescent="0.3">
      <c r="A144">
        <v>2036</v>
      </c>
      <c r="B144">
        <v>25</v>
      </c>
      <c r="C144" t="s">
        <v>16</v>
      </c>
      <c r="D144" t="s">
        <v>36</v>
      </c>
      <c r="E144" t="s">
        <v>32</v>
      </c>
      <c r="F144" t="s">
        <v>37</v>
      </c>
      <c r="G144">
        <v>16</v>
      </c>
      <c r="H144">
        <v>5</v>
      </c>
      <c r="I144">
        <v>13</v>
      </c>
      <c r="J144">
        <v>48.15</v>
      </c>
      <c r="K144">
        <v>191.75</v>
      </c>
      <c r="L144">
        <v>0.48</v>
      </c>
      <c r="M144">
        <v>43.28</v>
      </c>
      <c r="N144">
        <v>1</v>
      </c>
      <c r="O144" t="s">
        <v>20</v>
      </c>
      <c r="P144" t="s">
        <v>21</v>
      </c>
      <c r="Q144">
        <f t="shared" si="10"/>
        <v>8</v>
      </c>
      <c r="R144" s="4">
        <f>RANK(N144,$N$2:N$2800,0)</f>
        <v>1</v>
      </c>
      <c r="S144">
        <f t="shared" si="11"/>
        <v>1.2307692307692308</v>
      </c>
      <c r="T144" t="str">
        <f t="shared" si="12"/>
        <v>Low</v>
      </c>
      <c r="U144" t="str" cm="1">
        <f t="array" ref="U144">_xlfn.LET(_xlpm.roles,_xlfn.UNIQUE(D144:D2942),_xlpm.kills, SUMIF(D144:D2942,_xlpm.roles,G144:G2942),INDEX(_xlpm.roles,MATCH(MAX(_xlpm.kills),_xlpm.kills,0)))</f>
        <v>Entry Fragger</v>
      </c>
      <c r="V144" t="str">
        <f t="shared" si="13"/>
        <v>Medium Accuracy</v>
      </c>
      <c r="W144" t="str" cm="1">
        <f t="array" ref="W144">_xlfn.LET(_xlpm.roles,_xlfn.UNIQUE(D144:D2942), _xlpm.counts,COUNTIF(D144:D2942,_xlpm.roles), INDEX(_xlpm.roles,MATCH(MAX(_xlpm.counts),_xlpm.counts,0)))</f>
        <v>Entry Fragger</v>
      </c>
      <c r="X144" s="2">
        <f t="shared" si="14"/>
        <v>12.520971302428256</v>
      </c>
    </row>
    <row r="145" spans="1:24" x14ac:dyDescent="0.3">
      <c r="A145">
        <v>78</v>
      </c>
      <c r="B145">
        <v>26</v>
      </c>
      <c r="C145" t="s">
        <v>25</v>
      </c>
      <c r="D145" t="s">
        <v>28</v>
      </c>
      <c r="E145" t="s">
        <v>23</v>
      </c>
      <c r="F145" t="s">
        <v>37</v>
      </c>
      <c r="G145">
        <v>14</v>
      </c>
      <c r="H145">
        <v>3</v>
      </c>
      <c r="I145">
        <v>9</v>
      </c>
      <c r="J145">
        <v>49.56</v>
      </c>
      <c r="K145">
        <v>193.45</v>
      </c>
      <c r="L145">
        <v>0.45</v>
      </c>
      <c r="M145">
        <v>42.28</v>
      </c>
      <c r="N145">
        <v>1</v>
      </c>
      <c r="O145" t="s">
        <v>20</v>
      </c>
      <c r="P145" t="s">
        <v>21</v>
      </c>
      <c r="Q145">
        <f t="shared" si="10"/>
        <v>8</v>
      </c>
      <c r="R145" s="4">
        <f>RANK(N145,$N$2:N$2800,0)</f>
        <v>1</v>
      </c>
      <c r="S145">
        <f t="shared" si="11"/>
        <v>1.5555555555555556</v>
      </c>
      <c r="T145" t="str">
        <f t="shared" si="12"/>
        <v>Low</v>
      </c>
      <c r="U145" t="str" cm="1">
        <f t="array" ref="U145">_xlfn.LET(_xlpm.roles,_xlfn.UNIQUE(D145:D2943),_xlpm.kills, SUMIF(D145:D2943,_xlpm.roles,G145:G2943),INDEX(_xlpm.roles,MATCH(MAX(_xlpm.kills),_xlpm.kills,0)))</f>
        <v>Entry Fragger</v>
      </c>
      <c r="V145" t="str">
        <f t="shared" si="13"/>
        <v>Medium Accuracy</v>
      </c>
      <c r="W145" t="str" cm="1">
        <f t="array" ref="W145">_xlfn.LET(_xlpm.roles,_xlfn.UNIQUE(D145:D2943), _xlpm.counts,COUNTIF(D145:D2943,_xlpm.roles), INDEX(_xlpm.roles,MATCH(MAX(_xlpm.counts),_xlpm.counts,0)))</f>
        <v>Entry Fragger</v>
      </c>
      <c r="X145" s="2">
        <f t="shared" si="14"/>
        <v>12.809421841541756</v>
      </c>
    </row>
    <row r="146" spans="1:24" x14ac:dyDescent="0.3">
      <c r="A146">
        <v>103</v>
      </c>
      <c r="B146">
        <v>26</v>
      </c>
      <c r="C146" t="s">
        <v>30</v>
      </c>
      <c r="D146" t="s">
        <v>31</v>
      </c>
      <c r="E146" t="s">
        <v>32</v>
      </c>
      <c r="F146" t="s">
        <v>37</v>
      </c>
      <c r="G146">
        <v>14</v>
      </c>
      <c r="H146">
        <v>9</v>
      </c>
      <c r="I146">
        <v>11</v>
      </c>
      <c r="J146">
        <v>43.19</v>
      </c>
      <c r="K146">
        <v>191.22</v>
      </c>
      <c r="L146">
        <v>0.84</v>
      </c>
      <c r="M146">
        <v>39.200000000000003</v>
      </c>
      <c r="N146">
        <v>1</v>
      </c>
      <c r="O146" t="s">
        <v>20</v>
      </c>
      <c r="P146" t="s">
        <v>21</v>
      </c>
      <c r="Q146">
        <f t="shared" si="10"/>
        <v>12</v>
      </c>
      <c r="R146" s="4">
        <f>RANK(N146,$N$2:N$2800,0)</f>
        <v>1</v>
      </c>
      <c r="S146">
        <f t="shared" si="11"/>
        <v>1.2727272727272727</v>
      </c>
      <c r="T146" t="str">
        <f t="shared" si="12"/>
        <v>Low</v>
      </c>
      <c r="U146" t="str" cm="1">
        <f t="array" ref="U146">_xlfn.LET(_xlpm.roles,_xlfn.UNIQUE(D146:D2944),_xlpm.kills, SUMIF(D146:D2944,_xlpm.roles,G146:G2944),INDEX(_xlpm.roles,MATCH(MAX(_xlpm.kills),_xlpm.kills,0)))</f>
        <v>Entry Fragger</v>
      </c>
      <c r="V146" t="str">
        <f t="shared" si="13"/>
        <v>Medium Accuracy</v>
      </c>
      <c r="W146" t="str" cm="1">
        <f t="array" ref="W146">_xlfn.LET(_xlpm.roles,_xlfn.UNIQUE(D146:D2944), _xlpm.counts,COUNTIF(D146:D2944,_xlpm.roles), INDEX(_xlpm.roles,MATCH(MAX(_xlpm.counts),_xlpm.counts,0)))</f>
        <v>Entry Fragger</v>
      </c>
      <c r="X146" s="2">
        <f t="shared" si="14"/>
        <v>13.135802469135802</v>
      </c>
    </row>
    <row r="147" spans="1:24" x14ac:dyDescent="0.3">
      <c r="A147">
        <v>830</v>
      </c>
      <c r="B147">
        <v>26</v>
      </c>
      <c r="C147" t="s">
        <v>25</v>
      </c>
      <c r="D147" t="s">
        <v>31</v>
      </c>
      <c r="E147" t="s">
        <v>32</v>
      </c>
      <c r="F147" t="s">
        <v>24</v>
      </c>
      <c r="G147">
        <v>9</v>
      </c>
      <c r="H147">
        <v>6</v>
      </c>
      <c r="I147">
        <v>11</v>
      </c>
      <c r="J147">
        <v>37.64</v>
      </c>
      <c r="K147">
        <v>235.62</v>
      </c>
      <c r="L147">
        <v>0.91</v>
      </c>
      <c r="M147">
        <v>22.72</v>
      </c>
      <c r="N147">
        <v>0.68</v>
      </c>
      <c r="O147" t="s">
        <v>20</v>
      </c>
      <c r="P147" t="s">
        <v>21</v>
      </c>
      <c r="Q147">
        <f t="shared" si="10"/>
        <v>4</v>
      </c>
      <c r="R147" s="4">
        <f>RANK(N147,$N$2:N$2800,0)</f>
        <v>2719</v>
      </c>
      <c r="S147">
        <f t="shared" si="11"/>
        <v>0.81818181818181823</v>
      </c>
      <c r="T147" t="str">
        <f t="shared" si="12"/>
        <v>Low</v>
      </c>
      <c r="U147" t="str" cm="1">
        <f t="array" ref="U147">_xlfn.LET(_xlpm.roles,_xlfn.UNIQUE(D147:D2945),_xlpm.kills, SUMIF(D147:D2945,_xlpm.roles,G147:G2945),INDEX(_xlpm.roles,MATCH(MAX(_xlpm.kills),_xlpm.kills,0)))</f>
        <v>Entry Fragger</v>
      </c>
      <c r="V147" t="str">
        <f t="shared" si="13"/>
        <v>Medium Accuracy</v>
      </c>
      <c r="W147" t="str" cm="1">
        <f t="array" ref="W147">_xlfn.LET(_xlpm.roles,_xlfn.UNIQUE(D147:D2945), _xlpm.counts,COUNTIF(D147:D2945,_xlpm.roles), INDEX(_xlpm.roles,MATCH(MAX(_xlpm.counts),_xlpm.counts,0)))</f>
        <v>Entry Fragger</v>
      </c>
      <c r="X147" s="2">
        <f t="shared" si="14"/>
        <v>12.809421841541756</v>
      </c>
    </row>
    <row r="148" spans="1:24" x14ac:dyDescent="0.3">
      <c r="A148">
        <v>382</v>
      </c>
      <c r="B148">
        <v>27</v>
      </c>
      <c r="C148" t="s">
        <v>25</v>
      </c>
      <c r="D148" t="s">
        <v>31</v>
      </c>
      <c r="E148" t="s">
        <v>32</v>
      </c>
      <c r="F148" t="s">
        <v>24</v>
      </c>
      <c r="G148">
        <v>12</v>
      </c>
      <c r="H148">
        <v>10</v>
      </c>
      <c r="I148">
        <v>9</v>
      </c>
      <c r="J148">
        <v>54.03</v>
      </c>
      <c r="K148">
        <v>198.18</v>
      </c>
      <c r="L148">
        <v>0.92</v>
      </c>
      <c r="M148">
        <v>42.81</v>
      </c>
      <c r="N148">
        <v>1</v>
      </c>
      <c r="O148" t="s">
        <v>20</v>
      </c>
      <c r="P148" t="s">
        <v>21</v>
      </c>
      <c r="Q148">
        <f t="shared" si="10"/>
        <v>13</v>
      </c>
      <c r="R148" s="4">
        <f>RANK(N148,$N$2:N$2800,0)</f>
        <v>1</v>
      </c>
      <c r="S148">
        <f t="shared" si="11"/>
        <v>1.3333333333333333</v>
      </c>
      <c r="T148" t="str">
        <f t="shared" si="12"/>
        <v>Low</v>
      </c>
      <c r="U148" t="str" cm="1">
        <f t="array" ref="U148">_xlfn.LET(_xlpm.roles,_xlfn.UNIQUE(D148:D2946),_xlpm.kills, SUMIF(D148:D2946,_xlpm.roles,G148:G2946),INDEX(_xlpm.roles,MATCH(MAX(_xlpm.kills),_xlpm.kills,0)))</f>
        <v>Entry Fragger</v>
      </c>
      <c r="V148" t="str">
        <f t="shared" si="13"/>
        <v>High Accuracy</v>
      </c>
      <c r="W148" t="str" cm="1">
        <f t="array" ref="W148">_xlfn.LET(_xlpm.roles,_xlfn.UNIQUE(D148:D2946), _xlpm.counts,COUNTIF(D148:D2946,_xlpm.roles), INDEX(_xlpm.roles,MATCH(MAX(_xlpm.counts),_xlpm.counts,0)))</f>
        <v>Entry Fragger</v>
      </c>
      <c r="X148" s="2">
        <f t="shared" si="14"/>
        <v>12.809421841541756</v>
      </c>
    </row>
    <row r="149" spans="1:24" x14ac:dyDescent="0.3">
      <c r="A149">
        <v>598</v>
      </c>
      <c r="B149">
        <v>27</v>
      </c>
      <c r="C149" t="s">
        <v>25</v>
      </c>
      <c r="D149" t="s">
        <v>31</v>
      </c>
      <c r="E149" t="s">
        <v>32</v>
      </c>
      <c r="F149" t="s">
        <v>19</v>
      </c>
      <c r="G149">
        <v>15</v>
      </c>
      <c r="H149">
        <v>7</v>
      </c>
      <c r="I149">
        <v>13</v>
      </c>
      <c r="J149">
        <v>48.78</v>
      </c>
      <c r="K149">
        <v>181.2</v>
      </c>
      <c r="L149">
        <v>0.85</v>
      </c>
      <c r="M149">
        <v>39.89</v>
      </c>
      <c r="N149">
        <v>0.76</v>
      </c>
      <c r="O149" t="s">
        <v>20</v>
      </c>
      <c r="P149" t="s">
        <v>21</v>
      </c>
      <c r="Q149">
        <f t="shared" si="10"/>
        <v>9</v>
      </c>
      <c r="R149" s="4">
        <f>RANK(N149,$N$2:N$2800,0)</f>
        <v>2547</v>
      </c>
      <c r="S149">
        <f t="shared" si="11"/>
        <v>1.1538461538461537</v>
      </c>
      <c r="T149" t="str">
        <f t="shared" si="12"/>
        <v>Low</v>
      </c>
      <c r="U149" t="str" cm="1">
        <f t="array" ref="U149">_xlfn.LET(_xlpm.roles,_xlfn.UNIQUE(D149:D2947),_xlpm.kills, SUMIF(D149:D2947,_xlpm.roles,G149:G2947),INDEX(_xlpm.roles,MATCH(MAX(_xlpm.kills),_xlpm.kills,0)))</f>
        <v>Entry Fragger</v>
      </c>
      <c r="V149" t="str">
        <f t="shared" si="13"/>
        <v>Medium Accuracy</v>
      </c>
      <c r="W149" t="str" cm="1">
        <f t="array" ref="W149">_xlfn.LET(_xlpm.roles,_xlfn.UNIQUE(D149:D2947), _xlpm.counts,COUNTIF(D149:D2947,_xlpm.roles), INDEX(_xlpm.roles,MATCH(MAX(_xlpm.counts),_xlpm.counts,0)))</f>
        <v>Entry Fragger</v>
      </c>
      <c r="X149" s="2">
        <f t="shared" si="14"/>
        <v>12.809421841541756</v>
      </c>
    </row>
    <row r="150" spans="1:24" x14ac:dyDescent="0.3">
      <c r="A150">
        <v>1676</v>
      </c>
      <c r="B150">
        <v>27</v>
      </c>
      <c r="C150" t="s">
        <v>27</v>
      </c>
      <c r="D150" t="s">
        <v>28</v>
      </c>
      <c r="E150" t="s">
        <v>23</v>
      </c>
      <c r="F150" t="s">
        <v>34</v>
      </c>
      <c r="G150">
        <v>13</v>
      </c>
      <c r="H150">
        <v>7</v>
      </c>
      <c r="I150">
        <v>19</v>
      </c>
      <c r="J150">
        <v>49.49</v>
      </c>
      <c r="K150">
        <v>225.83</v>
      </c>
      <c r="L150">
        <v>0.09</v>
      </c>
      <c r="M150">
        <v>37.85</v>
      </c>
      <c r="N150">
        <v>0.89</v>
      </c>
      <c r="O150" t="s">
        <v>20</v>
      </c>
      <c r="P150" t="s">
        <v>21</v>
      </c>
      <c r="Q150">
        <f t="shared" si="10"/>
        <v>1</v>
      </c>
      <c r="R150" s="4">
        <f>RANK(N150,$N$2:N$2800,0)</f>
        <v>1815</v>
      </c>
      <c r="S150">
        <f t="shared" si="11"/>
        <v>0.68421052631578949</v>
      </c>
      <c r="T150" t="str">
        <f t="shared" si="12"/>
        <v>Low</v>
      </c>
      <c r="U150" t="str" cm="1">
        <f t="array" ref="U150">_xlfn.LET(_xlpm.roles,_xlfn.UNIQUE(D150:D2948),_xlpm.kills, SUMIF(D150:D2948,_xlpm.roles,G150:G2948),INDEX(_xlpm.roles,MATCH(MAX(_xlpm.kills),_xlpm.kills,0)))</f>
        <v>Entry Fragger</v>
      </c>
      <c r="V150" t="str">
        <f t="shared" si="13"/>
        <v>Medium Accuracy</v>
      </c>
      <c r="W150" t="str" cm="1">
        <f t="array" ref="W150">_xlfn.LET(_xlpm.roles,_xlfn.UNIQUE(D150:D2948), _xlpm.counts,COUNTIF(D150:D2948,_xlpm.roles), INDEX(_xlpm.roles,MATCH(MAX(_xlpm.counts),_xlpm.counts,0)))</f>
        <v>Entry Fragger</v>
      </c>
      <c r="X150" s="2">
        <f t="shared" si="14"/>
        <v>13.057077625570777</v>
      </c>
    </row>
    <row r="151" spans="1:24" x14ac:dyDescent="0.3">
      <c r="A151">
        <v>1746</v>
      </c>
      <c r="B151">
        <v>27</v>
      </c>
      <c r="C151" t="s">
        <v>27</v>
      </c>
      <c r="D151" t="s">
        <v>17</v>
      </c>
      <c r="E151" t="s">
        <v>23</v>
      </c>
      <c r="F151" t="s">
        <v>24</v>
      </c>
      <c r="G151">
        <v>16</v>
      </c>
      <c r="H151">
        <v>12</v>
      </c>
      <c r="I151">
        <v>8</v>
      </c>
      <c r="J151">
        <v>51.88</v>
      </c>
      <c r="K151">
        <v>210.45</v>
      </c>
      <c r="L151">
        <v>0.21</v>
      </c>
      <c r="M151">
        <v>59.84</v>
      </c>
      <c r="N151">
        <v>1</v>
      </c>
      <c r="O151" t="s">
        <v>20</v>
      </c>
      <c r="P151" t="s">
        <v>21</v>
      </c>
      <c r="Q151">
        <f t="shared" si="10"/>
        <v>20</v>
      </c>
      <c r="R151" s="4">
        <f>RANK(N151,$N$2:N$2800,0)</f>
        <v>1</v>
      </c>
      <c r="S151">
        <f t="shared" si="11"/>
        <v>2</v>
      </c>
      <c r="T151" t="str">
        <f t="shared" si="12"/>
        <v>Good</v>
      </c>
      <c r="U151" t="str" cm="1">
        <f t="array" ref="U151">_xlfn.LET(_xlpm.roles,_xlfn.UNIQUE(D151:D2949),_xlpm.kills, SUMIF(D151:D2949,_xlpm.roles,G151:G2949),INDEX(_xlpm.roles,MATCH(MAX(_xlpm.kills),_xlpm.kills,0)))</f>
        <v>Entry Fragger</v>
      </c>
      <c r="V151" t="str">
        <f t="shared" si="13"/>
        <v>High Accuracy</v>
      </c>
      <c r="W151" t="str" cm="1">
        <f t="array" ref="W151">_xlfn.LET(_xlpm.roles,_xlfn.UNIQUE(D151:D2949), _xlpm.counts,COUNTIF(D151:D2949,_xlpm.roles), INDEX(_xlpm.roles,MATCH(MAX(_xlpm.counts),_xlpm.counts,0)))</f>
        <v>Entry Fragger</v>
      </c>
      <c r="X151" s="2">
        <f t="shared" si="14"/>
        <v>13.057077625570777</v>
      </c>
    </row>
    <row r="152" spans="1:24" x14ac:dyDescent="0.3">
      <c r="A152">
        <v>2057</v>
      </c>
      <c r="B152">
        <v>27</v>
      </c>
      <c r="C152" t="s">
        <v>25</v>
      </c>
      <c r="D152" t="s">
        <v>22</v>
      </c>
      <c r="E152" t="s">
        <v>18</v>
      </c>
      <c r="F152" t="s">
        <v>34</v>
      </c>
      <c r="G152">
        <v>6</v>
      </c>
      <c r="H152">
        <v>6</v>
      </c>
      <c r="I152">
        <v>14</v>
      </c>
      <c r="J152">
        <v>40.71</v>
      </c>
      <c r="K152">
        <v>269.76</v>
      </c>
      <c r="L152">
        <v>0.64</v>
      </c>
      <c r="M152">
        <v>17.95</v>
      </c>
      <c r="N152">
        <v>0.47</v>
      </c>
      <c r="O152" t="s">
        <v>40</v>
      </c>
      <c r="P152" t="s">
        <v>21</v>
      </c>
      <c r="Q152">
        <f t="shared" si="10"/>
        <v>-2</v>
      </c>
      <c r="R152" s="4">
        <f>RANK(N152,$N$2:N$2800,0)</f>
        <v>2798</v>
      </c>
      <c r="S152">
        <f t="shared" si="11"/>
        <v>0.42857142857142855</v>
      </c>
      <c r="T152" t="str">
        <f t="shared" si="12"/>
        <v>Low</v>
      </c>
      <c r="U152" t="str" cm="1">
        <f t="array" ref="U152">_xlfn.LET(_xlpm.roles,_xlfn.UNIQUE(D152:D2950),_xlpm.kills, SUMIF(D152:D2950,_xlpm.roles,G152:G2950),INDEX(_xlpm.roles,MATCH(MAX(_xlpm.kills),_xlpm.kills,0)))</f>
        <v>Entry Fragger</v>
      </c>
      <c r="V152" t="str">
        <f t="shared" si="13"/>
        <v>Medium Accuracy</v>
      </c>
      <c r="W152" t="str" cm="1">
        <f t="array" ref="W152">_xlfn.LET(_xlpm.roles,_xlfn.UNIQUE(D152:D2950), _xlpm.counts,COUNTIF(D152:D2950,_xlpm.roles), INDEX(_xlpm.roles,MATCH(MAX(_xlpm.counts),_xlpm.counts,0)))</f>
        <v>Entry Fragger</v>
      </c>
      <c r="X152" s="2">
        <f t="shared" si="14"/>
        <v>12.809421841541756</v>
      </c>
    </row>
    <row r="153" spans="1:24" x14ac:dyDescent="0.3">
      <c r="A153">
        <v>2456</v>
      </c>
      <c r="B153">
        <v>27</v>
      </c>
      <c r="C153" t="s">
        <v>27</v>
      </c>
      <c r="D153" t="s">
        <v>31</v>
      </c>
      <c r="E153" t="s">
        <v>18</v>
      </c>
      <c r="F153" t="s">
        <v>24</v>
      </c>
      <c r="G153">
        <v>18</v>
      </c>
      <c r="H153">
        <v>8</v>
      </c>
      <c r="I153">
        <v>8</v>
      </c>
      <c r="J153">
        <v>45.54</v>
      </c>
      <c r="K153">
        <v>209.48</v>
      </c>
      <c r="L153">
        <v>0.16</v>
      </c>
      <c r="M153">
        <v>57.17</v>
      </c>
      <c r="N153">
        <v>1</v>
      </c>
      <c r="O153" t="s">
        <v>20</v>
      </c>
      <c r="P153" t="s">
        <v>21</v>
      </c>
      <c r="Q153">
        <f t="shared" si="10"/>
        <v>18</v>
      </c>
      <c r="R153" s="4">
        <f>RANK(N153,$N$2:N$2800,0)</f>
        <v>1</v>
      </c>
      <c r="S153">
        <f t="shared" si="11"/>
        <v>2.25</v>
      </c>
      <c r="T153" t="str">
        <f t="shared" si="12"/>
        <v>Good</v>
      </c>
      <c r="U153" t="str" cm="1">
        <f t="array" ref="U153">_xlfn.LET(_xlpm.roles,_xlfn.UNIQUE(D153:D2951),_xlpm.kills, SUMIF(D153:D2951,_xlpm.roles,G153:G2951),INDEX(_xlpm.roles,MATCH(MAX(_xlpm.kills),_xlpm.kills,0)))</f>
        <v>Entry Fragger</v>
      </c>
      <c r="V153" t="str">
        <f t="shared" si="13"/>
        <v>Medium Accuracy</v>
      </c>
      <c r="W153" t="str" cm="1">
        <f t="array" ref="W153">_xlfn.LET(_xlpm.roles,_xlfn.UNIQUE(D153:D2951), _xlpm.counts,COUNTIF(D153:D2951,_xlpm.roles), INDEX(_xlpm.roles,MATCH(MAX(_xlpm.counts),_xlpm.counts,0)))</f>
        <v>Entry Fragger</v>
      </c>
      <c r="X153" s="2">
        <f t="shared" si="14"/>
        <v>13.057077625570777</v>
      </c>
    </row>
    <row r="154" spans="1:24" x14ac:dyDescent="0.3">
      <c r="A154">
        <v>351</v>
      </c>
      <c r="B154">
        <v>28</v>
      </c>
      <c r="C154" t="s">
        <v>27</v>
      </c>
      <c r="D154" t="s">
        <v>22</v>
      </c>
      <c r="E154" t="s">
        <v>33</v>
      </c>
      <c r="F154" t="s">
        <v>24</v>
      </c>
      <c r="G154">
        <v>12</v>
      </c>
      <c r="H154">
        <v>8</v>
      </c>
      <c r="I154">
        <v>14</v>
      </c>
      <c r="J154">
        <v>48.68</v>
      </c>
      <c r="K154">
        <v>226.8</v>
      </c>
      <c r="L154">
        <v>0.27</v>
      </c>
      <c r="M154">
        <v>39.64</v>
      </c>
      <c r="N154">
        <v>1</v>
      </c>
      <c r="O154" t="s">
        <v>20</v>
      </c>
      <c r="P154" t="s">
        <v>21</v>
      </c>
      <c r="Q154">
        <f t="shared" si="10"/>
        <v>6</v>
      </c>
      <c r="R154" s="4">
        <f>RANK(N154,$N$2:N$2800,0)</f>
        <v>1</v>
      </c>
      <c r="S154">
        <f t="shared" si="11"/>
        <v>0.8571428571428571</v>
      </c>
      <c r="T154" t="str">
        <f t="shared" si="12"/>
        <v>Low</v>
      </c>
      <c r="U154" t="str" cm="1">
        <f t="array" ref="U154">_xlfn.LET(_xlpm.roles,_xlfn.UNIQUE(D154:D2952),_xlpm.kills, SUMIF(D154:D2952,_xlpm.roles,G154:G2952),INDEX(_xlpm.roles,MATCH(MAX(_xlpm.kills),_xlpm.kills,0)))</f>
        <v>Entry Fragger</v>
      </c>
      <c r="V154" t="str">
        <f t="shared" si="13"/>
        <v>Medium Accuracy</v>
      </c>
      <c r="W154" t="str" cm="1">
        <f t="array" ref="W154">_xlfn.LET(_xlpm.roles,_xlfn.UNIQUE(D154:D2952), _xlpm.counts,COUNTIF(D154:D2952,_xlpm.roles), INDEX(_xlpm.roles,MATCH(MAX(_xlpm.counts),_xlpm.counts,0)))</f>
        <v>Entry Fragger</v>
      </c>
      <c r="X154" s="2">
        <f t="shared" si="14"/>
        <v>13.057077625570777</v>
      </c>
    </row>
    <row r="155" spans="1:24" x14ac:dyDescent="0.3">
      <c r="A155">
        <v>410</v>
      </c>
      <c r="B155">
        <v>28</v>
      </c>
      <c r="C155" t="s">
        <v>16</v>
      </c>
      <c r="D155" t="s">
        <v>31</v>
      </c>
      <c r="E155" t="s">
        <v>33</v>
      </c>
      <c r="F155" t="s">
        <v>34</v>
      </c>
      <c r="G155">
        <v>18</v>
      </c>
      <c r="H155">
        <v>10</v>
      </c>
      <c r="I155">
        <v>12</v>
      </c>
      <c r="J155">
        <v>42.82</v>
      </c>
      <c r="K155">
        <v>206.67</v>
      </c>
      <c r="L155">
        <v>0.03</v>
      </c>
      <c r="M155">
        <v>55.11</v>
      </c>
      <c r="N155">
        <v>1</v>
      </c>
      <c r="O155" t="s">
        <v>20</v>
      </c>
      <c r="P155" t="s">
        <v>21</v>
      </c>
      <c r="Q155">
        <f t="shared" si="10"/>
        <v>16</v>
      </c>
      <c r="R155" s="4">
        <f>RANK(N155,$N$2:N$2800,0)</f>
        <v>1</v>
      </c>
      <c r="S155">
        <f t="shared" si="11"/>
        <v>1.5</v>
      </c>
      <c r="T155" t="str">
        <f t="shared" si="12"/>
        <v>Good</v>
      </c>
      <c r="U155" t="str" cm="1">
        <f t="array" ref="U155">_xlfn.LET(_xlpm.roles,_xlfn.UNIQUE(D155:D2953),_xlpm.kills, SUMIF(D155:D2953,_xlpm.roles,G155:G2953),INDEX(_xlpm.roles,MATCH(MAX(_xlpm.kills),_xlpm.kills,0)))</f>
        <v>Entry Fragger</v>
      </c>
      <c r="V155" t="str">
        <f t="shared" si="13"/>
        <v>Medium Accuracy</v>
      </c>
      <c r="W155" t="str" cm="1">
        <f t="array" ref="W155">_xlfn.LET(_xlpm.roles,_xlfn.UNIQUE(D155:D2953), _xlpm.counts,COUNTIF(D155:D2953,_xlpm.roles), INDEX(_xlpm.roles,MATCH(MAX(_xlpm.counts),_xlpm.counts,0)))</f>
        <v>Entry Fragger</v>
      </c>
      <c r="X155" s="2">
        <f t="shared" si="14"/>
        <v>12.520971302428256</v>
      </c>
    </row>
    <row r="156" spans="1:24" x14ac:dyDescent="0.3">
      <c r="A156">
        <v>1431</v>
      </c>
      <c r="B156">
        <v>28</v>
      </c>
      <c r="C156" t="s">
        <v>25</v>
      </c>
      <c r="D156" t="s">
        <v>28</v>
      </c>
      <c r="E156" t="s">
        <v>18</v>
      </c>
      <c r="F156" t="s">
        <v>37</v>
      </c>
      <c r="G156">
        <v>14</v>
      </c>
      <c r="H156">
        <v>7</v>
      </c>
      <c r="I156">
        <v>15</v>
      </c>
      <c r="J156">
        <v>43.19</v>
      </c>
      <c r="K156">
        <v>187.7</v>
      </c>
      <c r="L156">
        <v>0.78</v>
      </c>
      <c r="M156">
        <v>33.799999999999997</v>
      </c>
      <c r="N156">
        <v>0.83</v>
      </c>
      <c r="O156" t="s">
        <v>20</v>
      </c>
      <c r="P156" t="s">
        <v>21</v>
      </c>
      <c r="Q156">
        <f t="shared" si="10"/>
        <v>6</v>
      </c>
      <c r="R156" s="4">
        <f>RANK(N156,$N$2:N$2800,0)</f>
        <v>2218</v>
      </c>
      <c r="S156">
        <f t="shared" si="11"/>
        <v>0.93333333333333335</v>
      </c>
      <c r="T156" t="str">
        <f t="shared" si="12"/>
        <v>Low</v>
      </c>
      <c r="U156" t="str" cm="1">
        <f t="array" ref="U156">_xlfn.LET(_xlpm.roles,_xlfn.UNIQUE(D156:D2954),_xlpm.kills, SUMIF(D156:D2954,_xlpm.roles,G156:G2954),INDEX(_xlpm.roles,MATCH(MAX(_xlpm.kills),_xlpm.kills,0)))</f>
        <v>Entry Fragger</v>
      </c>
      <c r="V156" t="str">
        <f t="shared" si="13"/>
        <v>Medium Accuracy</v>
      </c>
      <c r="W156" t="str" cm="1">
        <f t="array" ref="W156">_xlfn.LET(_xlpm.roles,_xlfn.UNIQUE(D156:D2954), _xlpm.counts,COUNTIF(D156:D2954,_xlpm.roles), INDEX(_xlpm.roles,MATCH(MAX(_xlpm.counts),_xlpm.counts,0)))</f>
        <v>Entry Fragger</v>
      </c>
      <c r="X156" s="2">
        <f t="shared" si="14"/>
        <v>12.809421841541756</v>
      </c>
    </row>
    <row r="157" spans="1:24" x14ac:dyDescent="0.3">
      <c r="A157">
        <v>1556</v>
      </c>
      <c r="B157">
        <v>28</v>
      </c>
      <c r="C157" t="s">
        <v>27</v>
      </c>
      <c r="D157" t="s">
        <v>28</v>
      </c>
      <c r="E157" t="s">
        <v>29</v>
      </c>
      <c r="F157" t="s">
        <v>34</v>
      </c>
      <c r="G157">
        <v>15</v>
      </c>
      <c r="H157">
        <v>7</v>
      </c>
      <c r="I157">
        <v>13</v>
      </c>
      <c r="J157">
        <v>36.630000000000003</v>
      </c>
      <c r="K157">
        <v>190.71</v>
      </c>
      <c r="L157">
        <v>0.98</v>
      </c>
      <c r="M157">
        <v>32.520000000000003</v>
      </c>
      <c r="N157">
        <v>0.85</v>
      </c>
      <c r="O157" t="s">
        <v>20</v>
      </c>
      <c r="P157" t="s">
        <v>21</v>
      </c>
      <c r="Q157">
        <f t="shared" si="10"/>
        <v>9</v>
      </c>
      <c r="R157" s="4">
        <f>RANK(N157,$N$2:N$2800,0)</f>
        <v>2105</v>
      </c>
      <c r="S157">
        <f t="shared" si="11"/>
        <v>1.1538461538461537</v>
      </c>
      <c r="T157" t="str">
        <f t="shared" si="12"/>
        <v>Low</v>
      </c>
      <c r="U157" t="str" cm="1">
        <f t="array" ref="U157">_xlfn.LET(_xlpm.roles,_xlfn.UNIQUE(D157:D2955),_xlpm.kills, SUMIF(D157:D2955,_xlpm.roles,G157:G2955),INDEX(_xlpm.roles,MATCH(MAX(_xlpm.kills),_xlpm.kills,0)))</f>
        <v>Entry Fragger</v>
      </c>
      <c r="V157" t="str">
        <f t="shared" si="13"/>
        <v>Medium Accuracy</v>
      </c>
      <c r="W157" t="str" cm="1">
        <f t="array" ref="W157">_xlfn.LET(_xlpm.roles,_xlfn.UNIQUE(D157:D2955), _xlpm.counts,COUNTIF(D157:D2955,_xlpm.roles), INDEX(_xlpm.roles,MATCH(MAX(_xlpm.counts),_xlpm.counts,0)))</f>
        <v>Entry Fragger</v>
      </c>
      <c r="X157" s="2">
        <f t="shared" si="14"/>
        <v>13.057077625570777</v>
      </c>
    </row>
    <row r="158" spans="1:24" x14ac:dyDescent="0.3">
      <c r="A158">
        <v>198</v>
      </c>
      <c r="B158">
        <v>29</v>
      </c>
      <c r="C158" t="s">
        <v>25</v>
      </c>
      <c r="D158" t="s">
        <v>36</v>
      </c>
      <c r="E158" t="s">
        <v>18</v>
      </c>
      <c r="F158" t="s">
        <v>34</v>
      </c>
      <c r="G158">
        <v>18</v>
      </c>
      <c r="H158">
        <v>5</v>
      </c>
      <c r="I158">
        <v>7</v>
      </c>
      <c r="J158">
        <v>42.02</v>
      </c>
      <c r="K158">
        <v>168.78</v>
      </c>
      <c r="L158">
        <v>0.88</v>
      </c>
      <c r="M158">
        <v>46.21</v>
      </c>
      <c r="N158">
        <v>0.81</v>
      </c>
      <c r="O158" t="s">
        <v>20</v>
      </c>
      <c r="P158" t="s">
        <v>21</v>
      </c>
      <c r="Q158">
        <f t="shared" si="10"/>
        <v>16</v>
      </c>
      <c r="R158" s="4">
        <f>RANK(N158,$N$2:N$2800,0)</f>
        <v>2341</v>
      </c>
      <c r="S158">
        <f t="shared" si="11"/>
        <v>2.5714285714285716</v>
      </c>
      <c r="T158" t="str">
        <f t="shared" si="12"/>
        <v>Good</v>
      </c>
      <c r="U158" t="str" cm="1">
        <f t="array" ref="U158">_xlfn.LET(_xlpm.roles,_xlfn.UNIQUE(D158:D2956),_xlpm.kills, SUMIF(D158:D2956,_xlpm.roles,G158:G2956),INDEX(_xlpm.roles,MATCH(MAX(_xlpm.kills),_xlpm.kills,0)))</f>
        <v>Entry Fragger</v>
      </c>
      <c r="V158" t="str">
        <f t="shared" si="13"/>
        <v>Medium Accuracy</v>
      </c>
      <c r="W158" t="str" cm="1">
        <f t="array" ref="W158">_xlfn.LET(_xlpm.roles,_xlfn.UNIQUE(D158:D2956), _xlpm.counts,COUNTIF(D158:D2956,_xlpm.roles), INDEX(_xlpm.roles,MATCH(MAX(_xlpm.counts),_xlpm.counts,0)))</f>
        <v>Entry Fragger</v>
      </c>
      <c r="X158" s="2">
        <f t="shared" si="14"/>
        <v>12.809421841541756</v>
      </c>
    </row>
    <row r="159" spans="1:24" x14ac:dyDescent="0.3">
      <c r="A159">
        <v>439</v>
      </c>
      <c r="B159">
        <v>29</v>
      </c>
      <c r="C159" t="s">
        <v>39</v>
      </c>
      <c r="D159" t="s">
        <v>17</v>
      </c>
      <c r="E159" t="s">
        <v>23</v>
      </c>
      <c r="F159" t="s">
        <v>19</v>
      </c>
      <c r="G159">
        <v>12</v>
      </c>
      <c r="H159">
        <v>7</v>
      </c>
      <c r="I159">
        <v>11</v>
      </c>
      <c r="J159">
        <v>43.18</v>
      </c>
      <c r="K159">
        <v>177.79</v>
      </c>
      <c r="L159">
        <v>0.8</v>
      </c>
      <c r="M159">
        <v>33.590000000000003</v>
      </c>
      <c r="N159">
        <v>0.75</v>
      </c>
      <c r="O159" t="s">
        <v>20</v>
      </c>
      <c r="P159" t="s">
        <v>21</v>
      </c>
      <c r="Q159">
        <f t="shared" si="10"/>
        <v>8</v>
      </c>
      <c r="R159" s="4">
        <f>RANK(N159,$N$2:N$2800,0)</f>
        <v>2586</v>
      </c>
      <c r="S159">
        <f t="shared" si="11"/>
        <v>1.0909090909090908</v>
      </c>
      <c r="T159" t="str">
        <f t="shared" si="12"/>
        <v>Low</v>
      </c>
      <c r="U159" t="str" cm="1">
        <f t="array" ref="U159">_xlfn.LET(_xlpm.roles,_xlfn.UNIQUE(D159:D2957),_xlpm.kills, SUMIF(D159:D2957,_xlpm.roles,G159:G2957),INDEX(_xlpm.roles,MATCH(MAX(_xlpm.kills),_xlpm.kills,0)))</f>
        <v>Entry Fragger</v>
      </c>
      <c r="V159" t="str">
        <f t="shared" si="13"/>
        <v>Medium Accuracy</v>
      </c>
      <c r="W159" t="str" cm="1">
        <f t="array" ref="W159">_xlfn.LET(_xlpm.roles,_xlfn.UNIQUE(D159:D2957), _xlpm.counts,COUNTIF(D159:D2957,_xlpm.roles), INDEX(_xlpm.roles,MATCH(MAX(_xlpm.counts),_xlpm.counts,0)))</f>
        <v>Entry Fragger</v>
      </c>
      <c r="X159" s="2">
        <f t="shared" si="14"/>
        <v>13.103594080338267</v>
      </c>
    </row>
    <row r="160" spans="1:24" x14ac:dyDescent="0.3">
      <c r="A160">
        <v>449</v>
      </c>
      <c r="B160">
        <v>29</v>
      </c>
      <c r="C160" t="s">
        <v>35</v>
      </c>
      <c r="D160" t="s">
        <v>17</v>
      </c>
      <c r="E160" t="s">
        <v>18</v>
      </c>
      <c r="F160" t="s">
        <v>19</v>
      </c>
      <c r="G160">
        <v>15</v>
      </c>
      <c r="H160">
        <v>2</v>
      </c>
      <c r="I160">
        <v>10</v>
      </c>
      <c r="J160">
        <v>47.92</v>
      </c>
      <c r="K160">
        <v>218.83</v>
      </c>
      <c r="L160">
        <v>0.35</v>
      </c>
      <c r="M160">
        <v>42.46</v>
      </c>
      <c r="N160">
        <v>0.82</v>
      </c>
      <c r="O160" t="s">
        <v>20</v>
      </c>
      <c r="P160" t="s">
        <v>21</v>
      </c>
      <c r="Q160">
        <f t="shared" si="10"/>
        <v>7</v>
      </c>
      <c r="R160" s="4">
        <f>RANK(N160,$N$2:N$2800,0)</f>
        <v>2275</v>
      </c>
      <c r="S160">
        <f t="shared" si="11"/>
        <v>1.5</v>
      </c>
      <c r="T160" t="str">
        <f t="shared" si="12"/>
        <v>Low</v>
      </c>
      <c r="U160" t="str" cm="1">
        <f t="array" ref="U160">_xlfn.LET(_xlpm.roles,_xlfn.UNIQUE(D160:D2958),_xlpm.kills, SUMIF(D160:D2958,_xlpm.roles,G160:G2958),INDEX(_xlpm.roles,MATCH(MAX(_xlpm.kills),_xlpm.kills,0)))</f>
        <v>Entry Fragger</v>
      </c>
      <c r="V160" t="str">
        <f t="shared" si="13"/>
        <v>Medium Accuracy</v>
      </c>
      <c r="W160" t="str" cm="1">
        <f t="array" ref="W160">_xlfn.LET(_xlpm.roles,_xlfn.UNIQUE(D160:D2958), _xlpm.counts,COUNTIF(D160:D2958,_xlpm.roles), INDEX(_xlpm.roles,MATCH(MAX(_xlpm.counts),_xlpm.counts,0)))</f>
        <v>Entry Fragger</v>
      </c>
      <c r="X160" s="2">
        <f t="shared" si="14"/>
        <v>12.599585062240664</v>
      </c>
    </row>
    <row r="161" spans="1:24" x14ac:dyDescent="0.3">
      <c r="A161">
        <v>452</v>
      </c>
      <c r="B161">
        <v>29</v>
      </c>
      <c r="C161" t="s">
        <v>35</v>
      </c>
      <c r="D161" t="s">
        <v>17</v>
      </c>
      <c r="E161" t="s">
        <v>18</v>
      </c>
      <c r="F161" t="s">
        <v>24</v>
      </c>
      <c r="G161">
        <v>17</v>
      </c>
      <c r="H161">
        <v>13</v>
      </c>
      <c r="I161">
        <v>9</v>
      </c>
      <c r="J161">
        <v>46.61</v>
      </c>
      <c r="K161">
        <v>198.4</v>
      </c>
      <c r="L161">
        <v>0.44</v>
      </c>
      <c r="M161">
        <v>56.91</v>
      </c>
      <c r="N161">
        <v>0.98</v>
      </c>
      <c r="O161" t="s">
        <v>20</v>
      </c>
      <c r="P161" t="s">
        <v>21</v>
      </c>
      <c r="Q161">
        <f t="shared" si="10"/>
        <v>21</v>
      </c>
      <c r="R161" s="4">
        <f>RANK(N161,$N$2:N$2800,0)</f>
        <v>1157</v>
      </c>
      <c r="S161">
        <f t="shared" si="11"/>
        <v>1.8888888888888888</v>
      </c>
      <c r="T161" t="str">
        <f t="shared" si="12"/>
        <v>Good</v>
      </c>
      <c r="U161" t="str" cm="1">
        <f t="array" ref="U161">_xlfn.LET(_xlpm.roles,_xlfn.UNIQUE(D161:D2959),_xlpm.kills, SUMIF(D161:D2959,_xlpm.roles,G161:G2959),INDEX(_xlpm.roles,MATCH(MAX(_xlpm.kills),_xlpm.kills,0)))</f>
        <v>Entry Fragger</v>
      </c>
      <c r="V161" t="str">
        <f t="shared" si="13"/>
        <v>Medium Accuracy</v>
      </c>
      <c r="W161" t="str" cm="1">
        <f t="array" ref="W161">_xlfn.LET(_xlpm.roles,_xlfn.UNIQUE(D161:D2959), _xlpm.counts,COUNTIF(D161:D2959,_xlpm.roles), INDEX(_xlpm.roles,MATCH(MAX(_xlpm.counts),_xlpm.counts,0)))</f>
        <v>Entry Fragger</v>
      </c>
      <c r="X161" s="2">
        <f t="shared" si="14"/>
        <v>12.599585062240664</v>
      </c>
    </row>
    <row r="162" spans="1:24" x14ac:dyDescent="0.3">
      <c r="A162">
        <v>563</v>
      </c>
      <c r="B162">
        <v>29</v>
      </c>
      <c r="C162" t="s">
        <v>25</v>
      </c>
      <c r="D162" t="s">
        <v>31</v>
      </c>
      <c r="E162" t="s">
        <v>33</v>
      </c>
      <c r="F162" t="s">
        <v>26</v>
      </c>
      <c r="G162">
        <v>10</v>
      </c>
      <c r="H162">
        <v>9</v>
      </c>
      <c r="I162">
        <v>13</v>
      </c>
      <c r="J162">
        <v>32.94</v>
      </c>
      <c r="K162">
        <v>203.3</v>
      </c>
      <c r="L162">
        <v>0.86</v>
      </c>
      <c r="M162">
        <v>23.87</v>
      </c>
      <c r="N162">
        <v>0.78</v>
      </c>
      <c r="O162" t="s">
        <v>20</v>
      </c>
      <c r="P162" t="s">
        <v>21</v>
      </c>
      <c r="Q162">
        <f t="shared" si="10"/>
        <v>6</v>
      </c>
      <c r="R162" s="4">
        <f>RANK(N162,$N$2:N$2800,0)</f>
        <v>2469</v>
      </c>
      <c r="S162">
        <f t="shared" si="11"/>
        <v>0.76923076923076927</v>
      </c>
      <c r="T162" t="str">
        <f t="shared" si="12"/>
        <v>Low</v>
      </c>
      <c r="U162" t="str" cm="1">
        <f t="array" ref="U162">_xlfn.LET(_xlpm.roles,_xlfn.UNIQUE(D162:D2960),_xlpm.kills, SUMIF(D162:D2960,_xlpm.roles,G162:G2960),INDEX(_xlpm.roles,MATCH(MAX(_xlpm.kills),_xlpm.kills,0)))</f>
        <v>Entry Fragger</v>
      </c>
      <c r="V162" t="str">
        <f t="shared" si="13"/>
        <v>Medium Accuracy</v>
      </c>
      <c r="W162" t="str" cm="1">
        <f t="array" ref="W162">_xlfn.LET(_xlpm.roles,_xlfn.UNIQUE(D162:D2960), _xlpm.counts,COUNTIF(D162:D2960,_xlpm.roles), INDEX(_xlpm.roles,MATCH(MAX(_xlpm.counts),_xlpm.counts,0)))</f>
        <v>Entry Fragger</v>
      </c>
      <c r="X162" s="2">
        <f t="shared" si="14"/>
        <v>12.809421841541756</v>
      </c>
    </row>
    <row r="163" spans="1:24" x14ac:dyDescent="0.3">
      <c r="A163">
        <v>738</v>
      </c>
      <c r="B163">
        <v>29</v>
      </c>
      <c r="C163" t="s">
        <v>39</v>
      </c>
      <c r="D163" t="s">
        <v>17</v>
      </c>
      <c r="E163" t="s">
        <v>29</v>
      </c>
      <c r="F163" t="s">
        <v>19</v>
      </c>
      <c r="G163">
        <v>9</v>
      </c>
      <c r="H163">
        <v>7</v>
      </c>
      <c r="I163">
        <v>16</v>
      </c>
      <c r="J163">
        <v>41.33</v>
      </c>
      <c r="K163">
        <v>244.07</v>
      </c>
      <c r="L163">
        <v>0.12</v>
      </c>
      <c r="M163">
        <v>28.46</v>
      </c>
      <c r="N163">
        <v>0.95</v>
      </c>
      <c r="O163" t="s">
        <v>20</v>
      </c>
      <c r="P163" t="s">
        <v>21</v>
      </c>
      <c r="Q163">
        <f t="shared" si="10"/>
        <v>0</v>
      </c>
      <c r="R163" s="4">
        <f>RANK(N163,$N$2:N$2800,0)</f>
        <v>1367</v>
      </c>
      <c r="S163">
        <f t="shared" si="11"/>
        <v>0.5625</v>
      </c>
      <c r="T163" t="str">
        <f t="shared" si="12"/>
        <v>Low</v>
      </c>
      <c r="U163" t="str" cm="1">
        <f t="array" ref="U163">_xlfn.LET(_xlpm.roles,_xlfn.UNIQUE(D163:D2961),_xlpm.kills, SUMIF(D163:D2961,_xlpm.roles,G163:G2961),INDEX(_xlpm.roles,MATCH(MAX(_xlpm.kills),_xlpm.kills,0)))</f>
        <v>Entry Fragger</v>
      </c>
      <c r="V163" t="str">
        <f t="shared" si="13"/>
        <v>Medium Accuracy</v>
      </c>
      <c r="W163" t="str" cm="1">
        <f t="array" ref="W163">_xlfn.LET(_xlpm.roles,_xlfn.UNIQUE(D163:D2961), _xlpm.counts,COUNTIF(D163:D2961,_xlpm.roles), INDEX(_xlpm.roles,MATCH(MAX(_xlpm.counts),_xlpm.counts,0)))</f>
        <v>Entry Fragger</v>
      </c>
      <c r="X163" s="2">
        <f t="shared" si="14"/>
        <v>13.103594080338267</v>
      </c>
    </row>
    <row r="164" spans="1:24" x14ac:dyDescent="0.3">
      <c r="A164">
        <v>1191</v>
      </c>
      <c r="B164">
        <v>29</v>
      </c>
      <c r="C164" t="s">
        <v>30</v>
      </c>
      <c r="D164" t="s">
        <v>31</v>
      </c>
      <c r="E164" t="s">
        <v>18</v>
      </c>
      <c r="F164" t="s">
        <v>26</v>
      </c>
      <c r="G164">
        <v>15</v>
      </c>
      <c r="H164">
        <v>5</v>
      </c>
      <c r="I164">
        <v>12</v>
      </c>
      <c r="J164">
        <v>41.75</v>
      </c>
      <c r="K164">
        <v>234.98</v>
      </c>
      <c r="L164">
        <v>0.75</v>
      </c>
      <c r="M164">
        <v>36.380000000000003</v>
      </c>
      <c r="N164">
        <v>0.88</v>
      </c>
      <c r="O164" t="s">
        <v>20</v>
      </c>
      <c r="P164" t="s">
        <v>21</v>
      </c>
      <c r="Q164">
        <f t="shared" si="10"/>
        <v>8</v>
      </c>
      <c r="R164" s="4">
        <f>RANK(N164,$N$2:N$2800,0)</f>
        <v>1894</v>
      </c>
      <c r="S164">
        <f t="shared" si="11"/>
        <v>1.25</v>
      </c>
      <c r="T164" t="str">
        <f t="shared" si="12"/>
        <v>Low</v>
      </c>
      <c r="U164" t="str" cm="1">
        <f t="array" ref="U164">_xlfn.LET(_xlpm.roles,_xlfn.UNIQUE(D164:D2962),_xlpm.kills, SUMIF(D164:D2962,_xlpm.roles,G164:G2962),INDEX(_xlpm.roles,MATCH(MAX(_xlpm.kills),_xlpm.kills,0)))</f>
        <v>Entry Fragger</v>
      </c>
      <c r="V164" t="str">
        <f t="shared" si="13"/>
        <v>Medium Accuracy</v>
      </c>
      <c r="W164" t="str" cm="1">
        <f t="array" ref="W164">_xlfn.LET(_xlpm.roles,_xlfn.UNIQUE(D164:D2962), _xlpm.counts,COUNTIF(D164:D2962,_xlpm.roles), INDEX(_xlpm.roles,MATCH(MAX(_xlpm.counts),_xlpm.counts,0)))</f>
        <v>Entry Fragger</v>
      </c>
      <c r="X164" s="2">
        <f t="shared" si="14"/>
        <v>13.135802469135802</v>
      </c>
    </row>
    <row r="165" spans="1:24" x14ac:dyDescent="0.3">
      <c r="A165">
        <v>1601</v>
      </c>
      <c r="B165">
        <v>29</v>
      </c>
      <c r="C165" t="s">
        <v>27</v>
      </c>
      <c r="D165" t="s">
        <v>36</v>
      </c>
      <c r="E165" t="s">
        <v>29</v>
      </c>
      <c r="F165" t="s">
        <v>34</v>
      </c>
      <c r="G165">
        <v>19</v>
      </c>
      <c r="H165">
        <v>13</v>
      </c>
      <c r="I165">
        <v>5</v>
      </c>
      <c r="J165">
        <v>49.15</v>
      </c>
      <c r="K165">
        <v>178.17</v>
      </c>
      <c r="L165">
        <v>0.57999999999999996</v>
      </c>
      <c r="M165">
        <v>64.78</v>
      </c>
      <c r="N165">
        <v>1</v>
      </c>
      <c r="O165" t="s">
        <v>20</v>
      </c>
      <c r="P165" t="s">
        <v>38</v>
      </c>
      <c r="Q165">
        <f t="shared" si="10"/>
        <v>27</v>
      </c>
      <c r="R165" s="4">
        <f>RANK(N165,$N$2:N$2800,0)</f>
        <v>1</v>
      </c>
      <c r="S165">
        <f t="shared" si="11"/>
        <v>3.8</v>
      </c>
      <c r="T165" t="str">
        <f t="shared" si="12"/>
        <v>Excellent</v>
      </c>
      <c r="U165" t="str" cm="1">
        <f t="array" ref="U165">_xlfn.LET(_xlpm.roles,_xlfn.UNIQUE(D165:D2963),_xlpm.kills, SUMIF(D165:D2963,_xlpm.roles,G165:G2963),INDEX(_xlpm.roles,MATCH(MAX(_xlpm.kills),_xlpm.kills,0)))</f>
        <v>Entry Fragger</v>
      </c>
      <c r="V165" t="str">
        <f t="shared" si="13"/>
        <v>Medium Accuracy</v>
      </c>
      <c r="W165" t="str" cm="1">
        <f t="array" ref="W165">_xlfn.LET(_xlpm.roles,_xlfn.UNIQUE(D165:D2963), _xlpm.counts,COUNTIF(D165:D2963,_xlpm.roles), INDEX(_xlpm.roles,MATCH(MAX(_xlpm.counts),_xlpm.counts,0)))</f>
        <v>Entry Fragger</v>
      </c>
      <c r="X165" s="2">
        <f t="shared" si="14"/>
        <v>13.057077625570777</v>
      </c>
    </row>
    <row r="166" spans="1:24" x14ac:dyDescent="0.3">
      <c r="A166">
        <v>1758</v>
      </c>
      <c r="B166">
        <v>29</v>
      </c>
      <c r="C166" t="s">
        <v>16</v>
      </c>
      <c r="D166" t="s">
        <v>28</v>
      </c>
      <c r="E166" t="s">
        <v>18</v>
      </c>
      <c r="F166" t="s">
        <v>34</v>
      </c>
      <c r="G166">
        <v>22</v>
      </c>
      <c r="H166">
        <v>4</v>
      </c>
      <c r="I166">
        <v>11</v>
      </c>
      <c r="J166">
        <v>48.8</v>
      </c>
      <c r="K166">
        <v>195.48</v>
      </c>
      <c r="L166">
        <v>0.26</v>
      </c>
      <c r="M166">
        <v>58.8</v>
      </c>
      <c r="N166">
        <v>1</v>
      </c>
      <c r="O166" t="s">
        <v>20</v>
      </c>
      <c r="P166" t="s">
        <v>21</v>
      </c>
      <c r="Q166">
        <f t="shared" si="10"/>
        <v>15</v>
      </c>
      <c r="R166" s="4">
        <f>RANK(N166,$N$2:N$2800,0)</f>
        <v>1</v>
      </c>
      <c r="S166">
        <f t="shared" si="11"/>
        <v>2</v>
      </c>
      <c r="T166" t="str">
        <f t="shared" si="12"/>
        <v>Good</v>
      </c>
      <c r="U166" t="str" cm="1">
        <f t="array" ref="U166">_xlfn.LET(_xlpm.roles,_xlfn.UNIQUE(D166:D2964),_xlpm.kills, SUMIF(D166:D2964,_xlpm.roles,G166:G2964),INDEX(_xlpm.roles,MATCH(MAX(_xlpm.kills),_xlpm.kills,0)))</f>
        <v>Entry Fragger</v>
      </c>
      <c r="V166" t="str">
        <f t="shared" si="13"/>
        <v>Medium Accuracy</v>
      </c>
      <c r="W166" t="str" cm="1">
        <f t="array" ref="W166">_xlfn.LET(_xlpm.roles,_xlfn.UNIQUE(D166:D2964), _xlpm.counts,COUNTIF(D166:D2964,_xlpm.roles), INDEX(_xlpm.roles,MATCH(MAX(_xlpm.counts),_xlpm.counts,0)))</f>
        <v>Entry Fragger</v>
      </c>
      <c r="X166" s="2">
        <f t="shared" si="14"/>
        <v>12.520971302428256</v>
      </c>
    </row>
    <row r="167" spans="1:24" x14ac:dyDescent="0.3">
      <c r="A167">
        <v>1814</v>
      </c>
      <c r="B167">
        <v>29</v>
      </c>
      <c r="C167" t="s">
        <v>25</v>
      </c>
      <c r="D167" t="s">
        <v>36</v>
      </c>
      <c r="E167" t="s">
        <v>23</v>
      </c>
      <c r="F167" t="s">
        <v>34</v>
      </c>
      <c r="G167">
        <v>19</v>
      </c>
      <c r="H167">
        <v>3</v>
      </c>
      <c r="I167">
        <v>8</v>
      </c>
      <c r="J167">
        <v>42.99</v>
      </c>
      <c r="K167">
        <v>172.94</v>
      </c>
      <c r="L167">
        <v>0.77</v>
      </c>
      <c r="M167">
        <v>46.8</v>
      </c>
      <c r="N167">
        <v>0.8</v>
      </c>
      <c r="O167" t="s">
        <v>20</v>
      </c>
      <c r="P167" t="s">
        <v>21</v>
      </c>
      <c r="Q167">
        <f t="shared" si="10"/>
        <v>14</v>
      </c>
      <c r="R167" s="4">
        <f>RANK(N167,$N$2:N$2800,0)</f>
        <v>2393</v>
      </c>
      <c r="S167">
        <f t="shared" si="11"/>
        <v>2.375</v>
      </c>
      <c r="T167" t="str">
        <f t="shared" si="12"/>
        <v>Low</v>
      </c>
      <c r="U167" t="str" cm="1">
        <f t="array" ref="U167">_xlfn.LET(_xlpm.roles,_xlfn.UNIQUE(D167:D2965),_xlpm.kills, SUMIF(D167:D2965,_xlpm.roles,G167:G2965),INDEX(_xlpm.roles,MATCH(MAX(_xlpm.kills),_xlpm.kills,0)))</f>
        <v>Entry Fragger</v>
      </c>
      <c r="V167" t="str">
        <f t="shared" si="13"/>
        <v>Medium Accuracy</v>
      </c>
      <c r="W167" t="str" cm="1">
        <f t="array" ref="W167">_xlfn.LET(_xlpm.roles,_xlfn.UNIQUE(D167:D2965), _xlpm.counts,COUNTIF(D167:D2965,_xlpm.roles), INDEX(_xlpm.roles,MATCH(MAX(_xlpm.counts),_xlpm.counts,0)))</f>
        <v>Entry Fragger</v>
      </c>
      <c r="X167" s="2">
        <f t="shared" si="14"/>
        <v>12.809421841541756</v>
      </c>
    </row>
    <row r="168" spans="1:24" x14ac:dyDescent="0.3">
      <c r="A168">
        <v>1880</v>
      </c>
      <c r="B168">
        <v>29</v>
      </c>
      <c r="C168" t="s">
        <v>35</v>
      </c>
      <c r="D168" t="s">
        <v>31</v>
      </c>
      <c r="E168" t="s">
        <v>29</v>
      </c>
      <c r="F168" t="s">
        <v>26</v>
      </c>
      <c r="G168">
        <v>12</v>
      </c>
      <c r="H168">
        <v>4</v>
      </c>
      <c r="I168">
        <v>8</v>
      </c>
      <c r="J168">
        <v>54.96</v>
      </c>
      <c r="K168">
        <v>249.18</v>
      </c>
      <c r="L168">
        <v>0.66</v>
      </c>
      <c r="M168">
        <v>40.880000000000003</v>
      </c>
      <c r="N168">
        <v>0.98</v>
      </c>
      <c r="O168" t="s">
        <v>20</v>
      </c>
      <c r="P168" t="s">
        <v>21</v>
      </c>
      <c r="Q168">
        <f t="shared" si="10"/>
        <v>8</v>
      </c>
      <c r="R168" s="4">
        <f>RANK(N168,$N$2:N$2800,0)</f>
        <v>1157</v>
      </c>
      <c r="S168">
        <f t="shared" si="11"/>
        <v>1.5</v>
      </c>
      <c r="T168" t="str">
        <f t="shared" si="12"/>
        <v>Low</v>
      </c>
      <c r="U168" t="str" cm="1">
        <f t="array" ref="U168">_xlfn.LET(_xlpm.roles,_xlfn.UNIQUE(D168:D2966),_xlpm.kills, SUMIF(D168:D2966,_xlpm.roles,G168:G2966),INDEX(_xlpm.roles,MATCH(MAX(_xlpm.kills),_xlpm.kills,0)))</f>
        <v>Entry Fragger</v>
      </c>
      <c r="V168" t="str">
        <f t="shared" si="13"/>
        <v>High Accuracy</v>
      </c>
      <c r="W168" t="str" cm="1">
        <f t="array" ref="W168">_xlfn.LET(_xlpm.roles,_xlfn.UNIQUE(D168:D2966), _xlpm.counts,COUNTIF(D168:D2966,_xlpm.roles), INDEX(_xlpm.roles,MATCH(MAX(_xlpm.counts),_xlpm.counts,0)))</f>
        <v>Entry Fragger</v>
      </c>
      <c r="X168" s="2">
        <f t="shared" si="14"/>
        <v>12.599585062240664</v>
      </c>
    </row>
    <row r="169" spans="1:24" x14ac:dyDescent="0.3">
      <c r="A169">
        <v>2192</v>
      </c>
      <c r="B169">
        <v>29</v>
      </c>
      <c r="C169" t="s">
        <v>25</v>
      </c>
      <c r="D169" t="s">
        <v>31</v>
      </c>
      <c r="E169" t="s">
        <v>32</v>
      </c>
      <c r="F169" t="s">
        <v>26</v>
      </c>
      <c r="G169">
        <v>16</v>
      </c>
      <c r="H169">
        <v>7</v>
      </c>
      <c r="I169">
        <v>6</v>
      </c>
      <c r="J169">
        <v>46.11</v>
      </c>
      <c r="K169">
        <v>236.58</v>
      </c>
      <c r="L169">
        <v>0.39</v>
      </c>
      <c r="M169">
        <v>52.16</v>
      </c>
      <c r="N169">
        <v>1</v>
      </c>
      <c r="O169" t="s">
        <v>20</v>
      </c>
      <c r="P169" t="s">
        <v>21</v>
      </c>
      <c r="Q169">
        <f t="shared" si="10"/>
        <v>17</v>
      </c>
      <c r="R169" s="4">
        <f>RANK(N169,$N$2:N$2800,0)</f>
        <v>1</v>
      </c>
      <c r="S169">
        <f t="shared" si="11"/>
        <v>2.6666666666666665</v>
      </c>
      <c r="T169" t="str">
        <f t="shared" si="12"/>
        <v>Good</v>
      </c>
      <c r="U169" t="str" cm="1">
        <f t="array" ref="U169">_xlfn.LET(_xlpm.roles,_xlfn.UNIQUE(D169:D2967),_xlpm.kills, SUMIF(D169:D2967,_xlpm.roles,G169:G2967),INDEX(_xlpm.roles,MATCH(MAX(_xlpm.kills),_xlpm.kills,0)))</f>
        <v>Entry Fragger</v>
      </c>
      <c r="V169" t="str">
        <f t="shared" si="13"/>
        <v>Medium Accuracy</v>
      </c>
      <c r="W169" t="str" cm="1">
        <f t="array" ref="W169">_xlfn.LET(_xlpm.roles,_xlfn.UNIQUE(D169:D2967), _xlpm.counts,COUNTIF(D169:D2967,_xlpm.roles), INDEX(_xlpm.roles,MATCH(MAX(_xlpm.counts),_xlpm.counts,0)))</f>
        <v>Entry Fragger</v>
      </c>
      <c r="X169" s="2">
        <f t="shared" si="14"/>
        <v>12.809421841541756</v>
      </c>
    </row>
    <row r="170" spans="1:24" x14ac:dyDescent="0.3">
      <c r="A170">
        <v>518</v>
      </c>
      <c r="B170">
        <v>30</v>
      </c>
      <c r="C170" t="s">
        <v>39</v>
      </c>
      <c r="D170" t="s">
        <v>36</v>
      </c>
      <c r="E170" t="s">
        <v>32</v>
      </c>
      <c r="F170" t="s">
        <v>37</v>
      </c>
      <c r="G170">
        <v>15</v>
      </c>
      <c r="H170">
        <v>10</v>
      </c>
      <c r="I170">
        <v>7</v>
      </c>
      <c r="J170">
        <v>32.630000000000003</v>
      </c>
      <c r="K170">
        <v>232.29</v>
      </c>
      <c r="L170">
        <v>0.47</v>
      </c>
      <c r="M170">
        <v>44.61</v>
      </c>
      <c r="N170">
        <v>0.89</v>
      </c>
      <c r="O170" t="s">
        <v>20</v>
      </c>
      <c r="P170" t="s">
        <v>21</v>
      </c>
      <c r="Q170">
        <f t="shared" si="10"/>
        <v>18</v>
      </c>
      <c r="R170" s="4">
        <f>RANK(N170,$N$2:N$2800,0)</f>
        <v>1815</v>
      </c>
      <c r="S170">
        <f t="shared" si="11"/>
        <v>2.1428571428571428</v>
      </c>
      <c r="T170" t="str">
        <f t="shared" si="12"/>
        <v>Good</v>
      </c>
      <c r="U170" t="str" cm="1">
        <f t="array" ref="U170">_xlfn.LET(_xlpm.roles,_xlfn.UNIQUE(D170:D2968),_xlpm.kills, SUMIF(D170:D2968,_xlpm.roles,G170:G2968),INDEX(_xlpm.roles,MATCH(MAX(_xlpm.kills),_xlpm.kills,0)))</f>
        <v>Entry Fragger</v>
      </c>
      <c r="V170" t="str">
        <f t="shared" si="13"/>
        <v>Medium Accuracy</v>
      </c>
      <c r="W170" t="str" cm="1">
        <f t="array" ref="W170">_xlfn.LET(_xlpm.roles,_xlfn.UNIQUE(D170:D2968), _xlpm.counts,COUNTIF(D170:D2968,_xlpm.roles), INDEX(_xlpm.roles,MATCH(MAX(_xlpm.counts),_xlpm.counts,0)))</f>
        <v>Entry Fragger</v>
      </c>
      <c r="X170" s="2">
        <f t="shared" si="14"/>
        <v>13.103594080338267</v>
      </c>
    </row>
    <row r="171" spans="1:24" x14ac:dyDescent="0.3">
      <c r="A171">
        <v>989</v>
      </c>
      <c r="B171">
        <v>30</v>
      </c>
      <c r="C171" t="s">
        <v>35</v>
      </c>
      <c r="D171" t="s">
        <v>28</v>
      </c>
      <c r="E171" t="s">
        <v>32</v>
      </c>
      <c r="F171" t="s">
        <v>24</v>
      </c>
      <c r="G171">
        <v>15</v>
      </c>
      <c r="H171">
        <v>8</v>
      </c>
      <c r="I171">
        <v>15</v>
      </c>
      <c r="J171">
        <v>36.450000000000003</v>
      </c>
      <c r="K171">
        <v>206.86</v>
      </c>
      <c r="L171">
        <v>0.76</v>
      </c>
      <c r="M171">
        <v>33.619999999999997</v>
      </c>
      <c r="N171">
        <v>0.84</v>
      </c>
      <c r="O171" t="s">
        <v>20</v>
      </c>
      <c r="P171" t="s">
        <v>21</v>
      </c>
      <c r="Q171">
        <f t="shared" si="10"/>
        <v>8</v>
      </c>
      <c r="R171" s="4">
        <f>RANK(N171,$N$2:N$2800,0)</f>
        <v>2156</v>
      </c>
      <c r="S171">
        <f t="shared" si="11"/>
        <v>1</v>
      </c>
      <c r="T171" t="str">
        <f t="shared" si="12"/>
        <v>Low</v>
      </c>
      <c r="U171" t="str" cm="1">
        <f t="array" ref="U171">_xlfn.LET(_xlpm.roles,_xlfn.UNIQUE(D171:D2969),_xlpm.kills, SUMIF(D171:D2969,_xlpm.roles,G171:G2969),INDEX(_xlpm.roles,MATCH(MAX(_xlpm.kills),_xlpm.kills,0)))</f>
        <v>Entry Fragger</v>
      </c>
      <c r="V171" t="str">
        <f t="shared" si="13"/>
        <v>Medium Accuracy</v>
      </c>
      <c r="W171" t="str" cm="1">
        <f t="array" ref="W171">_xlfn.LET(_xlpm.roles,_xlfn.UNIQUE(D171:D2969), _xlpm.counts,COUNTIF(D171:D2969,_xlpm.roles), INDEX(_xlpm.roles,MATCH(MAX(_xlpm.counts),_xlpm.counts,0)))</f>
        <v>Entry Fragger</v>
      </c>
      <c r="X171" s="2">
        <f t="shared" si="14"/>
        <v>12.599585062240664</v>
      </c>
    </row>
    <row r="172" spans="1:24" x14ac:dyDescent="0.3">
      <c r="A172">
        <v>1005</v>
      </c>
      <c r="B172">
        <v>30</v>
      </c>
      <c r="C172" t="s">
        <v>39</v>
      </c>
      <c r="D172" t="s">
        <v>31</v>
      </c>
      <c r="E172" t="s">
        <v>33</v>
      </c>
      <c r="F172" t="s">
        <v>24</v>
      </c>
      <c r="G172">
        <v>13</v>
      </c>
      <c r="H172">
        <v>7</v>
      </c>
      <c r="I172">
        <v>16</v>
      </c>
      <c r="J172">
        <v>46.77</v>
      </c>
      <c r="K172">
        <v>241.2</v>
      </c>
      <c r="L172">
        <v>0.84</v>
      </c>
      <c r="M172">
        <v>31.99</v>
      </c>
      <c r="N172">
        <v>0.81</v>
      </c>
      <c r="O172" t="s">
        <v>20</v>
      </c>
      <c r="P172" t="s">
        <v>21</v>
      </c>
      <c r="Q172">
        <f t="shared" si="10"/>
        <v>4</v>
      </c>
      <c r="R172" s="4">
        <f>RANK(N172,$N$2:N$2800,0)</f>
        <v>2341</v>
      </c>
      <c r="S172">
        <f t="shared" si="11"/>
        <v>0.8125</v>
      </c>
      <c r="T172" t="str">
        <f t="shared" si="12"/>
        <v>Low</v>
      </c>
      <c r="U172" t="str" cm="1">
        <f t="array" ref="U172">_xlfn.LET(_xlpm.roles,_xlfn.UNIQUE(D172:D2970),_xlpm.kills, SUMIF(D172:D2970,_xlpm.roles,G172:G2970),INDEX(_xlpm.roles,MATCH(MAX(_xlpm.kills),_xlpm.kills,0)))</f>
        <v>Entry Fragger</v>
      </c>
      <c r="V172" t="str">
        <f t="shared" si="13"/>
        <v>Medium Accuracy</v>
      </c>
      <c r="W172" t="str" cm="1">
        <f t="array" ref="W172">_xlfn.LET(_xlpm.roles,_xlfn.UNIQUE(D172:D2970), _xlpm.counts,COUNTIF(D172:D2970,_xlpm.roles), INDEX(_xlpm.roles,MATCH(MAX(_xlpm.counts),_xlpm.counts,0)))</f>
        <v>Entry Fragger</v>
      </c>
      <c r="X172" s="2">
        <f t="shared" si="14"/>
        <v>13.103594080338267</v>
      </c>
    </row>
    <row r="173" spans="1:24" x14ac:dyDescent="0.3">
      <c r="A173">
        <v>1183</v>
      </c>
      <c r="B173">
        <v>30</v>
      </c>
      <c r="C173" t="s">
        <v>27</v>
      </c>
      <c r="D173" t="s">
        <v>28</v>
      </c>
      <c r="E173" t="s">
        <v>23</v>
      </c>
      <c r="F173" t="s">
        <v>34</v>
      </c>
      <c r="G173">
        <v>14</v>
      </c>
      <c r="H173">
        <v>11</v>
      </c>
      <c r="I173">
        <v>7</v>
      </c>
      <c r="J173">
        <v>28.36</v>
      </c>
      <c r="K173">
        <v>196.14</v>
      </c>
      <c r="L173">
        <v>0.98</v>
      </c>
      <c r="M173">
        <v>36.380000000000003</v>
      </c>
      <c r="N173">
        <v>0.86</v>
      </c>
      <c r="O173" t="s">
        <v>20</v>
      </c>
      <c r="P173" t="s">
        <v>21</v>
      </c>
      <c r="Q173">
        <f t="shared" si="10"/>
        <v>18</v>
      </c>
      <c r="R173" s="4">
        <f>RANK(N173,$N$2:N$2800,0)</f>
        <v>2040</v>
      </c>
      <c r="S173">
        <f t="shared" si="11"/>
        <v>2</v>
      </c>
      <c r="T173" t="str">
        <f t="shared" si="12"/>
        <v>Good</v>
      </c>
      <c r="U173" t="str" cm="1">
        <f t="array" ref="U173">_xlfn.LET(_xlpm.roles,_xlfn.UNIQUE(D173:D2971),_xlpm.kills, SUMIF(D173:D2971,_xlpm.roles,G173:G2971),INDEX(_xlpm.roles,MATCH(MAX(_xlpm.kills),_xlpm.kills,0)))</f>
        <v>Entry Fragger</v>
      </c>
      <c r="V173" t="str">
        <f t="shared" si="13"/>
        <v>Low Accuracy</v>
      </c>
      <c r="W173" t="str" cm="1">
        <f t="array" ref="W173">_xlfn.LET(_xlpm.roles,_xlfn.UNIQUE(D173:D2971), _xlpm.counts,COUNTIF(D173:D2971,_xlpm.roles), INDEX(_xlpm.roles,MATCH(MAX(_xlpm.counts),_xlpm.counts,0)))</f>
        <v>Entry Fragger</v>
      </c>
      <c r="X173" s="2">
        <f t="shared" si="14"/>
        <v>13.057077625570777</v>
      </c>
    </row>
    <row r="174" spans="1:24" x14ac:dyDescent="0.3">
      <c r="A174">
        <v>1807</v>
      </c>
      <c r="B174">
        <v>30</v>
      </c>
      <c r="C174" t="s">
        <v>30</v>
      </c>
      <c r="D174" t="s">
        <v>36</v>
      </c>
      <c r="E174" t="s">
        <v>33</v>
      </c>
      <c r="F174" t="s">
        <v>34</v>
      </c>
      <c r="G174">
        <v>20</v>
      </c>
      <c r="H174">
        <v>5</v>
      </c>
      <c r="I174">
        <v>10</v>
      </c>
      <c r="J174">
        <v>53.15</v>
      </c>
      <c r="K174">
        <v>274.41000000000003</v>
      </c>
      <c r="L174">
        <v>0.27</v>
      </c>
      <c r="M174">
        <v>58.88</v>
      </c>
      <c r="N174">
        <v>1</v>
      </c>
      <c r="O174" t="s">
        <v>20</v>
      </c>
      <c r="P174" t="s">
        <v>21</v>
      </c>
      <c r="Q174">
        <f t="shared" si="10"/>
        <v>15</v>
      </c>
      <c r="R174" s="4">
        <f>RANK(N174,$N$2:N$2800,0)</f>
        <v>1</v>
      </c>
      <c r="S174">
        <f t="shared" si="11"/>
        <v>2</v>
      </c>
      <c r="T174" t="str">
        <f t="shared" si="12"/>
        <v>Good</v>
      </c>
      <c r="U174" t="str" cm="1">
        <f t="array" ref="U174">_xlfn.LET(_xlpm.roles,_xlfn.UNIQUE(D174:D2972),_xlpm.kills, SUMIF(D174:D2972,_xlpm.roles,G174:G2972),INDEX(_xlpm.roles,MATCH(MAX(_xlpm.kills),_xlpm.kills,0)))</f>
        <v>Entry Fragger</v>
      </c>
      <c r="V174" t="str">
        <f t="shared" si="13"/>
        <v>High Accuracy</v>
      </c>
      <c r="W174" t="str" cm="1">
        <f t="array" ref="W174">_xlfn.LET(_xlpm.roles,_xlfn.UNIQUE(D174:D2972), _xlpm.counts,COUNTIF(D174:D2972,_xlpm.roles), INDEX(_xlpm.roles,MATCH(MAX(_xlpm.counts),_xlpm.counts,0)))</f>
        <v>Entry Fragger</v>
      </c>
      <c r="X174" s="2">
        <f t="shared" si="14"/>
        <v>13.135802469135802</v>
      </c>
    </row>
    <row r="175" spans="1:24" x14ac:dyDescent="0.3">
      <c r="A175">
        <v>2492</v>
      </c>
      <c r="B175">
        <v>30</v>
      </c>
      <c r="C175" t="s">
        <v>27</v>
      </c>
      <c r="D175" t="s">
        <v>22</v>
      </c>
      <c r="E175" t="s">
        <v>23</v>
      </c>
      <c r="F175" t="s">
        <v>19</v>
      </c>
      <c r="G175">
        <v>16</v>
      </c>
      <c r="H175">
        <v>7</v>
      </c>
      <c r="I175">
        <v>9</v>
      </c>
      <c r="J175">
        <v>48.8</v>
      </c>
      <c r="K175">
        <v>214.23</v>
      </c>
      <c r="L175">
        <v>0.08</v>
      </c>
      <c r="M175">
        <v>53.6</v>
      </c>
      <c r="N175">
        <v>1</v>
      </c>
      <c r="O175" t="s">
        <v>20</v>
      </c>
      <c r="P175" t="s">
        <v>21</v>
      </c>
      <c r="Q175">
        <f t="shared" si="10"/>
        <v>14</v>
      </c>
      <c r="R175" s="4">
        <f>RANK(N175,$N$2:N$2800,0)</f>
        <v>1</v>
      </c>
      <c r="S175">
        <f t="shared" si="11"/>
        <v>1.7777777777777777</v>
      </c>
      <c r="T175" t="str">
        <f t="shared" si="12"/>
        <v>Low</v>
      </c>
      <c r="U175" t="str" cm="1">
        <f t="array" ref="U175">_xlfn.LET(_xlpm.roles,_xlfn.UNIQUE(D175:D2973),_xlpm.kills, SUMIF(D175:D2973,_xlpm.roles,G175:G2973),INDEX(_xlpm.roles,MATCH(MAX(_xlpm.kills),_xlpm.kills,0)))</f>
        <v>Entry Fragger</v>
      </c>
      <c r="V175" t="str">
        <f t="shared" si="13"/>
        <v>Medium Accuracy</v>
      </c>
      <c r="W175" t="str" cm="1">
        <f t="array" ref="W175">_xlfn.LET(_xlpm.roles,_xlfn.UNIQUE(D175:D2973), _xlpm.counts,COUNTIF(D175:D2973,_xlpm.roles), INDEX(_xlpm.roles,MATCH(MAX(_xlpm.counts),_xlpm.counts,0)))</f>
        <v>Entry Fragger</v>
      </c>
      <c r="X175" s="2">
        <f t="shared" si="14"/>
        <v>13.057077625570777</v>
      </c>
    </row>
    <row r="176" spans="1:24" x14ac:dyDescent="0.3">
      <c r="A176">
        <v>2676</v>
      </c>
      <c r="B176">
        <v>30</v>
      </c>
      <c r="C176" t="s">
        <v>39</v>
      </c>
      <c r="D176" t="s">
        <v>17</v>
      </c>
      <c r="E176" t="s">
        <v>29</v>
      </c>
      <c r="F176" t="s">
        <v>37</v>
      </c>
      <c r="G176">
        <v>18</v>
      </c>
      <c r="H176">
        <v>10</v>
      </c>
      <c r="I176">
        <v>16</v>
      </c>
      <c r="J176">
        <v>52.95</v>
      </c>
      <c r="K176">
        <v>223.24</v>
      </c>
      <c r="L176">
        <v>0.36</v>
      </c>
      <c r="M176">
        <v>52.88</v>
      </c>
      <c r="N176">
        <v>0.97</v>
      </c>
      <c r="O176" t="s">
        <v>20</v>
      </c>
      <c r="P176" t="s">
        <v>21</v>
      </c>
      <c r="Q176">
        <f t="shared" si="10"/>
        <v>12</v>
      </c>
      <c r="R176" s="4">
        <f>RANK(N176,$N$2:N$2800,0)</f>
        <v>1243</v>
      </c>
      <c r="S176">
        <f t="shared" si="11"/>
        <v>1.125</v>
      </c>
      <c r="T176" t="str">
        <f t="shared" si="12"/>
        <v>Low</v>
      </c>
      <c r="U176" t="str" cm="1">
        <f t="array" ref="U176">_xlfn.LET(_xlpm.roles,_xlfn.UNIQUE(D176:D2974),_xlpm.kills, SUMIF(D176:D2974,_xlpm.roles,G176:G2974),INDEX(_xlpm.roles,MATCH(MAX(_xlpm.kills),_xlpm.kills,0)))</f>
        <v>Entry Fragger</v>
      </c>
      <c r="V176" t="str">
        <f t="shared" si="13"/>
        <v>High Accuracy</v>
      </c>
      <c r="W176" t="str" cm="1">
        <f t="array" ref="W176">_xlfn.LET(_xlpm.roles,_xlfn.UNIQUE(D176:D2974), _xlpm.counts,COUNTIF(D176:D2974,_xlpm.roles), INDEX(_xlpm.roles,MATCH(MAX(_xlpm.counts),_xlpm.counts,0)))</f>
        <v>Entry Fragger</v>
      </c>
      <c r="X176" s="2">
        <f t="shared" si="14"/>
        <v>13.103594080338267</v>
      </c>
    </row>
    <row r="177" spans="1:24" x14ac:dyDescent="0.3">
      <c r="A177">
        <v>540</v>
      </c>
      <c r="B177">
        <v>31</v>
      </c>
      <c r="C177" t="s">
        <v>16</v>
      </c>
      <c r="D177" t="s">
        <v>17</v>
      </c>
      <c r="E177" t="s">
        <v>33</v>
      </c>
      <c r="F177" t="s">
        <v>34</v>
      </c>
      <c r="G177">
        <v>18</v>
      </c>
      <c r="H177">
        <v>10</v>
      </c>
      <c r="I177">
        <v>11</v>
      </c>
      <c r="J177">
        <v>42.64</v>
      </c>
      <c r="K177">
        <v>219.01</v>
      </c>
      <c r="L177">
        <v>0.92</v>
      </c>
      <c r="M177">
        <v>47.12</v>
      </c>
      <c r="N177">
        <v>0.92</v>
      </c>
      <c r="O177" t="s">
        <v>20</v>
      </c>
      <c r="P177" t="s">
        <v>21</v>
      </c>
      <c r="Q177">
        <f t="shared" si="10"/>
        <v>17</v>
      </c>
      <c r="R177" s="4">
        <f>RANK(N177,$N$2:N$2800,0)</f>
        <v>1585</v>
      </c>
      <c r="S177">
        <f t="shared" si="11"/>
        <v>1.6363636363636365</v>
      </c>
      <c r="T177" t="str">
        <f t="shared" si="12"/>
        <v>Good</v>
      </c>
      <c r="U177" t="str" cm="1">
        <f t="array" ref="U177">_xlfn.LET(_xlpm.roles,_xlfn.UNIQUE(D177:D2975),_xlpm.kills, SUMIF(D177:D2975,_xlpm.roles,G177:G2975),INDEX(_xlpm.roles,MATCH(MAX(_xlpm.kills),_xlpm.kills,0)))</f>
        <v>Entry Fragger</v>
      </c>
      <c r="V177" t="str">
        <f t="shared" si="13"/>
        <v>Medium Accuracy</v>
      </c>
      <c r="W177" t="str" cm="1">
        <f t="array" ref="W177">_xlfn.LET(_xlpm.roles,_xlfn.UNIQUE(D177:D2975), _xlpm.counts,COUNTIF(D177:D2975,_xlpm.roles), INDEX(_xlpm.roles,MATCH(MAX(_xlpm.counts),_xlpm.counts,0)))</f>
        <v>Entry Fragger</v>
      </c>
      <c r="X177" s="2">
        <f t="shared" si="14"/>
        <v>12.520971302428256</v>
      </c>
    </row>
    <row r="178" spans="1:24" x14ac:dyDescent="0.3">
      <c r="A178">
        <v>692</v>
      </c>
      <c r="B178">
        <v>31</v>
      </c>
      <c r="C178" t="s">
        <v>39</v>
      </c>
      <c r="D178" t="s">
        <v>22</v>
      </c>
      <c r="E178" t="s">
        <v>32</v>
      </c>
      <c r="F178" t="s">
        <v>26</v>
      </c>
      <c r="G178">
        <v>14</v>
      </c>
      <c r="H178">
        <v>9</v>
      </c>
      <c r="I178">
        <v>8</v>
      </c>
      <c r="J178">
        <v>37.18</v>
      </c>
      <c r="K178">
        <v>203</v>
      </c>
      <c r="L178">
        <v>0.8</v>
      </c>
      <c r="M178">
        <v>39.590000000000003</v>
      </c>
      <c r="N178">
        <v>0.98</v>
      </c>
      <c r="O178" t="s">
        <v>20</v>
      </c>
      <c r="P178" t="s">
        <v>21</v>
      </c>
      <c r="Q178">
        <f t="shared" si="10"/>
        <v>15</v>
      </c>
      <c r="R178" s="4">
        <f>RANK(N178,$N$2:N$2800,0)</f>
        <v>1157</v>
      </c>
      <c r="S178">
        <f t="shared" si="11"/>
        <v>1.75</v>
      </c>
      <c r="T178" t="str">
        <f t="shared" si="12"/>
        <v>Good</v>
      </c>
      <c r="U178" t="str" cm="1">
        <f t="array" ref="U178">_xlfn.LET(_xlpm.roles,_xlfn.UNIQUE(D178:D2976),_xlpm.kills, SUMIF(D178:D2976,_xlpm.roles,G178:G2976),INDEX(_xlpm.roles,MATCH(MAX(_xlpm.kills),_xlpm.kills,0)))</f>
        <v>Entry Fragger</v>
      </c>
      <c r="V178" t="str">
        <f t="shared" si="13"/>
        <v>Medium Accuracy</v>
      </c>
      <c r="W178" t="str" cm="1">
        <f t="array" ref="W178">_xlfn.LET(_xlpm.roles,_xlfn.UNIQUE(D178:D2976), _xlpm.counts,COUNTIF(D178:D2976,_xlpm.roles), INDEX(_xlpm.roles,MATCH(MAX(_xlpm.counts),_xlpm.counts,0)))</f>
        <v>Entry Fragger</v>
      </c>
      <c r="X178" s="2">
        <f t="shared" si="14"/>
        <v>13.103594080338267</v>
      </c>
    </row>
    <row r="179" spans="1:24" x14ac:dyDescent="0.3">
      <c r="A179">
        <v>910</v>
      </c>
      <c r="B179">
        <v>31</v>
      </c>
      <c r="C179" t="s">
        <v>27</v>
      </c>
      <c r="D179" t="s">
        <v>22</v>
      </c>
      <c r="E179" t="s">
        <v>18</v>
      </c>
      <c r="F179" t="s">
        <v>19</v>
      </c>
      <c r="G179">
        <v>9</v>
      </c>
      <c r="H179">
        <v>7</v>
      </c>
      <c r="I179">
        <v>10</v>
      </c>
      <c r="J179">
        <v>36.299999999999997</v>
      </c>
      <c r="K179">
        <v>241.61</v>
      </c>
      <c r="L179">
        <v>0.75</v>
      </c>
      <c r="M179">
        <v>25.65</v>
      </c>
      <c r="N179">
        <v>0.81</v>
      </c>
      <c r="O179" t="s">
        <v>20</v>
      </c>
      <c r="P179" t="s">
        <v>21</v>
      </c>
      <c r="Q179">
        <f t="shared" si="10"/>
        <v>6</v>
      </c>
      <c r="R179" s="4">
        <f>RANK(N179,$N$2:N$2800,0)</f>
        <v>2341</v>
      </c>
      <c r="S179">
        <f t="shared" si="11"/>
        <v>0.9</v>
      </c>
      <c r="T179" t="str">
        <f t="shared" si="12"/>
        <v>Low</v>
      </c>
      <c r="U179" t="str" cm="1">
        <f t="array" ref="U179">_xlfn.LET(_xlpm.roles,_xlfn.UNIQUE(D179:D2977),_xlpm.kills, SUMIF(D179:D2977,_xlpm.roles,G179:G2977),INDEX(_xlpm.roles,MATCH(MAX(_xlpm.kills),_xlpm.kills,0)))</f>
        <v>Entry Fragger</v>
      </c>
      <c r="V179" t="str">
        <f t="shared" si="13"/>
        <v>Medium Accuracy</v>
      </c>
      <c r="W179" t="str" cm="1">
        <f t="array" ref="W179">_xlfn.LET(_xlpm.roles,_xlfn.UNIQUE(D179:D2977), _xlpm.counts,COUNTIF(D179:D2977,_xlpm.roles), INDEX(_xlpm.roles,MATCH(MAX(_xlpm.counts),_xlpm.counts,0)))</f>
        <v>Entry Fragger</v>
      </c>
      <c r="X179" s="2">
        <f t="shared" si="14"/>
        <v>13.057077625570777</v>
      </c>
    </row>
    <row r="180" spans="1:24" x14ac:dyDescent="0.3">
      <c r="A180">
        <v>1278</v>
      </c>
      <c r="B180">
        <v>31</v>
      </c>
      <c r="C180" t="s">
        <v>16</v>
      </c>
      <c r="D180" t="s">
        <v>22</v>
      </c>
      <c r="E180" t="s">
        <v>18</v>
      </c>
      <c r="F180" t="s">
        <v>19</v>
      </c>
      <c r="G180">
        <v>16</v>
      </c>
      <c r="H180">
        <v>9</v>
      </c>
      <c r="I180">
        <v>10</v>
      </c>
      <c r="J180">
        <v>48.42</v>
      </c>
      <c r="K180">
        <v>222.14</v>
      </c>
      <c r="L180">
        <v>0.75</v>
      </c>
      <c r="M180">
        <v>47.71</v>
      </c>
      <c r="N180">
        <v>0.89</v>
      </c>
      <c r="O180" t="s">
        <v>20</v>
      </c>
      <c r="P180" t="s">
        <v>21</v>
      </c>
      <c r="Q180">
        <f t="shared" si="10"/>
        <v>15</v>
      </c>
      <c r="R180" s="4">
        <f>RANK(N180,$N$2:N$2800,0)</f>
        <v>1815</v>
      </c>
      <c r="S180">
        <f t="shared" si="11"/>
        <v>1.6</v>
      </c>
      <c r="T180" t="str">
        <f t="shared" si="12"/>
        <v>Good</v>
      </c>
      <c r="U180" t="str" cm="1">
        <f t="array" ref="U180">_xlfn.LET(_xlpm.roles,_xlfn.UNIQUE(D180:D2978),_xlpm.kills, SUMIF(D180:D2978,_xlpm.roles,G180:G2978),INDEX(_xlpm.roles,MATCH(MAX(_xlpm.kills),_xlpm.kills,0)))</f>
        <v>Entry Fragger</v>
      </c>
      <c r="V180" t="str">
        <f t="shared" si="13"/>
        <v>Medium Accuracy</v>
      </c>
      <c r="W180" t="str" cm="1">
        <f t="array" ref="W180">_xlfn.LET(_xlpm.roles,_xlfn.UNIQUE(D180:D2978), _xlpm.counts,COUNTIF(D180:D2978,_xlpm.roles), INDEX(_xlpm.roles,MATCH(MAX(_xlpm.counts),_xlpm.counts,0)))</f>
        <v>Entry Fragger</v>
      </c>
      <c r="X180" s="2">
        <f t="shared" si="14"/>
        <v>12.520971302428256</v>
      </c>
    </row>
    <row r="181" spans="1:24" x14ac:dyDescent="0.3">
      <c r="A181">
        <v>1513</v>
      </c>
      <c r="B181">
        <v>31</v>
      </c>
      <c r="C181" t="s">
        <v>16</v>
      </c>
      <c r="D181" t="s">
        <v>36</v>
      </c>
      <c r="E181" t="s">
        <v>23</v>
      </c>
      <c r="F181" t="s">
        <v>24</v>
      </c>
      <c r="G181">
        <v>16</v>
      </c>
      <c r="H181">
        <v>7</v>
      </c>
      <c r="I181">
        <v>5</v>
      </c>
      <c r="J181">
        <v>34.229999999999997</v>
      </c>
      <c r="K181">
        <v>206.79</v>
      </c>
      <c r="L181">
        <v>0.63</v>
      </c>
      <c r="M181">
        <v>44.81</v>
      </c>
      <c r="N181">
        <v>0.94</v>
      </c>
      <c r="O181" t="s">
        <v>20</v>
      </c>
      <c r="P181" t="s">
        <v>21</v>
      </c>
      <c r="Q181">
        <f t="shared" si="10"/>
        <v>18</v>
      </c>
      <c r="R181" s="4">
        <f>RANK(N181,$N$2:N$2800,0)</f>
        <v>1431</v>
      </c>
      <c r="S181">
        <f t="shared" si="11"/>
        <v>3.2</v>
      </c>
      <c r="T181" t="str">
        <f t="shared" si="12"/>
        <v>Good</v>
      </c>
      <c r="U181" t="str" cm="1">
        <f t="array" ref="U181">_xlfn.LET(_xlpm.roles,_xlfn.UNIQUE(D181:D2979),_xlpm.kills, SUMIF(D181:D2979,_xlpm.roles,G181:G2979),INDEX(_xlpm.roles,MATCH(MAX(_xlpm.kills),_xlpm.kills,0)))</f>
        <v>Entry Fragger</v>
      </c>
      <c r="V181" t="str">
        <f t="shared" si="13"/>
        <v>Medium Accuracy</v>
      </c>
      <c r="W181" t="str" cm="1">
        <f t="array" ref="W181">_xlfn.LET(_xlpm.roles,_xlfn.UNIQUE(D181:D2979), _xlpm.counts,COUNTIF(D181:D2979,_xlpm.roles), INDEX(_xlpm.roles,MATCH(MAX(_xlpm.counts),_xlpm.counts,0)))</f>
        <v>Entry Fragger</v>
      </c>
      <c r="X181" s="2">
        <f t="shared" si="14"/>
        <v>12.520971302428256</v>
      </c>
    </row>
    <row r="182" spans="1:24" x14ac:dyDescent="0.3">
      <c r="A182">
        <v>1632</v>
      </c>
      <c r="B182">
        <v>31</v>
      </c>
      <c r="C182" t="s">
        <v>27</v>
      </c>
      <c r="D182" t="s">
        <v>36</v>
      </c>
      <c r="E182" t="s">
        <v>23</v>
      </c>
      <c r="F182" t="s">
        <v>19</v>
      </c>
      <c r="G182">
        <v>17</v>
      </c>
      <c r="H182">
        <v>8</v>
      </c>
      <c r="I182">
        <v>6</v>
      </c>
      <c r="J182">
        <v>43.63</v>
      </c>
      <c r="K182">
        <v>192.6</v>
      </c>
      <c r="L182">
        <v>0.9</v>
      </c>
      <c r="M182">
        <v>48.81</v>
      </c>
      <c r="N182">
        <v>0.81</v>
      </c>
      <c r="O182" t="s">
        <v>20</v>
      </c>
      <c r="P182" t="s">
        <v>21</v>
      </c>
      <c r="Q182">
        <f t="shared" si="10"/>
        <v>19</v>
      </c>
      <c r="R182" s="4">
        <f>RANK(N182,$N$2:N$2800,0)</f>
        <v>2341</v>
      </c>
      <c r="S182">
        <f t="shared" si="11"/>
        <v>2.8333333333333335</v>
      </c>
      <c r="T182" t="str">
        <f t="shared" si="12"/>
        <v>Good</v>
      </c>
      <c r="U182" t="str" cm="1">
        <f t="array" ref="U182">_xlfn.LET(_xlpm.roles,_xlfn.UNIQUE(D182:D2980),_xlpm.kills, SUMIF(D182:D2980,_xlpm.roles,G182:G2980),INDEX(_xlpm.roles,MATCH(MAX(_xlpm.kills),_xlpm.kills,0)))</f>
        <v>Entry Fragger</v>
      </c>
      <c r="V182" t="str">
        <f t="shared" si="13"/>
        <v>Medium Accuracy</v>
      </c>
      <c r="W182" t="str" cm="1">
        <f t="array" ref="W182">_xlfn.LET(_xlpm.roles,_xlfn.UNIQUE(D182:D2980), _xlpm.counts,COUNTIF(D182:D2980,_xlpm.roles), INDEX(_xlpm.roles,MATCH(MAX(_xlpm.counts),_xlpm.counts,0)))</f>
        <v>Entry Fragger</v>
      </c>
      <c r="X182" s="2">
        <f t="shared" si="14"/>
        <v>13.057077625570777</v>
      </c>
    </row>
    <row r="183" spans="1:24" x14ac:dyDescent="0.3">
      <c r="A183">
        <v>2146</v>
      </c>
      <c r="B183">
        <v>31</v>
      </c>
      <c r="C183" t="s">
        <v>35</v>
      </c>
      <c r="D183" t="s">
        <v>22</v>
      </c>
      <c r="E183" t="s">
        <v>33</v>
      </c>
      <c r="F183" t="s">
        <v>19</v>
      </c>
      <c r="G183">
        <v>15</v>
      </c>
      <c r="H183">
        <v>10</v>
      </c>
      <c r="I183">
        <v>16</v>
      </c>
      <c r="J183">
        <v>40.75</v>
      </c>
      <c r="K183">
        <v>250.71</v>
      </c>
      <c r="L183">
        <v>0.42</v>
      </c>
      <c r="M183">
        <v>40.17</v>
      </c>
      <c r="N183">
        <v>0.92</v>
      </c>
      <c r="O183" t="s">
        <v>20</v>
      </c>
      <c r="P183" t="s">
        <v>21</v>
      </c>
      <c r="Q183">
        <f t="shared" si="10"/>
        <v>9</v>
      </c>
      <c r="R183" s="4">
        <f>RANK(N183,$N$2:N$2800,0)</f>
        <v>1585</v>
      </c>
      <c r="S183">
        <f t="shared" si="11"/>
        <v>0.9375</v>
      </c>
      <c r="T183" t="str">
        <f t="shared" si="12"/>
        <v>Low</v>
      </c>
      <c r="U183" t="str" cm="1">
        <f t="array" ref="U183">_xlfn.LET(_xlpm.roles,_xlfn.UNIQUE(D183:D2981),_xlpm.kills, SUMIF(D183:D2981,_xlpm.roles,G183:G2981),INDEX(_xlpm.roles,MATCH(MAX(_xlpm.kills),_xlpm.kills,0)))</f>
        <v>Entry Fragger</v>
      </c>
      <c r="V183" t="str">
        <f t="shared" si="13"/>
        <v>Medium Accuracy</v>
      </c>
      <c r="W183" t="str" cm="1">
        <f t="array" ref="W183">_xlfn.LET(_xlpm.roles,_xlfn.UNIQUE(D183:D2981), _xlpm.counts,COUNTIF(D183:D2981,_xlpm.roles), INDEX(_xlpm.roles,MATCH(MAX(_xlpm.counts),_xlpm.counts,0)))</f>
        <v>Entry Fragger</v>
      </c>
      <c r="X183" s="2">
        <f t="shared" si="14"/>
        <v>12.599585062240664</v>
      </c>
    </row>
    <row r="184" spans="1:24" x14ac:dyDescent="0.3">
      <c r="A184">
        <v>10</v>
      </c>
      <c r="B184">
        <v>32</v>
      </c>
      <c r="C184" t="s">
        <v>30</v>
      </c>
      <c r="D184" t="s">
        <v>17</v>
      </c>
      <c r="E184" t="s">
        <v>29</v>
      </c>
      <c r="F184" t="s">
        <v>19</v>
      </c>
      <c r="G184">
        <v>17</v>
      </c>
      <c r="H184">
        <v>8</v>
      </c>
      <c r="I184">
        <v>10</v>
      </c>
      <c r="J184">
        <v>45.55</v>
      </c>
      <c r="K184">
        <v>210.27</v>
      </c>
      <c r="L184">
        <v>0.9</v>
      </c>
      <c r="M184">
        <v>45.77</v>
      </c>
      <c r="N184">
        <v>0.94</v>
      </c>
      <c r="O184" t="s">
        <v>20</v>
      </c>
      <c r="P184" t="s">
        <v>21</v>
      </c>
      <c r="Q184">
        <f t="shared" si="10"/>
        <v>15</v>
      </c>
      <c r="R184" s="4">
        <f>RANK(N184,$N$2:N$2800,0)</f>
        <v>1431</v>
      </c>
      <c r="S184">
        <f t="shared" si="11"/>
        <v>1.7</v>
      </c>
      <c r="T184" t="str">
        <f t="shared" si="12"/>
        <v>Good</v>
      </c>
      <c r="U184" t="str" cm="1">
        <f t="array" ref="U184">_xlfn.LET(_xlpm.roles,_xlfn.UNIQUE(D184:D2982),_xlpm.kills, SUMIF(D184:D2982,_xlpm.roles,G184:G2982),INDEX(_xlpm.roles,MATCH(MAX(_xlpm.kills),_xlpm.kills,0)))</f>
        <v>Entry Fragger</v>
      </c>
      <c r="V184" t="str">
        <f t="shared" si="13"/>
        <v>Medium Accuracy</v>
      </c>
      <c r="W184" t="str" cm="1">
        <f t="array" ref="W184">_xlfn.LET(_xlpm.roles,_xlfn.UNIQUE(D184:D2982), _xlpm.counts,COUNTIF(D184:D2982,_xlpm.roles), INDEX(_xlpm.roles,MATCH(MAX(_xlpm.counts),_xlpm.counts,0)))</f>
        <v>Entry Fragger</v>
      </c>
      <c r="X184" s="2">
        <f t="shared" si="14"/>
        <v>13.135802469135802</v>
      </c>
    </row>
    <row r="185" spans="1:24" x14ac:dyDescent="0.3">
      <c r="A185">
        <v>197</v>
      </c>
      <c r="B185">
        <v>32</v>
      </c>
      <c r="C185" t="s">
        <v>39</v>
      </c>
      <c r="D185" t="s">
        <v>17</v>
      </c>
      <c r="E185" t="s">
        <v>23</v>
      </c>
      <c r="F185" t="s">
        <v>26</v>
      </c>
      <c r="G185">
        <v>14</v>
      </c>
      <c r="H185">
        <v>7</v>
      </c>
      <c r="I185">
        <v>6</v>
      </c>
      <c r="J185">
        <v>45.68</v>
      </c>
      <c r="K185">
        <v>130.27000000000001</v>
      </c>
      <c r="L185">
        <v>0.25</v>
      </c>
      <c r="M185">
        <v>49.34</v>
      </c>
      <c r="N185">
        <v>1</v>
      </c>
      <c r="O185" t="s">
        <v>20</v>
      </c>
      <c r="P185" t="s">
        <v>21</v>
      </c>
      <c r="Q185">
        <f t="shared" si="10"/>
        <v>15</v>
      </c>
      <c r="R185" s="4">
        <f>RANK(N185,$N$2:N$2800,0)</f>
        <v>1</v>
      </c>
      <c r="S185">
        <f t="shared" si="11"/>
        <v>2.3333333333333335</v>
      </c>
      <c r="T185" t="str">
        <f t="shared" si="12"/>
        <v>Good</v>
      </c>
      <c r="U185" t="str" cm="1">
        <f t="array" ref="U185">_xlfn.LET(_xlpm.roles,_xlfn.UNIQUE(D185:D2983),_xlpm.kills, SUMIF(D185:D2983,_xlpm.roles,G185:G2983),INDEX(_xlpm.roles,MATCH(MAX(_xlpm.kills),_xlpm.kills,0)))</f>
        <v>Entry Fragger</v>
      </c>
      <c r="V185" t="str">
        <f t="shared" si="13"/>
        <v>Medium Accuracy</v>
      </c>
      <c r="W185" t="str" cm="1">
        <f t="array" ref="W185">_xlfn.LET(_xlpm.roles,_xlfn.UNIQUE(D185:D2983), _xlpm.counts,COUNTIF(D185:D2983,_xlpm.roles), INDEX(_xlpm.roles,MATCH(MAX(_xlpm.counts),_xlpm.counts,0)))</f>
        <v>Entry Fragger</v>
      </c>
      <c r="X185" s="2">
        <f t="shared" si="14"/>
        <v>13.103594080338267</v>
      </c>
    </row>
    <row r="186" spans="1:24" x14ac:dyDescent="0.3">
      <c r="A186">
        <v>1149</v>
      </c>
      <c r="B186">
        <v>32</v>
      </c>
      <c r="C186" t="s">
        <v>16</v>
      </c>
      <c r="D186" t="s">
        <v>36</v>
      </c>
      <c r="E186" t="s">
        <v>32</v>
      </c>
      <c r="F186" t="s">
        <v>37</v>
      </c>
      <c r="G186">
        <v>10</v>
      </c>
      <c r="H186">
        <v>2</v>
      </c>
      <c r="I186">
        <v>7</v>
      </c>
      <c r="J186">
        <v>39.409999999999997</v>
      </c>
      <c r="K186">
        <v>185.83</v>
      </c>
      <c r="L186">
        <v>0.03</v>
      </c>
      <c r="M186">
        <v>34.409999999999997</v>
      </c>
      <c r="N186">
        <v>0.97</v>
      </c>
      <c r="O186" t="s">
        <v>20</v>
      </c>
      <c r="P186" t="s">
        <v>21</v>
      </c>
      <c r="Q186">
        <f t="shared" si="10"/>
        <v>5</v>
      </c>
      <c r="R186" s="4">
        <f>RANK(N186,$N$2:N$2800,0)</f>
        <v>1243</v>
      </c>
      <c r="S186">
        <f t="shared" si="11"/>
        <v>1.4285714285714286</v>
      </c>
      <c r="T186" t="str">
        <f t="shared" si="12"/>
        <v>Low</v>
      </c>
      <c r="U186" t="str" cm="1">
        <f t="array" ref="U186">_xlfn.LET(_xlpm.roles,_xlfn.UNIQUE(D186:D2984),_xlpm.kills, SUMIF(D186:D2984,_xlpm.roles,G186:G2984),INDEX(_xlpm.roles,MATCH(MAX(_xlpm.kills),_xlpm.kills,0)))</f>
        <v>Entry Fragger</v>
      </c>
      <c r="V186" t="str">
        <f t="shared" si="13"/>
        <v>Medium Accuracy</v>
      </c>
      <c r="W186" t="str" cm="1">
        <f t="array" ref="W186">_xlfn.LET(_xlpm.roles,_xlfn.UNIQUE(D186:D2984), _xlpm.counts,COUNTIF(D186:D2984,_xlpm.roles), INDEX(_xlpm.roles,MATCH(MAX(_xlpm.counts),_xlpm.counts,0)))</f>
        <v>Entry Fragger</v>
      </c>
      <c r="X186" s="2">
        <f t="shared" si="14"/>
        <v>12.520971302428256</v>
      </c>
    </row>
    <row r="187" spans="1:24" x14ac:dyDescent="0.3">
      <c r="A187">
        <v>1166</v>
      </c>
      <c r="B187">
        <v>32</v>
      </c>
      <c r="C187" t="s">
        <v>30</v>
      </c>
      <c r="D187" t="s">
        <v>28</v>
      </c>
      <c r="E187" t="s">
        <v>33</v>
      </c>
      <c r="F187" t="s">
        <v>19</v>
      </c>
      <c r="G187">
        <v>22</v>
      </c>
      <c r="H187">
        <v>12</v>
      </c>
      <c r="I187">
        <v>12</v>
      </c>
      <c r="J187">
        <v>36.43</v>
      </c>
      <c r="K187">
        <v>277.54000000000002</v>
      </c>
      <c r="L187">
        <v>0.4</v>
      </c>
      <c r="M187">
        <v>58.22</v>
      </c>
      <c r="N187">
        <v>1</v>
      </c>
      <c r="O187" t="s">
        <v>20</v>
      </c>
      <c r="P187" t="s">
        <v>21</v>
      </c>
      <c r="Q187">
        <f t="shared" si="10"/>
        <v>22</v>
      </c>
      <c r="R187" s="4">
        <f>RANK(N187,$N$2:N$2800,0)</f>
        <v>1</v>
      </c>
      <c r="S187">
        <f t="shared" si="11"/>
        <v>1.8333333333333333</v>
      </c>
      <c r="T187" t="str">
        <f t="shared" si="12"/>
        <v>Good</v>
      </c>
      <c r="U187" t="str" cm="1">
        <f t="array" ref="U187">_xlfn.LET(_xlpm.roles,_xlfn.UNIQUE(D187:D2985),_xlpm.kills, SUMIF(D187:D2985,_xlpm.roles,G187:G2985),INDEX(_xlpm.roles,MATCH(MAX(_xlpm.kills),_xlpm.kills,0)))</f>
        <v>Entry Fragger</v>
      </c>
      <c r="V187" t="str">
        <f t="shared" si="13"/>
        <v>Medium Accuracy</v>
      </c>
      <c r="W187" t="str" cm="1">
        <f t="array" ref="W187">_xlfn.LET(_xlpm.roles,_xlfn.UNIQUE(D187:D2985), _xlpm.counts,COUNTIF(D187:D2985,_xlpm.roles), INDEX(_xlpm.roles,MATCH(MAX(_xlpm.counts),_xlpm.counts,0)))</f>
        <v>Entry Fragger</v>
      </c>
      <c r="X187" s="2">
        <f t="shared" si="14"/>
        <v>13.135802469135802</v>
      </c>
    </row>
    <row r="188" spans="1:24" x14ac:dyDescent="0.3">
      <c r="A188">
        <v>1825</v>
      </c>
      <c r="B188">
        <v>32</v>
      </c>
      <c r="C188" t="s">
        <v>30</v>
      </c>
      <c r="D188" t="s">
        <v>17</v>
      </c>
      <c r="E188" t="s">
        <v>29</v>
      </c>
      <c r="F188" t="s">
        <v>26</v>
      </c>
      <c r="G188">
        <v>14</v>
      </c>
      <c r="H188">
        <v>7</v>
      </c>
      <c r="I188">
        <v>16</v>
      </c>
      <c r="J188">
        <v>35.28</v>
      </c>
      <c r="K188">
        <v>252.9</v>
      </c>
      <c r="L188">
        <v>0.69</v>
      </c>
      <c r="M188">
        <v>29.74</v>
      </c>
      <c r="N188">
        <v>0.91</v>
      </c>
      <c r="O188" t="s">
        <v>20</v>
      </c>
      <c r="P188" t="s">
        <v>21</v>
      </c>
      <c r="Q188">
        <f t="shared" si="10"/>
        <v>5</v>
      </c>
      <c r="R188" s="4">
        <f>RANK(N188,$N$2:N$2800,0)</f>
        <v>1665</v>
      </c>
      <c r="S188">
        <f t="shared" si="11"/>
        <v>0.875</v>
      </c>
      <c r="T188" t="str">
        <f t="shared" si="12"/>
        <v>Low</v>
      </c>
      <c r="U188" t="str" cm="1">
        <f t="array" ref="U188">_xlfn.LET(_xlpm.roles,_xlfn.UNIQUE(D188:D2986),_xlpm.kills, SUMIF(D188:D2986,_xlpm.roles,G188:G2986),INDEX(_xlpm.roles,MATCH(MAX(_xlpm.kills),_xlpm.kills,0)))</f>
        <v>Entry Fragger</v>
      </c>
      <c r="V188" t="str">
        <f t="shared" si="13"/>
        <v>Medium Accuracy</v>
      </c>
      <c r="W188" t="str" cm="1">
        <f t="array" ref="W188">_xlfn.LET(_xlpm.roles,_xlfn.UNIQUE(D188:D2986), _xlpm.counts,COUNTIF(D188:D2986,_xlpm.roles), INDEX(_xlpm.roles,MATCH(MAX(_xlpm.counts),_xlpm.counts,0)))</f>
        <v>Entry Fragger</v>
      </c>
      <c r="X188" s="2">
        <f t="shared" si="14"/>
        <v>13.135802469135802</v>
      </c>
    </row>
    <row r="189" spans="1:24" x14ac:dyDescent="0.3">
      <c r="A189">
        <v>2444</v>
      </c>
      <c r="B189">
        <v>32</v>
      </c>
      <c r="C189" t="s">
        <v>25</v>
      </c>
      <c r="D189" t="s">
        <v>17</v>
      </c>
      <c r="E189" t="s">
        <v>33</v>
      </c>
      <c r="F189" t="s">
        <v>37</v>
      </c>
      <c r="G189">
        <v>13</v>
      </c>
      <c r="H189">
        <v>11</v>
      </c>
      <c r="I189">
        <v>8</v>
      </c>
      <c r="J189">
        <v>39.200000000000003</v>
      </c>
      <c r="K189">
        <v>211.41</v>
      </c>
      <c r="L189">
        <v>0.46</v>
      </c>
      <c r="M189">
        <v>44</v>
      </c>
      <c r="N189">
        <v>0.94</v>
      </c>
      <c r="O189" t="s">
        <v>20</v>
      </c>
      <c r="P189" t="s">
        <v>21</v>
      </c>
      <c r="Q189">
        <f t="shared" si="10"/>
        <v>16</v>
      </c>
      <c r="R189" s="4">
        <f>RANK(N189,$N$2:N$2800,0)</f>
        <v>1431</v>
      </c>
      <c r="S189">
        <f t="shared" si="11"/>
        <v>1.625</v>
      </c>
      <c r="T189" t="str">
        <f t="shared" si="12"/>
        <v>Good</v>
      </c>
      <c r="U189" t="str" cm="1">
        <f t="array" ref="U189">_xlfn.LET(_xlpm.roles,_xlfn.UNIQUE(D189:D2987),_xlpm.kills, SUMIF(D189:D2987,_xlpm.roles,G189:G2987),INDEX(_xlpm.roles,MATCH(MAX(_xlpm.kills),_xlpm.kills,0)))</f>
        <v>Entry Fragger</v>
      </c>
      <c r="V189" t="str">
        <f t="shared" si="13"/>
        <v>Medium Accuracy</v>
      </c>
      <c r="W189" t="str" cm="1">
        <f t="array" ref="W189">_xlfn.LET(_xlpm.roles,_xlfn.UNIQUE(D189:D2987), _xlpm.counts,COUNTIF(D189:D2987,_xlpm.roles), INDEX(_xlpm.roles,MATCH(MAX(_xlpm.counts),_xlpm.counts,0)))</f>
        <v>Entry Fragger</v>
      </c>
      <c r="X189" s="2">
        <f t="shared" si="14"/>
        <v>12.809421841541756</v>
      </c>
    </row>
    <row r="190" spans="1:24" x14ac:dyDescent="0.3">
      <c r="A190">
        <v>357</v>
      </c>
      <c r="B190">
        <v>33</v>
      </c>
      <c r="C190" t="s">
        <v>16</v>
      </c>
      <c r="D190" t="s">
        <v>22</v>
      </c>
      <c r="E190" t="s">
        <v>32</v>
      </c>
      <c r="F190" t="s">
        <v>26</v>
      </c>
      <c r="G190">
        <v>16</v>
      </c>
      <c r="H190">
        <v>6</v>
      </c>
      <c r="I190">
        <v>8</v>
      </c>
      <c r="J190">
        <v>50.42</v>
      </c>
      <c r="K190">
        <v>187.61</v>
      </c>
      <c r="L190">
        <v>0.8</v>
      </c>
      <c r="M190">
        <v>47.21</v>
      </c>
      <c r="N190">
        <v>1</v>
      </c>
      <c r="O190" t="s">
        <v>20</v>
      </c>
      <c r="P190" t="s">
        <v>21</v>
      </c>
      <c r="Q190">
        <f t="shared" si="10"/>
        <v>14</v>
      </c>
      <c r="R190" s="4">
        <f>RANK(N190,$N$2:N$2800,0)</f>
        <v>1</v>
      </c>
      <c r="S190">
        <f t="shared" si="11"/>
        <v>2</v>
      </c>
      <c r="T190" t="str">
        <f t="shared" si="12"/>
        <v>Low</v>
      </c>
      <c r="U190" t="str" cm="1">
        <f t="array" ref="U190">_xlfn.LET(_xlpm.roles,_xlfn.UNIQUE(D190:D2988),_xlpm.kills, SUMIF(D190:D2988,_xlpm.roles,G190:G2988),INDEX(_xlpm.roles,MATCH(MAX(_xlpm.kills),_xlpm.kills,0)))</f>
        <v>Entry Fragger</v>
      </c>
      <c r="V190" t="str">
        <f t="shared" si="13"/>
        <v>High Accuracy</v>
      </c>
      <c r="W190" t="str" cm="1">
        <f t="array" ref="W190">_xlfn.LET(_xlpm.roles,_xlfn.UNIQUE(D190:D2988), _xlpm.counts,COUNTIF(D190:D2988,_xlpm.roles), INDEX(_xlpm.roles,MATCH(MAX(_xlpm.counts),_xlpm.counts,0)))</f>
        <v>Entry Fragger</v>
      </c>
      <c r="X190" s="2">
        <f t="shared" si="14"/>
        <v>12.520971302428256</v>
      </c>
    </row>
    <row r="191" spans="1:24" x14ac:dyDescent="0.3">
      <c r="A191">
        <v>480</v>
      </c>
      <c r="B191">
        <v>33</v>
      </c>
      <c r="C191" t="s">
        <v>25</v>
      </c>
      <c r="D191" t="s">
        <v>17</v>
      </c>
      <c r="E191" t="s">
        <v>29</v>
      </c>
      <c r="F191" t="s">
        <v>19</v>
      </c>
      <c r="G191">
        <v>8</v>
      </c>
      <c r="H191">
        <v>9</v>
      </c>
      <c r="I191">
        <v>12</v>
      </c>
      <c r="J191">
        <v>50.33</v>
      </c>
      <c r="K191">
        <v>174.65</v>
      </c>
      <c r="L191">
        <v>0.2</v>
      </c>
      <c r="M191">
        <v>36.159999999999997</v>
      </c>
      <c r="N191">
        <v>0.92</v>
      </c>
      <c r="O191" t="s">
        <v>20</v>
      </c>
      <c r="P191" t="s">
        <v>21</v>
      </c>
      <c r="Q191">
        <f t="shared" si="10"/>
        <v>5</v>
      </c>
      <c r="R191" s="4">
        <f>RANK(N191,$N$2:N$2800,0)</f>
        <v>1585</v>
      </c>
      <c r="S191">
        <f t="shared" si="11"/>
        <v>0.66666666666666663</v>
      </c>
      <c r="T191" t="str">
        <f t="shared" si="12"/>
        <v>Low</v>
      </c>
      <c r="U191" t="str" cm="1">
        <f t="array" ref="U191">_xlfn.LET(_xlpm.roles,_xlfn.UNIQUE(D191:D2989),_xlpm.kills, SUMIF(D191:D2989,_xlpm.roles,G191:G2989),INDEX(_xlpm.roles,MATCH(MAX(_xlpm.kills),_xlpm.kills,0)))</f>
        <v>Entry Fragger</v>
      </c>
      <c r="V191" t="str">
        <f t="shared" si="13"/>
        <v>High Accuracy</v>
      </c>
      <c r="W191" t="str" cm="1">
        <f t="array" ref="W191">_xlfn.LET(_xlpm.roles,_xlfn.UNIQUE(D191:D2989), _xlpm.counts,COUNTIF(D191:D2989,_xlpm.roles), INDEX(_xlpm.roles,MATCH(MAX(_xlpm.counts),_xlpm.counts,0)))</f>
        <v>Entry Fragger</v>
      </c>
      <c r="X191" s="2">
        <f t="shared" si="14"/>
        <v>12.809421841541756</v>
      </c>
    </row>
    <row r="192" spans="1:24" x14ac:dyDescent="0.3">
      <c r="A192">
        <v>339</v>
      </c>
      <c r="B192">
        <v>34</v>
      </c>
      <c r="C192" t="s">
        <v>27</v>
      </c>
      <c r="D192" t="s">
        <v>28</v>
      </c>
      <c r="E192" t="s">
        <v>18</v>
      </c>
      <c r="F192" t="s">
        <v>34</v>
      </c>
      <c r="G192">
        <v>11</v>
      </c>
      <c r="H192">
        <v>7</v>
      </c>
      <c r="I192">
        <v>12</v>
      </c>
      <c r="J192">
        <v>40.56</v>
      </c>
      <c r="K192">
        <v>220.66</v>
      </c>
      <c r="L192">
        <v>0.56999999999999995</v>
      </c>
      <c r="M192">
        <v>31.58</v>
      </c>
      <c r="N192">
        <v>0.61</v>
      </c>
      <c r="O192" t="s">
        <v>20</v>
      </c>
      <c r="P192" t="s">
        <v>21</v>
      </c>
      <c r="Q192">
        <f t="shared" si="10"/>
        <v>6</v>
      </c>
      <c r="R192" s="4">
        <f>RANK(N192,$N$2:N$2800,0)</f>
        <v>2778</v>
      </c>
      <c r="S192">
        <f t="shared" si="11"/>
        <v>0.91666666666666663</v>
      </c>
      <c r="T192" t="str">
        <f t="shared" si="12"/>
        <v>Low</v>
      </c>
      <c r="U192" t="str" cm="1">
        <f t="array" ref="U192">_xlfn.LET(_xlpm.roles,_xlfn.UNIQUE(D192:D2990),_xlpm.kills, SUMIF(D192:D2990,_xlpm.roles,G192:G2990),INDEX(_xlpm.roles,MATCH(MAX(_xlpm.kills),_xlpm.kills,0)))</f>
        <v>Entry Fragger</v>
      </c>
      <c r="V192" t="str">
        <f t="shared" si="13"/>
        <v>Medium Accuracy</v>
      </c>
      <c r="W192" t="str" cm="1">
        <f t="array" ref="W192">_xlfn.LET(_xlpm.roles,_xlfn.UNIQUE(D192:D2990), _xlpm.counts,COUNTIF(D192:D2990,_xlpm.roles), INDEX(_xlpm.roles,MATCH(MAX(_xlpm.counts),_xlpm.counts,0)))</f>
        <v>Entry Fragger</v>
      </c>
      <c r="X192" s="2">
        <f t="shared" si="14"/>
        <v>13.057077625570777</v>
      </c>
    </row>
    <row r="193" spans="1:24" x14ac:dyDescent="0.3">
      <c r="A193">
        <v>445</v>
      </c>
      <c r="B193">
        <v>34</v>
      </c>
      <c r="C193" t="s">
        <v>30</v>
      </c>
      <c r="D193" t="s">
        <v>36</v>
      </c>
      <c r="E193" t="s">
        <v>18</v>
      </c>
      <c r="F193" t="s">
        <v>34</v>
      </c>
      <c r="G193">
        <v>14</v>
      </c>
      <c r="H193">
        <v>15</v>
      </c>
      <c r="I193">
        <v>10</v>
      </c>
      <c r="J193">
        <v>49.03</v>
      </c>
      <c r="K193">
        <v>218.96</v>
      </c>
      <c r="L193">
        <v>0.75</v>
      </c>
      <c r="M193">
        <v>50.02</v>
      </c>
      <c r="N193">
        <v>1</v>
      </c>
      <c r="O193" t="s">
        <v>20</v>
      </c>
      <c r="P193" t="s">
        <v>21</v>
      </c>
      <c r="Q193">
        <f t="shared" si="10"/>
        <v>19</v>
      </c>
      <c r="R193" s="4">
        <f>RANK(N193,$N$2:N$2800,0)</f>
        <v>1</v>
      </c>
      <c r="S193">
        <f t="shared" si="11"/>
        <v>1.4</v>
      </c>
      <c r="T193" t="str">
        <f t="shared" si="12"/>
        <v>Good</v>
      </c>
      <c r="U193" t="str" cm="1">
        <f t="array" ref="U193">_xlfn.LET(_xlpm.roles,_xlfn.UNIQUE(D193:D2991),_xlpm.kills, SUMIF(D193:D2991,_xlpm.roles,G193:G2991),INDEX(_xlpm.roles,MATCH(MAX(_xlpm.kills),_xlpm.kills,0)))</f>
        <v>Entry Fragger</v>
      </c>
      <c r="V193" t="str">
        <f t="shared" si="13"/>
        <v>Medium Accuracy</v>
      </c>
      <c r="W193" t="str" cm="1">
        <f t="array" ref="W193">_xlfn.LET(_xlpm.roles,_xlfn.UNIQUE(D193:D2991), _xlpm.counts,COUNTIF(D193:D2991,_xlpm.roles), INDEX(_xlpm.roles,MATCH(MAX(_xlpm.counts),_xlpm.counts,0)))</f>
        <v>Entry Fragger</v>
      </c>
      <c r="X193" s="2">
        <f t="shared" si="14"/>
        <v>13.135802469135802</v>
      </c>
    </row>
    <row r="194" spans="1:24" x14ac:dyDescent="0.3">
      <c r="A194">
        <v>1347</v>
      </c>
      <c r="B194">
        <v>34</v>
      </c>
      <c r="C194" t="s">
        <v>30</v>
      </c>
      <c r="D194" t="s">
        <v>17</v>
      </c>
      <c r="E194" t="s">
        <v>18</v>
      </c>
      <c r="F194" t="s">
        <v>19</v>
      </c>
      <c r="G194">
        <v>18</v>
      </c>
      <c r="H194">
        <v>6</v>
      </c>
      <c r="I194">
        <v>11</v>
      </c>
      <c r="J194">
        <v>52.08</v>
      </c>
      <c r="K194">
        <v>191.96</v>
      </c>
      <c r="L194">
        <v>0.77</v>
      </c>
      <c r="M194">
        <v>49.34</v>
      </c>
      <c r="N194">
        <v>1</v>
      </c>
      <c r="O194" t="s">
        <v>20</v>
      </c>
      <c r="P194" t="s">
        <v>21</v>
      </c>
      <c r="Q194">
        <f t="shared" si="10"/>
        <v>13</v>
      </c>
      <c r="R194" s="4">
        <f>RANK(N194,$N$2:N$2800,0)</f>
        <v>1</v>
      </c>
      <c r="S194">
        <f t="shared" si="11"/>
        <v>1.6363636363636365</v>
      </c>
      <c r="T194" t="str">
        <f t="shared" si="12"/>
        <v>Low</v>
      </c>
      <c r="U194" t="str" cm="1">
        <f t="array" ref="U194">_xlfn.LET(_xlpm.roles,_xlfn.UNIQUE(D194:D2992),_xlpm.kills, SUMIF(D194:D2992,_xlpm.roles,G194:G2992),INDEX(_xlpm.roles,MATCH(MAX(_xlpm.kills),_xlpm.kills,0)))</f>
        <v>Entry Fragger</v>
      </c>
      <c r="V194" t="str">
        <f t="shared" si="13"/>
        <v>High Accuracy</v>
      </c>
      <c r="W194" t="str" cm="1">
        <f t="array" ref="W194">_xlfn.LET(_xlpm.roles,_xlfn.UNIQUE(D194:D2992), _xlpm.counts,COUNTIF(D194:D2992,_xlpm.roles), INDEX(_xlpm.roles,MATCH(MAX(_xlpm.counts),_xlpm.counts,0)))</f>
        <v>Entry Fragger</v>
      </c>
      <c r="X194" s="2">
        <f t="shared" si="14"/>
        <v>13.135802469135802</v>
      </c>
    </row>
    <row r="195" spans="1:24" x14ac:dyDescent="0.3">
      <c r="A195">
        <v>1700</v>
      </c>
      <c r="B195">
        <v>34</v>
      </c>
      <c r="C195" t="s">
        <v>25</v>
      </c>
      <c r="D195" t="s">
        <v>17</v>
      </c>
      <c r="E195" t="s">
        <v>32</v>
      </c>
      <c r="F195" t="s">
        <v>26</v>
      </c>
      <c r="G195">
        <v>16</v>
      </c>
      <c r="H195">
        <v>3</v>
      </c>
      <c r="I195">
        <v>15</v>
      </c>
      <c r="J195">
        <v>32.08</v>
      </c>
      <c r="K195">
        <v>240.31</v>
      </c>
      <c r="L195">
        <v>0.69</v>
      </c>
      <c r="M195">
        <v>29.14</v>
      </c>
      <c r="N195">
        <v>0.97</v>
      </c>
      <c r="O195" t="s">
        <v>20</v>
      </c>
      <c r="P195" t="s">
        <v>21</v>
      </c>
      <c r="Q195">
        <f t="shared" ref="Q195:Q258" si="15">G195+H195-I195</f>
        <v>4</v>
      </c>
      <c r="R195" s="4">
        <f>RANK(N195,$N$2:N$2800,0)</f>
        <v>1243</v>
      </c>
      <c r="S195">
        <f t="shared" ref="S195:S258" si="16">G195/I195</f>
        <v>1.0666666666666667</v>
      </c>
      <c r="T195" t="str">
        <f t="shared" ref="T195:T258" si="17">IF(Q195&lt;15,"Low",IF(Q195&lt;25,"Good","Excellent"))</f>
        <v>Low</v>
      </c>
      <c r="U195" t="str" cm="1">
        <f t="array" ref="U195">_xlfn.LET(_xlpm.roles,_xlfn.UNIQUE(D195:D2993),_xlpm.kills, SUMIF(D195:D2993,_xlpm.roles,G195:G2993),INDEX(_xlpm.roles,MATCH(MAX(_xlpm.kills),_xlpm.kills,0)))</f>
        <v>Entry Fragger</v>
      </c>
      <c r="V195" t="str">
        <f t="shared" ref="V195:V258" si="18">IF(J195&gt;=50,"High Accuracy",IF(J195&gt;=30,"Medium Accuracy","Low Accuracy"))</f>
        <v>Medium Accuracy</v>
      </c>
      <c r="W195" t="str" cm="1">
        <f t="array" ref="W195">_xlfn.LET(_xlpm.roles,_xlfn.UNIQUE(D195:D2993), _xlpm.counts,COUNTIF(D195:D2993,_xlpm.roles), INDEX(_xlpm.roles,MATCH(MAX(_xlpm.counts),_xlpm.counts,0)))</f>
        <v>Entry Fragger</v>
      </c>
      <c r="X195" s="2">
        <f t="shared" ref="X195:X258" si="19">AVERAGEIF($C$2:$C$2800,C195,$Q$2:$Q$2800)</f>
        <v>12.809421841541756</v>
      </c>
    </row>
    <row r="196" spans="1:24" x14ac:dyDescent="0.3">
      <c r="A196">
        <v>1875</v>
      </c>
      <c r="B196">
        <v>34</v>
      </c>
      <c r="C196" t="s">
        <v>16</v>
      </c>
      <c r="D196" t="s">
        <v>36</v>
      </c>
      <c r="E196" t="s">
        <v>32</v>
      </c>
      <c r="F196" t="s">
        <v>34</v>
      </c>
      <c r="G196">
        <v>13</v>
      </c>
      <c r="H196">
        <v>6</v>
      </c>
      <c r="I196">
        <v>16</v>
      </c>
      <c r="J196">
        <v>32.1</v>
      </c>
      <c r="K196">
        <v>173.64</v>
      </c>
      <c r="L196">
        <v>0.55000000000000004</v>
      </c>
      <c r="M196">
        <v>26.55</v>
      </c>
      <c r="N196">
        <v>0.61</v>
      </c>
      <c r="O196" t="s">
        <v>20</v>
      </c>
      <c r="P196" t="s">
        <v>21</v>
      </c>
      <c r="Q196">
        <f t="shared" si="15"/>
        <v>3</v>
      </c>
      <c r="R196" s="4">
        <f>RANK(N196,$N$2:N$2800,0)</f>
        <v>2778</v>
      </c>
      <c r="S196">
        <f t="shared" si="16"/>
        <v>0.8125</v>
      </c>
      <c r="T196" t="str">
        <f t="shared" si="17"/>
        <v>Low</v>
      </c>
      <c r="U196" t="str" cm="1">
        <f t="array" ref="U196">_xlfn.LET(_xlpm.roles,_xlfn.UNIQUE(D196:D2994),_xlpm.kills, SUMIF(D196:D2994,_xlpm.roles,G196:G2994),INDEX(_xlpm.roles,MATCH(MAX(_xlpm.kills),_xlpm.kills,0)))</f>
        <v>Entry Fragger</v>
      </c>
      <c r="V196" t="str">
        <f t="shared" si="18"/>
        <v>Medium Accuracy</v>
      </c>
      <c r="W196" t="str" cm="1">
        <f t="array" ref="W196">_xlfn.LET(_xlpm.roles,_xlfn.UNIQUE(D196:D2994), _xlpm.counts,COUNTIF(D196:D2994,_xlpm.roles), INDEX(_xlpm.roles,MATCH(MAX(_xlpm.counts),_xlpm.counts,0)))</f>
        <v>Entry Fragger</v>
      </c>
      <c r="X196" s="2">
        <f t="shared" si="19"/>
        <v>12.520971302428256</v>
      </c>
    </row>
    <row r="197" spans="1:24" x14ac:dyDescent="0.3">
      <c r="A197">
        <v>1936</v>
      </c>
      <c r="B197">
        <v>34</v>
      </c>
      <c r="C197" t="s">
        <v>27</v>
      </c>
      <c r="D197" t="s">
        <v>17</v>
      </c>
      <c r="E197" t="s">
        <v>29</v>
      </c>
      <c r="F197" t="s">
        <v>26</v>
      </c>
      <c r="G197">
        <v>11</v>
      </c>
      <c r="H197">
        <v>10</v>
      </c>
      <c r="I197">
        <v>12</v>
      </c>
      <c r="J197">
        <v>37.950000000000003</v>
      </c>
      <c r="K197">
        <v>179.64</v>
      </c>
      <c r="L197">
        <v>0.27</v>
      </c>
      <c r="M197">
        <v>36.270000000000003</v>
      </c>
      <c r="N197">
        <v>0.93</v>
      </c>
      <c r="O197" t="s">
        <v>20</v>
      </c>
      <c r="P197" t="s">
        <v>21</v>
      </c>
      <c r="Q197">
        <f t="shared" si="15"/>
        <v>9</v>
      </c>
      <c r="R197" s="4">
        <f>RANK(N197,$N$2:N$2800,0)</f>
        <v>1505</v>
      </c>
      <c r="S197">
        <f t="shared" si="16"/>
        <v>0.91666666666666663</v>
      </c>
      <c r="T197" t="str">
        <f t="shared" si="17"/>
        <v>Low</v>
      </c>
      <c r="U197" t="str" cm="1">
        <f t="array" ref="U197">_xlfn.LET(_xlpm.roles,_xlfn.UNIQUE(D197:D2995),_xlpm.kills, SUMIF(D197:D2995,_xlpm.roles,G197:G2995),INDEX(_xlpm.roles,MATCH(MAX(_xlpm.kills),_xlpm.kills,0)))</f>
        <v>Entry Fragger</v>
      </c>
      <c r="V197" t="str">
        <f t="shared" si="18"/>
        <v>Medium Accuracy</v>
      </c>
      <c r="W197" t="str" cm="1">
        <f t="array" ref="W197">_xlfn.LET(_xlpm.roles,_xlfn.UNIQUE(D197:D2995), _xlpm.counts,COUNTIF(D197:D2995,_xlpm.roles), INDEX(_xlpm.roles,MATCH(MAX(_xlpm.counts),_xlpm.counts,0)))</f>
        <v>Entry Fragger</v>
      </c>
      <c r="X197" s="2">
        <f t="shared" si="19"/>
        <v>13.057077625570777</v>
      </c>
    </row>
    <row r="198" spans="1:24" x14ac:dyDescent="0.3">
      <c r="A198">
        <v>2545</v>
      </c>
      <c r="B198">
        <v>34</v>
      </c>
      <c r="C198" t="s">
        <v>16</v>
      </c>
      <c r="D198" t="s">
        <v>22</v>
      </c>
      <c r="E198" t="s">
        <v>33</v>
      </c>
      <c r="F198" t="s">
        <v>26</v>
      </c>
      <c r="G198">
        <v>11</v>
      </c>
      <c r="H198">
        <v>6</v>
      </c>
      <c r="I198">
        <v>8</v>
      </c>
      <c r="J198">
        <v>47.62</v>
      </c>
      <c r="K198">
        <v>222.06</v>
      </c>
      <c r="L198">
        <v>0.17</v>
      </c>
      <c r="M198">
        <v>42.11</v>
      </c>
      <c r="N198">
        <v>1</v>
      </c>
      <c r="O198" t="s">
        <v>20</v>
      </c>
      <c r="P198" t="s">
        <v>21</v>
      </c>
      <c r="Q198">
        <f t="shared" si="15"/>
        <v>9</v>
      </c>
      <c r="R198" s="4">
        <f>RANK(N198,$N$2:N$2800,0)</f>
        <v>1</v>
      </c>
      <c r="S198">
        <f t="shared" si="16"/>
        <v>1.375</v>
      </c>
      <c r="T198" t="str">
        <f t="shared" si="17"/>
        <v>Low</v>
      </c>
      <c r="U198" t="str" cm="1">
        <f t="array" ref="U198">_xlfn.LET(_xlpm.roles,_xlfn.UNIQUE(D198:D2996),_xlpm.kills, SUMIF(D198:D2996,_xlpm.roles,G198:G2996),INDEX(_xlpm.roles,MATCH(MAX(_xlpm.kills),_xlpm.kills,0)))</f>
        <v>Entry Fragger</v>
      </c>
      <c r="V198" t="str">
        <f t="shared" si="18"/>
        <v>Medium Accuracy</v>
      </c>
      <c r="W198" t="str" cm="1">
        <f t="array" ref="W198">_xlfn.LET(_xlpm.roles,_xlfn.UNIQUE(D198:D2996), _xlpm.counts,COUNTIF(D198:D2996,_xlpm.roles), INDEX(_xlpm.roles,MATCH(MAX(_xlpm.counts),_xlpm.counts,0)))</f>
        <v>Entry Fragger</v>
      </c>
      <c r="X198" s="2">
        <f t="shared" si="19"/>
        <v>12.520971302428256</v>
      </c>
    </row>
    <row r="199" spans="1:24" x14ac:dyDescent="0.3">
      <c r="A199">
        <v>97</v>
      </c>
      <c r="B199">
        <v>35</v>
      </c>
      <c r="C199" t="s">
        <v>35</v>
      </c>
      <c r="D199" t="s">
        <v>36</v>
      </c>
      <c r="E199" t="s">
        <v>33</v>
      </c>
      <c r="F199" t="s">
        <v>34</v>
      </c>
      <c r="G199">
        <v>10</v>
      </c>
      <c r="H199">
        <v>13</v>
      </c>
      <c r="I199">
        <v>7</v>
      </c>
      <c r="J199">
        <v>31.1</v>
      </c>
      <c r="K199">
        <v>161.56</v>
      </c>
      <c r="L199">
        <v>0.61</v>
      </c>
      <c r="M199">
        <v>35.450000000000003</v>
      </c>
      <c r="N199">
        <v>0.83</v>
      </c>
      <c r="O199" t="s">
        <v>20</v>
      </c>
      <c r="P199" t="s">
        <v>21</v>
      </c>
      <c r="Q199">
        <f t="shared" si="15"/>
        <v>16</v>
      </c>
      <c r="R199" s="4">
        <f>RANK(N199,$N$2:N$2800,0)</f>
        <v>2218</v>
      </c>
      <c r="S199">
        <f t="shared" si="16"/>
        <v>1.4285714285714286</v>
      </c>
      <c r="T199" t="str">
        <f t="shared" si="17"/>
        <v>Good</v>
      </c>
      <c r="U199" t="str" cm="1">
        <f t="array" ref="U199">_xlfn.LET(_xlpm.roles,_xlfn.UNIQUE(D199:D2997),_xlpm.kills, SUMIF(D199:D2997,_xlpm.roles,G199:G2997),INDEX(_xlpm.roles,MATCH(MAX(_xlpm.kills),_xlpm.kills,0)))</f>
        <v>Entry Fragger</v>
      </c>
      <c r="V199" t="str">
        <f t="shared" si="18"/>
        <v>Medium Accuracy</v>
      </c>
      <c r="W199" t="str" cm="1">
        <f t="array" ref="W199">_xlfn.LET(_xlpm.roles,_xlfn.UNIQUE(D199:D2997), _xlpm.counts,COUNTIF(D199:D2997,_xlpm.roles), INDEX(_xlpm.roles,MATCH(MAX(_xlpm.counts),_xlpm.counts,0)))</f>
        <v>Entry Fragger</v>
      </c>
      <c r="X199" s="2">
        <f t="shared" si="19"/>
        <v>12.599585062240664</v>
      </c>
    </row>
    <row r="200" spans="1:24" x14ac:dyDescent="0.3">
      <c r="A200">
        <v>806</v>
      </c>
      <c r="B200">
        <v>35</v>
      </c>
      <c r="C200" t="s">
        <v>16</v>
      </c>
      <c r="D200" t="s">
        <v>22</v>
      </c>
      <c r="E200" t="s">
        <v>33</v>
      </c>
      <c r="F200" t="s">
        <v>34</v>
      </c>
      <c r="G200">
        <v>13</v>
      </c>
      <c r="H200">
        <v>6</v>
      </c>
      <c r="I200">
        <v>12</v>
      </c>
      <c r="J200">
        <v>45.3</v>
      </c>
      <c r="K200">
        <v>175.2</v>
      </c>
      <c r="L200">
        <v>0.55000000000000004</v>
      </c>
      <c r="M200">
        <v>37.15</v>
      </c>
      <c r="N200">
        <v>0.88</v>
      </c>
      <c r="O200" t="s">
        <v>20</v>
      </c>
      <c r="P200" t="s">
        <v>21</v>
      </c>
      <c r="Q200">
        <f t="shared" si="15"/>
        <v>7</v>
      </c>
      <c r="R200" s="4">
        <f>RANK(N200,$N$2:N$2800,0)</f>
        <v>1894</v>
      </c>
      <c r="S200">
        <f t="shared" si="16"/>
        <v>1.0833333333333333</v>
      </c>
      <c r="T200" t="str">
        <f t="shared" si="17"/>
        <v>Low</v>
      </c>
      <c r="U200" t="str" cm="1">
        <f t="array" ref="U200">_xlfn.LET(_xlpm.roles,_xlfn.UNIQUE(D200:D2998),_xlpm.kills, SUMIF(D200:D2998,_xlpm.roles,G200:G2998),INDEX(_xlpm.roles,MATCH(MAX(_xlpm.kills),_xlpm.kills,0)))</f>
        <v>Entry Fragger</v>
      </c>
      <c r="V200" t="str">
        <f t="shared" si="18"/>
        <v>Medium Accuracy</v>
      </c>
      <c r="W200" t="str" cm="1">
        <f t="array" ref="W200">_xlfn.LET(_xlpm.roles,_xlfn.UNIQUE(D200:D2998), _xlpm.counts,COUNTIF(D200:D2998,_xlpm.roles), INDEX(_xlpm.roles,MATCH(MAX(_xlpm.counts),_xlpm.counts,0)))</f>
        <v>Entry Fragger</v>
      </c>
      <c r="X200" s="2">
        <f t="shared" si="19"/>
        <v>12.520971302428256</v>
      </c>
    </row>
    <row r="201" spans="1:24" x14ac:dyDescent="0.3">
      <c r="A201">
        <v>807</v>
      </c>
      <c r="B201">
        <v>35</v>
      </c>
      <c r="C201" t="s">
        <v>39</v>
      </c>
      <c r="D201" t="s">
        <v>28</v>
      </c>
      <c r="E201" t="s">
        <v>23</v>
      </c>
      <c r="F201" t="s">
        <v>19</v>
      </c>
      <c r="G201">
        <v>30</v>
      </c>
      <c r="H201">
        <v>9</v>
      </c>
      <c r="I201">
        <v>9</v>
      </c>
      <c r="J201">
        <v>24.81</v>
      </c>
      <c r="K201">
        <v>210.97</v>
      </c>
      <c r="L201">
        <v>0.8</v>
      </c>
      <c r="M201">
        <v>64.41</v>
      </c>
      <c r="N201">
        <v>1</v>
      </c>
      <c r="O201" t="s">
        <v>20</v>
      </c>
      <c r="P201" t="s">
        <v>38</v>
      </c>
      <c r="Q201">
        <f t="shared" si="15"/>
        <v>30</v>
      </c>
      <c r="R201" s="4">
        <f>RANK(N201,$N$2:N$2800,0)</f>
        <v>1</v>
      </c>
      <c r="S201">
        <f t="shared" si="16"/>
        <v>3.3333333333333335</v>
      </c>
      <c r="T201" t="str">
        <f t="shared" si="17"/>
        <v>Excellent</v>
      </c>
      <c r="U201" t="str" cm="1">
        <f t="array" ref="U201">_xlfn.LET(_xlpm.roles,_xlfn.UNIQUE(D201:D2999),_xlpm.kills, SUMIF(D201:D2999,_xlpm.roles,G201:G2999),INDEX(_xlpm.roles,MATCH(MAX(_xlpm.kills),_xlpm.kills,0)))</f>
        <v>Entry Fragger</v>
      </c>
      <c r="V201" t="str">
        <f t="shared" si="18"/>
        <v>Low Accuracy</v>
      </c>
      <c r="W201" t="str" cm="1">
        <f t="array" ref="W201">_xlfn.LET(_xlpm.roles,_xlfn.UNIQUE(D201:D2999), _xlpm.counts,COUNTIF(D201:D2999,_xlpm.roles), INDEX(_xlpm.roles,MATCH(MAX(_xlpm.counts),_xlpm.counts,0)))</f>
        <v>Entry Fragger</v>
      </c>
      <c r="X201" s="2">
        <f t="shared" si="19"/>
        <v>13.103594080338267</v>
      </c>
    </row>
    <row r="202" spans="1:24" x14ac:dyDescent="0.3">
      <c r="A202">
        <v>1464</v>
      </c>
      <c r="B202">
        <v>35</v>
      </c>
      <c r="C202" t="s">
        <v>27</v>
      </c>
      <c r="D202" t="s">
        <v>22</v>
      </c>
      <c r="E202" t="s">
        <v>18</v>
      </c>
      <c r="F202" t="s">
        <v>19</v>
      </c>
      <c r="G202">
        <v>17</v>
      </c>
      <c r="H202">
        <v>11</v>
      </c>
      <c r="I202">
        <v>8</v>
      </c>
      <c r="J202">
        <v>62.68</v>
      </c>
      <c r="K202">
        <v>243.37</v>
      </c>
      <c r="L202">
        <v>0.11</v>
      </c>
      <c r="M202">
        <v>67.239999999999995</v>
      </c>
      <c r="N202">
        <v>1</v>
      </c>
      <c r="O202" t="s">
        <v>20</v>
      </c>
      <c r="P202" t="s">
        <v>38</v>
      </c>
      <c r="Q202">
        <f t="shared" si="15"/>
        <v>20</v>
      </c>
      <c r="R202" s="4">
        <f>RANK(N202,$N$2:N$2800,0)</f>
        <v>1</v>
      </c>
      <c r="S202">
        <f t="shared" si="16"/>
        <v>2.125</v>
      </c>
      <c r="T202" t="str">
        <f t="shared" si="17"/>
        <v>Good</v>
      </c>
      <c r="U202" t="str" cm="1">
        <f t="array" ref="U202">_xlfn.LET(_xlpm.roles,_xlfn.UNIQUE(D202:D3000),_xlpm.kills, SUMIF(D202:D3000,_xlpm.roles,G202:G3000),INDEX(_xlpm.roles,MATCH(MAX(_xlpm.kills),_xlpm.kills,0)))</f>
        <v>Entry Fragger</v>
      </c>
      <c r="V202" t="str">
        <f t="shared" si="18"/>
        <v>High Accuracy</v>
      </c>
      <c r="W202" t="str" cm="1">
        <f t="array" ref="W202">_xlfn.LET(_xlpm.roles,_xlfn.UNIQUE(D202:D3000), _xlpm.counts,COUNTIF(D202:D3000,_xlpm.roles), INDEX(_xlpm.roles,MATCH(MAX(_xlpm.counts),_xlpm.counts,0)))</f>
        <v>Entry Fragger</v>
      </c>
      <c r="X202" s="2">
        <f t="shared" si="19"/>
        <v>13.057077625570777</v>
      </c>
    </row>
    <row r="203" spans="1:24" x14ac:dyDescent="0.3">
      <c r="A203">
        <v>1691</v>
      </c>
      <c r="B203">
        <v>35</v>
      </c>
      <c r="C203" t="s">
        <v>27</v>
      </c>
      <c r="D203" t="s">
        <v>17</v>
      </c>
      <c r="E203" t="s">
        <v>29</v>
      </c>
      <c r="F203" t="s">
        <v>19</v>
      </c>
      <c r="G203">
        <v>12</v>
      </c>
      <c r="H203">
        <v>9</v>
      </c>
      <c r="I203">
        <v>7</v>
      </c>
      <c r="J203">
        <v>49.89</v>
      </c>
      <c r="K203">
        <v>191.69</v>
      </c>
      <c r="L203">
        <v>0.86</v>
      </c>
      <c r="M203">
        <v>42.34</v>
      </c>
      <c r="N203">
        <v>0.92</v>
      </c>
      <c r="O203" t="s">
        <v>20</v>
      </c>
      <c r="P203" t="s">
        <v>21</v>
      </c>
      <c r="Q203">
        <f t="shared" si="15"/>
        <v>14</v>
      </c>
      <c r="R203" s="4">
        <f>RANK(N203,$N$2:N$2800,0)</f>
        <v>1585</v>
      </c>
      <c r="S203">
        <f t="shared" si="16"/>
        <v>1.7142857142857142</v>
      </c>
      <c r="T203" t="str">
        <f t="shared" si="17"/>
        <v>Low</v>
      </c>
      <c r="U203" t="str" cm="1">
        <f t="array" ref="U203">_xlfn.LET(_xlpm.roles,_xlfn.UNIQUE(D203:D3001),_xlpm.kills, SUMIF(D203:D3001,_xlpm.roles,G203:G3001),INDEX(_xlpm.roles,MATCH(MAX(_xlpm.kills),_xlpm.kills,0)))</f>
        <v>Entry Fragger</v>
      </c>
      <c r="V203" t="str">
        <f t="shared" si="18"/>
        <v>Medium Accuracy</v>
      </c>
      <c r="W203" t="str" cm="1">
        <f t="array" ref="W203">_xlfn.LET(_xlpm.roles,_xlfn.UNIQUE(D203:D3001), _xlpm.counts,COUNTIF(D203:D3001,_xlpm.roles), INDEX(_xlpm.roles,MATCH(MAX(_xlpm.counts),_xlpm.counts,0)))</f>
        <v>Entry Fragger</v>
      </c>
      <c r="X203" s="2">
        <f t="shared" si="19"/>
        <v>13.057077625570777</v>
      </c>
    </row>
    <row r="204" spans="1:24" x14ac:dyDescent="0.3">
      <c r="A204">
        <v>1810</v>
      </c>
      <c r="B204">
        <v>35</v>
      </c>
      <c r="C204" t="s">
        <v>39</v>
      </c>
      <c r="D204" t="s">
        <v>17</v>
      </c>
      <c r="E204" t="s">
        <v>33</v>
      </c>
      <c r="F204" t="s">
        <v>24</v>
      </c>
      <c r="G204">
        <v>17</v>
      </c>
      <c r="H204">
        <v>11</v>
      </c>
      <c r="I204">
        <v>9</v>
      </c>
      <c r="J204">
        <v>29.52</v>
      </c>
      <c r="K204">
        <v>225.3</v>
      </c>
      <c r="L204">
        <v>0.55000000000000004</v>
      </c>
      <c r="M204">
        <v>45.26</v>
      </c>
      <c r="N204">
        <v>0.94</v>
      </c>
      <c r="O204" t="s">
        <v>20</v>
      </c>
      <c r="P204" t="s">
        <v>21</v>
      </c>
      <c r="Q204">
        <f t="shared" si="15"/>
        <v>19</v>
      </c>
      <c r="R204" s="4">
        <f>RANK(N204,$N$2:N$2800,0)</f>
        <v>1431</v>
      </c>
      <c r="S204">
        <f t="shared" si="16"/>
        <v>1.8888888888888888</v>
      </c>
      <c r="T204" t="str">
        <f t="shared" si="17"/>
        <v>Good</v>
      </c>
      <c r="U204" t="str" cm="1">
        <f t="array" ref="U204">_xlfn.LET(_xlpm.roles,_xlfn.UNIQUE(D204:D3002),_xlpm.kills, SUMIF(D204:D3002,_xlpm.roles,G204:G3002),INDEX(_xlpm.roles,MATCH(MAX(_xlpm.kills),_xlpm.kills,0)))</f>
        <v>Entry Fragger</v>
      </c>
      <c r="V204" t="str">
        <f t="shared" si="18"/>
        <v>Low Accuracy</v>
      </c>
      <c r="W204" t="str" cm="1">
        <f t="array" ref="W204">_xlfn.LET(_xlpm.roles,_xlfn.UNIQUE(D204:D3002), _xlpm.counts,COUNTIF(D204:D3002,_xlpm.roles), INDEX(_xlpm.roles,MATCH(MAX(_xlpm.counts),_xlpm.counts,0)))</f>
        <v>Entry Fragger</v>
      </c>
      <c r="X204" s="2">
        <f t="shared" si="19"/>
        <v>13.103594080338267</v>
      </c>
    </row>
    <row r="205" spans="1:24" x14ac:dyDescent="0.3">
      <c r="A205">
        <v>2106</v>
      </c>
      <c r="B205">
        <v>35</v>
      </c>
      <c r="C205" t="s">
        <v>30</v>
      </c>
      <c r="D205" t="s">
        <v>31</v>
      </c>
      <c r="E205" t="s">
        <v>32</v>
      </c>
      <c r="F205" t="s">
        <v>19</v>
      </c>
      <c r="G205">
        <v>16</v>
      </c>
      <c r="H205">
        <v>9</v>
      </c>
      <c r="I205">
        <v>7</v>
      </c>
      <c r="J205">
        <v>44.58</v>
      </c>
      <c r="K205">
        <v>195.86</v>
      </c>
      <c r="L205">
        <v>0.46</v>
      </c>
      <c r="M205">
        <v>51.69</v>
      </c>
      <c r="N205">
        <v>0.93</v>
      </c>
      <c r="O205" t="s">
        <v>20</v>
      </c>
      <c r="P205" t="s">
        <v>21</v>
      </c>
      <c r="Q205">
        <f t="shared" si="15"/>
        <v>18</v>
      </c>
      <c r="R205" s="4">
        <f>RANK(N205,$N$2:N$2800,0)</f>
        <v>1505</v>
      </c>
      <c r="S205">
        <f t="shared" si="16"/>
        <v>2.2857142857142856</v>
      </c>
      <c r="T205" t="str">
        <f t="shared" si="17"/>
        <v>Good</v>
      </c>
      <c r="U205" t="str" cm="1">
        <f t="array" ref="U205">_xlfn.LET(_xlpm.roles,_xlfn.UNIQUE(D205:D3003),_xlpm.kills, SUMIF(D205:D3003,_xlpm.roles,G205:G3003),INDEX(_xlpm.roles,MATCH(MAX(_xlpm.kills),_xlpm.kills,0)))</f>
        <v>Entry Fragger</v>
      </c>
      <c r="V205" t="str">
        <f t="shared" si="18"/>
        <v>Medium Accuracy</v>
      </c>
      <c r="W205" t="str" cm="1">
        <f t="array" ref="W205">_xlfn.LET(_xlpm.roles,_xlfn.UNIQUE(D205:D3003), _xlpm.counts,COUNTIF(D205:D3003,_xlpm.roles), INDEX(_xlpm.roles,MATCH(MAX(_xlpm.counts),_xlpm.counts,0)))</f>
        <v>Entry Fragger</v>
      </c>
      <c r="X205" s="2">
        <f t="shared" si="19"/>
        <v>13.135802469135802</v>
      </c>
    </row>
    <row r="206" spans="1:24" x14ac:dyDescent="0.3">
      <c r="A206">
        <v>21</v>
      </c>
      <c r="B206">
        <v>36</v>
      </c>
      <c r="C206" t="s">
        <v>35</v>
      </c>
      <c r="D206" t="s">
        <v>17</v>
      </c>
      <c r="E206" t="s">
        <v>18</v>
      </c>
      <c r="F206" t="s">
        <v>26</v>
      </c>
      <c r="G206">
        <v>19</v>
      </c>
      <c r="H206">
        <v>11</v>
      </c>
      <c r="I206">
        <v>9</v>
      </c>
      <c r="J206">
        <v>49.38</v>
      </c>
      <c r="K206">
        <v>213.93</v>
      </c>
      <c r="L206">
        <v>0.86</v>
      </c>
      <c r="M206">
        <v>56.09</v>
      </c>
      <c r="N206">
        <v>1</v>
      </c>
      <c r="O206" t="s">
        <v>20</v>
      </c>
      <c r="P206" t="s">
        <v>21</v>
      </c>
      <c r="Q206">
        <f t="shared" si="15"/>
        <v>21</v>
      </c>
      <c r="R206" s="4">
        <f>RANK(N206,$N$2:N$2800,0)</f>
        <v>1</v>
      </c>
      <c r="S206">
        <f t="shared" si="16"/>
        <v>2.1111111111111112</v>
      </c>
      <c r="T206" t="str">
        <f t="shared" si="17"/>
        <v>Good</v>
      </c>
      <c r="U206" t="str" cm="1">
        <f t="array" ref="U206">_xlfn.LET(_xlpm.roles,_xlfn.UNIQUE(D206:D3004),_xlpm.kills, SUMIF(D206:D3004,_xlpm.roles,G206:G3004),INDEX(_xlpm.roles,MATCH(MAX(_xlpm.kills),_xlpm.kills,0)))</f>
        <v>Entry Fragger</v>
      </c>
      <c r="V206" t="str">
        <f t="shared" si="18"/>
        <v>Medium Accuracy</v>
      </c>
      <c r="W206" t="str" cm="1">
        <f t="array" ref="W206">_xlfn.LET(_xlpm.roles,_xlfn.UNIQUE(D206:D3004), _xlpm.counts,COUNTIF(D206:D3004,_xlpm.roles), INDEX(_xlpm.roles,MATCH(MAX(_xlpm.counts),_xlpm.counts,0)))</f>
        <v>Entry Fragger</v>
      </c>
      <c r="X206" s="2">
        <f t="shared" si="19"/>
        <v>12.599585062240664</v>
      </c>
    </row>
    <row r="207" spans="1:24" x14ac:dyDescent="0.3">
      <c r="A207">
        <v>247</v>
      </c>
      <c r="B207">
        <v>36</v>
      </c>
      <c r="C207" t="s">
        <v>25</v>
      </c>
      <c r="D207" t="s">
        <v>22</v>
      </c>
      <c r="E207" t="s">
        <v>23</v>
      </c>
      <c r="F207" t="s">
        <v>37</v>
      </c>
      <c r="G207">
        <v>23</v>
      </c>
      <c r="H207">
        <v>8</v>
      </c>
      <c r="I207">
        <v>12</v>
      </c>
      <c r="J207">
        <v>42.19</v>
      </c>
      <c r="K207">
        <v>251.5</v>
      </c>
      <c r="L207">
        <v>0.17</v>
      </c>
      <c r="M207">
        <v>61.39</v>
      </c>
      <c r="N207">
        <v>1</v>
      </c>
      <c r="O207" t="s">
        <v>20</v>
      </c>
      <c r="P207" t="s">
        <v>38</v>
      </c>
      <c r="Q207">
        <f t="shared" si="15"/>
        <v>19</v>
      </c>
      <c r="R207" s="4">
        <f>RANK(N207,$N$2:N$2800,0)</f>
        <v>1</v>
      </c>
      <c r="S207">
        <f t="shared" si="16"/>
        <v>1.9166666666666667</v>
      </c>
      <c r="T207" t="str">
        <f t="shared" si="17"/>
        <v>Good</v>
      </c>
      <c r="U207" t="str" cm="1">
        <f t="array" ref="U207">_xlfn.LET(_xlpm.roles,_xlfn.UNIQUE(D207:D3005),_xlpm.kills, SUMIF(D207:D3005,_xlpm.roles,G207:G3005),INDEX(_xlpm.roles,MATCH(MAX(_xlpm.kills),_xlpm.kills,0)))</f>
        <v>Entry Fragger</v>
      </c>
      <c r="V207" t="str">
        <f t="shared" si="18"/>
        <v>Medium Accuracy</v>
      </c>
      <c r="W207" t="str" cm="1">
        <f t="array" ref="W207">_xlfn.LET(_xlpm.roles,_xlfn.UNIQUE(D207:D3005), _xlpm.counts,COUNTIF(D207:D3005,_xlpm.roles), INDEX(_xlpm.roles,MATCH(MAX(_xlpm.counts),_xlpm.counts,0)))</f>
        <v>Entry Fragger</v>
      </c>
      <c r="X207" s="2">
        <f t="shared" si="19"/>
        <v>12.809421841541756</v>
      </c>
    </row>
    <row r="208" spans="1:24" x14ac:dyDescent="0.3">
      <c r="A208">
        <v>1864</v>
      </c>
      <c r="B208">
        <v>36</v>
      </c>
      <c r="C208" t="s">
        <v>30</v>
      </c>
      <c r="D208" t="s">
        <v>28</v>
      </c>
      <c r="E208" t="s">
        <v>23</v>
      </c>
      <c r="F208" t="s">
        <v>24</v>
      </c>
      <c r="G208">
        <v>18</v>
      </c>
      <c r="H208">
        <v>2</v>
      </c>
      <c r="I208">
        <v>9</v>
      </c>
      <c r="J208">
        <v>54.96</v>
      </c>
      <c r="K208">
        <v>229.18</v>
      </c>
      <c r="L208">
        <v>0.79</v>
      </c>
      <c r="M208">
        <v>48.58</v>
      </c>
      <c r="N208">
        <v>1</v>
      </c>
      <c r="O208" t="s">
        <v>20</v>
      </c>
      <c r="P208" t="s">
        <v>21</v>
      </c>
      <c r="Q208">
        <f t="shared" si="15"/>
        <v>11</v>
      </c>
      <c r="R208" s="4">
        <f>RANK(N208,$N$2:N$2800,0)</f>
        <v>1</v>
      </c>
      <c r="S208">
        <f t="shared" si="16"/>
        <v>2</v>
      </c>
      <c r="T208" t="str">
        <f t="shared" si="17"/>
        <v>Low</v>
      </c>
      <c r="U208" t="str" cm="1">
        <f t="array" ref="U208">_xlfn.LET(_xlpm.roles,_xlfn.UNIQUE(D208:D3006),_xlpm.kills, SUMIF(D208:D3006,_xlpm.roles,G208:G3006),INDEX(_xlpm.roles,MATCH(MAX(_xlpm.kills),_xlpm.kills,0)))</f>
        <v>Entry Fragger</v>
      </c>
      <c r="V208" t="str">
        <f t="shared" si="18"/>
        <v>High Accuracy</v>
      </c>
      <c r="W208" t="str" cm="1">
        <f t="array" ref="W208">_xlfn.LET(_xlpm.roles,_xlfn.UNIQUE(D208:D3006), _xlpm.counts,COUNTIF(D208:D3006,_xlpm.roles), INDEX(_xlpm.roles,MATCH(MAX(_xlpm.counts),_xlpm.counts,0)))</f>
        <v>Entry Fragger</v>
      </c>
      <c r="X208" s="2">
        <f t="shared" si="19"/>
        <v>13.135802469135802</v>
      </c>
    </row>
    <row r="209" spans="1:24" x14ac:dyDescent="0.3">
      <c r="A209">
        <v>1918</v>
      </c>
      <c r="B209">
        <v>36</v>
      </c>
      <c r="C209" t="s">
        <v>27</v>
      </c>
      <c r="D209" t="s">
        <v>17</v>
      </c>
      <c r="E209" t="s">
        <v>23</v>
      </c>
      <c r="F209" t="s">
        <v>26</v>
      </c>
      <c r="G209">
        <v>18</v>
      </c>
      <c r="H209">
        <v>8</v>
      </c>
      <c r="I209">
        <v>9</v>
      </c>
      <c r="J209">
        <v>33.54</v>
      </c>
      <c r="K209">
        <v>217.61</v>
      </c>
      <c r="L209">
        <v>0.99</v>
      </c>
      <c r="M209">
        <v>41.87</v>
      </c>
      <c r="N209">
        <v>0.87</v>
      </c>
      <c r="O209" t="s">
        <v>20</v>
      </c>
      <c r="P209" t="s">
        <v>21</v>
      </c>
      <c r="Q209">
        <f t="shared" si="15"/>
        <v>17</v>
      </c>
      <c r="R209" s="4">
        <f>RANK(N209,$N$2:N$2800,0)</f>
        <v>1965</v>
      </c>
      <c r="S209">
        <f t="shared" si="16"/>
        <v>2</v>
      </c>
      <c r="T209" t="str">
        <f t="shared" si="17"/>
        <v>Good</v>
      </c>
      <c r="U209" t="str" cm="1">
        <f t="array" ref="U209">_xlfn.LET(_xlpm.roles,_xlfn.UNIQUE(D209:D3007),_xlpm.kills, SUMIF(D209:D3007,_xlpm.roles,G209:G3007),INDEX(_xlpm.roles,MATCH(MAX(_xlpm.kills),_xlpm.kills,0)))</f>
        <v>Entry Fragger</v>
      </c>
      <c r="V209" t="str">
        <f t="shared" si="18"/>
        <v>Medium Accuracy</v>
      </c>
      <c r="W209" t="str" cm="1">
        <f t="array" ref="W209">_xlfn.LET(_xlpm.roles,_xlfn.UNIQUE(D209:D3007), _xlpm.counts,COUNTIF(D209:D3007,_xlpm.roles), INDEX(_xlpm.roles,MATCH(MAX(_xlpm.counts),_xlpm.counts,0)))</f>
        <v>Entry Fragger</v>
      </c>
      <c r="X209" s="2">
        <f t="shared" si="19"/>
        <v>13.057077625570777</v>
      </c>
    </row>
    <row r="210" spans="1:24" x14ac:dyDescent="0.3">
      <c r="A210">
        <v>2221</v>
      </c>
      <c r="B210">
        <v>36</v>
      </c>
      <c r="C210" t="s">
        <v>35</v>
      </c>
      <c r="D210" t="s">
        <v>36</v>
      </c>
      <c r="E210" t="s">
        <v>29</v>
      </c>
      <c r="F210" t="s">
        <v>34</v>
      </c>
      <c r="G210">
        <v>10</v>
      </c>
      <c r="H210">
        <v>10</v>
      </c>
      <c r="I210">
        <v>12</v>
      </c>
      <c r="J210">
        <v>61.86</v>
      </c>
      <c r="K210">
        <v>175.6</v>
      </c>
      <c r="L210">
        <v>0.17</v>
      </c>
      <c r="M210">
        <v>47.23</v>
      </c>
      <c r="N210">
        <v>1</v>
      </c>
      <c r="O210" t="s">
        <v>20</v>
      </c>
      <c r="P210" t="s">
        <v>21</v>
      </c>
      <c r="Q210">
        <f t="shared" si="15"/>
        <v>8</v>
      </c>
      <c r="R210" s="4">
        <f>RANK(N210,$N$2:N$2800,0)</f>
        <v>1</v>
      </c>
      <c r="S210">
        <f t="shared" si="16"/>
        <v>0.83333333333333337</v>
      </c>
      <c r="T210" t="str">
        <f t="shared" si="17"/>
        <v>Low</v>
      </c>
      <c r="U210" t="str" cm="1">
        <f t="array" ref="U210">_xlfn.LET(_xlpm.roles,_xlfn.UNIQUE(D210:D3008),_xlpm.kills, SUMIF(D210:D3008,_xlpm.roles,G210:G3008),INDEX(_xlpm.roles,MATCH(MAX(_xlpm.kills),_xlpm.kills,0)))</f>
        <v>Entry Fragger</v>
      </c>
      <c r="V210" t="str">
        <f t="shared" si="18"/>
        <v>High Accuracy</v>
      </c>
      <c r="W210" t="str" cm="1">
        <f t="array" ref="W210">_xlfn.LET(_xlpm.roles,_xlfn.UNIQUE(D210:D3008), _xlpm.counts,COUNTIF(D210:D3008,_xlpm.roles), INDEX(_xlpm.roles,MATCH(MAX(_xlpm.counts),_xlpm.counts,0)))</f>
        <v>Entry Fragger</v>
      </c>
      <c r="X210" s="2">
        <f t="shared" si="19"/>
        <v>12.599585062240664</v>
      </c>
    </row>
    <row r="211" spans="1:24" x14ac:dyDescent="0.3">
      <c r="A211">
        <v>450</v>
      </c>
      <c r="B211">
        <v>37</v>
      </c>
      <c r="C211" t="s">
        <v>27</v>
      </c>
      <c r="D211" t="s">
        <v>28</v>
      </c>
      <c r="E211" t="s">
        <v>33</v>
      </c>
      <c r="F211" t="s">
        <v>24</v>
      </c>
      <c r="G211">
        <v>16</v>
      </c>
      <c r="H211">
        <v>4</v>
      </c>
      <c r="I211">
        <v>6</v>
      </c>
      <c r="J211">
        <v>43.86</v>
      </c>
      <c r="K211">
        <v>197.19</v>
      </c>
      <c r="L211">
        <v>0.2</v>
      </c>
      <c r="M211">
        <v>49.93</v>
      </c>
      <c r="N211">
        <v>0.96</v>
      </c>
      <c r="O211" t="s">
        <v>20</v>
      </c>
      <c r="P211" t="s">
        <v>21</v>
      </c>
      <c r="Q211">
        <f t="shared" si="15"/>
        <v>14</v>
      </c>
      <c r="R211" s="4">
        <f>RANK(N211,$N$2:N$2800,0)</f>
        <v>1301</v>
      </c>
      <c r="S211">
        <f t="shared" si="16"/>
        <v>2.6666666666666665</v>
      </c>
      <c r="T211" t="str">
        <f t="shared" si="17"/>
        <v>Low</v>
      </c>
      <c r="U211" t="str" cm="1">
        <f t="array" ref="U211">_xlfn.LET(_xlpm.roles,_xlfn.UNIQUE(D211:D3009),_xlpm.kills, SUMIF(D211:D3009,_xlpm.roles,G211:G3009),INDEX(_xlpm.roles,MATCH(MAX(_xlpm.kills),_xlpm.kills,0)))</f>
        <v>Entry Fragger</v>
      </c>
      <c r="V211" t="str">
        <f t="shared" si="18"/>
        <v>Medium Accuracy</v>
      </c>
      <c r="W211" t="str" cm="1">
        <f t="array" ref="W211">_xlfn.LET(_xlpm.roles,_xlfn.UNIQUE(D211:D3009), _xlpm.counts,COUNTIF(D211:D3009,_xlpm.roles), INDEX(_xlpm.roles,MATCH(MAX(_xlpm.counts),_xlpm.counts,0)))</f>
        <v>Entry Fragger</v>
      </c>
      <c r="X211" s="2">
        <f t="shared" si="19"/>
        <v>13.057077625570777</v>
      </c>
    </row>
    <row r="212" spans="1:24" x14ac:dyDescent="0.3">
      <c r="A212">
        <v>1696</v>
      </c>
      <c r="B212">
        <v>37</v>
      </c>
      <c r="C212" t="s">
        <v>35</v>
      </c>
      <c r="D212" t="s">
        <v>36</v>
      </c>
      <c r="E212" t="s">
        <v>32</v>
      </c>
      <c r="F212" t="s">
        <v>34</v>
      </c>
      <c r="G212">
        <v>13</v>
      </c>
      <c r="H212">
        <v>4</v>
      </c>
      <c r="I212">
        <v>11</v>
      </c>
      <c r="J212">
        <v>33.25</v>
      </c>
      <c r="K212">
        <v>210.26</v>
      </c>
      <c r="L212">
        <v>0.05</v>
      </c>
      <c r="M212">
        <v>35.119999999999997</v>
      </c>
      <c r="N212">
        <v>1</v>
      </c>
      <c r="O212" t="s">
        <v>20</v>
      </c>
      <c r="P212" t="s">
        <v>21</v>
      </c>
      <c r="Q212">
        <f t="shared" si="15"/>
        <v>6</v>
      </c>
      <c r="R212" s="4">
        <f>RANK(N212,$N$2:N$2800,0)</f>
        <v>1</v>
      </c>
      <c r="S212">
        <f t="shared" si="16"/>
        <v>1.1818181818181819</v>
      </c>
      <c r="T212" t="str">
        <f t="shared" si="17"/>
        <v>Low</v>
      </c>
      <c r="U212" t="str" cm="1">
        <f t="array" ref="U212">_xlfn.LET(_xlpm.roles,_xlfn.UNIQUE(D212:D3010),_xlpm.kills, SUMIF(D212:D3010,_xlpm.roles,G212:G3010),INDEX(_xlpm.roles,MATCH(MAX(_xlpm.kills),_xlpm.kills,0)))</f>
        <v>Entry Fragger</v>
      </c>
      <c r="V212" t="str">
        <f t="shared" si="18"/>
        <v>Medium Accuracy</v>
      </c>
      <c r="W212" t="str" cm="1">
        <f t="array" ref="W212">_xlfn.LET(_xlpm.roles,_xlfn.UNIQUE(D212:D3010), _xlpm.counts,COUNTIF(D212:D3010,_xlpm.roles), INDEX(_xlpm.roles,MATCH(MAX(_xlpm.counts),_xlpm.counts,0)))</f>
        <v>Entry Fragger</v>
      </c>
      <c r="X212" s="2">
        <f t="shared" si="19"/>
        <v>12.599585062240664</v>
      </c>
    </row>
    <row r="213" spans="1:24" x14ac:dyDescent="0.3">
      <c r="A213">
        <v>1788</v>
      </c>
      <c r="B213">
        <v>37</v>
      </c>
      <c r="C213" t="s">
        <v>25</v>
      </c>
      <c r="D213" t="s">
        <v>36</v>
      </c>
      <c r="E213" t="s">
        <v>29</v>
      </c>
      <c r="F213" t="s">
        <v>34</v>
      </c>
      <c r="G213">
        <v>13</v>
      </c>
      <c r="H213">
        <v>9</v>
      </c>
      <c r="I213">
        <v>12</v>
      </c>
      <c r="J213">
        <v>46.18</v>
      </c>
      <c r="K213">
        <v>235.28</v>
      </c>
      <c r="L213">
        <v>0.73</v>
      </c>
      <c r="M213">
        <v>38.79</v>
      </c>
      <c r="N213">
        <v>0.91</v>
      </c>
      <c r="O213" t="s">
        <v>20</v>
      </c>
      <c r="P213" t="s">
        <v>21</v>
      </c>
      <c r="Q213">
        <f t="shared" si="15"/>
        <v>10</v>
      </c>
      <c r="R213" s="4">
        <f>RANK(N213,$N$2:N$2800,0)</f>
        <v>1665</v>
      </c>
      <c r="S213">
        <f t="shared" si="16"/>
        <v>1.0833333333333333</v>
      </c>
      <c r="T213" t="str">
        <f t="shared" si="17"/>
        <v>Low</v>
      </c>
      <c r="U213" t="str" cm="1">
        <f t="array" ref="U213">_xlfn.LET(_xlpm.roles,_xlfn.UNIQUE(D213:D3011),_xlpm.kills, SUMIF(D213:D3011,_xlpm.roles,G213:G3011),INDEX(_xlpm.roles,MATCH(MAX(_xlpm.kills),_xlpm.kills,0)))</f>
        <v>Entry Fragger</v>
      </c>
      <c r="V213" t="str">
        <f t="shared" si="18"/>
        <v>Medium Accuracy</v>
      </c>
      <c r="W213" t="str" cm="1">
        <f t="array" ref="W213">_xlfn.LET(_xlpm.roles,_xlfn.UNIQUE(D213:D3011), _xlpm.counts,COUNTIF(D213:D3011,_xlpm.roles), INDEX(_xlpm.roles,MATCH(MAX(_xlpm.counts),_xlpm.counts,0)))</f>
        <v>Entry Fragger</v>
      </c>
      <c r="X213" s="2">
        <f t="shared" si="19"/>
        <v>12.809421841541756</v>
      </c>
    </row>
    <row r="214" spans="1:24" x14ac:dyDescent="0.3">
      <c r="A214">
        <v>1854</v>
      </c>
      <c r="B214">
        <v>37</v>
      </c>
      <c r="C214" t="s">
        <v>39</v>
      </c>
      <c r="D214" t="s">
        <v>22</v>
      </c>
      <c r="E214" t="s">
        <v>32</v>
      </c>
      <c r="F214" t="s">
        <v>37</v>
      </c>
      <c r="G214">
        <v>9</v>
      </c>
      <c r="H214">
        <v>6</v>
      </c>
      <c r="I214">
        <v>10</v>
      </c>
      <c r="J214">
        <v>48.65</v>
      </c>
      <c r="K214">
        <v>233.33</v>
      </c>
      <c r="L214">
        <v>0.65</v>
      </c>
      <c r="M214">
        <v>31.83</v>
      </c>
      <c r="N214">
        <v>1</v>
      </c>
      <c r="O214" t="s">
        <v>20</v>
      </c>
      <c r="P214" t="s">
        <v>21</v>
      </c>
      <c r="Q214">
        <f t="shared" si="15"/>
        <v>5</v>
      </c>
      <c r="R214" s="4">
        <f>RANK(N214,$N$2:N$2800,0)</f>
        <v>1</v>
      </c>
      <c r="S214">
        <f t="shared" si="16"/>
        <v>0.9</v>
      </c>
      <c r="T214" t="str">
        <f t="shared" si="17"/>
        <v>Low</v>
      </c>
      <c r="U214" t="str" cm="1">
        <f t="array" ref="U214">_xlfn.LET(_xlpm.roles,_xlfn.UNIQUE(D214:D3012),_xlpm.kills, SUMIF(D214:D3012,_xlpm.roles,G214:G3012),INDEX(_xlpm.roles,MATCH(MAX(_xlpm.kills),_xlpm.kills,0)))</f>
        <v>Entry Fragger</v>
      </c>
      <c r="V214" t="str">
        <f t="shared" si="18"/>
        <v>Medium Accuracy</v>
      </c>
      <c r="W214" t="str" cm="1">
        <f t="array" ref="W214">_xlfn.LET(_xlpm.roles,_xlfn.UNIQUE(D214:D3012), _xlpm.counts,COUNTIF(D214:D3012,_xlpm.roles), INDEX(_xlpm.roles,MATCH(MAX(_xlpm.counts),_xlpm.counts,0)))</f>
        <v>Entry Fragger</v>
      </c>
      <c r="X214" s="2">
        <f t="shared" si="19"/>
        <v>13.103594080338267</v>
      </c>
    </row>
    <row r="215" spans="1:24" x14ac:dyDescent="0.3">
      <c r="A215">
        <v>1938</v>
      </c>
      <c r="B215">
        <v>37</v>
      </c>
      <c r="C215" t="s">
        <v>30</v>
      </c>
      <c r="D215" t="s">
        <v>36</v>
      </c>
      <c r="E215" t="s">
        <v>18</v>
      </c>
      <c r="F215" t="s">
        <v>24</v>
      </c>
      <c r="G215">
        <v>10</v>
      </c>
      <c r="H215">
        <v>7</v>
      </c>
      <c r="I215">
        <v>9</v>
      </c>
      <c r="J215">
        <v>42.5</v>
      </c>
      <c r="K215">
        <v>212.99</v>
      </c>
      <c r="L215">
        <v>0.9</v>
      </c>
      <c r="M215">
        <v>30.25</v>
      </c>
      <c r="N215">
        <v>0.78</v>
      </c>
      <c r="O215" t="s">
        <v>20</v>
      </c>
      <c r="P215" t="s">
        <v>21</v>
      </c>
      <c r="Q215">
        <f t="shared" si="15"/>
        <v>8</v>
      </c>
      <c r="R215" s="4">
        <f>RANK(N215,$N$2:N$2800,0)</f>
        <v>2469</v>
      </c>
      <c r="S215">
        <f t="shared" si="16"/>
        <v>1.1111111111111112</v>
      </c>
      <c r="T215" t="str">
        <f t="shared" si="17"/>
        <v>Low</v>
      </c>
      <c r="U215" t="str" cm="1">
        <f t="array" ref="U215">_xlfn.LET(_xlpm.roles,_xlfn.UNIQUE(D215:D3013),_xlpm.kills, SUMIF(D215:D3013,_xlpm.roles,G215:G3013),INDEX(_xlpm.roles,MATCH(MAX(_xlpm.kills),_xlpm.kills,0)))</f>
        <v>Entry Fragger</v>
      </c>
      <c r="V215" t="str">
        <f t="shared" si="18"/>
        <v>Medium Accuracy</v>
      </c>
      <c r="W215" t="str" cm="1">
        <f t="array" ref="W215">_xlfn.LET(_xlpm.roles,_xlfn.UNIQUE(D215:D3013), _xlpm.counts,COUNTIF(D215:D3013,_xlpm.roles), INDEX(_xlpm.roles,MATCH(MAX(_xlpm.counts),_xlpm.counts,0)))</f>
        <v>Entry Fragger</v>
      </c>
      <c r="X215" s="2">
        <f t="shared" si="19"/>
        <v>13.135802469135802</v>
      </c>
    </row>
    <row r="216" spans="1:24" x14ac:dyDescent="0.3">
      <c r="A216">
        <v>1956</v>
      </c>
      <c r="B216">
        <v>37</v>
      </c>
      <c r="C216" t="s">
        <v>39</v>
      </c>
      <c r="D216" t="s">
        <v>22</v>
      </c>
      <c r="E216" t="s">
        <v>29</v>
      </c>
      <c r="F216" t="s">
        <v>37</v>
      </c>
      <c r="G216">
        <v>14</v>
      </c>
      <c r="H216">
        <v>10</v>
      </c>
      <c r="I216">
        <v>11</v>
      </c>
      <c r="J216">
        <v>53.2</v>
      </c>
      <c r="K216">
        <v>202.07</v>
      </c>
      <c r="L216">
        <v>0.61</v>
      </c>
      <c r="M216">
        <v>47.5</v>
      </c>
      <c r="N216">
        <v>1</v>
      </c>
      <c r="O216" t="s">
        <v>20</v>
      </c>
      <c r="P216" t="s">
        <v>21</v>
      </c>
      <c r="Q216">
        <f t="shared" si="15"/>
        <v>13</v>
      </c>
      <c r="R216" s="4">
        <f>RANK(N216,$N$2:N$2800,0)</f>
        <v>1</v>
      </c>
      <c r="S216">
        <f t="shared" si="16"/>
        <v>1.2727272727272727</v>
      </c>
      <c r="T216" t="str">
        <f t="shared" si="17"/>
        <v>Low</v>
      </c>
      <c r="U216" t="str" cm="1">
        <f t="array" ref="U216">_xlfn.LET(_xlpm.roles,_xlfn.UNIQUE(D216:D3014),_xlpm.kills, SUMIF(D216:D3014,_xlpm.roles,G216:G3014),INDEX(_xlpm.roles,MATCH(MAX(_xlpm.kills),_xlpm.kills,0)))</f>
        <v>Entry Fragger</v>
      </c>
      <c r="V216" t="str">
        <f t="shared" si="18"/>
        <v>High Accuracy</v>
      </c>
      <c r="W216" t="str" cm="1">
        <f t="array" ref="W216">_xlfn.LET(_xlpm.roles,_xlfn.UNIQUE(D216:D3014), _xlpm.counts,COUNTIF(D216:D3014,_xlpm.roles), INDEX(_xlpm.roles,MATCH(MAX(_xlpm.counts),_xlpm.counts,0)))</f>
        <v>Entry Fragger</v>
      </c>
      <c r="X216" s="2">
        <f t="shared" si="19"/>
        <v>13.103594080338267</v>
      </c>
    </row>
    <row r="217" spans="1:24" x14ac:dyDescent="0.3">
      <c r="A217">
        <v>2212</v>
      </c>
      <c r="B217">
        <v>37</v>
      </c>
      <c r="C217" t="s">
        <v>35</v>
      </c>
      <c r="D217" t="s">
        <v>36</v>
      </c>
      <c r="E217" t="s">
        <v>18</v>
      </c>
      <c r="F217" t="s">
        <v>19</v>
      </c>
      <c r="G217">
        <v>18</v>
      </c>
      <c r="H217">
        <v>5</v>
      </c>
      <c r="I217">
        <v>17</v>
      </c>
      <c r="J217">
        <v>53.13</v>
      </c>
      <c r="K217">
        <v>176.04</v>
      </c>
      <c r="L217">
        <v>0.2</v>
      </c>
      <c r="M217">
        <v>48.56</v>
      </c>
      <c r="N217">
        <v>0.93</v>
      </c>
      <c r="O217" t="s">
        <v>20</v>
      </c>
      <c r="P217" t="s">
        <v>21</v>
      </c>
      <c r="Q217">
        <f t="shared" si="15"/>
        <v>6</v>
      </c>
      <c r="R217" s="4">
        <f>RANK(N217,$N$2:N$2800,0)</f>
        <v>1505</v>
      </c>
      <c r="S217">
        <f t="shared" si="16"/>
        <v>1.0588235294117647</v>
      </c>
      <c r="T217" t="str">
        <f t="shared" si="17"/>
        <v>Low</v>
      </c>
      <c r="U217" t="str" cm="1">
        <f t="array" ref="U217">_xlfn.LET(_xlpm.roles,_xlfn.UNIQUE(D217:D3015),_xlpm.kills, SUMIF(D217:D3015,_xlpm.roles,G217:G3015),INDEX(_xlpm.roles,MATCH(MAX(_xlpm.kills),_xlpm.kills,0)))</f>
        <v>Entry Fragger</v>
      </c>
      <c r="V217" t="str">
        <f t="shared" si="18"/>
        <v>High Accuracy</v>
      </c>
      <c r="W217" t="str" cm="1">
        <f t="array" ref="W217">_xlfn.LET(_xlpm.roles,_xlfn.UNIQUE(D217:D3015), _xlpm.counts,COUNTIF(D217:D3015,_xlpm.roles), INDEX(_xlpm.roles,MATCH(MAX(_xlpm.counts),_xlpm.counts,0)))</f>
        <v>Entry Fragger</v>
      </c>
      <c r="X217" s="2">
        <f t="shared" si="19"/>
        <v>12.599585062240664</v>
      </c>
    </row>
    <row r="218" spans="1:24" x14ac:dyDescent="0.3">
      <c r="A218">
        <v>2705</v>
      </c>
      <c r="B218">
        <v>37</v>
      </c>
      <c r="C218" t="s">
        <v>39</v>
      </c>
      <c r="D218" t="s">
        <v>17</v>
      </c>
      <c r="E218" t="s">
        <v>29</v>
      </c>
      <c r="F218" t="s">
        <v>26</v>
      </c>
      <c r="G218">
        <v>20</v>
      </c>
      <c r="H218">
        <v>6</v>
      </c>
      <c r="I218">
        <v>11</v>
      </c>
      <c r="J218">
        <v>44.73</v>
      </c>
      <c r="K218">
        <v>221.14</v>
      </c>
      <c r="L218">
        <v>0.95</v>
      </c>
      <c r="M218">
        <v>47.86</v>
      </c>
      <c r="N218">
        <v>1</v>
      </c>
      <c r="O218" t="s">
        <v>20</v>
      </c>
      <c r="P218" t="s">
        <v>21</v>
      </c>
      <c r="Q218">
        <f t="shared" si="15"/>
        <v>15</v>
      </c>
      <c r="R218" s="4">
        <f>RANK(N218,$N$2:N$2800,0)</f>
        <v>1</v>
      </c>
      <c r="S218">
        <f t="shared" si="16"/>
        <v>1.8181818181818181</v>
      </c>
      <c r="T218" t="str">
        <f t="shared" si="17"/>
        <v>Good</v>
      </c>
      <c r="U218" t="str" cm="1">
        <f t="array" ref="U218">_xlfn.LET(_xlpm.roles,_xlfn.UNIQUE(D218:D3016),_xlpm.kills, SUMIF(D218:D3016,_xlpm.roles,G218:G3016),INDEX(_xlpm.roles,MATCH(MAX(_xlpm.kills),_xlpm.kills,0)))</f>
        <v>Entry Fragger</v>
      </c>
      <c r="V218" t="str">
        <f t="shared" si="18"/>
        <v>Medium Accuracy</v>
      </c>
      <c r="W218" t="str" cm="1">
        <f t="array" ref="W218">_xlfn.LET(_xlpm.roles,_xlfn.UNIQUE(D218:D3016), _xlpm.counts,COUNTIF(D218:D3016,_xlpm.roles), INDEX(_xlpm.roles,MATCH(MAX(_xlpm.counts),_xlpm.counts,0)))</f>
        <v>Entry Fragger</v>
      </c>
      <c r="X218" s="2">
        <f t="shared" si="19"/>
        <v>13.103594080338267</v>
      </c>
    </row>
    <row r="219" spans="1:24" x14ac:dyDescent="0.3">
      <c r="A219">
        <v>2791</v>
      </c>
      <c r="B219">
        <v>37</v>
      </c>
      <c r="C219" t="s">
        <v>25</v>
      </c>
      <c r="D219" t="s">
        <v>36</v>
      </c>
      <c r="E219" t="s">
        <v>32</v>
      </c>
      <c r="F219" t="s">
        <v>34</v>
      </c>
      <c r="G219">
        <v>12</v>
      </c>
      <c r="H219">
        <v>5</v>
      </c>
      <c r="I219">
        <v>19</v>
      </c>
      <c r="J219">
        <v>63.6</v>
      </c>
      <c r="K219">
        <v>218.31</v>
      </c>
      <c r="L219">
        <v>0.66</v>
      </c>
      <c r="M219">
        <v>35.200000000000003</v>
      </c>
      <c r="N219">
        <v>0.93</v>
      </c>
      <c r="O219" t="s">
        <v>20</v>
      </c>
      <c r="P219" t="s">
        <v>21</v>
      </c>
      <c r="Q219">
        <f t="shared" si="15"/>
        <v>-2</v>
      </c>
      <c r="R219" s="4">
        <f>RANK(N219,$N$2:N$2800,0)</f>
        <v>1505</v>
      </c>
      <c r="S219">
        <f t="shared" si="16"/>
        <v>0.63157894736842102</v>
      </c>
      <c r="T219" t="str">
        <f t="shared" si="17"/>
        <v>Low</v>
      </c>
      <c r="U219" t="str" cm="1">
        <f t="array" ref="U219">_xlfn.LET(_xlpm.roles,_xlfn.UNIQUE(D219:D3017),_xlpm.kills, SUMIF(D219:D3017,_xlpm.roles,G219:G3017),INDEX(_xlpm.roles,MATCH(MAX(_xlpm.kills),_xlpm.kills,0)))</f>
        <v>Entry Fragger</v>
      </c>
      <c r="V219" t="str">
        <f t="shared" si="18"/>
        <v>High Accuracy</v>
      </c>
      <c r="W219" t="str" cm="1">
        <f t="array" ref="W219">_xlfn.LET(_xlpm.roles,_xlfn.UNIQUE(D219:D3017), _xlpm.counts,COUNTIF(D219:D3017,_xlpm.roles), INDEX(_xlpm.roles,MATCH(MAX(_xlpm.counts),_xlpm.counts,0)))</f>
        <v>Entry Fragger</v>
      </c>
      <c r="X219" s="2">
        <f t="shared" si="19"/>
        <v>12.809421841541756</v>
      </c>
    </row>
    <row r="220" spans="1:24" x14ac:dyDescent="0.3">
      <c r="A220">
        <v>155</v>
      </c>
      <c r="B220">
        <v>38</v>
      </c>
      <c r="C220" t="s">
        <v>30</v>
      </c>
      <c r="D220" t="s">
        <v>31</v>
      </c>
      <c r="E220" t="s">
        <v>18</v>
      </c>
      <c r="F220" t="s">
        <v>19</v>
      </c>
      <c r="G220">
        <v>13</v>
      </c>
      <c r="H220">
        <v>11</v>
      </c>
      <c r="I220">
        <v>10</v>
      </c>
      <c r="J220">
        <v>48.84</v>
      </c>
      <c r="K220">
        <v>202.92</v>
      </c>
      <c r="L220">
        <v>0.57999999999999996</v>
      </c>
      <c r="M220">
        <v>45.62</v>
      </c>
      <c r="N220">
        <v>1</v>
      </c>
      <c r="O220" t="s">
        <v>20</v>
      </c>
      <c r="P220" t="s">
        <v>21</v>
      </c>
      <c r="Q220">
        <f t="shared" si="15"/>
        <v>14</v>
      </c>
      <c r="R220" s="4">
        <f>RANK(N220,$N$2:N$2800,0)</f>
        <v>1</v>
      </c>
      <c r="S220">
        <f t="shared" si="16"/>
        <v>1.3</v>
      </c>
      <c r="T220" t="str">
        <f t="shared" si="17"/>
        <v>Low</v>
      </c>
      <c r="U220" t="str" cm="1">
        <f t="array" ref="U220">_xlfn.LET(_xlpm.roles,_xlfn.UNIQUE(D220:D3018),_xlpm.kills, SUMIF(D220:D3018,_xlpm.roles,G220:G3018),INDEX(_xlpm.roles,MATCH(MAX(_xlpm.kills),_xlpm.kills,0)))</f>
        <v>Entry Fragger</v>
      </c>
      <c r="V220" t="str">
        <f t="shared" si="18"/>
        <v>Medium Accuracy</v>
      </c>
      <c r="W220" t="str" cm="1">
        <f t="array" ref="W220">_xlfn.LET(_xlpm.roles,_xlfn.UNIQUE(D220:D3018), _xlpm.counts,COUNTIF(D220:D3018,_xlpm.roles), INDEX(_xlpm.roles,MATCH(MAX(_xlpm.counts),_xlpm.counts,0)))</f>
        <v>Entry Fragger</v>
      </c>
      <c r="X220" s="2">
        <f t="shared" si="19"/>
        <v>13.135802469135802</v>
      </c>
    </row>
    <row r="221" spans="1:24" x14ac:dyDescent="0.3">
      <c r="A221">
        <v>189</v>
      </c>
      <c r="B221">
        <v>38</v>
      </c>
      <c r="C221" t="s">
        <v>39</v>
      </c>
      <c r="D221" t="s">
        <v>22</v>
      </c>
      <c r="E221" t="s">
        <v>33</v>
      </c>
      <c r="F221" t="s">
        <v>24</v>
      </c>
      <c r="G221">
        <v>16</v>
      </c>
      <c r="H221">
        <v>14</v>
      </c>
      <c r="I221">
        <v>14</v>
      </c>
      <c r="J221">
        <v>40.79</v>
      </c>
      <c r="K221">
        <v>161.07</v>
      </c>
      <c r="L221">
        <v>0.76</v>
      </c>
      <c r="M221">
        <v>44.79</v>
      </c>
      <c r="N221">
        <v>0.92</v>
      </c>
      <c r="O221" t="s">
        <v>20</v>
      </c>
      <c r="P221" t="s">
        <v>21</v>
      </c>
      <c r="Q221">
        <f t="shared" si="15"/>
        <v>16</v>
      </c>
      <c r="R221" s="4">
        <f>RANK(N221,$N$2:N$2800,0)</f>
        <v>1585</v>
      </c>
      <c r="S221">
        <f t="shared" si="16"/>
        <v>1.1428571428571428</v>
      </c>
      <c r="T221" t="str">
        <f t="shared" si="17"/>
        <v>Good</v>
      </c>
      <c r="U221" t="str" cm="1">
        <f t="array" ref="U221">_xlfn.LET(_xlpm.roles,_xlfn.UNIQUE(D221:D3019),_xlpm.kills, SUMIF(D221:D3019,_xlpm.roles,G221:G3019),INDEX(_xlpm.roles,MATCH(MAX(_xlpm.kills),_xlpm.kills,0)))</f>
        <v>Entry Fragger</v>
      </c>
      <c r="V221" t="str">
        <f t="shared" si="18"/>
        <v>Medium Accuracy</v>
      </c>
      <c r="W221" t="str" cm="1">
        <f t="array" ref="W221">_xlfn.LET(_xlpm.roles,_xlfn.UNIQUE(D221:D3019), _xlpm.counts,COUNTIF(D221:D3019,_xlpm.roles), INDEX(_xlpm.roles,MATCH(MAX(_xlpm.counts),_xlpm.counts,0)))</f>
        <v>Entry Fragger</v>
      </c>
      <c r="X221" s="2">
        <f t="shared" si="19"/>
        <v>13.103594080338267</v>
      </c>
    </row>
    <row r="222" spans="1:24" x14ac:dyDescent="0.3">
      <c r="A222">
        <v>316</v>
      </c>
      <c r="B222">
        <v>38</v>
      </c>
      <c r="C222" t="s">
        <v>30</v>
      </c>
      <c r="D222" t="s">
        <v>28</v>
      </c>
      <c r="E222" t="s">
        <v>33</v>
      </c>
      <c r="F222" t="s">
        <v>19</v>
      </c>
      <c r="G222">
        <v>17</v>
      </c>
      <c r="H222">
        <v>8</v>
      </c>
      <c r="I222">
        <v>7</v>
      </c>
      <c r="J222">
        <v>50.86</v>
      </c>
      <c r="K222">
        <v>176.69</v>
      </c>
      <c r="L222">
        <v>0.02</v>
      </c>
      <c r="M222">
        <v>60.23</v>
      </c>
      <c r="N222">
        <v>1</v>
      </c>
      <c r="O222" t="s">
        <v>20</v>
      </c>
      <c r="P222" t="s">
        <v>38</v>
      </c>
      <c r="Q222">
        <f t="shared" si="15"/>
        <v>18</v>
      </c>
      <c r="R222" s="4">
        <f>RANK(N222,$N$2:N$2800,0)</f>
        <v>1</v>
      </c>
      <c r="S222">
        <f t="shared" si="16"/>
        <v>2.4285714285714284</v>
      </c>
      <c r="T222" t="str">
        <f t="shared" si="17"/>
        <v>Good</v>
      </c>
      <c r="U222" t="str" cm="1">
        <f t="array" ref="U222">_xlfn.LET(_xlpm.roles,_xlfn.UNIQUE(D222:D3020),_xlpm.kills, SUMIF(D222:D3020,_xlpm.roles,G222:G3020),INDEX(_xlpm.roles,MATCH(MAX(_xlpm.kills),_xlpm.kills,0)))</f>
        <v>Entry Fragger</v>
      </c>
      <c r="V222" t="str">
        <f t="shared" si="18"/>
        <v>High Accuracy</v>
      </c>
      <c r="W222" t="str" cm="1">
        <f t="array" ref="W222">_xlfn.LET(_xlpm.roles,_xlfn.UNIQUE(D222:D3020), _xlpm.counts,COUNTIF(D222:D3020,_xlpm.roles), INDEX(_xlpm.roles,MATCH(MAX(_xlpm.counts),_xlpm.counts,0)))</f>
        <v>Entry Fragger</v>
      </c>
      <c r="X222" s="2">
        <f t="shared" si="19"/>
        <v>13.135802469135802</v>
      </c>
    </row>
    <row r="223" spans="1:24" x14ac:dyDescent="0.3">
      <c r="A223">
        <v>788</v>
      </c>
      <c r="B223">
        <v>38</v>
      </c>
      <c r="C223" t="s">
        <v>35</v>
      </c>
      <c r="D223" t="s">
        <v>36</v>
      </c>
      <c r="E223" t="s">
        <v>23</v>
      </c>
      <c r="F223" t="s">
        <v>26</v>
      </c>
      <c r="G223">
        <v>19</v>
      </c>
      <c r="H223">
        <v>10</v>
      </c>
      <c r="I223">
        <v>12</v>
      </c>
      <c r="J223">
        <v>57.4</v>
      </c>
      <c r="K223">
        <v>223.09</v>
      </c>
      <c r="L223">
        <v>0.41</v>
      </c>
      <c r="M223">
        <v>60.6</v>
      </c>
      <c r="N223">
        <v>1</v>
      </c>
      <c r="O223" t="s">
        <v>20</v>
      </c>
      <c r="P223" t="s">
        <v>38</v>
      </c>
      <c r="Q223">
        <f t="shared" si="15"/>
        <v>17</v>
      </c>
      <c r="R223" s="4">
        <f>RANK(N223,$N$2:N$2800,0)</f>
        <v>1</v>
      </c>
      <c r="S223">
        <f t="shared" si="16"/>
        <v>1.5833333333333333</v>
      </c>
      <c r="T223" t="str">
        <f t="shared" si="17"/>
        <v>Good</v>
      </c>
      <c r="U223" t="str" cm="1">
        <f t="array" ref="U223">_xlfn.LET(_xlpm.roles,_xlfn.UNIQUE(D223:D3021),_xlpm.kills, SUMIF(D223:D3021,_xlpm.roles,G223:G3021),INDEX(_xlpm.roles,MATCH(MAX(_xlpm.kills),_xlpm.kills,0)))</f>
        <v>Entry Fragger</v>
      </c>
      <c r="V223" t="str">
        <f t="shared" si="18"/>
        <v>High Accuracy</v>
      </c>
      <c r="W223" t="str" cm="1">
        <f t="array" ref="W223">_xlfn.LET(_xlpm.roles,_xlfn.UNIQUE(D223:D3021), _xlpm.counts,COUNTIF(D223:D3021,_xlpm.roles), INDEX(_xlpm.roles,MATCH(MAX(_xlpm.counts),_xlpm.counts,0)))</f>
        <v>Entry Fragger</v>
      </c>
      <c r="X223" s="2">
        <f t="shared" si="19"/>
        <v>12.599585062240664</v>
      </c>
    </row>
    <row r="224" spans="1:24" x14ac:dyDescent="0.3">
      <c r="A224">
        <v>2364</v>
      </c>
      <c r="B224">
        <v>38</v>
      </c>
      <c r="C224" t="s">
        <v>27</v>
      </c>
      <c r="D224" t="s">
        <v>31</v>
      </c>
      <c r="E224" t="s">
        <v>33</v>
      </c>
      <c r="F224" t="s">
        <v>26</v>
      </c>
      <c r="G224">
        <v>12</v>
      </c>
      <c r="H224">
        <v>3</v>
      </c>
      <c r="I224">
        <v>14</v>
      </c>
      <c r="J224">
        <v>45.86</v>
      </c>
      <c r="K224">
        <v>216.5</v>
      </c>
      <c r="L224">
        <v>0.18</v>
      </c>
      <c r="M224">
        <v>34.130000000000003</v>
      </c>
      <c r="N224">
        <v>0.83</v>
      </c>
      <c r="O224" t="s">
        <v>20</v>
      </c>
      <c r="P224" t="s">
        <v>21</v>
      </c>
      <c r="Q224">
        <f t="shared" si="15"/>
        <v>1</v>
      </c>
      <c r="R224" s="4">
        <f>RANK(N224,$N$2:N$2800,0)</f>
        <v>2218</v>
      </c>
      <c r="S224">
        <f t="shared" si="16"/>
        <v>0.8571428571428571</v>
      </c>
      <c r="T224" t="str">
        <f t="shared" si="17"/>
        <v>Low</v>
      </c>
      <c r="U224" t="str" cm="1">
        <f t="array" ref="U224">_xlfn.LET(_xlpm.roles,_xlfn.UNIQUE(D224:D3022),_xlpm.kills, SUMIF(D224:D3022,_xlpm.roles,G224:G3022),INDEX(_xlpm.roles,MATCH(MAX(_xlpm.kills),_xlpm.kills,0)))</f>
        <v>Entry Fragger</v>
      </c>
      <c r="V224" t="str">
        <f t="shared" si="18"/>
        <v>Medium Accuracy</v>
      </c>
      <c r="W224" t="str" cm="1">
        <f t="array" ref="W224">_xlfn.LET(_xlpm.roles,_xlfn.UNIQUE(D224:D3022), _xlpm.counts,COUNTIF(D224:D3022,_xlpm.roles), INDEX(_xlpm.roles,MATCH(MAX(_xlpm.counts),_xlpm.counts,0)))</f>
        <v>Entry Fragger</v>
      </c>
      <c r="X224" s="2">
        <f t="shared" si="19"/>
        <v>13.057077625570777</v>
      </c>
    </row>
    <row r="225" spans="1:24" x14ac:dyDescent="0.3">
      <c r="A225">
        <v>2547</v>
      </c>
      <c r="B225">
        <v>38</v>
      </c>
      <c r="C225" t="s">
        <v>25</v>
      </c>
      <c r="D225" t="s">
        <v>22</v>
      </c>
      <c r="E225" t="s">
        <v>23</v>
      </c>
      <c r="F225" t="s">
        <v>34</v>
      </c>
      <c r="G225">
        <v>12</v>
      </c>
      <c r="H225">
        <v>6</v>
      </c>
      <c r="I225">
        <v>9</v>
      </c>
      <c r="J225">
        <v>45.47</v>
      </c>
      <c r="K225">
        <v>243.88</v>
      </c>
      <c r="L225">
        <v>0.5</v>
      </c>
      <c r="M225">
        <v>38.729999999999997</v>
      </c>
      <c r="N225">
        <v>0.86</v>
      </c>
      <c r="O225" t="s">
        <v>20</v>
      </c>
      <c r="P225" t="s">
        <v>21</v>
      </c>
      <c r="Q225">
        <f t="shared" si="15"/>
        <v>9</v>
      </c>
      <c r="R225" s="4">
        <f>RANK(N225,$N$2:N$2800,0)</f>
        <v>2040</v>
      </c>
      <c r="S225">
        <f t="shared" si="16"/>
        <v>1.3333333333333333</v>
      </c>
      <c r="T225" t="str">
        <f t="shared" si="17"/>
        <v>Low</v>
      </c>
      <c r="U225" t="str" cm="1">
        <f t="array" ref="U225">_xlfn.LET(_xlpm.roles,_xlfn.UNIQUE(D225:D3023),_xlpm.kills, SUMIF(D225:D3023,_xlpm.roles,G225:G3023),INDEX(_xlpm.roles,MATCH(MAX(_xlpm.kills),_xlpm.kills,0)))</f>
        <v>Entry Fragger</v>
      </c>
      <c r="V225" t="str">
        <f t="shared" si="18"/>
        <v>Medium Accuracy</v>
      </c>
      <c r="W225" t="str" cm="1">
        <f t="array" ref="W225">_xlfn.LET(_xlpm.roles,_xlfn.UNIQUE(D225:D3023), _xlpm.counts,COUNTIF(D225:D3023,_xlpm.roles), INDEX(_xlpm.roles,MATCH(MAX(_xlpm.counts),_xlpm.counts,0)))</f>
        <v>Entry Fragger</v>
      </c>
      <c r="X225" s="2">
        <f t="shared" si="19"/>
        <v>12.809421841541756</v>
      </c>
    </row>
    <row r="226" spans="1:24" x14ac:dyDescent="0.3">
      <c r="A226">
        <v>730</v>
      </c>
      <c r="B226">
        <v>39</v>
      </c>
      <c r="C226" t="s">
        <v>30</v>
      </c>
      <c r="D226" t="s">
        <v>22</v>
      </c>
      <c r="E226" t="s">
        <v>23</v>
      </c>
      <c r="F226" t="s">
        <v>37</v>
      </c>
      <c r="G226">
        <v>17</v>
      </c>
      <c r="H226">
        <v>6</v>
      </c>
      <c r="I226">
        <v>8</v>
      </c>
      <c r="J226">
        <v>43.34</v>
      </c>
      <c r="K226">
        <v>199.29</v>
      </c>
      <c r="L226">
        <v>0.56999999999999995</v>
      </c>
      <c r="M226">
        <v>47.97</v>
      </c>
      <c r="N226">
        <v>0.92</v>
      </c>
      <c r="O226" t="s">
        <v>20</v>
      </c>
      <c r="P226" t="s">
        <v>21</v>
      </c>
      <c r="Q226">
        <f t="shared" si="15"/>
        <v>15</v>
      </c>
      <c r="R226" s="4">
        <f>RANK(N226,$N$2:N$2800,0)</f>
        <v>1585</v>
      </c>
      <c r="S226">
        <f t="shared" si="16"/>
        <v>2.125</v>
      </c>
      <c r="T226" t="str">
        <f t="shared" si="17"/>
        <v>Good</v>
      </c>
      <c r="U226" t="str" cm="1">
        <f t="array" ref="U226">_xlfn.LET(_xlpm.roles,_xlfn.UNIQUE(D226:D3024),_xlpm.kills, SUMIF(D226:D3024,_xlpm.roles,G226:G3024),INDEX(_xlpm.roles,MATCH(MAX(_xlpm.kills),_xlpm.kills,0)))</f>
        <v>Entry Fragger</v>
      </c>
      <c r="V226" t="str">
        <f t="shared" si="18"/>
        <v>Medium Accuracy</v>
      </c>
      <c r="W226" t="str" cm="1">
        <f t="array" ref="W226">_xlfn.LET(_xlpm.roles,_xlfn.UNIQUE(D226:D3024), _xlpm.counts,COUNTIF(D226:D3024,_xlpm.roles), INDEX(_xlpm.roles,MATCH(MAX(_xlpm.counts),_xlpm.counts,0)))</f>
        <v>Entry Fragger</v>
      </c>
      <c r="X226" s="2">
        <f t="shared" si="19"/>
        <v>13.135802469135802</v>
      </c>
    </row>
    <row r="227" spans="1:24" x14ac:dyDescent="0.3">
      <c r="A227">
        <v>997</v>
      </c>
      <c r="B227">
        <v>39</v>
      </c>
      <c r="C227" t="s">
        <v>27</v>
      </c>
      <c r="D227" t="s">
        <v>28</v>
      </c>
      <c r="E227" t="s">
        <v>29</v>
      </c>
      <c r="F227" t="s">
        <v>37</v>
      </c>
      <c r="G227">
        <v>13</v>
      </c>
      <c r="H227">
        <v>7</v>
      </c>
      <c r="I227">
        <v>10</v>
      </c>
      <c r="J227">
        <v>44.32</v>
      </c>
      <c r="K227">
        <v>278.25</v>
      </c>
      <c r="L227">
        <v>0.35</v>
      </c>
      <c r="M227">
        <v>41.66</v>
      </c>
      <c r="N227">
        <v>0.91</v>
      </c>
      <c r="O227" t="s">
        <v>20</v>
      </c>
      <c r="P227" t="s">
        <v>21</v>
      </c>
      <c r="Q227">
        <f t="shared" si="15"/>
        <v>10</v>
      </c>
      <c r="R227" s="4">
        <f>RANK(N227,$N$2:N$2800,0)</f>
        <v>1665</v>
      </c>
      <c r="S227">
        <f t="shared" si="16"/>
        <v>1.3</v>
      </c>
      <c r="T227" t="str">
        <f t="shared" si="17"/>
        <v>Low</v>
      </c>
      <c r="U227" t="str" cm="1">
        <f t="array" ref="U227">_xlfn.LET(_xlpm.roles,_xlfn.UNIQUE(D227:D3025),_xlpm.kills, SUMIF(D227:D3025,_xlpm.roles,G227:G3025),INDEX(_xlpm.roles,MATCH(MAX(_xlpm.kills),_xlpm.kills,0)))</f>
        <v>Entry Fragger</v>
      </c>
      <c r="V227" t="str">
        <f t="shared" si="18"/>
        <v>Medium Accuracy</v>
      </c>
      <c r="W227" t="str" cm="1">
        <f t="array" ref="W227">_xlfn.LET(_xlpm.roles,_xlfn.UNIQUE(D227:D3025), _xlpm.counts,COUNTIF(D227:D3025,_xlpm.roles), INDEX(_xlpm.roles,MATCH(MAX(_xlpm.counts),_xlpm.counts,0)))</f>
        <v>Entry Fragger</v>
      </c>
      <c r="X227" s="2">
        <f t="shared" si="19"/>
        <v>13.057077625570777</v>
      </c>
    </row>
    <row r="228" spans="1:24" x14ac:dyDescent="0.3">
      <c r="A228">
        <v>1184</v>
      </c>
      <c r="B228">
        <v>39</v>
      </c>
      <c r="C228" t="s">
        <v>30</v>
      </c>
      <c r="D228" t="s">
        <v>36</v>
      </c>
      <c r="E228" t="s">
        <v>33</v>
      </c>
      <c r="F228" t="s">
        <v>37</v>
      </c>
      <c r="G228">
        <v>20</v>
      </c>
      <c r="H228">
        <v>8</v>
      </c>
      <c r="I228">
        <v>12</v>
      </c>
      <c r="J228">
        <v>55.09</v>
      </c>
      <c r="K228">
        <v>256.60000000000002</v>
      </c>
      <c r="L228">
        <v>0.18</v>
      </c>
      <c r="M228">
        <v>61.75</v>
      </c>
      <c r="N228">
        <v>1</v>
      </c>
      <c r="O228" t="s">
        <v>20</v>
      </c>
      <c r="P228" t="s">
        <v>38</v>
      </c>
      <c r="Q228">
        <f t="shared" si="15"/>
        <v>16</v>
      </c>
      <c r="R228" s="4">
        <f>RANK(N228,$N$2:N$2800,0)</f>
        <v>1</v>
      </c>
      <c r="S228">
        <f t="shared" si="16"/>
        <v>1.6666666666666667</v>
      </c>
      <c r="T228" t="str">
        <f t="shared" si="17"/>
        <v>Good</v>
      </c>
      <c r="U228" t="str" cm="1">
        <f t="array" ref="U228">_xlfn.LET(_xlpm.roles,_xlfn.UNIQUE(D228:D3026),_xlpm.kills, SUMIF(D228:D3026,_xlpm.roles,G228:G3026),INDEX(_xlpm.roles,MATCH(MAX(_xlpm.kills),_xlpm.kills,0)))</f>
        <v>Entry Fragger</v>
      </c>
      <c r="V228" t="str">
        <f t="shared" si="18"/>
        <v>High Accuracy</v>
      </c>
      <c r="W228" t="str" cm="1">
        <f t="array" ref="W228">_xlfn.LET(_xlpm.roles,_xlfn.UNIQUE(D228:D3026), _xlpm.counts,COUNTIF(D228:D3026,_xlpm.roles), INDEX(_xlpm.roles,MATCH(MAX(_xlpm.counts),_xlpm.counts,0)))</f>
        <v>Entry Fragger</v>
      </c>
      <c r="X228" s="2">
        <f t="shared" si="19"/>
        <v>13.135802469135802</v>
      </c>
    </row>
    <row r="229" spans="1:24" x14ac:dyDescent="0.3">
      <c r="A229">
        <v>1721</v>
      </c>
      <c r="B229">
        <v>39</v>
      </c>
      <c r="C229" t="s">
        <v>25</v>
      </c>
      <c r="D229" t="s">
        <v>22</v>
      </c>
      <c r="E229" t="s">
        <v>32</v>
      </c>
      <c r="F229" t="s">
        <v>24</v>
      </c>
      <c r="G229">
        <v>11</v>
      </c>
      <c r="H229">
        <v>11</v>
      </c>
      <c r="I229">
        <v>4</v>
      </c>
      <c r="J229">
        <v>33.869999999999997</v>
      </c>
      <c r="K229">
        <v>181.3</v>
      </c>
      <c r="L229">
        <v>0.69</v>
      </c>
      <c r="M229">
        <v>39.04</v>
      </c>
      <c r="N229">
        <v>1</v>
      </c>
      <c r="O229" t="s">
        <v>20</v>
      </c>
      <c r="P229" t="s">
        <v>21</v>
      </c>
      <c r="Q229">
        <f t="shared" si="15"/>
        <v>18</v>
      </c>
      <c r="R229" s="4">
        <f>RANK(N229,$N$2:N$2800,0)</f>
        <v>1</v>
      </c>
      <c r="S229">
        <f t="shared" si="16"/>
        <v>2.75</v>
      </c>
      <c r="T229" t="str">
        <f t="shared" si="17"/>
        <v>Good</v>
      </c>
      <c r="U229" t="str" cm="1">
        <f t="array" ref="U229">_xlfn.LET(_xlpm.roles,_xlfn.UNIQUE(D229:D3027),_xlpm.kills, SUMIF(D229:D3027,_xlpm.roles,G229:G3027),INDEX(_xlpm.roles,MATCH(MAX(_xlpm.kills),_xlpm.kills,0)))</f>
        <v>Entry Fragger</v>
      </c>
      <c r="V229" t="str">
        <f t="shared" si="18"/>
        <v>Medium Accuracy</v>
      </c>
      <c r="W229" t="str" cm="1">
        <f t="array" ref="W229">_xlfn.LET(_xlpm.roles,_xlfn.UNIQUE(D229:D3027), _xlpm.counts,COUNTIF(D229:D3027,_xlpm.roles), INDEX(_xlpm.roles,MATCH(MAX(_xlpm.counts),_xlpm.counts,0)))</f>
        <v>Entry Fragger</v>
      </c>
      <c r="X229" s="2">
        <f t="shared" si="19"/>
        <v>12.809421841541756</v>
      </c>
    </row>
    <row r="230" spans="1:24" x14ac:dyDescent="0.3">
      <c r="A230">
        <v>2241</v>
      </c>
      <c r="B230">
        <v>39</v>
      </c>
      <c r="C230" t="s">
        <v>39</v>
      </c>
      <c r="D230" t="s">
        <v>28</v>
      </c>
      <c r="E230" t="s">
        <v>33</v>
      </c>
      <c r="F230" t="s">
        <v>37</v>
      </c>
      <c r="G230">
        <v>18</v>
      </c>
      <c r="H230">
        <v>12</v>
      </c>
      <c r="I230">
        <v>15</v>
      </c>
      <c r="J230">
        <v>55.2</v>
      </c>
      <c r="K230">
        <v>266.62</v>
      </c>
      <c r="L230">
        <v>0.21</v>
      </c>
      <c r="M230">
        <v>58.5</v>
      </c>
      <c r="N230">
        <v>1</v>
      </c>
      <c r="O230" t="s">
        <v>20</v>
      </c>
      <c r="P230" t="s">
        <v>21</v>
      </c>
      <c r="Q230">
        <f t="shared" si="15"/>
        <v>15</v>
      </c>
      <c r="R230" s="4">
        <f>RANK(N230,$N$2:N$2800,0)</f>
        <v>1</v>
      </c>
      <c r="S230">
        <f t="shared" si="16"/>
        <v>1.2</v>
      </c>
      <c r="T230" t="str">
        <f t="shared" si="17"/>
        <v>Good</v>
      </c>
      <c r="U230" t="str" cm="1">
        <f t="array" ref="U230">_xlfn.LET(_xlpm.roles,_xlfn.UNIQUE(D230:D3028),_xlpm.kills, SUMIF(D230:D3028,_xlpm.roles,G230:G3028),INDEX(_xlpm.roles,MATCH(MAX(_xlpm.kills),_xlpm.kills,0)))</f>
        <v>Entry Fragger</v>
      </c>
      <c r="V230" t="str">
        <f t="shared" si="18"/>
        <v>High Accuracy</v>
      </c>
      <c r="W230" t="str" cm="1">
        <f t="array" ref="W230">_xlfn.LET(_xlpm.roles,_xlfn.UNIQUE(D230:D3028), _xlpm.counts,COUNTIF(D230:D3028,_xlpm.roles), INDEX(_xlpm.roles,MATCH(MAX(_xlpm.counts),_xlpm.counts,0)))</f>
        <v>Entry Fragger</v>
      </c>
      <c r="X230" s="2">
        <f t="shared" si="19"/>
        <v>13.103594080338267</v>
      </c>
    </row>
    <row r="231" spans="1:24" x14ac:dyDescent="0.3">
      <c r="A231">
        <v>2448</v>
      </c>
      <c r="B231">
        <v>39</v>
      </c>
      <c r="C231" t="s">
        <v>39</v>
      </c>
      <c r="D231" t="s">
        <v>36</v>
      </c>
      <c r="E231" t="s">
        <v>23</v>
      </c>
      <c r="F231" t="s">
        <v>19</v>
      </c>
      <c r="G231">
        <v>12</v>
      </c>
      <c r="H231">
        <v>6</v>
      </c>
      <c r="I231">
        <v>17</v>
      </c>
      <c r="J231">
        <v>35.659999999999997</v>
      </c>
      <c r="K231">
        <v>225.06</v>
      </c>
      <c r="L231">
        <v>0.45</v>
      </c>
      <c r="M231">
        <v>26.33</v>
      </c>
      <c r="N231">
        <v>0.62</v>
      </c>
      <c r="O231" t="s">
        <v>20</v>
      </c>
      <c r="P231" t="s">
        <v>21</v>
      </c>
      <c r="Q231">
        <f t="shared" si="15"/>
        <v>1</v>
      </c>
      <c r="R231" s="4">
        <f>RANK(N231,$N$2:N$2800,0)</f>
        <v>2776</v>
      </c>
      <c r="S231">
        <f t="shared" si="16"/>
        <v>0.70588235294117652</v>
      </c>
      <c r="T231" t="str">
        <f t="shared" si="17"/>
        <v>Low</v>
      </c>
      <c r="U231" t="str" cm="1">
        <f t="array" ref="U231">_xlfn.LET(_xlpm.roles,_xlfn.UNIQUE(D231:D3029),_xlpm.kills, SUMIF(D231:D3029,_xlpm.roles,G231:G3029),INDEX(_xlpm.roles,MATCH(MAX(_xlpm.kills),_xlpm.kills,0)))</f>
        <v>Entry Fragger</v>
      </c>
      <c r="V231" t="str">
        <f t="shared" si="18"/>
        <v>Medium Accuracy</v>
      </c>
      <c r="W231" t="str" cm="1">
        <f t="array" ref="W231">_xlfn.LET(_xlpm.roles,_xlfn.UNIQUE(D231:D3029), _xlpm.counts,COUNTIF(D231:D3029,_xlpm.roles), INDEX(_xlpm.roles,MATCH(MAX(_xlpm.counts),_xlpm.counts,0)))</f>
        <v>Entry Fragger</v>
      </c>
      <c r="X231" s="2">
        <f t="shared" si="19"/>
        <v>13.103594080338267</v>
      </c>
    </row>
    <row r="232" spans="1:24" x14ac:dyDescent="0.3">
      <c r="A232">
        <v>2549</v>
      </c>
      <c r="B232">
        <v>39</v>
      </c>
      <c r="C232" t="s">
        <v>30</v>
      </c>
      <c r="D232" t="s">
        <v>17</v>
      </c>
      <c r="E232" t="s">
        <v>32</v>
      </c>
      <c r="F232" t="s">
        <v>34</v>
      </c>
      <c r="G232">
        <v>10</v>
      </c>
      <c r="H232">
        <v>6</v>
      </c>
      <c r="I232">
        <v>5</v>
      </c>
      <c r="J232">
        <v>50.66</v>
      </c>
      <c r="K232">
        <v>227.52</v>
      </c>
      <c r="L232">
        <v>0.83</v>
      </c>
      <c r="M232">
        <v>38.03</v>
      </c>
      <c r="N232">
        <v>0.88</v>
      </c>
      <c r="O232" t="s">
        <v>20</v>
      </c>
      <c r="P232" t="s">
        <v>21</v>
      </c>
      <c r="Q232">
        <f t="shared" si="15"/>
        <v>11</v>
      </c>
      <c r="R232" s="4">
        <f>RANK(N232,$N$2:N$2800,0)</f>
        <v>1894</v>
      </c>
      <c r="S232">
        <f t="shared" si="16"/>
        <v>2</v>
      </c>
      <c r="T232" t="str">
        <f t="shared" si="17"/>
        <v>Low</v>
      </c>
      <c r="U232" t="str" cm="1">
        <f t="array" ref="U232">_xlfn.LET(_xlpm.roles,_xlfn.UNIQUE(D232:D3030),_xlpm.kills, SUMIF(D232:D3030,_xlpm.roles,G232:G3030),INDEX(_xlpm.roles,MATCH(MAX(_xlpm.kills),_xlpm.kills,0)))</f>
        <v>Entry Fragger</v>
      </c>
      <c r="V232" t="str">
        <f t="shared" si="18"/>
        <v>High Accuracy</v>
      </c>
      <c r="W232" t="str" cm="1">
        <f t="array" ref="W232">_xlfn.LET(_xlpm.roles,_xlfn.UNIQUE(D232:D3030), _xlpm.counts,COUNTIF(D232:D3030,_xlpm.roles), INDEX(_xlpm.roles,MATCH(MAX(_xlpm.counts),_xlpm.counts,0)))</f>
        <v>Entry Fragger</v>
      </c>
      <c r="X232" s="2">
        <f t="shared" si="19"/>
        <v>13.135802469135802</v>
      </c>
    </row>
    <row r="233" spans="1:24" x14ac:dyDescent="0.3">
      <c r="A233">
        <v>282</v>
      </c>
      <c r="B233">
        <v>40</v>
      </c>
      <c r="C233" t="s">
        <v>16</v>
      </c>
      <c r="D233" t="s">
        <v>36</v>
      </c>
      <c r="E233" t="s">
        <v>33</v>
      </c>
      <c r="F233" t="s">
        <v>26</v>
      </c>
      <c r="G233">
        <v>19</v>
      </c>
      <c r="H233">
        <v>14</v>
      </c>
      <c r="I233">
        <v>18</v>
      </c>
      <c r="J233">
        <v>44.5</v>
      </c>
      <c r="K233">
        <v>170.59</v>
      </c>
      <c r="L233">
        <v>0.28000000000000003</v>
      </c>
      <c r="M233">
        <v>53.45</v>
      </c>
      <c r="N233">
        <v>1</v>
      </c>
      <c r="O233" t="s">
        <v>20</v>
      </c>
      <c r="P233" t="s">
        <v>21</v>
      </c>
      <c r="Q233">
        <f t="shared" si="15"/>
        <v>15</v>
      </c>
      <c r="R233" s="4">
        <f>RANK(N233,$N$2:N$2800,0)</f>
        <v>1</v>
      </c>
      <c r="S233">
        <f t="shared" si="16"/>
        <v>1.0555555555555556</v>
      </c>
      <c r="T233" t="str">
        <f t="shared" si="17"/>
        <v>Good</v>
      </c>
      <c r="U233" t="str" cm="1">
        <f t="array" ref="U233">_xlfn.LET(_xlpm.roles,_xlfn.UNIQUE(D233:D3031),_xlpm.kills, SUMIF(D233:D3031,_xlpm.roles,G233:G3031),INDEX(_xlpm.roles,MATCH(MAX(_xlpm.kills),_xlpm.kills,0)))</f>
        <v>Entry Fragger</v>
      </c>
      <c r="V233" t="str">
        <f t="shared" si="18"/>
        <v>Medium Accuracy</v>
      </c>
      <c r="W233" t="str" cm="1">
        <f t="array" ref="W233">_xlfn.LET(_xlpm.roles,_xlfn.UNIQUE(D233:D3031), _xlpm.counts,COUNTIF(D233:D3031,_xlpm.roles), INDEX(_xlpm.roles,MATCH(MAX(_xlpm.counts),_xlpm.counts,0)))</f>
        <v>Entry Fragger</v>
      </c>
      <c r="X233" s="2">
        <f t="shared" si="19"/>
        <v>12.520971302428256</v>
      </c>
    </row>
    <row r="234" spans="1:24" x14ac:dyDescent="0.3">
      <c r="A234">
        <v>1001</v>
      </c>
      <c r="B234">
        <v>40</v>
      </c>
      <c r="C234" t="s">
        <v>25</v>
      </c>
      <c r="D234" t="s">
        <v>22</v>
      </c>
      <c r="E234" t="s">
        <v>29</v>
      </c>
      <c r="F234" t="s">
        <v>24</v>
      </c>
      <c r="G234">
        <v>17</v>
      </c>
      <c r="H234">
        <v>4</v>
      </c>
      <c r="I234">
        <v>6</v>
      </c>
      <c r="J234">
        <v>54.9</v>
      </c>
      <c r="K234">
        <v>259.37</v>
      </c>
      <c r="L234">
        <v>0.86</v>
      </c>
      <c r="M234">
        <v>50.85</v>
      </c>
      <c r="N234">
        <v>0.99</v>
      </c>
      <c r="O234" t="s">
        <v>20</v>
      </c>
      <c r="P234" t="s">
        <v>21</v>
      </c>
      <c r="Q234">
        <f t="shared" si="15"/>
        <v>15</v>
      </c>
      <c r="R234" s="4">
        <f>RANK(N234,$N$2:N$2800,0)</f>
        <v>1080</v>
      </c>
      <c r="S234">
        <f t="shared" si="16"/>
        <v>2.8333333333333335</v>
      </c>
      <c r="T234" t="str">
        <f t="shared" si="17"/>
        <v>Good</v>
      </c>
      <c r="U234" t="str" cm="1">
        <f t="array" ref="U234">_xlfn.LET(_xlpm.roles,_xlfn.UNIQUE(D234:D3032),_xlpm.kills, SUMIF(D234:D3032,_xlpm.roles,G234:G3032),INDEX(_xlpm.roles,MATCH(MAX(_xlpm.kills),_xlpm.kills,0)))</f>
        <v>Entry Fragger</v>
      </c>
      <c r="V234" t="str">
        <f t="shared" si="18"/>
        <v>High Accuracy</v>
      </c>
      <c r="W234" t="str" cm="1">
        <f t="array" ref="W234">_xlfn.LET(_xlpm.roles,_xlfn.UNIQUE(D234:D3032), _xlpm.counts,COUNTIF(D234:D3032,_xlpm.roles), INDEX(_xlpm.roles,MATCH(MAX(_xlpm.counts),_xlpm.counts,0)))</f>
        <v>Entry Fragger</v>
      </c>
      <c r="X234" s="2">
        <f t="shared" si="19"/>
        <v>12.809421841541756</v>
      </c>
    </row>
    <row r="235" spans="1:24" x14ac:dyDescent="0.3">
      <c r="A235">
        <v>2074</v>
      </c>
      <c r="B235">
        <v>40</v>
      </c>
      <c r="C235" t="s">
        <v>25</v>
      </c>
      <c r="D235" t="s">
        <v>28</v>
      </c>
      <c r="E235" t="s">
        <v>23</v>
      </c>
      <c r="F235" t="s">
        <v>34</v>
      </c>
      <c r="G235">
        <v>13</v>
      </c>
      <c r="H235">
        <v>2</v>
      </c>
      <c r="I235">
        <v>9</v>
      </c>
      <c r="J235">
        <v>51.64</v>
      </c>
      <c r="K235">
        <v>220.74</v>
      </c>
      <c r="L235">
        <v>0.18</v>
      </c>
      <c r="M235">
        <v>43.02</v>
      </c>
      <c r="N235">
        <v>0.75</v>
      </c>
      <c r="O235" t="s">
        <v>20</v>
      </c>
      <c r="P235" t="s">
        <v>21</v>
      </c>
      <c r="Q235">
        <f t="shared" si="15"/>
        <v>6</v>
      </c>
      <c r="R235" s="4">
        <f>RANK(N235,$N$2:N$2800,0)</f>
        <v>2586</v>
      </c>
      <c r="S235">
        <f t="shared" si="16"/>
        <v>1.4444444444444444</v>
      </c>
      <c r="T235" t="str">
        <f t="shared" si="17"/>
        <v>Low</v>
      </c>
      <c r="U235" t="str" cm="1">
        <f t="array" ref="U235">_xlfn.LET(_xlpm.roles,_xlfn.UNIQUE(D235:D3033),_xlpm.kills, SUMIF(D235:D3033,_xlpm.roles,G235:G3033),INDEX(_xlpm.roles,MATCH(MAX(_xlpm.kills),_xlpm.kills,0)))</f>
        <v>Entry Fragger</v>
      </c>
      <c r="V235" t="str">
        <f t="shared" si="18"/>
        <v>High Accuracy</v>
      </c>
      <c r="W235" t="str" cm="1">
        <f t="array" ref="W235">_xlfn.LET(_xlpm.roles,_xlfn.UNIQUE(D235:D3033), _xlpm.counts,COUNTIF(D235:D3033,_xlpm.roles), INDEX(_xlpm.roles,MATCH(MAX(_xlpm.counts),_xlpm.counts,0)))</f>
        <v>Entry Fragger</v>
      </c>
      <c r="X235" s="2">
        <f t="shared" si="19"/>
        <v>12.809421841541756</v>
      </c>
    </row>
    <row r="236" spans="1:24" x14ac:dyDescent="0.3">
      <c r="A236">
        <v>2225</v>
      </c>
      <c r="B236">
        <v>40</v>
      </c>
      <c r="C236" t="s">
        <v>35</v>
      </c>
      <c r="D236" t="s">
        <v>36</v>
      </c>
      <c r="E236" t="s">
        <v>32</v>
      </c>
      <c r="F236" t="s">
        <v>26</v>
      </c>
      <c r="G236">
        <v>15</v>
      </c>
      <c r="H236">
        <v>9</v>
      </c>
      <c r="I236">
        <v>11</v>
      </c>
      <c r="J236">
        <v>38.29</v>
      </c>
      <c r="K236">
        <v>207.14</v>
      </c>
      <c r="L236">
        <v>0.25</v>
      </c>
      <c r="M236">
        <v>44.64</v>
      </c>
      <c r="N236">
        <v>1</v>
      </c>
      <c r="O236" t="s">
        <v>20</v>
      </c>
      <c r="P236" t="s">
        <v>21</v>
      </c>
      <c r="Q236">
        <f t="shared" si="15"/>
        <v>13</v>
      </c>
      <c r="R236" s="4">
        <f>RANK(N236,$N$2:N$2800,0)</f>
        <v>1</v>
      </c>
      <c r="S236">
        <f t="shared" si="16"/>
        <v>1.3636363636363635</v>
      </c>
      <c r="T236" t="str">
        <f t="shared" si="17"/>
        <v>Low</v>
      </c>
      <c r="U236" t="str" cm="1">
        <f t="array" ref="U236">_xlfn.LET(_xlpm.roles,_xlfn.UNIQUE(D236:D3034),_xlpm.kills, SUMIF(D236:D3034,_xlpm.roles,G236:G3034),INDEX(_xlpm.roles,MATCH(MAX(_xlpm.kills),_xlpm.kills,0)))</f>
        <v>Entry Fragger</v>
      </c>
      <c r="V236" t="str">
        <f t="shared" si="18"/>
        <v>Medium Accuracy</v>
      </c>
      <c r="W236" t="str" cm="1">
        <f t="array" ref="W236">_xlfn.LET(_xlpm.roles,_xlfn.UNIQUE(D236:D3034), _xlpm.counts,COUNTIF(D236:D3034,_xlpm.roles), INDEX(_xlpm.roles,MATCH(MAX(_xlpm.counts),_xlpm.counts,0)))</f>
        <v>Entry Fragger</v>
      </c>
      <c r="X236" s="2">
        <f t="shared" si="19"/>
        <v>12.599585062240664</v>
      </c>
    </row>
    <row r="237" spans="1:24" x14ac:dyDescent="0.3">
      <c r="A237">
        <v>627</v>
      </c>
      <c r="B237">
        <v>41</v>
      </c>
      <c r="C237" t="s">
        <v>35</v>
      </c>
      <c r="D237" t="s">
        <v>17</v>
      </c>
      <c r="E237" t="s">
        <v>32</v>
      </c>
      <c r="F237" t="s">
        <v>34</v>
      </c>
      <c r="G237">
        <v>14</v>
      </c>
      <c r="H237">
        <v>7</v>
      </c>
      <c r="I237">
        <v>16</v>
      </c>
      <c r="J237">
        <v>41.11</v>
      </c>
      <c r="K237">
        <v>201</v>
      </c>
      <c r="L237">
        <v>0.52</v>
      </c>
      <c r="M237">
        <v>34.35</v>
      </c>
      <c r="N237">
        <v>0.7</v>
      </c>
      <c r="O237" t="s">
        <v>20</v>
      </c>
      <c r="P237" t="s">
        <v>21</v>
      </c>
      <c r="Q237">
        <f t="shared" si="15"/>
        <v>5</v>
      </c>
      <c r="R237" s="4">
        <f>RANK(N237,$N$2:N$2800,0)</f>
        <v>2702</v>
      </c>
      <c r="S237">
        <f t="shared" si="16"/>
        <v>0.875</v>
      </c>
      <c r="T237" t="str">
        <f t="shared" si="17"/>
        <v>Low</v>
      </c>
      <c r="U237" t="str" cm="1">
        <f t="array" ref="U237">_xlfn.LET(_xlpm.roles,_xlfn.UNIQUE(D237:D3035),_xlpm.kills, SUMIF(D237:D3035,_xlpm.roles,G237:G3035),INDEX(_xlpm.roles,MATCH(MAX(_xlpm.kills),_xlpm.kills,0)))</f>
        <v>Entry Fragger</v>
      </c>
      <c r="V237" t="str">
        <f t="shared" si="18"/>
        <v>Medium Accuracy</v>
      </c>
      <c r="W237" t="str" cm="1">
        <f t="array" ref="W237">_xlfn.LET(_xlpm.roles,_xlfn.UNIQUE(D237:D3035), _xlpm.counts,COUNTIF(D237:D3035,_xlpm.roles), INDEX(_xlpm.roles,MATCH(MAX(_xlpm.counts),_xlpm.counts,0)))</f>
        <v>Entry Fragger</v>
      </c>
      <c r="X237" s="2">
        <f t="shared" si="19"/>
        <v>12.599585062240664</v>
      </c>
    </row>
    <row r="238" spans="1:24" x14ac:dyDescent="0.3">
      <c r="A238">
        <v>633</v>
      </c>
      <c r="B238">
        <v>41</v>
      </c>
      <c r="C238" t="s">
        <v>35</v>
      </c>
      <c r="D238" t="s">
        <v>28</v>
      </c>
      <c r="E238" t="s">
        <v>29</v>
      </c>
      <c r="F238" t="s">
        <v>24</v>
      </c>
      <c r="G238">
        <v>15</v>
      </c>
      <c r="H238">
        <v>9</v>
      </c>
      <c r="I238">
        <v>7</v>
      </c>
      <c r="J238">
        <v>44.77</v>
      </c>
      <c r="K238">
        <v>207.97</v>
      </c>
      <c r="L238">
        <v>0.24</v>
      </c>
      <c r="M238">
        <v>51.99</v>
      </c>
      <c r="N238">
        <v>1</v>
      </c>
      <c r="O238" t="s">
        <v>20</v>
      </c>
      <c r="P238" t="s">
        <v>21</v>
      </c>
      <c r="Q238">
        <f t="shared" si="15"/>
        <v>17</v>
      </c>
      <c r="R238" s="4">
        <f>RANK(N238,$N$2:N$2800,0)</f>
        <v>1</v>
      </c>
      <c r="S238">
        <f t="shared" si="16"/>
        <v>2.1428571428571428</v>
      </c>
      <c r="T238" t="str">
        <f t="shared" si="17"/>
        <v>Good</v>
      </c>
      <c r="U238" t="str" cm="1">
        <f t="array" ref="U238">_xlfn.LET(_xlpm.roles,_xlfn.UNIQUE(D238:D3036),_xlpm.kills, SUMIF(D238:D3036,_xlpm.roles,G238:G3036),INDEX(_xlpm.roles,MATCH(MAX(_xlpm.kills),_xlpm.kills,0)))</f>
        <v>Entry Fragger</v>
      </c>
      <c r="V238" t="str">
        <f t="shared" si="18"/>
        <v>Medium Accuracy</v>
      </c>
      <c r="W238" t="str" cm="1">
        <f t="array" ref="W238">_xlfn.LET(_xlpm.roles,_xlfn.UNIQUE(D238:D3036), _xlpm.counts,COUNTIF(D238:D3036,_xlpm.roles), INDEX(_xlpm.roles,MATCH(MAX(_xlpm.counts),_xlpm.counts,0)))</f>
        <v>Entry Fragger</v>
      </c>
      <c r="X238" s="2">
        <f t="shared" si="19"/>
        <v>12.599585062240664</v>
      </c>
    </row>
    <row r="239" spans="1:24" x14ac:dyDescent="0.3">
      <c r="A239">
        <v>682</v>
      </c>
      <c r="B239">
        <v>41</v>
      </c>
      <c r="C239" t="s">
        <v>39</v>
      </c>
      <c r="D239" t="s">
        <v>28</v>
      </c>
      <c r="E239" t="s">
        <v>32</v>
      </c>
      <c r="F239" t="s">
        <v>34</v>
      </c>
      <c r="G239">
        <v>15</v>
      </c>
      <c r="H239">
        <v>10</v>
      </c>
      <c r="I239">
        <v>8</v>
      </c>
      <c r="J239">
        <v>43.14</v>
      </c>
      <c r="K239">
        <v>273.10000000000002</v>
      </c>
      <c r="L239">
        <v>0.71</v>
      </c>
      <c r="M239">
        <v>46.47</v>
      </c>
      <c r="N239">
        <v>1</v>
      </c>
      <c r="O239" t="s">
        <v>20</v>
      </c>
      <c r="P239" t="s">
        <v>21</v>
      </c>
      <c r="Q239">
        <f t="shared" si="15"/>
        <v>17</v>
      </c>
      <c r="R239" s="4">
        <f>RANK(N239,$N$2:N$2800,0)</f>
        <v>1</v>
      </c>
      <c r="S239">
        <f t="shared" si="16"/>
        <v>1.875</v>
      </c>
      <c r="T239" t="str">
        <f t="shared" si="17"/>
        <v>Good</v>
      </c>
      <c r="U239" t="str" cm="1">
        <f t="array" ref="U239">_xlfn.LET(_xlpm.roles,_xlfn.UNIQUE(D239:D3037),_xlpm.kills, SUMIF(D239:D3037,_xlpm.roles,G239:G3037),INDEX(_xlpm.roles,MATCH(MAX(_xlpm.kills),_xlpm.kills,0)))</f>
        <v>Entry Fragger</v>
      </c>
      <c r="V239" t="str">
        <f t="shared" si="18"/>
        <v>Medium Accuracy</v>
      </c>
      <c r="W239" t="str" cm="1">
        <f t="array" ref="W239">_xlfn.LET(_xlpm.roles,_xlfn.UNIQUE(D239:D3037), _xlpm.counts,COUNTIF(D239:D3037,_xlpm.roles), INDEX(_xlpm.roles,MATCH(MAX(_xlpm.counts),_xlpm.counts,0)))</f>
        <v>Entry Fragger</v>
      </c>
      <c r="X239" s="2">
        <f t="shared" si="19"/>
        <v>13.103594080338267</v>
      </c>
    </row>
    <row r="240" spans="1:24" x14ac:dyDescent="0.3">
      <c r="A240">
        <v>709</v>
      </c>
      <c r="B240">
        <v>41</v>
      </c>
      <c r="C240" t="s">
        <v>35</v>
      </c>
      <c r="D240" t="s">
        <v>31</v>
      </c>
      <c r="E240" t="s">
        <v>29</v>
      </c>
      <c r="F240" t="s">
        <v>37</v>
      </c>
      <c r="G240">
        <v>13</v>
      </c>
      <c r="H240">
        <v>8</v>
      </c>
      <c r="I240">
        <v>9</v>
      </c>
      <c r="J240">
        <v>42.86</v>
      </c>
      <c r="K240">
        <v>233.45</v>
      </c>
      <c r="L240">
        <v>0.87</v>
      </c>
      <c r="M240">
        <v>37.729999999999997</v>
      </c>
      <c r="N240">
        <v>0.77</v>
      </c>
      <c r="O240" t="s">
        <v>20</v>
      </c>
      <c r="P240" t="s">
        <v>21</v>
      </c>
      <c r="Q240">
        <f t="shared" si="15"/>
        <v>12</v>
      </c>
      <c r="R240" s="4">
        <f>RANK(N240,$N$2:N$2800,0)</f>
        <v>2511</v>
      </c>
      <c r="S240">
        <f t="shared" si="16"/>
        <v>1.4444444444444444</v>
      </c>
      <c r="T240" t="str">
        <f t="shared" si="17"/>
        <v>Low</v>
      </c>
      <c r="U240" t="str" cm="1">
        <f t="array" ref="U240">_xlfn.LET(_xlpm.roles,_xlfn.UNIQUE(D240:D3038),_xlpm.kills, SUMIF(D240:D3038,_xlpm.roles,G240:G3038),INDEX(_xlpm.roles,MATCH(MAX(_xlpm.kills),_xlpm.kills,0)))</f>
        <v>Entry Fragger</v>
      </c>
      <c r="V240" t="str">
        <f t="shared" si="18"/>
        <v>Medium Accuracy</v>
      </c>
      <c r="W240" t="str" cm="1">
        <f t="array" ref="W240">_xlfn.LET(_xlpm.roles,_xlfn.UNIQUE(D240:D3038), _xlpm.counts,COUNTIF(D240:D3038,_xlpm.roles), INDEX(_xlpm.roles,MATCH(MAX(_xlpm.counts),_xlpm.counts,0)))</f>
        <v>Entry Fragger</v>
      </c>
      <c r="X240" s="2">
        <f t="shared" si="19"/>
        <v>12.599585062240664</v>
      </c>
    </row>
    <row r="241" spans="1:24" x14ac:dyDescent="0.3">
      <c r="A241">
        <v>1667</v>
      </c>
      <c r="B241">
        <v>41</v>
      </c>
      <c r="C241" t="s">
        <v>35</v>
      </c>
      <c r="D241" t="s">
        <v>31</v>
      </c>
      <c r="E241" t="s">
        <v>32</v>
      </c>
      <c r="F241" t="s">
        <v>37</v>
      </c>
      <c r="G241">
        <v>20</v>
      </c>
      <c r="H241">
        <v>10</v>
      </c>
      <c r="I241">
        <v>17</v>
      </c>
      <c r="J241">
        <v>36.979999999999997</v>
      </c>
      <c r="K241">
        <v>237.59</v>
      </c>
      <c r="L241">
        <v>0.25</v>
      </c>
      <c r="M241">
        <v>48.99</v>
      </c>
      <c r="N241">
        <v>0.93</v>
      </c>
      <c r="O241" t="s">
        <v>20</v>
      </c>
      <c r="P241" t="s">
        <v>21</v>
      </c>
      <c r="Q241">
        <f t="shared" si="15"/>
        <v>13</v>
      </c>
      <c r="R241" s="4">
        <f>RANK(N241,$N$2:N$2800,0)</f>
        <v>1505</v>
      </c>
      <c r="S241">
        <f t="shared" si="16"/>
        <v>1.1764705882352942</v>
      </c>
      <c r="T241" t="str">
        <f t="shared" si="17"/>
        <v>Low</v>
      </c>
      <c r="U241" t="str" cm="1">
        <f t="array" ref="U241">_xlfn.LET(_xlpm.roles,_xlfn.UNIQUE(D241:D3039),_xlpm.kills, SUMIF(D241:D3039,_xlpm.roles,G241:G3039),INDEX(_xlpm.roles,MATCH(MAX(_xlpm.kills),_xlpm.kills,0)))</f>
        <v>Entry Fragger</v>
      </c>
      <c r="V241" t="str">
        <f t="shared" si="18"/>
        <v>Medium Accuracy</v>
      </c>
      <c r="W241" t="str" cm="1">
        <f t="array" ref="W241">_xlfn.LET(_xlpm.roles,_xlfn.UNIQUE(D241:D3039), _xlpm.counts,COUNTIF(D241:D3039,_xlpm.roles), INDEX(_xlpm.roles,MATCH(MAX(_xlpm.counts),_xlpm.counts,0)))</f>
        <v>Entry Fragger</v>
      </c>
      <c r="X241" s="2">
        <f t="shared" si="19"/>
        <v>12.599585062240664</v>
      </c>
    </row>
    <row r="242" spans="1:24" x14ac:dyDescent="0.3">
      <c r="A242">
        <v>1821</v>
      </c>
      <c r="B242">
        <v>41</v>
      </c>
      <c r="C242" t="s">
        <v>35</v>
      </c>
      <c r="D242" t="s">
        <v>31</v>
      </c>
      <c r="E242" t="s">
        <v>29</v>
      </c>
      <c r="F242" t="s">
        <v>34</v>
      </c>
      <c r="G242">
        <v>13</v>
      </c>
      <c r="H242">
        <v>7</v>
      </c>
      <c r="I242">
        <v>15</v>
      </c>
      <c r="J242">
        <v>32.549999999999997</v>
      </c>
      <c r="K242">
        <v>253.96</v>
      </c>
      <c r="L242">
        <v>0.8</v>
      </c>
      <c r="M242">
        <v>26.27</v>
      </c>
      <c r="N242">
        <v>0.59</v>
      </c>
      <c r="O242" t="s">
        <v>20</v>
      </c>
      <c r="P242" t="s">
        <v>21</v>
      </c>
      <c r="Q242">
        <f t="shared" si="15"/>
        <v>5</v>
      </c>
      <c r="R242" s="4">
        <f>RANK(N242,$N$2:N$2800,0)</f>
        <v>2783</v>
      </c>
      <c r="S242">
        <f t="shared" si="16"/>
        <v>0.8666666666666667</v>
      </c>
      <c r="T242" t="str">
        <f t="shared" si="17"/>
        <v>Low</v>
      </c>
      <c r="U242" t="str" cm="1">
        <f t="array" ref="U242">_xlfn.LET(_xlpm.roles,_xlfn.UNIQUE(D242:D3040),_xlpm.kills, SUMIF(D242:D3040,_xlpm.roles,G242:G3040),INDEX(_xlpm.roles,MATCH(MAX(_xlpm.kills),_xlpm.kills,0)))</f>
        <v>Entry Fragger</v>
      </c>
      <c r="V242" t="str">
        <f t="shared" si="18"/>
        <v>Medium Accuracy</v>
      </c>
      <c r="W242" t="str" cm="1">
        <f t="array" ref="W242">_xlfn.LET(_xlpm.roles,_xlfn.UNIQUE(D242:D3040), _xlpm.counts,COUNTIF(D242:D3040,_xlpm.roles), INDEX(_xlpm.roles,MATCH(MAX(_xlpm.counts),_xlpm.counts,0)))</f>
        <v>Entry Fragger</v>
      </c>
      <c r="X242" s="2">
        <f t="shared" si="19"/>
        <v>12.599585062240664</v>
      </c>
    </row>
    <row r="243" spans="1:24" x14ac:dyDescent="0.3">
      <c r="A243">
        <v>2548</v>
      </c>
      <c r="B243">
        <v>41</v>
      </c>
      <c r="C243" t="s">
        <v>25</v>
      </c>
      <c r="D243" t="s">
        <v>28</v>
      </c>
      <c r="E243" t="s">
        <v>33</v>
      </c>
      <c r="F243" t="s">
        <v>26</v>
      </c>
      <c r="G243">
        <v>22</v>
      </c>
      <c r="H243">
        <v>11</v>
      </c>
      <c r="I243">
        <v>12</v>
      </c>
      <c r="J243">
        <v>33.4</v>
      </c>
      <c r="K243">
        <v>209.58</v>
      </c>
      <c r="L243">
        <v>0.8</v>
      </c>
      <c r="M243">
        <v>51.7</v>
      </c>
      <c r="N243">
        <v>1</v>
      </c>
      <c r="O243" t="s">
        <v>20</v>
      </c>
      <c r="P243" t="s">
        <v>21</v>
      </c>
      <c r="Q243">
        <f t="shared" si="15"/>
        <v>21</v>
      </c>
      <c r="R243" s="4">
        <f>RANK(N243,$N$2:N$2800,0)</f>
        <v>1</v>
      </c>
      <c r="S243">
        <f t="shared" si="16"/>
        <v>1.8333333333333333</v>
      </c>
      <c r="T243" t="str">
        <f t="shared" si="17"/>
        <v>Good</v>
      </c>
      <c r="U243" t="str" cm="1">
        <f t="array" ref="U243">_xlfn.LET(_xlpm.roles,_xlfn.UNIQUE(D243:D3041),_xlpm.kills, SUMIF(D243:D3041,_xlpm.roles,G243:G3041),INDEX(_xlpm.roles,MATCH(MAX(_xlpm.kills),_xlpm.kills,0)))</f>
        <v>Entry Fragger</v>
      </c>
      <c r="V243" t="str">
        <f t="shared" si="18"/>
        <v>Medium Accuracy</v>
      </c>
      <c r="W243" t="str" cm="1">
        <f t="array" ref="W243">_xlfn.LET(_xlpm.roles,_xlfn.UNIQUE(D243:D3041), _xlpm.counts,COUNTIF(D243:D3041,_xlpm.roles), INDEX(_xlpm.roles,MATCH(MAX(_xlpm.counts),_xlpm.counts,0)))</f>
        <v>Entry Fragger</v>
      </c>
      <c r="X243" s="2">
        <f t="shared" si="19"/>
        <v>12.809421841541756</v>
      </c>
    </row>
    <row r="244" spans="1:24" x14ac:dyDescent="0.3">
      <c r="A244">
        <v>2696</v>
      </c>
      <c r="B244">
        <v>41</v>
      </c>
      <c r="C244" t="s">
        <v>27</v>
      </c>
      <c r="D244" t="s">
        <v>17</v>
      </c>
      <c r="E244" t="s">
        <v>32</v>
      </c>
      <c r="F244" t="s">
        <v>37</v>
      </c>
      <c r="G244">
        <v>16</v>
      </c>
      <c r="H244">
        <v>7</v>
      </c>
      <c r="I244">
        <v>14</v>
      </c>
      <c r="J244">
        <v>50.25</v>
      </c>
      <c r="K244">
        <v>257.67</v>
      </c>
      <c r="L244">
        <v>0.26</v>
      </c>
      <c r="M244">
        <v>47.52</v>
      </c>
      <c r="N244">
        <v>0.99</v>
      </c>
      <c r="O244" t="s">
        <v>20</v>
      </c>
      <c r="P244" t="s">
        <v>21</v>
      </c>
      <c r="Q244">
        <f t="shared" si="15"/>
        <v>9</v>
      </c>
      <c r="R244" s="4">
        <f>RANK(N244,$N$2:N$2800,0)</f>
        <v>1080</v>
      </c>
      <c r="S244">
        <f t="shared" si="16"/>
        <v>1.1428571428571428</v>
      </c>
      <c r="T244" t="str">
        <f t="shared" si="17"/>
        <v>Low</v>
      </c>
      <c r="U244" t="str" cm="1">
        <f t="array" ref="U244">_xlfn.LET(_xlpm.roles,_xlfn.UNIQUE(D244:D3042),_xlpm.kills, SUMIF(D244:D3042,_xlpm.roles,G244:G3042),INDEX(_xlpm.roles,MATCH(MAX(_xlpm.kills),_xlpm.kills,0)))</f>
        <v>Entry Fragger</v>
      </c>
      <c r="V244" t="str">
        <f t="shared" si="18"/>
        <v>High Accuracy</v>
      </c>
      <c r="W244" t="str" cm="1">
        <f t="array" ref="W244">_xlfn.LET(_xlpm.roles,_xlfn.UNIQUE(D244:D3042), _xlpm.counts,COUNTIF(D244:D3042,_xlpm.roles), INDEX(_xlpm.roles,MATCH(MAX(_xlpm.counts),_xlpm.counts,0)))</f>
        <v>Entry Fragger</v>
      </c>
      <c r="X244" s="2">
        <f t="shared" si="19"/>
        <v>13.057077625570777</v>
      </c>
    </row>
    <row r="245" spans="1:24" x14ac:dyDescent="0.3">
      <c r="A245">
        <v>2722</v>
      </c>
      <c r="B245">
        <v>41</v>
      </c>
      <c r="C245" t="s">
        <v>39</v>
      </c>
      <c r="D245" t="s">
        <v>36</v>
      </c>
      <c r="E245" t="s">
        <v>33</v>
      </c>
      <c r="F245" t="s">
        <v>19</v>
      </c>
      <c r="G245">
        <v>16</v>
      </c>
      <c r="H245">
        <v>7</v>
      </c>
      <c r="I245">
        <v>14</v>
      </c>
      <c r="J245">
        <v>39.130000000000003</v>
      </c>
      <c r="K245">
        <v>178.89</v>
      </c>
      <c r="L245">
        <v>0.87</v>
      </c>
      <c r="M245">
        <v>35.86</v>
      </c>
      <c r="N245">
        <v>0.66</v>
      </c>
      <c r="O245" t="s">
        <v>20</v>
      </c>
      <c r="P245" t="s">
        <v>21</v>
      </c>
      <c r="Q245">
        <f t="shared" si="15"/>
        <v>9</v>
      </c>
      <c r="R245" s="4">
        <f>RANK(N245,$N$2:N$2800,0)</f>
        <v>2746</v>
      </c>
      <c r="S245">
        <f t="shared" si="16"/>
        <v>1.1428571428571428</v>
      </c>
      <c r="T245" t="str">
        <f t="shared" si="17"/>
        <v>Low</v>
      </c>
      <c r="U245" t="str" cm="1">
        <f t="array" ref="U245">_xlfn.LET(_xlpm.roles,_xlfn.UNIQUE(D245:D3043),_xlpm.kills, SUMIF(D245:D3043,_xlpm.roles,G245:G3043),INDEX(_xlpm.roles,MATCH(MAX(_xlpm.kills),_xlpm.kills,0)))</f>
        <v>Entry Fragger</v>
      </c>
      <c r="V245" t="str">
        <f t="shared" si="18"/>
        <v>Medium Accuracy</v>
      </c>
      <c r="W245" t="str" cm="1">
        <f t="array" ref="W245">_xlfn.LET(_xlpm.roles,_xlfn.UNIQUE(D245:D3043), _xlpm.counts,COUNTIF(D245:D3043,_xlpm.roles), INDEX(_xlpm.roles,MATCH(MAX(_xlpm.counts),_xlpm.counts,0)))</f>
        <v>Entry Fragger</v>
      </c>
      <c r="X245" s="2">
        <f t="shared" si="19"/>
        <v>13.103594080338267</v>
      </c>
    </row>
    <row r="246" spans="1:24" x14ac:dyDescent="0.3">
      <c r="A246">
        <v>2732</v>
      </c>
      <c r="B246">
        <v>41</v>
      </c>
      <c r="C246" t="s">
        <v>35</v>
      </c>
      <c r="D246" t="s">
        <v>36</v>
      </c>
      <c r="E246" t="s">
        <v>32</v>
      </c>
      <c r="F246" t="s">
        <v>24</v>
      </c>
      <c r="G246">
        <v>15</v>
      </c>
      <c r="H246">
        <v>3</v>
      </c>
      <c r="I246">
        <v>4</v>
      </c>
      <c r="J246">
        <v>51.2</v>
      </c>
      <c r="K246">
        <v>205.59</v>
      </c>
      <c r="L246">
        <v>0.94</v>
      </c>
      <c r="M246">
        <v>45.2</v>
      </c>
      <c r="N246">
        <v>0.89</v>
      </c>
      <c r="O246" t="s">
        <v>20</v>
      </c>
      <c r="P246" t="s">
        <v>21</v>
      </c>
      <c r="Q246">
        <f t="shared" si="15"/>
        <v>14</v>
      </c>
      <c r="R246" s="4">
        <f>RANK(N246,$N$2:N$2800,0)</f>
        <v>1815</v>
      </c>
      <c r="S246">
        <f t="shared" si="16"/>
        <v>3.75</v>
      </c>
      <c r="T246" t="str">
        <f t="shared" si="17"/>
        <v>Low</v>
      </c>
      <c r="U246" t="str" cm="1">
        <f t="array" ref="U246">_xlfn.LET(_xlpm.roles,_xlfn.UNIQUE(D246:D3044),_xlpm.kills, SUMIF(D246:D3044,_xlpm.roles,G246:G3044),INDEX(_xlpm.roles,MATCH(MAX(_xlpm.kills),_xlpm.kills,0)))</f>
        <v>Entry Fragger</v>
      </c>
      <c r="V246" t="str">
        <f t="shared" si="18"/>
        <v>High Accuracy</v>
      </c>
      <c r="W246" t="str" cm="1">
        <f t="array" ref="W246">_xlfn.LET(_xlpm.roles,_xlfn.UNIQUE(D246:D3044), _xlpm.counts,COUNTIF(D246:D3044,_xlpm.roles), INDEX(_xlpm.roles,MATCH(MAX(_xlpm.counts),_xlpm.counts,0)))</f>
        <v>Entry Fragger</v>
      </c>
      <c r="X246" s="2">
        <f t="shared" si="19"/>
        <v>12.599585062240664</v>
      </c>
    </row>
    <row r="247" spans="1:24" x14ac:dyDescent="0.3">
      <c r="A247">
        <v>500</v>
      </c>
      <c r="B247">
        <v>42</v>
      </c>
      <c r="C247" t="s">
        <v>25</v>
      </c>
      <c r="D247" t="s">
        <v>22</v>
      </c>
      <c r="E247" t="s">
        <v>32</v>
      </c>
      <c r="F247" t="s">
        <v>24</v>
      </c>
      <c r="G247">
        <v>13</v>
      </c>
      <c r="H247">
        <v>10</v>
      </c>
      <c r="I247">
        <v>10</v>
      </c>
      <c r="J247">
        <v>31.28</v>
      </c>
      <c r="K247">
        <v>185.97</v>
      </c>
      <c r="L247">
        <v>0.56000000000000005</v>
      </c>
      <c r="M247">
        <v>36.04</v>
      </c>
      <c r="N247">
        <v>0.96</v>
      </c>
      <c r="O247" t="s">
        <v>20</v>
      </c>
      <c r="P247" t="s">
        <v>21</v>
      </c>
      <c r="Q247">
        <f t="shared" si="15"/>
        <v>13</v>
      </c>
      <c r="R247" s="4">
        <f>RANK(N247,$N$2:N$2800,0)</f>
        <v>1301</v>
      </c>
      <c r="S247">
        <f t="shared" si="16"/>
        <v>1.3</v>
      </c>
      <c r="T247" t="str">
        <f t="shared" si="17"/>
        <v>Low</v>
      </c>
      <c r="U247" t="str" cm="1">
        <f t="array" ref="U247">_xlfn.LET(_xlpm.roles,_xlfn.UNIQUE(D247:D3045),_xlpm.kills, SUMIF(D247:D3045,_xlpm.roles,G247:G3045),INDEX(_xlpm.roles,MATCH(MAX(_xlpm.kills),_xlpm.kills,0)))</f>
        <v>Entry Fragger</v>
      </c>
      <c r="V247" t="str">
        <f t="shared" si="18"/>
        <v>Medium Accuracy</v>
      </c>
      <c r="W247" t="str" cm="1">
        <f t="array" ref="W247">_xlfn.LET(_xlpm.roles,_xlfn.UNIQUE(D247:D3045), _xlpm.counts,COUNTIF(D247:D3045,_xlpm.roles), INDEX(_xlpm.roles,MATCH(MAX(_xlpm.counts),_xlpm.counts,0)))</f>
        <v>Entry Fragger</v>
      </c>
      <c r="X247" s="2">
        <f t="shared" si="19"/>
        <v>12.809421841541756</v>
      </c>
    </row>
    <row r="248" spans="1:24" x14ac:dyDescent="0.3">
      <c r="A248">
        <v>530</v>
      </c>
      <c r="B248">
        <v>42</v>
      </c>
      <c r="C248" t="s">
        <v>27</v>
      </c>
      <c r="D248" t="s">
        <v>17</v>
      </c>
      <c r="E248" t="s">
        <v>23</v>
      </c>
      <c r="F248" t="s">
        <v>24</v>
      </c>
      <c r="G248">
        <v>12</v>
      </c>
      <c r="H248">
        <v>8</v>
      </c>
      <c r="I248">
        <v>12</v>
      </c>
      <c r="J248">
        <v>52.74</v>
      </c>
      <c r="K248">
        <v>185.34</v>
      </c>
      <c r="L248">
        <v>0.59</v>
      </c>
      <c r="M248">
        <v>40.47</v>
      </c>
      <c r="N248">
        <v>0.98</v>
      </c>
      <c r="O248" t="s">
        <v>20</v>
      </c>
      <c r="P248" t="s">
        <v>21</v>
      </c>
      <c r="Q248">
        <f t="shared" si="15"/>
        <v>8</v>
      </c>
      <c r="R248" s="4">
        <f>RANK(N248,$N$2:N$2800,0)</f>
        <v>1157</v>
      </c>
      <c r="S248">
        <f t="shared" si="16"/>
        <v>1</v>
      </c>
      <c r="T248" t="str">
        <f t="shared" si="17"/>
        <v>Low</v>
      </c>
      <c r="U248" t="str" cm="1">
        <f t="array" ref="U248">_xlfn.LET(_xlpm.roles,_xlfn.UNIQUE(D248:D3046),_xlpm.kills, SUMIF(D248:D3046,_xlpm.roles,G248:G3046),INDEX(_xlpm.roles,MATCH(MAX(_xlpm.kills),_xlpm.kills,0)))</f>
        <v>Entry Fragger</v>
      </c>
      <c r="V248" t="str">
        <f t="shared" si="18"/>
        <v>High Accuracy</v>
      </c>
      <c r="W248" t="str" cm="1">
        <f t="array" ref="W248">_xlfn.LET(_xlpm.roles,_xlfn.UNIQUE(D248:D3046), _xlpm.counts,COUNTIF(D248:D3046,_xlpm.roles), INDEX(_xlpm.roles,MATCH(MAX(_xlpm.counts),_xlpm.counts,0)))</f>
        <v>Entry Fragger</v>
      </c>
      <c r="X248" s="2">
        <f t="shared" si="19"/>
        <v>13.057077625570777</v>
      </c>
    </row>
    <row r="249" spans="1:24" x14ac:dyDescent="0.3">
      <c r="A249">
        <v>1117</v>
      </c>
      <c r="B249">
        <v>42</v>
      </c>
      <c r="C249" t="s">
        <v>16</v>
      </c>
      <c r="D249" t="s">
        <v>17</v>
      </c>
      <c r="E249" t="s">
        <v>29</v>
      </c>
      <c r="F249" t="s">
        <v>26</v>
      </c>
      <c r="G249">
        <v>18</v>
      </c>
      <c r="H249">
        <v>5</v>
      </c>
      <c r="I249">
        <v>12</v>
      </c>
      <c r="J249">
        <v>57.67</v>
      </c>
      <c r="K249">
        <v>167.31</v>
      </c>
      <c r="L249">
        <v>0.71</v>
      </c>
      <c r="M249">
        <v>50.73</v>
      </c>
      <c r="N249">
        <v>1</v>
      </c>
      <c r="O249" t="s">
        <v>20</v>
      </c>
      <c r="P249" t="s">
        <v>21</v>
      </c>
      <c r="Q249">
        <f t="shared" si="15"/>
        <v>11</v>
      </c>
      <c r="R249" s="4">
        <f>RANK(N249,$N$2:N$2800,0)</f>
        <v>1</v>
      </c>
      <c r="S249">
        <f t="shared" si="16"/>
        <v>1.5</v>
      </c>
      <c r="T249" t="str">
        <f t="shared" si="17"/>
        <v>Low</v>
      </c>
      <c r="U249" t="str" cm="1">
        <f t="array" ref="U249">_xlfn.LET(_xlpm.roles,_xlfn.UNIQUE(D249:D3047),_xlpm.kills, SUMIF(D249:D3047,_xlpm.roles,G249:G3047),INDEX(_xlpm.roles,MATCH(MAX(_xlpm.kills),_xlpm.kills,0)))</f>
        <v>Entry Fragger</v>
      </c>
      <c r="V249" t="str">
        <f t="shared" si="18"/>
        <v>High Accuracy</v>
      </c>
      <c r="W249" t="str" cm="1">
        <f t="array" ref="W249">_xlfn.LET(_xlpm.roles,_xlfn.UNIQUE(D249:D3047), _xlpm.counts,COUNTIF(D249:D3047,_xlpm.roles), INDEX(_xlpm.roles,MATCH(MAX(_xlpm.counts),_xlpm.counts,0)))</f>
        <v>Entry Fragger</v>
      </c>
      <c r="X249" s="2">
        <f t="shared" si="19"/>
        <v>12.520971302428256</v>
      </c>
    </row>
    <row r="250" spans="1:24" x14ac:dyDescent="0.3">
      <c r="A250">
        <v>1372</v>
      </c>
      <c r="B250">
        <v>42</v>
      </c>
      <c r="C250" t="s">
        <v>35</v>
      </c>
      <c r="D250" t="s">
        <v>17</v>
      </c>
      <c r="E250" t="s">
        <v>23</v>
      </c>
      <c r="F250" t="s">
        <v>19</v>
      </c>
      <c r="G250">
        <v>17</v>
      </c>
      <c r="H250">
        <v>14</v>
      </c>
      <c r="I250">
        <v>9</v>
      </c>
      <c r="J250">
        <v>28.11</v>
      </c>
      <c r="K250">
        <v>203.39</v>
      </c>
      <c r="L250">
        <v>0.05</v>
      </c>
      <c r="M250">
        <v>52.55</v>
      </c>
      <c r="N250">
        <v>1</v>
      </c>
      <c r="O250" t="s">
        <v>20</v>
      </c>
      <c r="P250" t="s">
        <v>21</v>
      </c>
      <c r="Q250">
        <f t="shared" si="15"/>
        <v>22</v>
      </c>
      <c r="R250" s="4">
        <f>RANK(N250,$N$2:N$2800,0)</f>
        <v>1</v>
      </c>
      <c r="S250">
        <f t="shared" si="16"/>
        <v>1.8888888888888888</v>
      </c>
      <c r="T250" t="str">
        <f t="shared" si="17"/>
        <v>Good</v>
      </c>
      <c r="U250" t="str" cm="1">
        <f t="array" ref="U250">_xlfn.LET(_xlpm.roles,_xlfn.UNIQUE(D250:D3048),_xlpm.kills, SUMIF(D250:D3048,_xlpm.roles,G250:G3048),INDEX(_xlpm.roles,MATCH(MAX(_xlpm.kills),_xlpm.kills,0)))</f>
        <v>Entry Fragger</v>
      </c>
      <c r="V250" t="str">
        <f t="shared" si="18"/>
        <v>Low Accuracy</v>
      </c>
      <c r="W250" t="str" cm="1">
        <f t="array" ref="W250">_xlfn.LET(_xlpm.roles,_xlfn.UNIQUE(D250:D3048), _xlpm.counts,COUNTIF(D250:D3048,_xlpm.roles), INDEX(_xlpm.roles,MATCH(MAX(_xlpm.counts),_xlpm.counts,0)))</f>
        <v>Entry Fragger</v>
      </c>
      <c r="X250" s="2">
        <f t="shared" si="19"/>
        <v>12.599585062240664</v>
      </c>
    </row>
    <row r="251" spans="1:24" x14ac:dyDescent="0.3">
      <c r="A251">
        <v>1914</v>
      </c>
      <c r="B251">
        <v>42</v>
      </c>
      <c r="C251" t="s">
        <v>25</v>
      </c>
      <c r="D251" t="s">
        <v>31</v>
      </c>
      <c r="E251" t="s">
        <v>23</v>
      </c>
      <c r="F251" t="s">
        <v>26</v>
      </c>
      <c r="G251">
        <v>16</v>
      </c>
      <c r="H251">
        <v>8</v>
      </c>
      <c r="I251">
        <v>11</v>
      </c>
      <c r="J251">
        <v>58.85</v>
      </c>
      <c r="K251">
        <v>206.56</v>
      </c>
      <c r="L251">
        <v>0.93</v>
      </c>
      <c r="M251">
        <v>49.12</v>
      </c>
      <c r="N251">
        <v>0.93</v>
      </c>
      <c r="O251" t="s">
        <v>20</v>
      </c>
      <c r="P251" t="s">
        <v>21</v>
      </c>
      <c r="Q251">
        <f t="shared" si="15"/>
        <v>13</v>
      </c>
      <c r="R251" s="4">
        <f>RANK(N251,$N$2:N$2800,0)</f>
        <v>1505</v>
      </c>
      <c r="S251">
        <f t="shared" si="16"/>
        <v>1.4545454545454546</v>
      </c>
      <c r="T251" t="str">
        <f t="shared" si="17"/>
        <v>Low</v>
      </c>
      <c r="U251" t="str" cm="1">
        <f t="array" ref="U251">_xlfn.LET(_xlpm.roles,_xlfn.UNIQUE(D251:D3049),_xlpm.kills, SUMIF(D251:D3049,_xlpm.roles,G251:G3049),INDEX(_xlpm.roles,MATCH(MAX(_xlpm.kills),_xlpm.kills,0)))</f>
        <v>Entry Fragger</v>
      </c>
      <c r="V251" t="str">
        <f t="shared" si="18"/>
        <v>High Accuracy</v>
      </c>
      <c r="W251" t="str" cm="1">
        <f t="array" ref="W251">_xlfn.LET(_xlpm.roles,_xlfn.UNIQUE(D251:D3049), _xlpm.counts,COUNTIF(D251:D3049,_xlpm.roles), INDEX(_xlpm.roles,MATCH(MAX(_xlpm.counts),_xlpm.counts,0)))</f>
        <v>Entry Fragger</v>
      </c>
      <c r="X251" s="2">
        <f t="shared" si="19"/>
        <v>12.809421841541756</v>
      </c>
    </row>
    <row r="252" spans="1:24" x14ac:dyDescent="0.3">
      <c r="A252">
        <v>2012</v>
      </c>
      <c r="B252">
        <v>42</v>
      </c>
      <c r="C252" t="s">
        <v>30</v>
      </c>
      <c r="D252" t="s">
        <v>31</v>
      </c>
      <c r="E252" t="s">
        <v>33</v>
      </c>
      <c r="F252" t="s">
        <v>26</v>
      </c>
      <c r="G252">
        <v>25</v>
      </c>
      <c r="H252">
        <v>10</v>
      </c>
      <c r="I252">
        <v>11</v>
      </c>
      <c r="J252">
        <v>39.81</v>
      </c>
      <c r="K252">
        <v>226.01</v>
      </c>
      <c r="L252">
        <v>0.66</v>
      </c>
      <c r="M252">
        <v>62.3</v>
      </c>
      <c r="N252">
        <v>1</v>
      </c>
      <c r="O252" t="s">
        <v>20</v>
      </c>
      <c r="P252" t="s">
        <v>38</v>
      </c>
      <c r="Q252">
        <f t="shared" si="15"/>
        <v>24</v>
      </c>
      <c r="R252" s="4">
        <f>RANK(N252,$N$2:N$2800,0)</f>
        <v>1</v>
      </c>
      <c r="S252">
        <f t="shared" si="16"/>
        <v>2.2727272727272729</v>
      </c>
      <c r="T252" t="str">
        <f t="shared" si="17"/>
        <v>Good</v>
      </c>
      <c r="U252" t="str" cm="1">
        <f t="array" ref="U252">_xlfn.LET(_xlpm.roles,_xlfn.UNIQUE(D252:D3050),_xlpm.kills, SUMIF(D252:D3050,_xlpm.roles,G252:G3050),INDEX(_xlpm.roles,MATCH(MAX(_xlpm.kills),_xlpm.kills,0)))</f>
        <v>Entry Fragger</v>
      </c>
      <c r="V252" t="str">
        <f t="shared" si="18"/>
        <v>Medium Accuracy</v>
      </c>
      <c r="W252" t="str" cm="1">
        <f t="array" ref="W252">_xlfn.LET(_xlpm.roles,_xlfn.UNIQUE(D252:D3050), _xlpm.counts,COUNTIF(D252:D3050,_xlpm.roles), INDEX(_xlpm.roles,MATCH(MAX(_xlpm.counts),_xlpm.counts,0)))</f>
        <v>Entry Fragger</v>
      </c>
      <c r="X252" s="2">
        <f t="shared" si="19"/>
        <v>13.135802469135802</v>
      </c>
    </row>
    <row r="253" spans="1:24" x14ac:dyDescent="0.3">
      <c r="A253">
        <v>2154</v>
      </c>
      <c r="B253">
        <v>42</v>
      </c>
      <c r="C253" t="s">
        <v>30</v>
      </c>
      <c r="D253" t="s">
        <v>22</v>
      </c>
      <c r="E253" t="s">
        <v>23</v>
      </c>
      <c r="F253" t="s">
        <v>26</v>
      </c>
      <c r="G253">
        <v>14</v>
      </c>
      <c r="H253">
        <v>8</v>
      </c>
      <c r="I253">
        <v>13</v>
      </c>
      <c r="J253">
        <v>41.57</v>
      </c>
      <c r="K253">
        <v>230.56</v>
      </c>
      <c r="L253">
        <v>0.24</v>
      </c>
      <c r="M253">
        <v>41.38</v>
      </c>
      <c r="N253">
        <v>0.9</v>
      </c>
      <c r="O253" t="s">
        <v>20</v>
      </c>
      <c r="P253" t="s">
        <v>21</v>
      </c>
      <c r="Q253">
        <f t="shared" si="15"/>
        <v>9</v>
      </c>
      <c r="R253" s="4">
        <f>RANK(N253,$N$2:N$2800,0)</f>
        <v>1738</v>
      </c>
      <c r="S253">
        <f t="shared" si="16"/>
        <v>1.0769230769230769</v>
      </c>
      <c r="T253" t="str">
        <f t="shared" si="17"/>
        <v>Low</v>
      </c>
      <c r="U253" t="str" cm="1">
        <f t="array" ref="U253">_xlfn.LET(_xlpm.roles,_xlfn.UNIQUE(D253:D3051),_xlpm.kills, SUMIF(D253:D3051,_xlpm.roles,G253:G3051),INDEX(_xlpm.roles,MATCH(MAX(_xlpm.kills),_xlpm.kills,0)))</f>
        <v>Entry Fragger</v>
      </c>
      <c r="V253" t="str">
        <f t="shared" si="18"/>
        <v>Medium Accuracy</v>
      </c>
      <c r="W253" t="str" cm="1">
        <f t="array" ref="W253">_xlfn.LET(_xlpm.roles,_xlfn.UNIQUE(D253:D3051), _xlpm.counts,COUNTIF(D253:D3051,_xlpm.roles), INDEX(_xlpm.roles,MATCH(MAX(_xlpm.counts),_xlpm.counts,0)))</f>
        <v>Entry Fragger</v>
      </c>
      <c r="X253" s="2">
        <f t="shared" si="19"/>
        <v>13.135802469135802</v>
      </c>
    </row>
    <row r="254" spans="1:24" x14ac:dyDescent="0.3">
      <c r="A254">
        <v>2658</v>
      </c>
      <c r="B254">
        <v>42</v>
      </c>
      <c r="C254" t="s">
        <v>30</v>
      </c>
      <c r="D254" t="s">
        <v>31</v>
      </c>
      <c r="E254" t="s">
        <v>33</v>
      </c>
      <c r="F254" t="s">
        <v>24</v>
      </c>
      <c r="G254">
        <v>16</v>
      </c>
      <c r="H254">
        <v>5</v>
      </c>
      <c r="I254">
        <v>9</v>
      </c>
      <c r="J254">
        <v>48.12</v>
      </c>
      <c r="K254">
        <v>224.73</v>
      </c>
      <c r="L254">
        <v>0.98</v>
      </c>
      <c r="M254">
        <v>42.26</v>
      </c>
      <c r="N254">
        <v>0.98</v>
      </c>
      <c r="O254" t="s">
        <v>20</v>
      </c>
      <c r="P254" t="s">
        <v>21</v>
      </c>
      <c r="Q254">
        <f t="shared" si="15"/>
        <v>12</v>
      </c>
      <c r="R254" s="4">
        <f>RANK(N254,$N$2:N$2800,0)</f>
        <v>1157</v>
      </c>
      <c r="S254">
        <f t="shared" si="16"/>
        <v>1.7777777777777777</v>
      </c>
      <c r="T254" t="str">
        <f t="shared" si="17"/>
        <v>Low</v>
      </c>
      <c r="U254" t="str" cm="1">
        <f t="array" ref="U254">_xlfn.LET(_xlpm.roles,_xlfn.UNIQUE(D254:D3052),_xlpm.kills, SUMIF(D254:D3052,_xlpm.roles,G254:G3052),INDEX(_xlpm.roles,MATCH(MAX(_xlpm.kills),_xlpm.kills,0)))</f>
        <v>Entry Fragger</v>
      </c>
      <c r="V254" t="str">
        <f t="shared" si="18"/>
        <v>Medium Accuracy</v>
      </c>
      <c r="W254" t="str" cm="1">
        <f t="array" ref="W254">_xlfn.LET(_xlpm.roles,_xlfn.UNIQUE(D254:D3052), _xlpm.counts,COUNTIF(D254:D3052,_xlpm.roles), INDEX(_xlpm.roles,MATCH(MAX(_xlpm.counts),_xlpm.counts,0)))</f>
        <v>Entry Fragger</v>
      </c>
      <c r="X254" s="2">
        <f t="shared" si="19"/>
        <v>13.135802469135802</v>
      </c>
    </row>
    <row r="255" spans="1:24" x14ac:dyDescent="0.3">
      <c r="A255">
        <v>790</v>
      </c>
      <c r="B255">
        <v>43</v>
      </c>
      <c r="C255" t="s">
        <v>25</v>
      </c>
      <c r="D255" t="s">
        <v>17</v>
      </c>
      <c r="E255" t="s">
        <v>29</v>
      </c>
      <c r="F255" t="s">
        <v>19</v>
      </c>
      <c r="G255">
        <v>14</v>
      </c>
      <c r="H255">
        <v>7</v>
      </c>
      <c r="I255">
        <v>10</v>
      </c>
      <c r="J255">
        <v>43.46</v>
      </c>
      <c r="K255">
        <v>219.45</v>
      </c>
      <c r="L255">
        <v>0.14000000000000001</v>
      </c>
      <c r="M255">
        <v>45.33</v>
      </c>
      <c r="N255">
        <v>0.94</v>
      </c>
      <c r="O255" t="s">
        <v>20</v>
      </c>
      <c r="P255" t="s">
        <v>21</v>
      </c>
      <c r="Q255">
        <f t="shared" si="15"/>
        <v>11</v>
      </c>
      <c r="R255" s="4">
        <f>RANK(N255,$N$2:N$2800,0)</f>
        <v>1431</v>
      </c>
      <c r="S255">
        <f t="shared" si="16"/>
        <v>1.4</v>
      </c>
      <c r="T255" t="str">
        <f t="shared" si="17"/>
        <v>Low</v>
      </c>
      <c r="U255" t="str" cm="1">
        <f t="array" ref="U255">_xlfn.LET(_xlpm.roles,_xlfn.UNIQUE(D255:D3053),_xlpm.kills, SUMIF(D255:D3053,_xlpm.roles,G255:G3053),INDEX(_xlpm.roles,MATCH(MAX(_xlpm.kills),_xlpm.kills,0)))</f>
        <v>Entry Fragger</v>
      </c>
      <c r="V255" t="str">
        <f t="shared" si="18"/>
        <v>Medium Accuracy</v>
      </c>
      <c r="W255" t="str" cm="1">
        <f t="array" ref="W255">_xlfn.LET(_xlpm.roles,_xlfn.UNIQUE(D255:D3053), _xlpm.counts,COUNTIF(D255:D3053,_xlpm.roles), INDEX(_xlpm.roles,MATCH(MAX(_xlpm.counts),_xlpm.counts,0)))</f>
        <v>Entry Fragger</v>
      </c>
      <c r="X255" s="2">
        <f t="shared" si="19"/>
        <v>12.809421841541756</v>
      </c>
    </row>
    <row r="256" spans="1:24" x14ac:dyDescent="0.3">
      <c r="A256">
        <v>1543</v>
      </c>
      <c r="B256">
        <v>43</v>
      </c>
      <c r="C256" t="s">
        <v>16</v>
      </c>
      <c r="D256" t="s">
        <v>17</v>
      </c>
      <c r="E256" t="s">
        <v>23</v>
      </c>
      <c r="F256" t="s">
        <v>26</v>
      </c>
      <c r="G256">
        <v>13</v>
      </c>
      <c r="H256">
        <v>7</v>
      </c>
      <c r="I256">
        <v>6</v>
      </c>
      <c r="J256">
        <v>38.799999999999997</v>
      </c>
      <c r="K256">
        <v>180.03</v>
      </c>
      <c r="L256">
        <v>0.49</v>
      </c>
      <c r="M256">
        <v>41.5</v>
      </c>
      <c r="N256">
        <v>0.99</v>
      </c>
      <c r="O256" t="s">
        <v>20</v>
      </c>
      <c r="P256" t="s">
        <v>21</v>
      </c>
      <c r="Q256">
        <f t="shared" si="15"/>
        <v>14</v>
      </c>
      <c r="R256" s="4">
        <f>RANK(N256,$N$2:N$2800,0)</f>
        <v>1080</v>
      </c>
      <c r="S256">
        <f t="shared" si="16"/>
        <v>2.1666666666666665</v>
      </c>
      <c r="T256" t="str">
        <f t="shared" si="17"/>
        <v>Low</v>
      </c>
      <c r="U256" t="str" cm="1">
        <f t="array" ref="U256">_xlfn.LET(_xlpm.roles,_xlfn.UNIQUE(D256:D3054),_xlpm.kills, SUMIF(D256:D3054,_xlpm.roles,G256:G3054),INDEX(_xlpm.roles,MATCH(MAX(_xlpm.kills),_xlpm.kills,0)))</f>
        <v>Entry Fragger</v>
      </c>
      <c r="V256" t="str">
        <f t="shared" si="18"/>
        <v>Medium Accuracy</v>
      </c>
      <c r="W256" t="str" cm="1">
        <f t="array" ref="W256">_xlfn.LET(_xlpm.roles,_xlfn.UNIQUE(D256:D3054), _xlpm.counts,COUNTIF(D256:D3054,_xlpm.roles), INDEX(_xlpm.roles,MATCH(MAX(_xlpm.counts),_xlpm.counts,0)))</f>
        <v>Entry Fragger</v>
      </c>
      <c r="X256" s="2">
        <f t="shared" si="19"/>
        <v>12.520971302428256</v>
      </c>
    </row>
    <row r="257" spans="1:24" x14ac:dyDescent="0.3">
      <c r="A257">
        <v>1735</v>
      </c>
      <c r="B257">
        <v>43</v>
      </c>
      <c r="C257" t="s">
        <v>30</v>
      </c>
      <c r="D257" t="s">
        <v>28</v>
      </c>
      <c r="E257" t="s">
        <v>29</v>
      </c>
      <c r="F257" t="s">
        <v>37</v>
      </c>
      <c r="G257">
        <v>10</v>
      </c>
      <c r="H257">
        <v>18</v>
      </c>
      <c r="I257">
        <v>12</v>
      </c>
      <c r="J257">
        <v>53.53</v>
      </c>
      <c r="K257">
        <v>250.01</v>
      </c>
      <c r="L257">
        <v>0.04</v>
      </c>
      <c r="M257">
        <v>52.37</v>
      </c>
      <c r="N257">
        <v>1</v>
      </c>
      <c r="O257" t="s">
        <v>20</v>
      </c>
      <c r="P257" t="s">
        <v>21</v>
      </c>
      <c r="Q257">
        <f t="shared" si="15"/>
        <v>16</v>
      </c>
      <c r="R257" s="4">
        <f>RANK(N257,$N$2:N$2800,0)</f>
        <v>1</v>
      </c>
      <c r="S257">
        <f t="shared" si="16"/>
        <v>0.83333333333333337</v>
      </c>
      <c r="T257" t="str">
        <f t="shared" si="17"/>
        <v>Good</v>
      </c>
      <c r="U257" t="str" cm="1">
        <f t="array" ref="U257">_xlfn.LET(_xlpm.roles,_xlfn.UNIQUE(D257:D3055),_xlpm.kills, SUMIF(D257:D3055,_xlpm.roles,G257:G3055),INDEX(_xlpm.roles,MATCH(MAX(_xlpm.kills),_xlpm.kills,0)))</f>
        <v>Entry Fragger</v>
      </c>
      <c r="V257" t="str">
        <f t="shared" si="18"/>
        <v>High Accuracy</v>
      </c>
      <c r="W257" t="str" cm="1">
        <f t="array" ref="W257">_xlfn.LET(_xlpm.roles,_xlfn.UNIQUE(D257:D3055), _xlpm.counts,COUNTIF(D257:D3055,_xlpm.roles), INDEX(_xlpm.roles,MATCH(MAX(_xlpm.counts),_xlpm.counts,0)))</f>
        <v>Entry Fragger</v>
      </c>
      <c r="X257" s="2">
        <f t="shared" si="19"/>
        <v>13.135802469135802</v>
      </c>
    </row>
    <row r="258" spans="1:24" x14ac:dyDescent="0.3">
      <c r="A258">
        <v>1824</v>
      </c>
      <c r="B258">
        <v>43</v>
      </c>
      <c r="C258" t="s">
        <v>16</v>
      </c>
      <c r="D258" t="s">
        <v>31</v>
      </c>
      <c r="E258" t="s">
        <v>23</v>
      </c>
      <c r="F258" t="s">
        <v>26</v>
      </c>
      <c r="G258">
        <v>18</v>
      </c>
      <c r="H258">
        <v>5</v>
      </c>
      <c r="I258">
        <v>11</v>
      </c>
      <c r="J258">
        <v>39.450000000000003</v>
      </c>
      <c r="K258">
        <v>228.91</v>
      </c>
      <c r="L258">
        <v>0.95</v>
      </c>
      <c r="M258">
        <v>40.229999999999997</v>
      </c>
      <c r="N258">
        <v>1</v>
      </c>
      <c r="O258" t="s">
        <v>20</v>
      </c>
      <c r="P258" t="s">
        <v>21</v>
      </c>
      <c r="Q258">
        <f t="shared" si="15"/>
        <v>12</v>
      </c>
      <c r="R258" s="4">
        <f>RANK(N258,$N$2:N$2800,0)</f>
        <v>1</v>
      </c>
      <c r="S258">
        <f t="shared" si="16"/>
        <v>1.6363636363636365</v>
      </c>
      <c r="T258" t="str">
        <f t="shared" si="17"/>
        <v>Low</v>
      </c>
      <c r="U258" t="str" cm="1">
        <f t="array" ref="U258">_xlfn.LET(_xlpm.roles,_xlfn.UNIQUE(D258:D3056),_xlpm.kills, SUMIF(D258:D3056,_xlpm.roles,G258:G3056),INDEX(_xlpm.roles,MATCH(MAX(_xlpm.kills),_xlpm.kills,0)))</f>
        <v>Entry Fragger</v>
      </c>
      <c r="V258" t="str">
        <f t="shared" si="18"/>
        <v>Medium Accuracy</v>
      </c>
      <c r="W258" t="str" cm="1">
        <f t="array" ref="W258">_xlfn.LET(_xlpm.roles,_xlfn.UNIQUE(D258:D3056), _xlpm.counts,COUNTIF(D258:D3056,_xlpm.roles), INDEX(_xlpm.roles,MATCH(MAX(_xlpm.counts),_xlpm.counts,0)))</f>
        <v>Entry Fragger</v>
      </c>
      <c r="X258" s="2">
        <f t="shared" si="19"/>
        <v>12.520971302428256</v>
      </c>
    </row>
    <row r="259" spans="1:24" x14ac:dyDescent="0.3">
      <c r="A259">
        <v>2215</v>
      </c>
      <c r="B259">
        <v>43</v>
      </c>
      <c r="C259" t="s">
        <v>25</v>
      </c>
      <c r="D259" t="s">
        <v>36</v>
      </c>
      <c r="E259" t="s">
        <v>29</v>
      </c>
      <c r="F259" t="s">
        <v>34</v>
      </c>
      <c r="G259">
        <v>13</v>
      </c>
      <c r="H259">
        <v>7</v>
      </c>
      <c r="I259">
        <v>12</v>
      </c>
      <c r="J259">
        <v>54.32</v>
      </c>
      <c r="K259">
        <v>204.11</v>
      </c>
      <c r="L259">
        <v>0.04</v>
      </c>
      <c r="M259">
        <v>47.76</v>
      </c>
      <c r="N259">
        <v>1</v>
      </c>
      <c r="O259" t="s">
        <v>20</v>
      </c>
      <c r="P259" t="s">
        <v>21</v>
      </c>
      <c r="Q259">
        <f t="shared" ref="Q259:Q322" si="20">G259+H259-I259</f>
        <v>8</v>
      </c>
      <c r="R259" s="4">
        <f>RANK(N259,$N$2:N$2800,0)</f>
        <v>1</v>
      </c>
      <c r="S259">
        <f t="shared" ref="S259:S322" si="21">G259/I259</f>
        <v>1.0833333333333333</v>
      </c>
      <c r="T259" t="str">
        <f t="shared" ref="T259:T322" si="22">IF(Q259&lt;15,"Low",IF(Q259&lt;25,"Good","Excellent"))</f>
        <v>Low</v>
      </c>
      <c r="U259" t="str" cm="1">
        <f t="array" ref="U259">_xlfn.LET(_xlpm.roles,_xlfn.UNIQUE(D259:D3057),_xlpm.kills, SUMIF(D259:D3057,_xlpm.roles,G259:G3057),INDEX(_xlpm.roles,MATCH(MAX(_xlpm.kills),_xlpm.kills,0)))</f>
        <v>Entry Fragger</v>
      </c>
      <c r="V259" t="str">
        <f t="shared" ref="V259:V322" si="23">IF(J259&gt;=50,"High Accuracy",IF(J259&gt;=30,"Medium Accuracy","Low Accuracy"))</f>
        <v>High Accuracy</v>
      </c>
      <c r="W259" t="str" cm="1">
        <f t="array" ref="W259">_xlfn.LET(_xlpm.roles,_xlfn.UNIQUE(D259:D3057), _xlpm.counts,COUNTIF(D259:D3057,_xlpm.roles), INDEX(_xlpm.roles,MATCH(MAX(_xlpm.counts),_xlpm.counts,0)))</f>
        <v>Entry Fragger</v>
      </c>
      <c r="X259" s="2">
        <f t="shared" ref="X259:X322" si="24">AVERAGEIF($C$2:$C$2800,C259,$Q$2:$Q$2800)</f>
        <v>12.809421841541756</v>
      </c>
    </row>
    <row r="260" spans="1:24" x14ac:dyDescent="0.3">
      <c r="A260">
        <v>2372</v>
      </c>
      <c r="B260">
        <v>43</v>
      </c>
      <c r="C260" t="s">
        <v>27</v>
      </c>
      <c r="D260" t="s">
        <v>36</v>
      </c>
      <c r="E260" t="s">
        <v>32</v>
      </c>
      <c r="F260" t="s">
        <v>37</v>
      </c>
      <c r="G260">
        <v>13</v>
      </c>
      <c r="H260">
        <v>7</v>
      </c>
      <c r="I260">
        <v>9</v>
      </c>
      <c r="J260">
        <v>46.99</v>
      </c>
      <c r="K260">
        <v>191.75</v>
      </c>
      <c r="L260">
        <v>0.48</v>
      </c>
      <c r="M260">
        <v>42.7</v>
      </c>
      <c r="N260">
        <v>0.87</v>
      </c>
      <c r="O260" t="s">
        <v>20</v>
      </c>
      <c r="P260" t="s">
        <v>21</v>
      </c>
      <c r="Q260">
        <f t="shared" si="20"/>
        <v>11</v>
      </c>
      <c r="R260" s="4">
        <f>RANK(N260,$N$2:N$2800,0)</f>
        <v>1965</v>
      </c>
      <c r="S260">
        <f t="shared" si="21"/>
        <v>1.4444444444444444</v>
      </c>
      <c r="T260" t="str">
        <f t="shared" si="22"/>
        <v>Low</v>
      </c>
      <c r="U260" t="str" cm="1">
        <f t="array" ref="U260">_xlfn.LET(_xlpm.roles,_xlfn.UNIQUE(D260:D3058),_xlpm.kills, SUMIF(D260:D3058,_xlpm.roles,G260:G3058),INDEX(_xlpm.roles,MATCH(MAX(_xlpm.kills),_xlpm.kills,0)))</f>
        <v>Entry Fragger</v>
      </c>
      <c r="V260" t="str">
        <f t="shared" si="23"/>
        <v>Medium Accuracy</v>
      </c>
      <c r="W260" t="str" cm="1">
        <f t="array" ref="W260">_xlfn.LET(_xlpm.roles,_xlfn.UNIQUE(D260:D3058), _xlpm.counts,COUNTIF(D260:D3058,_xlpm.roles), INDEX(_xlpm.roles,MATCH(MAX(_xlpm.counts),_xlpm.counts,0)))</f>
        <v>Entry Fragger</v>
      </c>
      <c r="X260" s="2">
        <f t="shared" si="24"/>
        <v>13.057077625570777</v>
      </c>
    </row>
    <row r="261" spans="1:24" x14ac:dyDescent="0.3">
      <c r="A261">
        <v>31</v>
      </c>
      <c r="B261">
        <v>44</v>
      </c>
      <c r="C261" t="s">
        <v>39</v>
      </c>
      <c r="D261" t="s">
        <v>17</v>
      </c>
      <c r="E261" t="s">
        <v>32</v>
      </c>
      <c r="F261" t="s">
        <v>26</v>
      </c>
      <c r="G261">
        <v>21</v>
      </c>
      <c r="H261">
        <v>12</v>
      </c>
      <c r="I261">
        <v>8</v>
      </c>
      <c r="J261">
        <v>44.02</v>
      </c>
      <c r="K261">
        <v>217.74</v>
      </c>
      <c r="L261">
        <v>0.13</v>
      </c>
      <c r="M261">
        <v>66.709999999999994</v>
      </c>
      <c r="N261">
        <v>1</v>
      </c>
      <c r="O261" t="s">
        <v>20</v>
      </c>
      <c r="P261" t="s">
        <v>38</v>
      </c>
      <c r="Q261">
        <f t="shared" si="20"/>
        <v>25</v>
      </c>
      <c r="R261" s="4">
        <f>RANK(N261,$N$2:N$2800,0)</f>
        <v>1</v>
      </c>
      <c r="S261">
        <f t="shared" si="21"/>
        <v>2.625</v>
      </c>
      <c r="T261" t="str">
        <f t="shared" si="22"/>
        <v>Excellent</v>
      </c>
      <c r="U261" t="str" cm="1">
        <f t="array" ref="U261">_xlfn.LET(_xlpm.roles,_xlfn.UNIQUE(D261:D3059),_xlpm.kills, SUMIF(D261:D3059,_xlpm.roles,G261:G3059),INDEX(_xlpm.roles,MATCH(MAX(_xlpm.kills),_xlpm.kills,0)))</f>
        <v>Entry Fragger</v>
      </c>
      <c r="V261" t="str">
        <f t="shared" si="23"/>
        <v>Medium Accuracy</v>
      </c>
      <c r="W261" t="str" cm="1">
        <f t="array" ref="W261">_xlfn.LET(_xlpm.roles,_xlfn.UNIQUE(D261:D3059), _xlpm.counts,COUNTIF(D261:D3059,_xlpm.roles), INDEX(_xlpm.roles,MATCH(MAX(_xlpm.counts),_xlpm.counts,0)))</f>
        <v>Entry Fragger</v>
      </c>
      <c r="X261" s="2">
        <f t="shared" si="24"/>
        <v>13.103594080338267</v>
      </c>
    </row>
    <row r="262" spans="1:24" x14ac:dyDescent="0.3">
      <c r="A262">
        <v>405</v>
      </c>
      <c r="B262">
        <v>44</v>
      </c>
      <c r="C262" t="s">
        <v>30</v>
      </c>
      <c r="D262" t="s">
        <v>31</v>
      </c>
      <c r="E262" t="s">
        <v>32</v>
      </c>
      <c r="F262" t="s">
        <v>24</v>
      </c>
      <c r="G262">
        <v>15</v>
      </c>
      <c r="H262">
        <v>7</v>
      </c>
      <c r="I262">
        <v>12</v>
      </c>
      <c r="J262">
        <v>51.91</v>
      </c>
      <c r="K262">
        <v>225.14</v>
      </c>
      <c r="L262">
        <v>0.32</v>
      </c>
      <c r="M262">
        <v>47.75</v>
      </c>
      <c r="N262">
        <v>0.87</v>
      </c>
      <c r="O262" t="s">
        <v>20</v>
      </c>
      <c r="P262" t="s">
        <v>21</v>
      </c>
      <c r="Q262">
        <f t="shared" si="20"/>
        <v>10</v>
      </c>
      <c r="R262" s="4">
        <f>RANK(N262,$N$2:N$2800,0)</f>
        <v>1965</v>
      </c>
      <c r="S262">
        <f t="shared" si="21"/>
        <v>1.25</v>
      </c>
      <c r="T262" t="str">
        <f t="shared" si="22"/>
        <v>Low</v>
      </c>
      <c r="U262" t="str" cm="1">
        <f t="array" ref="U262">_xlfn.LET(_xlpm.roles,_xlfn.UNIQUE(D262:D3060),_xlpm.kills, SUMIF(D262:D3060,_xlpm.roles,G262:G3060),INDEX(_xlpm.roles,MATCH(MAX(_xlpm.kills),_xlpm.kills,0)))</f>
        <v>Entry Fragger</v>
      </c>
      <c r="V262" t="str">
        <f t="shared" si="23"/>
        <v>High Accuracy</v>
      </c>
      <c r="W262" t="str" cm="1">
        <f t="array" ref="W262">_xlfn.LET(_xlpm.roles,_xlfn.UNIQUE(D262:D3060), _xlpm.counts,COUNTIF(D262:D3060,_xlpm.roles), INDEX(_xlpm.roles,MATCH(MAX(_xlpm.counts),_xlpm.counts,0)))</f>
        <v>Entry Fragger</v>
      </c>
      <c r="X262" s="2">
        <f t="shared" si="24"/>
        <v>13.135802469135802</v>
      </c>
    </row>
    <row r="263" spans="1:24" x14ac:dyDescent="0.3">
      <c r="A263">
        <v>724</v>
      </c>
      <c r="B263">
        <v>44</v>
      </c>
      <c r="C263" t="s">
        <v>35</v>
      </c>
      <c r="D263" t="s">
        <v>22</v>
      </c>
      <c r="E263" t="s">
        <v>18</v>
      </c>
      <c r="F263" t="s">
        <v>24</v>
      </c>
      <c r="G263">
        <v>11</v>
      </c>
      <c r="H263">
        <v>13</v>
      </c>
      <c r="I263">
        <v>12</v>
      </c>
      <c r="J263">
        <v>44.97</v>
      </c>
      <c r="K263">
        <v>279.82</v>
      </c>
      <c r="L263">
        <v>0.45</v>
      </c>
      <c r="M263">
        <v>40.98</v>
      </c>
      <c r="N263">
        <v>0.93</v>
      </c>
      <c r="O263" t="s">
        <v>20</v>
      </c>
      <c r="P263" t="s">
        <v>21</v>
      </c>
      <c r="Q263">
        <f t="shared" si="20"/>
        <v>12</v>
      </c>
      <c r="R263" s="4">
        <f>RANK(N263,$N$2:N$2800,0)</f>
        <v>1505</v>
      </c>
      <c r="S263">
        <f t="shared" si="21"/>
        <v>0.91666666666666663</v>
      </c>
      <c r="T263" t="str">
        <f t="shared" si="22"/>
        <v>Low</v>
      </c>
      <c r="U263" t="str" cm="1">
        <f t="array" ref="U263">_xlfn.LET(_xlpm.roles,_xlfn.UNIQUE(D263:D3061),_xlpm.kills, SUMIF(D263:D3061,_xlpm.roles,G263:G3061),INDEX(_xlpm.roles,MATCH(MAX(_xlpm.kills),_xlpm.kills,0)))</f>
        <v>Entry Fragger</v>
      </c>
      <c r="V263" t="str">
        <f t="shared" si="23"/>
        <v>Medium Accuracy</v>
      </c>
      <c r="W263" t="str" cm="1">
        <f t="array" ref="W263">_xlfn.LET(_xlpm.roles,_xlfn.UNIQUE(D263:D3061), _xlpm.counts,COUNTIF(D263:D3061,_xlpm.roles), INDEX(_xlpm.roles,MATCH(MAX(_xlpm.counts),_xlpm.counts,0)))</f>
        <v>Entry Fragger</v>
      </c>
      <c r="X263" s="2">
        <f t="shared" si="24"/>
        <v>12.599585062240664</v>
      </c>
    </row>
    <row r="264" spans="1:24" x14ac:dyDescent="0.3">
      <c r="A264">
        <v>1689</v>
      </c>
      <c r="B264">
        <v>44</v>
      </c>
      <c r="C264" t="s">
        <v>25</v>
      </c>
      <c r="D264" t="s">
        <v>17</v>
      </c>
      <c r="E264" t="s">
        <v>32</v>
      </c>
      <c r="F264" t="s">
        <v>19</v>
      </c>
      <c r="G264">
        <v>14</v>
      </c>
      <c r="H264">
        <v>9</v>
      </c>
      <c r="I264">
        <v>11</v>
      </c>
      <c r="J264">
        <v>43.37</v>
      </c>
      <c r="K264">
        <v>217.15</v>
      </c>
      <c r="L264">
        <v>0.64</v>
      </c>
      <c r="M264">
        <v>41.29</v>
      </c>
      <c r="N264">
        <v>0.81</v>
      </c>
      <c r="O264" t="s">
        <v>20</v>
      </c>
      <c r="P264" t="s">
        <v>21</v>
      </c>
      <c r="Q264">
        <f t="shared" si="20"/>
        <v>12</v>
      </c>
      <c r="R264" s="4">
        <f>RANK(N264,$N$2:N$2800,0)</f>
        <v>2341</v>
      </c>
      <c r="S264">
        <f t="shared" si="21"/>
        <v>1.2727272727272727</v>
      </c>
      <c r="T264" t="str">
        <f t="shared" si="22"/>
        <v>Low</v>
      </c>
      <c r="U264" t="str" cm="1">
        <f t="array" ref="U264">_xlfn.LET(_xlpm.roles,_xlfn.UNIQUE(D264:D3062),_xlpm.kills, SUMIF(D264:D3062,_xlpm.roles,G264:G3062),INDEX(_xlpm.roles,MATCH(MAX(_xlpm.kills),_xlpm.kills,0)))</f>
        <v>Entry Fragger</v>
      </c>
      <c r="V264" t="str">
        <f t="shared" si="23"/>
        <v>Medium Accuracy</v>
      </c>
      <c r="W264" t="str" cm="1">
        <f t="array" ref="W264">_xlfn.LET(_xlpm.roles,_xlfn.UNIQUE(D264:D3062), _xlpm.counts,COUNTIF(D264:D3062,_xlpm.roles), INDEX(_xlpm.roles,MATCH(MAX(_xlpm.counts),_xlpm.counts,0)))</f>
        <v>Entry Fragger</v>
      </c>
      <c r="X264" s="2">
        <f t="shared" si="24"/>
        <v>12.809421841541756</v>
      </c>
    </row>
    <row r="265" spans="1:24" x14ac:dyDescent="0.3">
      <c r="A265">
        <v>2033</v>
      </c>
      <c r="B265">
        <v>44</v>
      </c>
      <c r="C265" t="s">
        <v>30</v>
      </c>
      <c r="D265" t="s">
        <v>22</v>
      </c>
      <c r="E265" t="s">
        <v>23</v>
      </c>
      <c r="F265" t="s">
        <v>26</v>
      </c>
      <c r="G265">
        <v>15</v>
      </c>
      <c r="H265">
        <v>4</v>
      </c>
      <c r="I265">
        <v>10</v>
      </c>
      <c r="J265">
        <v>28.31</v>
      </c>
      <c r="K265">
        <v>224.84</v>
      </c>
      <c r="L265">
        <v>0.81</v>
      </c>
      <c r="M265">
        <v>30.05</v>
      </c>
      <c r="N265">
        <v>0.79</v>
      </c>
      <c r="O265" t="s">
        <v>20</v>
      </c>
      <c r="P265" t="s">
        <v>21</v>
      </c>
      <c r="Q265">
        <f t="shared" si="20"/>
        <v>9</v>
      </c>
      <c r="R265" s="4">
        <f>RANK(N265,$N$2:N$2800,0)</f>
        <v>2436</v>
      </c>
      <c r="S265">
        <f t="shared" si="21"/>
        <v>1.5</v>
      </c>
      <c r="T265" t="str">
        <f t="shared" si="22"/>
        <v>Low</v>
      </c>
      <c r="U265" t="str" cm="1">
        <f t="array" ref="U265">_xlfn.LET(_xlpm.roles,_xlfn.UNIQUE(D265:D3063),_xlpm.kills, SUMIF(D265:D3063,_xlpm.roles,G265:G3063),INDEX(_xlpm.roles,MATCH(MAX(_xlpm.kills),_xlpm.kills,0)))</f>
        <v>Entry Fragger</v>
      </c>
      <c r="V265" t="str">
        <f t="shared" si="23"/>
        <v>Low Accuracy</v>
      </c>
      <c r="W265" t="str" cm="1">
        <f t="array" ref="W265">_xlfn.LET(_xlpm.roles,_xlfn.UNIQUE(D265:D3063), _xlpm.counts,COUNTIF(D265:D3063,_xlpm.roles), INDEX(_xlpm.roles,MATCH(MAX(_xlpm.counts),_xlpm.counts,0)))</f>
        <v>Entry Fragger</v>
      </c>
      <c r="X265" s="2">
        <f t="shared" si="24"/>
        <v>13.135802469135802</v>
      </c>
    </row>
    <row r="266" spans="1:24" x14ac:dyDescent="0.3">
      <c r="A266">
        <v>2179</v>
      </c>
      <c r="B266">
        <v>44</v>
      </c>
      <c r="C266" t="s">
        <v>35</v>
      </c>
      <c r="D266" t="s">
        <v>31</v>
      </c>
      <c r="E266" t="s">
        <v>32</v>
      </c>
      <c r="F266" t="s">
        <v>24</v>
      </c>
      <c r="G266">
        <v>10</v>
      </c>
      <c r="H266">
        <v>8</v>
      </c>
      <c r="I266">
        <v>13</v>
      </c>
      <c r="J266">
        <v>39.049999999999997</v>
      </c>
      <c r="K266">
        <v>213.13</v>
      </c>
      <c r="L266">
        <v>0.45</v>
      </c>
      <c r="M266">
        <v>30.02</v>
      </c>
      <c r="N266">
        <v>0.72</v>
      </c>
      <c r="O266" t="s">
        <v>20</v>
      </c>
      <c r="P266" t="s">
        <v>21</v>
      </c>
      <c r="Q266">
        <f t="shared" si="20"/>
        <v>5</v>
      </c>
      <c r="R266" s="4">
        <f>RANK(N266,$N$2:N$2800,0)</f>
        <v>2663</v>
      </c>
      <c r="S266">
        <f t="shared" si="21"/>
        <v>0.76923076923076927</v>
      </c>
      <c r="T266" t="str">
        <f t="shared" si="22"/>
        <v>Low</v>
      </c>
      <c r="U266" t="str" cm="1">
        <f t="array" ref="U266">_xlfn.LET(_xlpm.roles,_xlfn.UNIQUE(D266:D3064),_xlpm.kills, SUMIF(D266:D3064,_xlpm.roles,G266:G3064),INDEX(_xlpm.roles,MATCH(MAX(_xlpm.kills),_xlpm.kills,0)))</f>
        <v>Entry Fragger</v>
      </c>
      <c r="V266" t="str">
        <f t="shared" si="23"/>
        <v>Medium Accuracy</v>
      </c>
      <c r="W266" t="str" cm="1">
        <f t="array" ref="W266">_xlfn.LET(_xlpm.roles,_xlfn.UNIQUE(D266:D3064), _xlpm.counts,COUNTIF(D266:D3064,_xlpm.roles), INDEX(_xlpm.roles,MATCH(MAX(_xlpm.counts),_xlpm.counts,0)))</f>
        <v>Entry Fragger</v>
      </c>
      <c r="X266" s="2">
        <f t="shared" si="24"/>
        <v>12.599585062240664</v>
      </c>
    </row>
    <row r="267" spans="1:24" x14ac:dyDescent="0.3">
      <c r="A267">
        <v>2643</v>
      </c>
      <c r="B267">
        <v>44</v>
      </c>
      <c r="C267" t="s">
        <v>27</v>
      </c>
      <c r="D267" t="s">
        <v>31</v>
      </c>
      <c r="E267" t="s">
        <v>23</v>
      </c>
      <c r="F267" t="s">
        <v>26</v>
      </c>
      <c r="G267">
        <v>16</v>
      </c>
      <c r="H267">
        <v>13</v>
      </c>
      <c r="I267">
        <v>17</v>
      </c>
      <c r="J267">
        <v>34.61</v>
      </c>
      <c r="K267">
        <v>134.54</v>
      </c>
      <c r="L267">
        <v>0.27</v>
      </c>
      <c r="M267">
        <v>42.6</v>
      </c>
      <c r="N267">
        <v>1</v>
      </c>
      <c r="O267" t="s">
        <v>20</v>
      </c>
      <c r="P267" t="s">
        <v>21</v>
      </c>
      <c r="Q267">
        <f t="shared" si="20"/>
        <v>12</v>
      </c>
      <c r="R267" s="4">
        <f>RANK(N267,$N$2:N$2800,0)</f>
        <v>1</v>
      </c>
      <c r="S267">
        <f t="shared" si="21"/>
        <v>0.94117647058823528</v>
      </c>
      <c r="T267" t="str">
        <f t="shared" si="22"/>
        <v>Low</v>
      </c>
      <c r="U267" t="str" cm="1">
        <f t="array" ref="U267">_xlfn.LET(_xlpm.roles,_xlfn.UNIQUE(D267:D3065),_xlpm.kills, SUMIF(D267:D3065,_xlpm.roles,G267:G3065),INDEX(_xlpm.roles,MATCH(MAX(_xlpm.kills),_xlpm.kills,0)))</f>
        <v>Entry Fragger</v>
      </c>
      <c r="V267" t="str">
        <f t="shared" si="23"/>
        <v>Medium Accuracy</v>
      </c>
      <c r="W267" t="str" cm="1">
        <f t="array" ref="W267">_xlfn.LET(_xlpm.roles,_xlfn.UNIQUE(D267:D3065), _xlpm.counts,COUNTIF(D267:D3065,_xlpm.roles), INDEX(_xlpm.roles,MATCH(MAX(_xlpm.counts),_xlpm.counts,0)))</f>
        <v>Entry Fragger</v>
      </c>
      <c r="X267" s="2">
        <f t="shared" si="24"/>
        <v>13.057077625570777</v>
      </c>
    </row>
    <row r="268" spans="1:24" x14ac:dyDescent="0.3">
      <c r="A268">
        <v>207</v>
      </c>
      <c r="B268">
        <v>45</v>
      </c>
      <c r="C268" t="s">
        <v>39</v>
      </c>
      <c r="D268" t="s">
        <v>28</v>
      </c>
      <c r="E268" t="s">
        <v>32</v>
      </c>
      <c r="F268" t="s">
        <v>26</v>
      </c>
      <c r="G268">
        <v>15</v>
      </c>
      <c r="H268">
        <v>4</v>
      </c>
      <c r="I268">
        <v>9</v>
      </c>
      <c r="J268">
        <v>55.46</v>
      </c>
      <c r="K268">
        <v>184.64</v>
      </c>
      <c r="L268">
        <v>0.81</v>
      </c>
      <c r="M268">
        <v>44.63</v>
      </c>
      <c r="N268">
        <v>0.93</v>
      </c>
      <c r="O268" t="s">
        <v>20</v>
      </c>
      <c r="P268" t="s">
        <v>21</v>
      </c>
      <c r="Q268">
        <f t="shared" si="20"/>
        <v>10</v>
      </c>
      <c r="R268" s="4">
        <f>RANK(N268,$N$2:N$2800,0)</f>
        <v>1505</v>
      </c>
      <c r="S268">
        <f t="shared" si="21"/>
        <v>1.6666666666666667</v>
      </c>
      <c r="T268" t="str">
        <f t="shared" si="22"/>
        <v>Low</v>
      </c>
      <c r="U268" t="str" cm="1">
        <f t="array" ref="U268">_xlfn.LET(_xlpm.roles,_xlfn.UNIQUE(D268:D3066),_xlpm.kills, SUMIF(D268:D3066,_xlpm.roles,G268:G3066),INDEX(_xlpm.roles,MATCH(MAX(_xlpm.kills),_xlpm.kills,0)))</f>
        <v>Entry Fragger</v>
      </c>
      <c r="V268" t="str">
        <f t="shared" si="23"/>
        <v>High Accuracy</v>
      </c>
      <c r="W268" t="str" cm="1">
        <f t="array" ref="W268">_xlfn.LET(_xlpm.roles,_xlfn.UNIQUE(D268:D3066), _xlpm.counts,COUNTIF(D268:D3066,_xlpm.roles), INDEX(_xlpm.roles,MATCH(MAX(_xlpm.counts),_xlpm.counts,0)))</f>
        <v>Entry Fragger</v>
      </c>
      <c r="X268" s="2">
        <f t="shared" si="24"/>
        <v>13.103594080338267</v>
      </c>
    </row>
    <row r="269" spans="1:24" x14ac:dyDescent="0.3">
      <c r="A269">
        <v>399</v>
      </c>
      <c r="B269">
        <v>45</v>
      </c>
      <c r="C269" t="s">
        <v>16</v>
      </c>
      <c r="D269" t="s">
        <v>36</v>
      </c>
      <c r="E269" t="s">
        <v>18</v>
      </c>
      <c r="F269" t="s">
        <v>37</v>
      </c>
      <c r="G269">
        <v>17</v>
      </c>
      <c r="H269">
        <v>8</v>
      </c>
      <c r="I269">
        <v>7</v>
      </c>
      <c r="J269">
        <v>55.02</v>
      </c>
      <c r="K269">
        <v>224.84</v>
      </c>
      <c r="L269">
        <v>0.13</v>
      </c>
      <c r="M269">
        <v>61.21</v>
      </c>
      <c r="N269">
        <v>1</v>
      </c>
      <c r="O269" t="s">
        <v>20</v>
      </c>
      <c r="P269" t="s">
        <v>38</v>
      </c>
      <c r="Q269">
        <f t="shared" si="20"/>
        <v>18</v>
      </c>
      <c r="R269" s="4">
        <f>RANK(N269,$N$2:N$2800,0)</f>
        <v>1</v>
      </c>
      <c r="S269">
        <f t="shared" si="21"/>
        <v>2.4285714285714284</v>
      </c>
      <c r="T269" t="str">
        <f t="shared" si="22"/>
        <v>Good</v>
      </c>
      <c r="U269" t="str" cm="1">
        <f t="array" ref="U269">_xlfn.LET(_xlpm.roles,_xlfn.UNIQUE(D269:D3067),_xlpm.kills, SUMIF(D269:D3067,_xlpm.roles,G269:G3067),INDEX(_xlpm.roles,MATCH(MAX(_xlpm.kills),_xlpm.kills,0)))</f>
        <v>Entry Fragger</v>
      </c>
      <c r="V269" t="str">
        <f t="shared" si="23"/>
        <v>High Accuracy</v>
      </c>
      <c r="W269" t="str" cm="1">
        <f t="array" ref="W269">_xlfn.LET(_xlpm.roles,_xlfn.UNIQUE(D269:D3067), _xlpm.counts,COUNTIF(D269:D3067,_xlpm.roles), INDEX(_xlpm.roles,MATCH(MAX(_xlpm.counts),_xlpm.counts,0)))</f>
        <v>Entry Fragger</v>
      </c>
      <c r="X269" s="2">
        <f t="shared" si="24"/>
        <v>12.520971302428256</v>
      </c>
    </row>
    <row r="270" spans="1:24" x14ac:dyDescent="0.3">
      <c r="A270">
        <v>872</v>
      </c>
      <c r="B270">
        <v>45</v>
      </c>
      <c r="C270" t="s">
        <v>27</v>
      </c>
      <c r="D270" t="s">
        <v>36</v>
      </c>
      <c r="E270" t="s">
        <v>18</v>
      </c>
      <c r="F270" t="s">
        <v>37</v>
      </c>
      <c r="G270">
        <v>14</v>
      </c>
      <c r="H270">
        <v>9</v>
      </c>
      <c r="I270">
        <v>7</v>
      </c>
      <c r="J270">
        <v>57.79</v>
      </c>
      <c r="K270">
        <v>235.74</v>
      </c>
      <c r="L270">
        <v>0.22</v>
      </c>
      <c r="M270">
        <v>56.69</v>
      </c>
      <c r="N270">
        <v>0.98</v>
      </c>
      <c r="O270" t="s">
        <v>20</v>
      </c>
      <c r="P270" t="s">
        <v>21</v>
      </c>
      <c r="Q270">
        <f t="shared" si="20"/>
        <v>16</v>
      </c>
      <c r="R270" s="4">
        <f>RANK(N270,$N$2:N$2800,0)</f>
        <v>1157</v>
      </c>
      <c r="S270">
        <f t="shared" si="21"/>
        <v>2</v>
      </c>
      <c r="T270" t="str">
        <f t="shared" si="22"/>
        <v>Good</v>
      </c>
      <c r="U270" t="str" cm="1">
        <f t="array" ref="U270">_xlfn.LET(_xlpm.roles,_xlfn.UNIQUE(D270:D3068),_xlpm.kills, SUMIF(D270:D3068,_xlpm.roles,G270:G3068),INDEX(_xlpm.roles,MATCH(MAX(_xlpm.kills),_xlpm.kills,0)))</f>
        <v>Entry Fragger</v>
      </c>
      <c r="V270" t="str">
        <f t="shared" si="23"/>
        <v>High Accuracy</v>
      </c>
      <c r="W270" t="str" cm="1">
        <f t="array" ref="W270">_xlfn.LET(_xlpm.roles,_xlfn.UNIQUE(D270:D3068), _xlpm.counts,COUNTIF(D270:D3068,_xlpm.roles), INDEX(_xlpm.roles,MATCH(MAX(_xlpm.counts),_xlpm.counts,0)))</f>
        <v>Entry Fragger</v>
      </c>
      <c r="X270" s="2">
        <f t="shared" si="24"/>
        <v>13.057077625570777</v>
      </c>
    </row>
    <row r="271" spans="1:24" x14ac:dyDescent="0.3">
      <c r="A271">
        <v>1319</v>
      </c>
      <c r="B271">
        <v>45</v>
      </c>
      <c r="C271" t="s">
        <v>39</v>
      </c>
      <c r="D271" t="s">
        <v>28</v>
      </c>
      <c r="E271" t="s">
        <v>32</v>
      </c>
      <c r="F271" t="s">
        <v>34</v>
      </c>
      <c r="G271">
        <v>14</v>
      </c>
      <c r="H271">
        <v>8</v>
      </c>
      <c r="I271">
        <v>17</v>
      </c>
      <c r="J271">
        <v>41.04</v>
      </c>
      <c r="K271">
        <v>254.96</v>
      </c>
      <c r="L271">
        <v>0.99</v>
      </c>
      <c r="M271">
        <v>29.62</v>
      </c>
      <c r="N271">
        <v>0.65</v>
      </c>
      <c r="O271" t="s">
        <v>20</v>
      </c>
      <c r="P271" t="s">
        <v>21</v>
      </c>
      <c r="Q271">
        <f t="shared" si="20"/>
        <v>5</v>
      </c>
      <c r="R271" s="4">
        <f>RANK(N271,$N$2:N$2800,0)</f>
        <v>2756</v>
      </c>
      <c r="S271">
        <f t="shared" si="21"/>
        <v>0.82352941176470584</v>
      </c>
      <c r="T271" t="str">
        <f t="shared" si="22"/>
        <v>Low</v>
      </c>
      <c r="U271" t="str" cm="1">
        <f t="array" ref="U271">_xlfn.LET(_xlpm.roles,_xlfn.UNIQUE(D271:D3069),_xlpm.kills, SUMIF(D271:D3069,_xlpm.roles,G271:G3069),INDEX(_xlpm.roles,MATCH(MAX(_xlpm.kills),_xlpm.kills,0)))</f>
        <v>Entry Fragger</v>
      </c>
      <c r="V271" t="str">
        <f t="shared" si="23"/>
        <v>Medium Accuracy</v>
      </c>
      <c r="W271" t="str" cm="1">
        <f t="array" ref="W271">_xlfn.LET(_xlpm.roles,_xlfn.UNIQUE(D271:D3069), _xlpm.counts,COUNTIF(D271:D3069,_xlpm.roles), INDEX(_xlpm.roles,MATCH(MAX(_xlpm.counts),_xlpm.counts,0)))</f>
        <v>Entry Fragger</v>
      </c>
      <c r="X271" s="2">
        <f t="shared" si="24"/>
        <v>13.103594080338267</v>
      </c>
    </row>
    <row r="272" spans="1:24" x14ac:dyDescent="0.3">
      <c r="A272">
        <v>1871</v>
      </c>
      <c r="B272">
        <v>45</v>
      </c>
      <c r="C272" t="s">
        <v>25</v>
      </c>
      <c r="D272" t="s">
        <v>22</v>
      </c>
      <c r="E272" t="s">
        <v>29</v>
      </c>
      <c r="F272" t="s">
        <v>19</v>
      </c>
      <c r="G272">
        <v>15</v>
      </c>
      <c r="H272">
        <v>7</v>
      </c>
      <c r="I272">
        <v>7</v>
      </c>
      <c r="J272">
        <v>46.65</v>
      </c>
      <c r="K272">
        <v>236.81</v>
      </c>
      <c r="L272">
        <v>0.11</v>
      </c>
      <c r="M272">
        <v>52.23</v>
      </c>
      <c r="N272">
        <v>0.98</v>
      </c>
      <c r="O272" t="s">
        <v>20</v>
      </c>
      <c r="P272" t="s">
        <v>21</v>
      </c>
      <c r="Q272">
        <f t="shared" si="20"/>
        <v>15</v>
      </c>
      <c r="R272" s="4">
        <f>RANK(N272,$N$2:N$2800,0)</f>
        <v>1157</v>
      </c>
      <c r="S272">
        <f t="shared" si="21"/>
        <v>2.1428571428571428</v>
      </c>
      <c r="T272" t="str">
        <f t="shared" si="22"/>
        <v>Good</v>
      </c>
      <c r="U272" t="str" cm="1">
        <f t="array" ref="U272">_xlfn.LET(_xlpm.roles,_xlfn.UNIQUE(D272:D3070),_xlpm.kills, SUMIF(D272:D3070,_xlpm.roles,G272:G3070),INDEX(_xlpm.roles,MATCH(MAX(_xlpm.kills),_xlpm.kills,0)))</f>
        <v>Entry Fragger</v>
      </c>
      <c r="V272" t="str">
        <f t="shared" si="23"/>
        <v>Medium Accuracy</v>
      </c>
      <c r="W272" t="str" cm="1">
        <f t="array" ref="W272">_xlfn.LET(_xlpm.roles,_xlfn.UNIQUE(D272:D3070), _xlpm.counts,COUNTIF(D272:D3070,_xlpm.roles), INDEX(_xlpm.roles,MATCH(MAX(_xlpm.counts),_xlpm.counts,0)))</f>
        <v>Entry Fragger</v>
      </c>
      <c r="X272" s="2">
        <f t="shared" si="24"/>
        <v>12.809421841541756</v>
      </c>
    </row>
    <row r="273" spans="1:24" x14ac:dyDescent="0.3">
      <c r="A273">
        <v>2343</v>
      </c>
      <c r="B273">
        <v>45</v>
      </c>
      <c r="C273" t="s">
        <v>25</v>
      </c>
      <c r="D273" t="s">
        <v>17</v>
      </c>
      <c r="E273" t="s">
        <v>32</v>
      </c>
      <c r="F273" t="s">
        <v>37</v>
      </c>
      <c r="G273">
        <v>10</v>
      </c>
      <c r="H273">
        <v>7</v>
      </c>
      <c r="I273">
        <v>13</v>
      </c>
      <c r="J273">
        <v>54.92</v>
      </c>
      <c r="K273">
        <v>207.63</v>
      </c>
      <c r="L273">
        <v>0.22</v>
      </c>
      <c r="M273">
        <v>39.26</v>
      </c>
      <c r="N273">
        <v>0.87</v>
      </c>
      <c r="O273" t="s">
        <v>20</v>
      </c>
      <c r="P273" t="s">
        <v>21</v>
      </c>
      <c r="Q273">
        <f t="shared" si="20"/>
        <v>4</v>
      </c>
      <c r="R273" s="4">
        <f>RANK(N273,$N$2:N$2800,0)</f>
        <v>1965</v>
      </c>
      <c r="S273">
        <f t="shared" si="21"/>
        <v>0.76923076923076927</v>
      </c>
      <c r="T273" t="str">
        <f t="shared" si="22"/>
        <v>Low</v>
      </c>
      <c r="U273" t="str" cm="1">
        <f t="array" ref="U273">_xlfn.LET(_xlpm.roles,_xlfn.UNIQUE(D273:D3071),_xlpm.kills, SUMIF(D273:D3071,_xlpm.roles,G273:G3071),INDEX(_xlpm.roles,MATCH(MAX(_xlpm.kills),_xlpm.kills,0)))</f>
        <v>Entry Fragger</v>
      </c>
      <c r="V273" t="str">
        <f t="shared" si="23"/>
        <v>High Accuracy</v>
      </c>
      <c r="W273" t="str" cm="1">
        <f t="array" ref="W273">_xlfn.LET(_xlpm.roles,_xlfn.UNIQUE(D273:D3071), _xlpm.counts,COUNTIF(D273:D3071,_xlpm.roles), INDEX(_xlpm.roles,MATCH(MAX(_xlpm.counts),_xlpm.counts,0)))</f>
        <v>Entry Fragger</v>
      </c>
      <c r="X273" s="2">
        <f t="shared" si="24"/>
        <v>12.809421841541756</v>
      </c>
    </row>
    <row r="274" spans="1:24" x14ac:dyDescent="0.3">
      <c r="A274">
        <v>307</v>
      </c>
      <c r="B274">
        <v>46</v>
      </c>
      <c r="C274" t="s">
        <v>30</v>
      </c>
      <c r="D274" t="s">
        <v>22</v>
      </c>
      <c r="E274" t="s">
        <v>29</v>
      </c>
      <c r="F274" t="s">
        <v>37</v>
      </c>
      <c r="G274">
        <v>22</v>
      </c>
      <c r="H274">
        <v>7</v>
      </c>
      <c r="I274">
        <v>12</v>
      </c>
      <c r="J274">
        <v>56.6</v>
      </c>
      <c r="K274">
        <v>177.22</v>
      </c>
      <c r="L274">
        <v>0.15</v>
      </c>
      <c r="M274">
        <v>65.8</v>
      </c>
      <c r="N274">
        <v>1</v>
      </c>
      <c r="O274" t="s">
        <v>20</v>
      </c>
      <c r="P274" t="s">
        <v>38</v>
      </c>
      <c r="Q274">
        <f t="shared" si="20"/>
        <v>17</v>
      </c>
      <c r="R274" s="4">
        <f>RANK(N274,$N$2:N$2800,0)</f>
        <v>1</v>
      </c>
      <c r="S274">
        <f t="shared" si="21"/>
        <v>1.8333333333333333</v>
      </c>
      <c r="T274" t="str">
        <f t="shared" si="22"/>
        <v>Good</v>
      </c>
      <c r="U274" t="str" cm="1">
        <f t="array" ref="U274">_xlfn.LET(_xlpm.roles,_xlfn.UNIQUE(D274:D3072),_xlpm.kills, SUMIF(D274:D3072,_xlpm.roles,G274:G3072),INDEX(_xlpm.roles,MATCH(MAX(_xlpm.kills),_xlpm.kills,0)))</f>
        <v>Entry Fragger</v>
      </c>
      <c r="V274" t="str">
        <f t="shared" si="23"/>
        <v>High Accuracy</v>
      </c>
      <c r="W274" t="str" cm="1">
        <f t="array" ref="W274">_xlfn.LET(_xlpm.roles,_xlfn.UNIQUE(D274:D3072), _xlpm.counts,COUNTIF(D274:D3072,_xlpm.roles), INDEX(_xlpm.roles,MATCH(MAX(_xlpm.counts),_xlpm.counts,0)))</f>
        <v>Entry Fragger</v>
      </c>
      <c r="X274" s="2">
        <f t="shared" si="24"/>
        <v>13.135802469135802</v>
      </c>
    </row>
    <row r="275" spans="1:24" x14ac:dyDescent="0.3">
      <c r="A275">
        <v>8</v>
      </c>
      <c r="B275">
        <v>47</v>
      </c>
      <c r="C275" t="s">
        <v>27</v>
      </c>
      <c r="D275" t="s">
        <v>28</v>
      </c>
      <c r="E275" t="s">
        <v>29</v>
      </c>
      <c r="F275" t="s">
        <v>24</v>
      </c>
      <c r="G275">
        <v>15</v>
      </c>
      <c r="H275">
        <v>7</v>
      </c>
      <c r="I275">
        <v>11</v>
      </c>
      <c r="J275">
        <v>48.23</v>
      </c>
      <c r="K275">
        <v>214.23</v>
      </c>
      <c r="L275">
        <v>0.14000000000000001</v>
      </c>
      <c r="M275">
        <v>48.71</v>
      </c>
      <c r="N275">
        <v>1</v>
      </c>
      <c r="O275" t="s">
        <v>20</v>
      </c>
      <c r="P275" t="s">
        <v>21</v>
      </c>
      <c r="Q275">
        <f t="shared" si="20"/>
        <v>11</v>
      </c>
      <c r="R275" s="4">
        <f>RANK(N275,$N$2:N$2800,0)</f>
        <v>1</v>
      </c>
      <c r="S275">
        <f t="shared" si="21"/>
        <v>1.3636363636363635</v>
      </c>
      <c r="T275" t="str">
        <f t="shared" si="22"/>
        <v>Low</v>
      </c>
      <c r="U275" t="str" cm="1">
        <f t="array" ref="U275">_xlfn.LET(_xlpm.roles,_xlfn.UNIQUE(D275:D3073),_xlpm.kills, SUMIF(D275:D3073,_xlpm.roles,G275:G3073),INDEX(_xlpm.roles,MATCH(MAX(_xlpm.kills),_xlpm.kills,0)))</f>
        <v>Entry Fragger</v>
      </c>
      <c r="V275" t="str">
        <f t="shared" si="23"/>
        <v>Medium Accuracy</v>
      </c>
      <c r="W275" t="str" cm="1">
        <f t="array" ref="W275">_xlfn.LET(_xlpm.roles,_xlfn.UNIQUE(D275:D3073), _xlpm.counts,COUNTIF(D275:D3073,_xlpm.roles), INDEX(_xlpm.roles,MATCH(MAX(_xlpm.counts),_xlpm.counts,0)))</f>
        <v>Entry Fragger</v>
      </c>
      <c r="X275" s="2">
        <f t="shared" si="24"/>
        <v>13.057077625570777</v>
      </c>
    </row>
    <row r="276" spans="1:24" x14ac:dyDescent="0.3">
      <c r="A276">
        <v>1578</v>
      </c>
      <c r="B276">
        <v>47</v>
      </c>
      <c r="C276" t="s">
        <v>25</v>
      </c>
      <c r="D276" t="s">
        <v>31</v>
      </c>
      <c r="E276" t="s">
        <v>33</v>
      </c>
      <c r="F276" t="s">
        <v>37</v>
      </c>
      <c r="G276">
        <v>16</v>
      </c>
      <c r="H276">
        <v>3</v>
      </c>
      <c r="I276">
        <v>3</v>
      </c>
      <c r="J276">
        <v>45.38</v>
      </c>
      <c r="K276">
        <v>208.71</v>
      </c>
      <c r="L276">
        <v>0.84</v>
      </c>
      <c r="M276">
        <v>46.29</v>
      </c>
      <c r="N276">
        <v>0.82</v>
      </c>
      <c r="O276" t="s">
        <v>20</v>
      </c>
      <c r="P276" t="s">
        <v>21</v>
      </c>
      <c r="Q276">
        <f t="shared" si="20"/>
        <v>16</v>
      </c>
      <c r="R276" s="4">
        <f>RANK(N276,$N$2:N$2800,0)</f>
        <v>2275</v>
      </c>
      <c r="S276">
        <f t="shared" si="21"/>
        <v>5.333333333333333</v>
      </c>
      <c r="T276" t="str">
        <f t="shared" si="22"/>
        <v>Good</v>
      </c>
      <c r="U276" t="str" cm="1">
        <f t="array" ref="U276">_xlfn.LET(_xlpm.roles,_xlfn.UNIQUE(D276:D3074),_xlpm.kills, SUMIF(D276:D3074,_xlpm.roles,G276:G3074),INDEX(_xlpm.roles,MATCH(MAX(_xlpm.kills),_xlpm.kills,0)))</f>
        <v>Entry Fragger</v>
      </c>
      <c r="V276" t="str">
        <f t="shared" si="23"/>
        <v>Medium Accuracy</v>
      </c>
      <c r="W276" t="str" cm="1">
        <f t="array" ref="W276">_xlfn.LET(_xlpm.roles,_xlfn.UNIQUE(D276:D3074), _xlpm.counts,COUNTIF(D276:D3074,_xlpm.roles), INDEX(_xlpm.roles,MATCH(MAX(_xlpm.counts),_xlpm.counts,0)))</f>
        <v>Entry Fragger</v>
      </c>
      <c r="X276" s="2">
        <f t="shared" si="24"/>
        <v>12.809421841541756</v>
      </c>
    </row>
    <row r="277" spans="1:24" x14ac:dyDescent="0.3">
      <c r="A277">
        <v>1765</v>
      </c>
      <c r="B277">
        <v>47</v>
      </c>
      <c r="C277" t="s">
        <v>39</v>
      </c>
      <c r="D277" t="s">
        <v>36</v>
      </c>
      <c r="E277" t="s">
        <v>33</v>
      </c>
      <c r="F277" t="s">
        <v>26</v>
      </c>
      <c r="G277">
        <v>17</v>
      </c>
      <c r="H277">
        <v>5</v>
      </c>
      <c r="I277">
        <v>9</v>
      </c>
      <c r="J277">
        <v>41.59</v>
      </c>
      <c r="K277">
        <v>198.23</v>
      </c>
      <c r="L277">
        <v>0.13</v>
      </c>
      <c r="M277">
        <v>49.5</v>
      </c>
      <c r="N277">
        <v>1</v>
      </c>
      <c r="O277" t="s">
        <v>20</v>
      </c>
      <c r="P277" t="s">
        <v>21</v>
      </c>
      <c r="Q277">
        <f t="shared" si="20"/>
        <v>13</v>
      </c>
      <c r="R277" s="4">
        <f>RANK(N277,$N$2:N$2800,0)</f>
        <v>1</v>
      </c>
      <c r="S277">
        <f t="shared" si="21"/>
        <v>1.8888888888888888</v>
      </c>
      <c r="T277" t="str">
        <f t="shared" si="22"/>
        <v>Low</v>
      </c>
      <c r="U277" t="str" cm="1">
        <f t="array" ref="U277">_xlfn.LET(_xlpm.roles,_xlfn.UNIQUE(D277:D3075),_xlpm.kills, SUMIF(D277:D3075,_xlpm.roles,G277:G3075),INDEX(_xlpm.roles,MATCH(MAX(_xlpm.kills),_xlpm.kills,0)))</f>
        <v>Entry Fragger</v>
      </c>
      <c r="V277" t="str">
        <f t="shared" si="23"/>
        <v>Medium Accuracy</v>
      </c>
      <c r="W277" t="str" cm="1">
        <f t="array" ref="W277">_xlfn.LET(_xlpm.roles,_xlfn.UNIQUE(D277:D3075), _xlpm.counts,COUNTIF(D277:D3075,_xlpm.roles), INDEX(_xlpm.roles,MATCH(MAX(_xlpm.counts),_xlpm.counts,0)))</f>
        <v>Entry Fragger</v>
      </c>
      <c r="X277" s="2">
        <f t="shared" si="24"/>
        <v>13.103594080338267</v>
      </c>
    </row>
    <row r="278" spans="1:24" x14ac:dyDescent="0.3">
      <c r="A278">
        <v>2302</v>
      </c>
      <c r="B278">
        <v>47</v>
      </c>
      <c r="C278" t="s">
        <v>39</v>
      </c>
      <c r="D278" t="s">
        <v>28</v>
      </c>
      <c r="E278" t="s">
        <v>33</v>
      </c>
      <c r="F278" t="s">
        <v>37</v>
      </c>
      <c r="G278">
        <v>15</v>
      </c>
      <c r="H278">
        <v>11</v>
      </c>
      <c r="I278">
        <v>10</v>
      </c>
      <c r="J278">
        <v>42.89</v>
      </c>
      <c r="K278">
        <v>195.39</v>
      </c>
      <c r="L278">
        <v>0.78</v>
      </c>
      <c r="M278">
        <v>44.64</v>
      </c>
      <c r="N278">
        <v>0.96</v>
      </c>
      <c r="O278" t="s">
        <v>20</v>
      </c>
      <c r="P278" t="s">
        <v>21</v>
      </c>
      <c r="Q278">
        <f t="shared" si="20"/>
        <v>16</v>
      </c>
      <c r="R278" s="4">
        <f>RANK(N278,$N$2:N$2800,0)</f>
        <v>1301</v>
      </c>
      <c r="S278">
        <f t="shared" si="21"/>
        <v>1.5</v>
      </c>
      <c r="T278" t="str">
        <f t="shared" si="22"/>
        <v>Good</v>
      </c>
      <c r="U278" t="str" cm="1">
        <f t="array" ref="U278">_xlfn.LET(_xlpm.roles,_xlfn.UNIQUE(D278:D3076),_xlpm.kills, SUMIF(D278:D3076,_xlpm.roles,G278:G3076),INDEX(_xlpm.roles,MATCH(MAX(_xlpm.kills),_xlpm.kills,0)))</f>
        <v>Entry Fragger</v>
      </c>
      <c r="V278" t="str">
        <f t="shared" si="23"/>
        <v>Medium Accuracy</v>
      </c>
      <c r="W278" t="str" cm="1">
        <f t="array" ref="W278">_xlfn.LET(_xlpm.roles,_xlfn.UNIQUE(D278:D3076), _xlpm.counts,COUNTIF(D278:D3076,_xlpm.roles), INDEX(_xlpm.roles,MATCH(MAX(_xlpm.counts),_xlpm.counts,0)))</f>
        <v>Entry Fragger</v>
      </c>
      <c r="X278" s="2">
        <f t="shared" si="24"/>
        <v>13.103594080338267</v>
      </c>
    </row>
    <row r="279" spans="1:24" x14ac:dyDescent="0.3">
      <c r="A279">
        <v>2338</v>
      </c>
      <c r="B279">
        <v>47</v>
      </c>
      <c r="C279" t="s">
        <v>25</v>
      </c>
      <c r="D279" t="s">
        <v>17</v>
      </c>
      <c r="E279" t="s">
        <v>18</v>
      </c>
      <c r="F279" t="s">
        <v>34</v>
      </c>
      <c r="G279">
        <v>16</v>
      </c>
      <c r="H279">
        <v>6</v>
      </c>
      <c r="I279">
        <v>14</v>
      </c>
      <c r="J279">
        <v>47.07</v>
      </c>
      <c r="K279">
        <v>231.57</v>
      </c>
      <c r="L279">
        <v>0.86</v>
      </c>
      <c r="M279">
        <v>38.93</v>
      </c>
      <c r="N279">
        <v>0.84</v>
      </c>
      <c r="O279" t="s">
        <v>20</v>
      </c>
      <c r="P279" t="s">
        <v>21</v>
      </c>
      <c r="Q279">
        <f t="shared" si="20"/>
        <v>8</v>
      </c>
      <c r="R279" s="4">
        <f>RANK(N279,$N$2:N$2800,0)</f>
        <v>2156</v>
      </c>
      <c r="S279">
        <f t="shared" si="21"/>
        <v>1.1428571428571428</v>
      </c>
      <c r="T279" t="str">
        <f t="shared" si="22"/>
        <v>Low</v>
      </c>
      <c r="U279" t="str" cm="1">
        <f t="array" ref="U279">_xlfn.LET(_xlpm.roles,_xlfn.UNIQUE(D279:D3077),_xlpm.kills, SUMIF(D279:D3077,_xlpm.roles,G279:G3077),INDEX(_xlpm.roles,MATCH(MAX(_xlpm.kills),_xlpm.kills,0)))</f>
        <v>Entry Fragger</v>
      </c>
      <c r="V279" t="str">
        <f t="shared" si="23"/>
        <v>Medium Accuracy</v>
      </c>
      <c r="W279" t="str" cm="1">
        <f t="array" ref="W279">_xlfn.LET(_xlpm.roles,_xlfn.UNIQUE(D279:D3077), _xlpm.counts,COUNTIF(D279:D3077,_xlpm.roles), INDEX(_xlpm.roles,MATCH(MAX(_xlpm.counts),_xlpm.counts,0)))</f>
        <v>Entry Fragger</v>
      </c>
      <c r="X279" s="2">
        <f t="shared" si="24"/>
        <v>12.809421841541756</v>
      </c>
    </row>
    <row r="280" spans="1:24" x14ac:dyDescent="0.3">
      <c r="A280">
        <v>350</v>
      </c>
      <c r="B280">
        <v>48</v>
      </c>
      <c r="C280" t="s">
        <v>35</v>
      </c>
      <c r="D280" t="s">
        <v>36</v>
      </c>
      <c r="E280" t="s">
        <v>32</v>
      </c>
      <c r="F280" t="s">
        <v>37</v>
      </c>
      <c r="G280">
        <v>26</v>
      </c>
      <c r="H280">
        <v>6</v>
      </c>
      <c r="I280">
        <v>10</v>
      </c>
      <c r="J280">
        <v>40.770000000000003</v>
      </c>
      <c r="K280">
        <v>193.56</v>
      </c>
      <c r="L280">
        <v>0.05</v>
      </c>
      <c r="M280">
        <v>67.89</v>
      </c>
      <c r="N280">
        <v>1</v>
      </c>
      <c r="O280" t="s">
        <v>20</v>
      </c>
      <c r="P280" t="s">
        <v>38</v>
      </c>
      <c r="Q280">
        <f t="shared" si="20"/>
        <v>22</v>
      </c>
      <c r="R280" s="4">
        <f>RANK(N280,$N$2:N$2800,0)</f>
        <v>1</v>
      </c>
      <c r="S280">
        <f t="shared" si="21"/>
        <v>2.6</v>
      </c>
      <c r="T280" t="str">
        <f t="shared" si="22"/>
        <v>Good</v>
      </c>
      <c r="U280" t="str" cm="1">
        <f t="array" ref="U280">_xlfn.LET(_xlpm.roles,_xlfn.UNIQUE(D280:D3078),_xlpm.kills, SUMIF(D280:D3078,_xlpm.roles,G280:G3078),INDEX(_xlpm.roles,MATCH(MAX(_xlpm.kills),_xlpm.kills,0)))</f>
        <v>Entry Fragger</v>
      </c>
      <c r="V280" t="str">
        <f t="shared" si="23"/>
        <v>Medium Accuracy</v>
      </c>
      <c r="W280" t="str" cm="1">
        <f t="array" ref="W280">_xlfn.LET(_xlpm.roles,_xlfn.UNIQUE(D280:D3078), _xlpm.counts,COUNTIF(D280:D3078,_xlpm.roles), INDEX(_xlpm.roles,MATCH(MAX(_xlpm.counts),_xlpm.counts,0)))</f>
        <v>Entry Fragger</v>
      </c>
      <c r="X280" s="2">
        <f t="shared" si="24"/>
        <v>12.599585062240664</v>
      </c>
    </row>
    <row r="281" spans="1:24" x14ac:dyDescent="0.3">
      <c r="A281">
        <v>889</v>
      </c>
      <c r="B281">
        <v>48</v>
      </c>
      <c r="C281" t="s">
        <v>39</v>
      </c>
      <c r="D281" t="s">
        <v>31</v>
      </c>
      <c r="E281" t="s">
        <v>23</v>
      </c>
      <c r="F281" t="s">
        <v>24</v>
      </c>
      <c r="G281">
        <v>17</v>
      </c>
      <c r="H281">
        <v>8</v>
      </c>
      <c r="I281">
        <v>10</v>
      </c>
      <c r="J281">
        <v>30.77</v>
      </c>
      <c r="K281">
        <v>254.4</v>
      </c>
      <c r="L281">
        <v>0.61</v>
      </c>
      <c r="M281">
        <v>41.28</v>
      </c>
      <c r="N281">
        <v>0.86</v>
      </c>
      <c r="O281" t="s">
        <v>20</v>
      </c>
      <c r="P281" t="s">
        <v>21</v>
      </c>
      <c r="Q281">
        <f t="shared" si="20"/>
        <v>15</v>
      </c>
      <c r="R281" s="4">
        <f>RANK(N281,$N$2:N$2800,0)</f>
        <v>2040</v>
      </c>
      <c r="S281">
        <f t="shared" si="21"/>
        <v>1.7</v>
      </c>
      <c r="T281" t="str">
        <f t="shared" si="22"/>
        <v>Good</v>
      </c>
      <c r="U281" t="str" cm="1">
        <f t="array" ref="U281">_xlfn.LET(_xlpm.roles,_xlfn.UNIQUE(D281:D3079),_xlpm.kills, SUMIF(D281:D3079,_xlpm.roles,G281:G3079),INDEX(_xlpm.roles,MATCH(MAX(_xlpm.kills),_xlpm.kills,0)))</f>
        <v>Entry Fragger</v>
      </c>
      <c r="V281" t="str">
        <f t="shared" si="23"/>
        <v>Medium Accuracy</v>
      </c>
      <c r="W281" t="str" cm="1">
        <f t="array" ref="W281">_xlfn.LET(_xlpm.roles,_xlfn.UNIQUE(D281:D3079), _xlpm.counts,COUNTIF(D281:D3079,_xlpm.roles), INDEX(_xlpm.roles,MATCH(MAX(_xlpm.counts),_xlpm.counts,0)))</f>
        <v>Entry Fragger</v>
      </c>
      <c r="X281" s="2">
        <f t="shared" si="24"/>
        <v>13.103594080338267</v>
      </c>
    </row>
    <row r="282" spans="1:24" x14ac:dyDescent="0.3">
      <c r="A282">
        <v>1043</v>
      </c>
      <c r="B282">
        <v>48</v>
      </c>
      <c r="C282" t="s">
        <v>35</v>
      </c>
      <c r="D282" t="s">
        <v>28</v>
      </c>
      <c r="E282" t="s">
        <v>29</v>
      </c>
      <c r="F282" t="s">
        <v>19</v>
      </c>
      <c r="G282">
        <v>16</v>
      </c>
      <c r="H282">
        <v>4</v>
      </c>
      <c r="I282">
        <v>5</v>
      </c>
      <c r="J282">
        <v>39.26</v>
      </c>
      <c r="K282">
        <v>219.87</v>
      </c>
      <c r="L282">
        <v>0.61</v>
      </c>
      <c r="M282">
        <v>44.53</v>
      </c>
      <c r="N282">
        <v>1</v>
      </c>
      <c r="O282" t="s">
        <v>20</v>
      </c>
      <c r="P282" t="s">
        <v>21</v>
      </c>
      <c r="Q282">
        <f t="shared" si="20"/>
        <v>15</v>
      </c>
      <c r="R282" s="4">
        <f>RANK(N282,$N$2:N$2800,0)</f>
        <v>1</v>
      </c>
      <c r="S282">
        <f t="shared" si="21"/>
        <v>3.2</v>
      </c>
      <c r="T282" t="str">
        <f t="shared" si="22"/>
        <v>Good</v>
      </c>
      <c r="U282" t="str" cm="1">
        <f t="array" ref="U282">_xlfn.LET(_xlpm.roles,_xlfn.UNIQUE(D282:D3080),_xlpm.kills, SUMIF(D282:D3080,_xlpm.roles,G282:G3080),INDEX(_xlpm.roles,MATCH(MAX(_xlpm.kills),_xlpm.kills,0)))</f>
        <v>Entry Fragger</v>
      </c>
      <c r="V282" t="str">
        <f t="shared" si="23"/>
        <v>Medium Accuracy</v>
      </c>
      <c r="W282" t="str" cm="1">
        <f t="array" ref="W282">_xlfn.LET(_xlpm.roles,_xlfn.UNIQUE(D282:D3080), _xlpm.counts,COUNTIF(D282:D3080,_xlpm.roles), INDEX(_xlpm.roles,MATCH(MAX(_xlpm.counts),_xlpm.counts,0)))</f>
        <v>Entry Fragger</v>
      </c>
      <c r="X282" s="2">
        <f t="shared" si="24"/>
        <v>12.599585062240664</v>
      </c>
    </row>
    <row r="283" spans="1:24" x14ac:dyDescent="0.3">
      <c r="A283">
        <v>1682</v>
      </c>
      <c r="B283">
        <v>48</v>
      </c>
      <c r="C283" t="s">
        <v>30</v>
      </c>
      <c r="D283" t="s">
        <v>31</v>
      </c>
      <c r="E283" t="s">
        <v>32</v>
      </c>
      <c r="F283" t="s">
        <v>19</v>
      </c>
      <c r="G283">
        <v>15</v>
      </c>
      <c r="H283">
        <v>12</v>
      </c>
      <c r="I283">
        <v>10</v>
      </c>
      <c r="J283">
        <v>61.5</v>
      </c>
      <c r="K283">
        <v>253.8</v>
      </c>
      <c r="L283">
        <v>0.1</v>
      </c>
      <c r="M283">
        <v>61.75</v>
      </c>
      <c r="N283">
        <v>1</v>
      </c>
      <c r="O283" t="s">
        <v>20</v>
      </c>
      <c r="P283" t="s">
        <v>38</v>
      </c>
      <c r="Q283">
        <f t="shared" si="20"/>
        <v>17</v>
      </c>
      <c r="R283" s="4">
        <f>RANK(N283,$N$2:N$2800,0)</f>
        <v>1</v>
      </c>
      <c r="S283">
        <f t="shared" si="21"/>
        <v>1.5</v>
      </c>
      <c r="T283" t="str">
        <f t="shared" si="22"/>
        <v>Good</v>
      </c>
      <c r="U283" t="str" cm="1">
        <f t="array" ref="U283">_xlfn.LET(_xlpm.roles,_xlfn.UNIQUE(D283:D3081),_xlpm.kills, SUMIF(D283:D3081,_xlpm.roles,G283:G3081),INDEX(_xlpm.roles,MATCH(MAX(_xlpm.kills),_xlpm.kills,0)))</f>
        <v>Entry Fragger</v>
      </c>
      <c r="V283" t="str">
        <f t="shared" si="23"/>
        <v>High Accuracy</v>
      </c>
      <c r="W283" t="str" cm="1">
        <f t="array" ref="W283">_xlfn.LET(_xlpm.roles,_xlfn.UNIQUE(D283:D3081), _xlpm.counts,COUNTIF(D283:D3081,_xlpm.roles), INDEX(_xlpm.roles,MATCH(MAX(_xlpm.counts),_xlpm.counts,0)))</f>
        <v>Entry Fragger</v>
      </c>
      <c r="X283" s="2">
        <f t="shared" si="24"/>
        <v>13.135802469135802</v>
      </c>
    </row>
    <row r="284" spans="1:24" x14ac:dyDescent="0.3">
      <c r="A284">
        <v>114</v>
      </c>
      <c r="B284">
        <v>49</v>
      </c>
      <c r="C284" t="s">
        <v>30</v>
      </c>
      <c r="D284" t="s">
        <v>22</v>
      </c>
      <c r="E284" t="s">
        <v>29</v>
      </c>
      <c r="F284" t="s">
        <v>19</v>
      </c>
      <c r="G284">
        <v>15</v>
      </c>
      <c r="H284">
        <v>10</v>
      </c>
      <c r="I284">
        <v>5</v>
      </c>
      <c r="J284">
        <v>49.77</v>
      </c>
      <c r="K284">
        <v>208.25</v>
      </c>
      <c r="L284">
        <v>0.45</v>
      </c>
      <c r="M284">
        <v>55.39</v>
      </c>
      <c r="N284">
        <v>0.96</v>
      </c>
      <c r="O284" t="s">
        <v>20</v>
      </c>
      <c r="P284" t="s">
        <v>21</v>
      </c>
      <c r="Q284">
        <f t="shared" si="20"/>
        <v>20</v>
      </c>
      <c r="R284" s="4">
        <f>RANK(N284,$N$2:N$2800,0)</f>
        <v>1301</v>
      </c>
      <c r="S284">
        <f t="shared" si="21"/>
        <v>3</v>
      </c>
      <c r="T284" t="str">
        <f t="shared" si="22"/>
        <v>Good</v>
      </c>
      <c r="U284" t="str" cm="1">
        <f t="array" ref="U284">_xlfn.LET(_xlpm.roles,_xlfn.UNIQUE(D284:D3082),_xlpm.kills, SUMIF(D284:D3082,_xlpm.roles,G284:G3082),INDEX(_xlpm.roles,MATCH(MAX(_xlpm.kills),_xlpm.kills,0)))</f>
        <v>Entry Fragger</v>
      </c>
      <c r="V284" t="str">
        <f t="shared" si="23"/>
        <v>Medium Accuracy</v>
      </c>
      <c r="W284" t="str" cm="1">
        <f t="array" ref="W284">_xlfn.LET(_xlpm.roles,_xlfn.UNIQUE(D284:D3082), _xlpm.counts,COUNTIF(D284:D3082,_xlpm.roles), INDEX(_xlpm.roles,MATCH(MAX(_xlpm.counts),_xlpm.counts,0)))</f>
        <v>Entry Fragger</v>
      </c>
      <c r="X284" s="2">
        <f t="shared" si="24"/>
        <v>13.135802469135802</v>
      </c>
    </row>
    <row r="285" spans="1:24" x14ac:dyDescent="0.3">
      <c r="A285">
        <v>309</v>
      </c>
      <c r="B285">
        <v>49</v>
      </c>
      <c r="C285" t="s">
        <v>27</v>
      </c>
      <c r="D285" t="s">
        <v>31</v>
      </c>
      <c r="E285" t="s">
        <v>29</v>
      </c>
      <c r="F285" t="s">
        <v>34</v>
      </c>
      <c r="G285">
        <v>15</v>
      </c>
      <c r="H285">
        <v>6</v>
      </c>
      <c r="I285">
        <v>13</v>
      </c>
      <c r="J285">
        <v>42.97</v>
      </c>
      <c r="K285">
        <v>200.11</v>
      </c>
      <c r="L285">
        <v>0.98</v>
      </c>
      <c r="M285">
        <v>34.69</v>
      </c>
      <c r="N285">
        <v>0.73</v>
      </c>
      <c r="O285" t="s">
        <v>20</v>
      </c>
      <c r="P285" t="s">
        <v>21</v>
      </c>
      <c r="Q285">
        <f t="shared" si="20"/>
        <v>8</v>
      </c>
      <c r="R285" s="4">
        <f>RANK(N285,$N$2:N$2800,0)</f>
        <v>2642</v>
      </c>
      <c r="S285">
        <f t="shared" si="21"/>
        <v>1.1538461538461537</v>
      </c>
      <c r="T285" t="str">
        <f t="shared" si="22"/>
        <v>Low</v>
      </c>
      <c r="U285" t="str" cm="1">
        <f t="array" ref="U285">_xlfn.LET(_xlpm.roles,_xlfn.UNIQUE(D285:D3083),_xlpm.kills, SUMIF(D285:D3083,_xlpm.roles,G285:G3083),INDEX(_xlpm.roles,MATCH(MAX(_xlpm.kills),_xlpm.kills,0)))</f>
        <v>Entry Fragger</v>
      </c>
      <c r="V285" t="str">
        <f t="shared" si="23"/>
        <v>Medium Accuracy</v>
      </c>
      <c r="W285" t="str" cm="1">
        <f t="array" ref="W285">_xlfn.LET(_xlpm.roles,_xlfn.UNIQUE(D285:D3083), _xlpm.counts,COUNTIF(D285:D3083,_xlpm.roles), INDEX(_xlpm.roles,MATCH(MAX(_xlpm.counts),_xlpm.counts,0)))</f>
        <v>Entry Fragger</v>
      </c>
      <c r="X285" s="2">
        <f t="shared" si="24"/>
        <v>13.057077625570777</v>
      </c>
    </row>
    <row r="286" spans="1:24" x14ac:dyDescent="0.3">
      <c r="A286">
        <v>654</v>
      </c>
      <c r="B286">
        <v>49</v>
      </c>
      <c r="C286" t="s">
        <v>39</v>
      </c>
      <c r="D286" t="s">
        <v>22</v>
      </c>
      <c r="E286" t="s">
        <v>33</v>
      </c>
      <c r="F286" t="s">
        <v>26</v>
      </c>
      <c r="G286">
        <v>10</v>
      </c>
      <c r="H286">
        <v>11</v>
      </c>
      <c r="I286">
        <v>7</v>
      </c>
      <c r="J286">
        <v>44.47</v>
      </c>
      <c r="K286">
        <v>206.12</v>
      </c>
      <c r="L286">
        <v>0.66</v>
      </c>
      <c r="M286">
        <v>39.630000000000003</v>
      </c>
      <c r="N286">
        <v>0.94</v>
      </c>
      <c r="O286" t="s">
        <v>20</v>
      </c>
      <c r="P286" t="s">
        <v>21</v>
      </c>
      <c r="Q286">
        <f t="shared" si="20"/>
        <v>14</v>
      </c>
      <c r="R286" s="4">
        <f>RANK(N286,$N$2:N$2800,0)</f>
        <v>1431</v>
      </c>
      <c r="S286">
        <f t="shared" si="21"/>
        <v>1.4285714285714286</v>
      </c>
      <c r="T286" t="str">
        <f t="shared" si="22"/>
        <v>Low</v>
      </c>
      <c r="U286" t="str" cm="1">
        <f t="array" ref="U286">_xlfn.LET(_xlpm.roles,_xlfn.UNIQUE(D286:D3084),_xlpm.kills, SUMIF(D286:D3084,_xlpm.roles,G286:G3084),INDEX(_xlpm.roles,MATCH(MAX(_xlpm.kills),_xlpm.kills,0)))</f>
        <v>Entry Fragger</v>
      </c>
      <c r="V286" t="str">
        <f t="shared" si="23"/>
        <v>Medium Accuracy</v>
      </c>
      <c r="W286" t="str" cm="1">
        <f t="array" ref="W286">_xlfn.LET(_xlpm.roles,_xlfn.UNIQUE(D286:D3084), _xlpm.counts,COUNTIF(D286:D3084,_xlpm.roles), INDEX(_xlpm.roles,MATCH(MAX(_xlpm.counts),_xlpm.counts,0)))</f>
        <v>Entry Fragger</v>
      </c>
      <c r="X286" s="2">
        <f t="shared" si="24"/>
        <v>13.103594080338267</v>
      </c>
    </row>
    <row r="287" spans="1:24" x14ac:dyDescent="0.3">
      <c r="A287">
        <v>1375</v>
      </c>
      <c r="B287">
        <v>49</v>
      </c>
      <c r="C287" t="s">
        <v>27</v>
      </c>
      <c r="D287" t="s">
        <v>28</v>
      </c>
      <c r="E287" t="s">
        <v>33</v>
      </c>
      <c r="F287" t="s">
        <v>37</v>
      </c>
      <c r="G287">
        <v>8</v>
      </c>
      <c r="H287">
        <v>7</v>
      </c>
      <c r="I287">
        <v>10</v>
      </c>
      <c r="J287">
        <v>57.57</v>
      </c>
      <c r="K287">
        <v>241.96</v>
      </c>
      <c r="L287">
        <v>0.06</v>
      </c>
      <c r="M287">
        <v>41.18</v>
      </c>
      <c r="N287">
        <v>0.76</v>
      </c>
      <c r="O287" t="s">
        <v>20</v>
      </c>
      <c r="P287" t="s">
        <v>21</v>
      </c>
      <c r="Q287">
        <f t="shared" si="20"/>
        <v>5</v>
      </c>
      <c r="R287" s="4">
        <f>RANK(N287,$N$2:N$2800,0)</f>
        <v>2547</v>
      </c>
      <c r="S287">
        <f t="shared" si="21"/>
        <v>0.8</v>
      </c>
      <c r="T287" t="str">
        <f t="shared" si="22"/>
        <v>Low</v>
      </c>
      <c r="U287" t="str" cm="1">
        <f t="array" ref="U287">_xlfn.LET(_xlpm.roles,_xlfn.UNIQUE(D287:D3085),_xlpm.kills, SUMIF(D287:D3085,_xlpm.roles,G287:G3085),INDEX(_xlpm.roles,MATCH(MAX(_xlpm.kills),_xlpm.kills,0)))</f>
        <v>Entry Fragger</v>
      </c>
      <c r="V287" t="str">
        <f t="shared" si="23"/>
        <v>High Accuracy</v>
      </c>
      <c r="W287" t="str" cm="1">
        <f t="array" ref="W287">_xlfn.LET(_xlpm.roles,_xlfn.UNIQUE(D287:D3085), _xlpm.counts,COUNTIF(D287:D3085,_xlpm.roles), INDEX(_xlpm.roles,MATCH(MAX(_xlpm.counts),_xlpm.counts,0)))</f>
        <v>Entry Fragger</v>
      </c>
      <c r="X287" s="2">
        <f t="shared" si="24"/>
        <v>13.057077625570777</v>
      </c>
    </row>
    <row r="288" spans="1:24" x14ac:dyDescent="0.3">
      <c r="A288">
        <v>1873</v>
      </c>
      <c r="B288">
        <v>49</v>
      </c>
      <c r="C288" t="s">
        <v>35</v>
      </c>
      <c r="D288" t="s">
        <v>36</v>
      </c>
      <c r="E288" t="s">
        <v>33</v>
      </c>
      <c r="F288" t="s">
        <v>24</v>
      </c>
      <c r="G288">
        <v>9</v>
      </c>
      <c r="H288">
        <v>7</v>
      </c>
      <c r="I288">
        <v>5</v>
      </c>
      <c r="J288">
        <v>46.07</v>
      </c>
      <c r="K288">
        <v>208.65</v>
      </c>
      <c r="L288">
        <v>0.59</v>
      </c>
      <c r="M288">
        <v>37.130000000000003</v>
      </c>
      <c r="N288">
        <v>0.88</v>
      </c>
      <c r="O288" t="s">
        <v>20</v>
      </c>
      <c r="P288" t="s">
        <v>21</v>
      </c>
      <c r="Q288">
        <f t="shared" si="20"/>
        <v>11</v>
      </c>
      <c r="R288" s="4">
        <f>RANK(N288,$N$2:N$2800,0)</f>
        <v>1894</v>
      </c>
      <c r="S288">
        <f t="shared" si="21"/>
        <v>1.8</v>
      </c>
      <c r="T288" t="str">
        <f t="shared" si="22"/>
        <v>Low</v>
      </c>
      <c r="U288" t="str" cm="1">
        <f t="array" ref="U288">_xlfn.LET(_xlpm.roles,_xlfn.UNIQUE(D288:D3086),_xlpm.kills, SUMIF(D288:D3086,_xlpm.roles,G288:G3086),INDEX(_xlpm.roles,MATCH(MAX(_xlpm.kills),_xlpm.kills,0)))</f>
        <v>Entry Fragger</v>
      </c>
      <c r="V288" t="str">
        <f t="shared" si="23"/>
        <v>Medium Accuracy</v>
      </c>
      <c r="W288" t="str" cm="1">
        <f t="array" ref="W288">_xlfn.LET(_xlpm.roles,_xlfn.UNIQUE(D288:D3086), _xlpm.counts,COUNTIF(D288:D3086,_xlpm.roles), INDEX(_xlpm.roles,MATCH(MAX(_xlpm.counts),_xlpm.counts,0)))</f>
        <v>Entry Fragger</v>
      </c>
      <c r="X288" s="2">
        <f t="shared" si="24"/>
        <v>12.599585062240664</v>
      </c>
    </row>
    <row r="289" spans="1:24" x14ac:dyDescent="0.3">
      <c r="A289">
        <v>631</v>
      </c>
      <c r="B289">
        <v>50</v>
      </c>
      <c r="C289" t="s">
        <v>25</v>
      </c>
      <c r="D289" t="s">
        <v>22</v>
      </c>
      <c r="E289" t="s">
        <v>29</v>
      </c>
      <c r="F289" t="s">
        <v>34</v>
      </c>
      <c r="G289">
        <v>16</v>
      </c>
      <c r="H289">
        <v>8</v>
      </c>
      <c r="I289">
        <v>12</v>
      </c>
      <c r="J289">
        <v>38.53</v>
      </c>
      <c r="K289">
        <v>189.23</v>
      </c>
      <c r="L289">
        <v>0.56000000000000005</v>
      </c>
      <c r="M289">
        <v>41.66</v>
      </c>
      <c r="N289">
        <v>1</v>
      </c>
      <c r="O289" t="s">
        <v>20</v>
      </c>
      <c r="P289" t="s">
        <v>21</v>
      </c>
      <c r="Q289">
        <f t="shared" si="20"/>
        <v>12</v>
      </c>
      <c r="R289" s="4">
        <f>RANK(N289,$N$2:N$2800,0)</f>
        <v>1</v>
      </c>
      <c r="S289">
        <f t="shared" si="21"/>
        <v>1.3333333333333333</v>
      </c>
      <c r="T289" t="str">
        <f t="shared" si="22"/>
        <v>Low</v>
      </c>
      <c r="U289" t="str" cm="1">
        <f t="array" ref="U289">_xlfn.LET(_xlpm.roles,_xlfn.UNIQUE(D289:D3087),_xlpm.kills, SUMIF(D289:D3087,_xlpm.roles,G289:G3087),INDEX(_xlpm.roles,MATCH(MAX(_xlpm.kills),_xlpm.kills,0)))</f>
        <v>Entry Fragger</v>
      </c>
      <c r="V289" t="str">
        <f t="shared" si="23"/>
        <v>Medium Accuracy</v>
      </c>
      <c r="W289" t="str" cm="1">
        <f t="array" ref="W289">_xlfn.LET(_xlpm.roles,_xlfn.UNIQUE(D289:D3087), _xlpm.counts,COUNTIF(D289:D3087,_xlpm.roles), INDEX(_xlpm.roles,MATCH(MAX(_xlpm.counts),_xlpm.counts,0)))</f>
        <v>Entry Fragger</v>
      </c>
      <c r="X289" s="2">
        <f t="shared" si="24"/>
        <v>12.809421841541756</v>
      </c>
    </row>
    <row r="290" spans="1:24" x14ac:dyDescent="0.3">
      <c r="A290">
        <v>740</v>
      </c>
      <c r="B290">
        <v>50</v>
      </c>
      <c r="C290" t="s">
        <v>30</v>
      </c>
      <c r="D290" t="s">
        <v>31</v>
      </c>
      <c r="E290" t="s">
        <v>33</v>
      </c>
      <c r="F290" t="s">
        <v>26</v>
      </c>
      <c r="G290">
        <v>14</v>
      </c>
      <c r="H290">
        <v>4</v>
      </c>
      <c r="I290">
        <v>2</v>
      </c>
      <c r="J290">
        <v>49.97</v>
      </c>
      <c r="K290">
        <v>229.76</v>
      </c>
      <c r="L290">
        <v>0.36</v>
      </c>
      <c r="M290">
        <v>51.38</v>
      </c>
      <c r="N290">
        <v>1</v>
      </c>
      <c r="O290" t="s">
        <v>20</v>
      </c>
      <c r="P290" t="s">
        <v>21</v>
      </c>
      <c r="Q290">
        <f t="shared" si="20"/>
        <v>16</v>
      </c>
      <c r="R290" s="4">
        <f>RANK(N290,$N$2:N$2800,0)</f>
        <v>1</v>
      </c>
      <c r="S290">
        <f t="shared" si="21"/>
        <v>7</v>
      </c>
      <c r="T290" t="str">
        <f t="shared" si="22"/>
        <v>Good</v>
      </c>
      <c r="U290" t="str" cm="1">
        <f t="array" ref="U290">_xlfn.LET(_xlpm.roles,_xlfn.UNIQUE(D290:D3088),_xlpm.kills, SUMIF(D290:D3088,_xlpm.roles,G290:G3088),INDEX(_xlpm.roles,MATCH(MAX(_xlpm.kills),_xlpm.kills,0)))</f>
        <v>Entry Fragger</v>
      </c>
      <c r="V290" t="str">
        <f t="shared" si="23"/>
        <v>Medium Accuracy</v>
      </c>
      <c r="W290" t="str" cm="1">
        <f t="array" ref="W290">_xlfn.LET(_xlpm.roles,_xlfn.UNIQUE(D290:D3088), _xlpm.counts,COUNTIF(D290:D3088,_xlpm.roles), INDEX(_xlpm.roles,MATCH(MAX(_xlpm.counts),_xlpm.counts,0)))</f>
        <v>Entry Fragger</v>
      </c>
      <c r="X290" s="2">
        <f t="shared" si="24"/>
        <v>13.135802469135802</v>
      </c>
    </row>
    <row r="291" spans="1:24" x14ac:dyDescent="0.3">
      <c r="A291">
        <v>1510</v>
      </c>
      <c r="B291">
        <v>50</v>
      </c>
      <c r="C291" t="s">
        <v>27</v>
      </c>
      <c r="D291" t="s">
        <v>28</v>
      </c>
      <c r="E291" t="s">
        <v>32</v>
      </c>
      <c r="F291" t="s">
        <v>37</v>
      </c>
      <c r="G291">
        <v>19</v>
      </c>
      <c r="H291">
        <v>5</v>
      </c>
      <c r="I291">
        <v>13</v>
      </c>
      <c r="J291">
        <v>35.28</v>
      </c>
      <c r="K291">
        <v>180.95</v>
      </c>
      <c r="L291">
        <v>0.83</v>
      </c>
      <c r="M291">
        <v>39.340000000000003</v>
      </c>
      <c r="N291">
        <v>0.91</v>
      </c>
      <c r="O291" t="s">
        <v>20</v>
      </c>
      <c r="P291" t="s">
        <v>21</v>
      </c>
      <c r="Q291">
        <f t="shared" si="20"/>
        <v>11</v>
      </c>
      <c r="R291" s="4">
        <f>RANK(N291,$N$2:N$2800,0)</f>
        <v>1665</v>
      </c>
      <c r="S291">
        <f t="shared" si="21"/>
        <v>1.4615384615384615</v>
      </c>
      <c r="T291" t="str">
        <f t="shared" si="22"/>
        <v>Low</v>
      </c>
      <c r="U291" t="str" cm="1">
        <f t="array" ref="U291">_xlfn.LET(_xlpm.roles,_xlfn.UNIQUE(D291:D3089),_xlpm.kills, SUMIF(D291:D3089,_xlpm.roles,G291:G3089),INDEX(_xlpm.roles,MATCH(MAX(_xlpm.kills),_xlpm.kills,0)))</f>
        <v>Entry Fragger</v>
      </c>
      <c r="V291" t="str">
        <f t="shared" si="23"/>
        <v>Medium Accuracy</v>
      </c>
      <c r="W291" t="str" cm="1">
        <f t="array" ref="W291">_xlfn.LET(_xlpm.roles,_xlfn.UNIQUE(D291:D3089), _xlpm.counts,COUNTIF(D291:D3089,_xlpm.roles), INDEX(_xlpm.roles,MATCH(MAX(_xlpm.counts),_xlpm.counts,0)))</f>
        <v>Entry Fragger</v>
      </c>
      <c r="X291" s="2">
        <f t="shared" si="24"/>
        <v>13.057077625570777</v>
      </c>
    </row>
    <row r="292" spans="1:24" x14ac:dyDescent="0.3">
      <c r="A292">
        <v>1678</v>
      </c>
      <c r="B292">
        <v>50</v>
      </c>
      <c r="C292" t="s">
        <v>25</v>
      </c>
      <c r="D292" t="s">
        <v>22</v>
      </c>
      <c r="E292" t="s">
        <v>33</v>
      </c>
      <c r="F292" t="s">
        <v>34</v>
      </c>
      <c r="G292">
        <v>9</v>
      </c>
      <c r="H292">
        <v>2</v>
      </c>
      <c r="I292">
        <v>4</v>
      </c>
      <c r="J292">
        <v>47.2</v>
      </c>
      <c r="K292">
        <v>209.72</v>
      </c>
      <c r="L292">
        <v>0.17</v>
      </c>
      <c r="M292">
        <v>37.9</v>
      </c>
      <c r="N292">
        <v>0.65</v>
      </c>
      <c r="O292" t="s">
        <v>20</v>
      </c>
      <c r="P292" t="s">
        <v>21</v>
      </c>
      <c r="Q292">
        <f t="shared" si="20"/>
        <v>7</v>
      </c>
      <c r="R292" s="4">
        <f>RANK(N292,$N$2:N$2800,0)</f>
        <v>2756</v>
      </c>
      <c r="S292">
        <f t="shared" si="21"/>
        <v>2.25</v>
      </c>
      <c r="T292" t="str">
        <f t="shared" si="22"/>
        <v>Low</v>
      </c>
      <c r="U292" t="str" cm="1">
        <f t="array" ref="U292">_xlfn.LET(_xlpm.roles,_xlfn.UNIQUE(D292:D3090),_xlpm.kills, SUMIF(D292:D3090,_xlpm.roles,G292:G3090),INDEX(_xlpm.roles,MATCH(MAX(_xlpm.kills),_xlpm.kills,0)))</f>
        <v>Entry Fragger</v>
      </c>
      <c r="V292" t="str">
        <f t="shared" si="23"/>
        <v>Medium Accuracy</v>
      </c>
      <c r="W292" t="str" cm="1">
        <f t="array" ref="W292">_xlfn.LET(_xlpm.roles,_xlfn.UNIQUE(D292:D3090), _xlpm.counts,COUNTIF(D292:D3090,_xlpm.roles), INDEX(_xlpm.roles,MATCH(MAX(_xlpm.counts),_xlpm.counts,0)))</f>
        <v>Entry Fragger</v>
      </c>
      <c r="X292" s="2">
        <f t="shared" si="24"/>
        <v>12.809421841541756</v>
      </c>
    </row>
    <row r="293" spans="1:24" x14ac:dyDescent="0.3">
      <c r="A293">
        <v>2126</v>
      </c>
      <c r="B293">
        <v>50</v>
      </c>
      <c r="C293" t="s">
        <v>27</v>
      </c>
      <c r="D293" t="s">
        <v>17</v>
      </c>
      <c r="E293" t="s">
        <v>32</v>
      </c>
      <c r="F293" t="s">
        <v>19</v>
      </c>
      <c r="G293">
        <v>12</v>
      </c>
      <c r="H293">
        <v>11</v>
      </c>
      <c r="I293">
        <v>11</v>
      </c>
      <c r="J293">
        <v>39.76</v>
      </c>
      <c r="K293">
        <v>244.18</v>
      </c>
      <c r="L293">
        <v>0.84</v>
      </c>
      <c r="M293">
        <v>35.479999999999997</v>
      </c>
      <c r="N293">
        <v>0.77</v>
      </c>
      <c r="O293" t="s">
        <v>20</v>
      </c>
      <c r="P293" t="s">
        <v>21</v>
      </c>
      <c r="Q293">
        <f t="shared" si="20"/>
        <v>12</v>
      </c>
      <c r="R293" s="4">
        <f>RANK(N293,$N$2:N$2800,0)</f>
        <v>2511</v>
      </c>
      <c r="S293">
        <f t="shared" si="21"/>
        <v>1.0909090909090908</v>
      </c>
      <c r="T293" t="str">
        <f t="shared" si="22"/>
        <v>Low</v>
      </c>
      <c r="U293" t="str" cm="1">
        <f t="array" ref="U293">_xlfn.LET(_xlpm.roles,_xlfn.UNIQUE(D293:D3091),_xlpm.kills, SUMIF(D293:D3091,_xlpm.roles,G293:G3091),INDEX(_xlpm.roles,MATCH(MAX(_xlpm.kills),_xlpm.kills,0)))</f>
        <v>Entry Fragger</v>
      </c>
      <c r="V293" t="str">
        <f t="shared" si="23"/>
        <v>Medium Accuracy</v>
      </c>
      <c r="W293" t="str" cm="1">
        <f t="array" ref="W293">_xlfn.LET(_xlpm.roles,_xlfn.UNIQUE(D293:D3091), _xlpm.counts,COUNTIF(D293:D3091,_xlpm.roles), INDEX(_xlpm.roles,MATCH(MAX(_xlpm.counts),_xlpm.counts,0)))</f>
        <v>Entry Fragger</v>
      </c>
      <c r="X293" s="2">
        <f t="shared" si="24"/>
        <v>13.057077625570777</v>
      </c>
    </row>
    <row r="294" spans="1:24" x14ac:dyDescent="0.3">
      <c r="A294">
        <v>2275</v>
      </c>
      <c r="B294">
        <v>50</v>
      </c>
      <c r="C294" t="s">
        <v>39</v>
      </c>
      <c r="D294" t="s">
        <v>28</v>
      </c>
      <c r="E294" t="s">
        <v>29</v>
      </c>
      <c r="F294" t="s">
        <v>24</v>
      </c>
      <c r="G294">
        <v>10</v>
      </c>
      <c r="H294">
        <v>8</v>
      </c>
      <c r="I294">
        <v>12</v>
      </c>
      <c r="J294">
        <v>41.04</v>
      </c>
      <c r="K294">
        <v>211.83</v>
      </c>
      <c r="L294">
        <v>0.53</v>
      </c>
      <c r="M294">
        <v>31.22</v>
      </c>
      <c r="N294">
        <v>0.89</v>
      </c>
      <c r="O294" t="s">
        <v>20</v>
      </c>
      <c r="P294" t="s">
        <v>21</v>
      </c>
      <c r="Q294">
        <f t="shared" si="20"/>
        <v>6</v>
      </c>
      <c r="R294" s="4">
        <f>RANK(N294,$N$2:N$2800,0)</f>
        <v>1815</v>
      </c>
      <c r="S294">
        <f t="shared" si="21"/>
        <v>0.83333333333333337</v>
      </c>
      <c r="T294" t="str">
        <f t="shared" si="22"/>
        <v>Low</v>
      </c>
      <c r="U294" t="str" cm="1">
        <f t="array" ref="U294">_xlfn.LET(_xlpm.roles,_xlfn.UNIQUE(D294:D3092),_xlpm.kills, SUMIF(D294:D3092,_xlpm.roles,G294:G3092),INDEX(_xlpm.roles,MATCH(MAX(_xlpm.kills),_xlpm.kills,0)))</f>
        <v>Entry Fragger</v>
      </c>
      <c r="V294" t="str">
        <f t="shared" si="23"/>
        <v>Medium Accuracy</v>
      </c>
      <c r="W294" t="str" cm="1">
        <f t="array" ref="W294">_xlfn.LET(_xlpm.roles,_xlfn.UNIQUE(D294:D3092), _xlpm.counts,COUNTIF(D294:D3092,_xlpm.roles), INDEX(_xlpm.roles,MATCH(MAX(_xlpm.counts),_xlpm.counts,0)))</f>
        <v>Entry Fragger</v>
      </c>
      <c r="X294" s="2">
        <f t="shared" si="24"/>
        <v>13.103594080338267</v>
      </c>
    </row>
    <row r="295" spans="1:24" x14ac:dyDescent="0.3">
      <c r="A295">
        <v>1485</v>
      </c>
      <c r="B295">
        <v>51</v>
      </c>
      <c r="C295" t="s">
        <v>30</v>
      </c>
      <c r="D295" t="s">
        <v>36</v>
      </c>
      <c r="E295" t="s">
        <v>18</v>
      </c>
      <c r="F295" t="s">
        <v>37</v>
      </c>
      <c r="G295">
        <v>13</v>
      </c>
      <c r="H295">
        <v>6</v>
      </c>
      <c r="I295">
        <v>9</v>
      </c>
      <c r="J295">
        <v>48.89</v>
      </c>
      <c r="K295">
        <v>185.15</v>
      </c>
      <c r="L295">
        <v>0.54</v>
      </c>
      <c r="M295">
        <v>42.05</v>
      </c>
      <c r="N295">
        <v>0.89</v>
      </c>
      <c r="O295" t="s">
        <v>20</v>
      </c>
      <c r="P295" t="s">
        <v>21</v>
      </c>
      <c r="Q295">
        <f t="shared" si="20"/>
        <v>10</v>
      </c>
      <c r="R295" s="4">
        <f>RANK(N295,$N$2:N$2800,0)</f>
        <v>1815</v>
      </c>
      <c r="S295">
        <f t="shared" si="21"/>
        <v>1.4444444444444444</v>
      </c>
      <c r="T295" t="str">
        <f t="shared" si="22"/>
        <v>Low</v>
      </c>
      <c r="U295" t="str" cm="1">
        <f t="array" ref="U295">_xlfn.LET(_xlpm.roles,_xlfn.UNIQUE(D295:D3093),_xlpm.kills, SUMIF(D295:D3093,_xlpm.roles,G295:G3093),INDEX(_xlpm.roles,MATCH(MAX(_xlpm.kills),_xlpm.kills,0)))</f>
        <v>Entry Fragger</v>
      </c>
      <c r="V295" t="str">
        <f t="shared" si="23"/>
        <v>Medium Accuracy</v>
      </c>
      <c r="W295" t="str" cm="1">
        <f t="array" ref="W295">_xlfn.LET(_xlpm.roles,_xlfn.UNIQUE(D295:D3093), _xlpm.counts,COUNTIF(D295:D3093,_xlpm.roles), INDEX(_xlpm.roles,MATCH(MAX(_xlpm.counts),_xlpm.counts,0)))</f>
        <v>Entry Fragger</v>
      </c>
      <c r="X295" s="2">
        <f t="shared" si="24"/>
        <v>13.135802469135802</v>
      </c>
    </row>
    <row r="296" spans="1:24" x14ac:dyDescent="0.3">
      <c r="A296">
        <v>566</v>
      </c>
      <c r="B296">
        <v>52</v>
      </c>
      <c r="C296" t="s">
        <v>25</v>
      </c>
      <c r="D296" t="s">
        <v>28</v>
      </c>
      <c r="E296" t="s">
        <v>32</v>
      </c>
      <c r="F296" t="s">
        <v>24</v>
      </c>
      <c r="G296">
        <v>11</v>
      </c>
      <c r="H296">
        <v>15</v>
      </c>
      <c r="I296">
        <v>14</v>
      </c>
      <c r="J296">
        <v>52.17</v>
      </c>
      <c r="K296">
        <v>188.26</v>
      </c>
      <c r="L296">
        <v>0</v>
      </c>
      <c r="M296">
        <v>49.09</v>
      </c>
      <c r="N296">
        <v>1</v>
      </c>
      <c r="O296" t="s">
        <v>20</v>
      </c>
      <c r="P296" t="s">
        <v>21</v>
      </c>
      <c r="Q296">
        <f t="shared" si="20"/>
        <v>12</v>
      </c>
      <c r="R296" s="4">
        <f>RANK(N296,$N$2:N$2800,0)</f>
        <v>1</v>
      </c>
      <c r="S296">
        <f t="shared" si="21"/>
        <v>0.7857142857142857</v>
      </c>
      <c r="T296" t="str">
        <f t="shared" si="22"/>
        <v>Low</v>
      </c>
      <c r="U296" t="str" cm="1">
        <f t="array" ref="U296">_xlfn.LET(_xlpm.roles,_xlfn.UNIQUE(D296:D3094),_xlpm.kills, SUMIF(D296:D3094,_xlpm.roles,G296:G3094),INDEX(_xlpm.roles,MATCH(MAX(_xlpm.kills),_xlpm.kills,0)))</f>
        <v>Entry Fragger</v>
      </c>
      <c r="V296" t="str">
        <f t="shared" si="23"/>
        <v>High Accuracy</v>
      </c>
      <c r="W296" t="str" cm="1">
        <f t="array" ref="W296">_xlfn.LET(_xlpm.roles,_xlfn.UNIQUE(D296:D3094), _xlpm.counts,COUNTIF(D296:D3094,_xlpm.roles), INDEX(_xlpm.roles,MATCH(MAX(_xlpm.counts),_xlpm.counts,0)))</f>
        <v>Entry Fragger</v>
      </c>
      <c r="X296" s="2">
        <f t="shared" si="24"/>
        <v>12.809421841541756</v>
      </c>
    </row>
    <row r="297" spans="1:24" x14ac:dyDescent="0.3">
      <c r="A297">
        <v>718</v>
      </c>
      <c r="B297">
        <v>52</v>
      </c>
      <c r="C297" t="s">
        <v>27</v>
      </c>
      <c r="D297" t="s">
        <v>17</v>
      </c>
      <c r="E297" t="s">
        <v>33</v>
      </c>
      <c r="F297" t="s">
        <v>26</v>
      </c>
      <c r="G297">
        <v>19</v>
      </c>
      <c r="H297">
        <v>7</v>
      </c>
      <c r="I297">
        <v>9</v>
      </c>
      <c r="J297">
        <v>46.42</v>
      </c>
      <c r="K297">
        <v>204.68</v>
      </c>
      <c r="L297">
        <v>0.47</v>
      </c>
      <c r="M297">
        <v>54.51</v>
      </c>
      <c r="N297">
        <v>1</v>
      </c>
      <c r="O297" t="s">
        <v>20</v>
      </c>
      <c r="P297" t="s">
        <v>21</v>
      </c>
      <c r="Q297">
        <f t="shared" si="20"/>
        <v>17</v>
      </c>
      <c r="R297" s="4">
        <f>RANK(N297,$N$2:N$2800,0)</f>
        <v>1</v>
      </c>
      <c r="S297">
        <f t="shared" si="21"/>
        <v>2.1111111111111112</v>
      </c>
      <c r="T297" t="str">
        <f t="shared" si="22"/>
        <v>Good</v>
      </c>
      <c r="U297" t="str" cm="1">
        <f t="array" ref="U297">_xlfn.LET(_xlpm.roles,_xlfn.UNIQUE(D297:D3095),_xlpm.kills, SUMIF(D297:D3095,_xlpm.roles,G297:G3095),INDEX(_xlpm.roles,MATCH(MAX(_xlpm.kills),_xlpm.kills,0)))</f>
        <v>Entry Fragger</v>
      </c>
      <c r="V297" t="str">
        <f t="shared" si="23"/>
        <v>Medium Accuracy</v>
      </c>
      <c r="W297" t="str" cm="1">
        <f t="array" ref="W297">_xlfn.LET(_xlpm.roles,_xlfn.UNIQUE(D297:D3095), _xlpm.counts,COUNTIF(D297:D3095,_xlpm.roles), INDEX(_xlpm.roles,MATCH(MAX(_xlpm.counts),_xlpm.counts,0)))</f>
        <v>Entry Fragger</v>
      </c>
      <c r="X297" s="2">
        <f t="shared" si="24"/>
        <v>13.057077625570777</v>
      </c>
    </row>
    <row r="298" spans="1:24" x14ac:dyDescent="0.3">
      <c r="A298">
        <v>1526</v>
      </c>
      <c r="B298">
        <v>52</v>
      </c>
      <c r="C298" t="s">
        <v>16</v>
      </c>
      <c r="D298" t="s">
        <v>36</v>
      </c>
      <c r="E298" t="s">
        <v>33</v>
      </c>
      <c r="F298" t="s">
        <v>19</v>
      </c>
      <c r="G298">
        <v>11</v>
      </c>
      <c r="H298">
        <v>8</v>
      </c>
      <c r="I298">
        <v>6</v>
      </c>
      <c r="J298">
        <v>44.55</v>
      </c>
      <c r="K298">
        <v>184.42</v>
      </c>
      <c r="L298">
        <v>0.81</v>
      </c>
      <c r="M298">
        <v>38.17</v>
      </c>
      <c r="N298">
        <v>0.96</v>
      </c>
      <c r="O298" t="s">
        <v>20</v>
      </c>
      <c r="P298" t="s">
        <v>21</v>
      </c>
      <c r="Q298">
        <f t="shared" si="20"/>
        <v>13</v>
      </c>
      <c r="R298" s="4">
        <f>RANK(N298,$N$2:N$2800,0)</f>
        <v>1301</v>
      </c>
      <c r="S298">
        <f t="shared" si="21"/>
        <v>1.8333333333333333</v>
      </c>
      <c r="T298" t="str">
        <f t="shared" si="22"/>
        <v>Low</v>
      </c>
      <c r="U298" t="str" cm="1">
        <f t="array" ref="U298">_xlfn.LET(_xlpm.roles,_xlfn.UNIQUE(D298:D3096),_xlpm.kills, SUMIF(D298:D3096,_xlpm.roles,G298:G3096),INDEX(_xlpm.roles,MATCH(MAX(_xlpm.kills),_xlpm.kills,0)))</f>
        <v>Entry Fragger</v>
      </c>
      <c r="V298" t="str">
        <f t="shared" si="23"/>
        <v>Medium Accuracy</v>
      </c>
      <c r="W298" t="str" cm="1">
        <f t="array" ref="W298">_xlfn.LET(_xlpm.roles,_xlfn.UNIQUE(D298:D3096), _xlpm.counts,COUNTIF(D298:D3096,_xlpm.roles), INDEX(_xlpm.roles,MATCH(MAX(_xlpm.counts),_xlpm.counts,0)))</f>
        <v>Entry Fragger</v>
      </c>
      <c r="X298" s="2">
        <f t="shared" si="24"/>
        <v>12.520971302428256</v>
      </c>
    </row>
    <row r="299" spans="1:24" x14ac:dyDescent="0.3">
      <c r="A299">
        <v>1794</v>
      </c>
      <c r="B299">
        <v>52</v>
      </c>
      <c r="C299" t="s">
        <v>39</v>
      </c>
      <c r="D299" t="s">
        <v>36</v>
      </c>
      <c r="E299" t="s">
        <v>18</v>
      </c>
      <c r="F299" t="s">
        <v>34</v>
      </c>
      <c r="G299">
        <v>9</v>
      </c>
      <c r="H299">
        <v>10</v>
      </c>
      <c r="I299">
        <v>12</v>
      </c>
      <c r="J299">
        <v>33.270000000000003</v>
      </c>
      <c r="K299">
        <v>224.2</v>
      </c>
      <c r="L299">
        <v>0.99</v>
      </c>
      <c r="M299">
        <v>22.74</v>
      </c>
      <c r="N299">
        <v>0.79</v>
      </c>
      <c r="O299" t="s">
        <v>20</v>
      </c>
      <c r="P299" t="s">
        <v>21</v>
      </c>
      <c r="Q299">
        <f t="shared" si="20"/>
        <v>7</v>
      </c>
      <c r="R299" s="4">
        <f>RANK(N299,$N$2:N$2800,0)</f>
        <v>2436</v>
      </c>
      <c r="S299">
        <f t="shared" si="21"/>
        <v>0.75</v>
      </c>
      <c r="T299" t="str">
        <f t="shared" si="22"/>
        <v>Low</v>
      </c>
      <c r="U299" t="str" cm="1">
        <f t="array" ref="U299">_xlfn.LET(_xlpm.roles,_xlfn.UNIQUE(D299:D3097),_xlpm.kills, SUMIF(D299:D3097,_xlpm.roles,G299:G3097),INDEX(_xlpm.roles,MATCH(MAX(_xlpm.kills),_xlpm.kills,0)))</f>
        <v>Entry Fragger</v>
      </c>
      <c r="V299" t="str">
        <f t="shared" si="23"/>
        <v>Medium Accuracy</v>
      </c>
      <c r="W299" t="str" cm="1">
        <f t="array" ref="W299">_xlfn.LET(_xlpm.roles,_xlfn.UNIQUE(D299:D3097), _xlpm.counts,COUNTIF(D299:D3097,_xlpm.roles), INDEX(_xlpm.roles,MATCH(MAX(_xlpm.counts),_xlpm.counts,0)))</f>
        <v>Entry Fragger</v>
      </c>
      <c r="X299" s="2">
        <f t="shared" si="24"/>
        <v>13.103594080338267</v>
      </c>
    </row>
    <row r="300" spans="1:24" x14ac:dyDescent="0.3">
      <c r="A300">
        <v>1915</v>
      </c>
      <c r="B300">
        <v>52</v>
      </c>
      <c r="C300" t="s">
        <v>39</v>
      </c>
      <c r="D300" t="s">
        <v>28</v>
      </c>
      <c r="E300" t="s">
        <v>29</v>
      </c>
      <c r="F300" t="s">
        <v>19</v>
      </c>
      <c r="G300">
        <v>11</v>
      </c>
      <c r="H300">
        <v>5</v>
      </c>
      <c r="I300">
        <v>11</v>
      </c>
      <c r="J300">
        <v>49.27</v>
      </c>
      <c r="K300">
        <v>226.66</v>
      </c>
      <c r="L300">
        <v>0.15</v>
      </c>
      <c r="M300">
        <v>39.14</v>
      </c>
      <c r="N300">
        <v>0.78</v>
      </c>
      <c r="O300" t="s">
        <v>20</v>
      </c>
      <c r="P300" t="s">
        <v>21</v>
      </c>
      <c r="Q300">
        <f t="shared" si="20"/>
        <v>5</v>
      </c>
      <c r="R300" s="4">
        <f>RANK(N300,$N$2:N$2800,0)</f>
        <v>2469</v>
      </c>
      <c r="S300">
        <f t="shared" si="21"/>
        <v>1</v>
      </c>
      <c r="T300" t="str">
        <f t="shared" si="22"/>
        <v>Low</v>
      </c>
      <c r="U300" t="str" cm="1">
        <f t="array" ref="U300">_xlfn.LET(_xlpm.roles,_xlfn.UNIQUE(D300:D3098),_xlpm.kills, SUMIF(D300:D3098,_xlpm.roles,G300:G3098),INDEX(_xlpm.roles,MATCH(MAX(_xlpm.kills),_xlpm.kills,0)))</f>
        <v>Entry Fragger</v>
      </c>
      <c r="V300" t="str">
        <f t="shared" si="23"/>
        <v>Medium Accuracy</v>
      </c>
      <c r="W300" t="str" cm="1">
        <f t="array" ref="W300">_xlfn.LET(_xlpm.roles,_xlfn.UNIQUE(D300:D3098), _xlpm.counts,COUNTIF(D300:D3098,_xlpm.roles), INDEX(_xlpm.roles,MATCH(MAX(_xlpm.counts),_xlpm.counts,0)))</f>
        <v>Entry Fragger</v>
      </c>
      <c r="X300" s="2">
        <f t="shared" si="24"/>
        <v>13.103594080338267</v>
      </c>
    </row>
    <row r="301" spans="1:24" x14ac:dyDescent="0.3">
      <c r="A301">
        <v>2023</v>
      </c>
      <c r="B301">
        <v>52</v>
      </c>
      <c r="C301" t="s">
        <v>27</v>
      </c>
      <c r="D301" t="s">
        <v>31</v>
      </c>
      <c r="E301" t="s">
        <v>33</v>
      </c>
      <c r="F301" t="s">
        <v>26</v>
      </c>
      <c r="G301">
        <v>17</v>
      </c>
      <c r="H301">
        <v>6</v>
      </c>
      <c r="I301">
        <v>8</v>
      </c>
      <c r="J301">
        <v>58.74</v>
      </c>
      <c r="K301">
        <v>253.59</v>
      </c>
      <c r="L301">
        <v>0.42</v>
      </c>
      <c r="M301">
        <v>57.17</v>
      </c>
      <c r="N301">
        <v>1</v>
      </c>
      <c r="O301" t="s">
        <v>20</v>
      </c>
      <c r="P301" t="s">
        <v>21</v>
      </c>
      <c r="Q301">
        <f t="shared" si="20"/>
        <v>15</v>
      </c>
      <c r="R301" s="4">
        <f>RANK(N301,$N$2:N$2800,0)</f>
        <v>1</v>
      </c>
      <c r="S301">
        <f t="shared" si="21"/>
        <v>2.125</v>
      </c>
      <c r="T301" t="str">
        <f t="shared" si="22"/>
        <v>Good</v>
      </c>
      <c r="U301" t="str" cm="1">
        <f t="array" ref="U301">_xlfn.LET(_xlpm.roles,_xlfn.UNIQUE(D301:D3099),_xlpm.kills, SUMIF(D301:D3099,_xlpm.roles,G301:G3099),INDEX(_xlpm.roles,MATCH(MAX(_xlpm.kills),_xlpm.kills,0)))</f>
        <v>Entry Fragger</v>
      </c>
      <c r="V301" t="str">
        <f t="shared" si="23"/>
        <v>High Accuracy</v>
      </c>
      <c r="W301" t="str" cm="1">
        <f t="array" ref="W301">_xlfn.LET(_xlpm.roles,_xlfn.UNIQUE(D301:D3099), _xlpm.counts,COUNTIF(D301:D3099,_xlpm.roles), INDEX(_xlpm.roles,MATCH(MAX(_xlpm.counts),_xlpm.counts,0)))</f>
        <v>Entry Fragger</v>
      </c>
      <c r="X301" s="2">
        <f t="shared" si="24"/>
        <v>13.057077625570777</v>
      </c>
    </row>
    <row r="302" spans="1:24" x14ac:dyDescent="0.3">
      <c r="A302">
        <v>2029</v>
      </c>
      <c r="B302">
        <v>52</v>
      </c>
      <c r="C302" t="s">
        <v>25</v>
      </c>
      <c r="D302" t="s">
        <v>17</v>
      </c>
      <c r="E302" t="s">
        <v>33</v>
      </c>
      <c r="F302" t="s">
        <v>34</v>
      </c>
      <c r="G302">
        <v>22</v>
      </c>
      <c r="H302">
        <v>6</v>
      </c>
      <c r="I302">
        <v>15</v>
      </c>
      <c r="J302">
        <v>40.31</v>
      </c>
      <c r="K302">
        <v>212.27</v>
      </c>
      <c r="L302">
        <v>0.54</v>
      </c>
      <c r="M302">
        <v>49.76</v>
      </c>
      <c r="N302">
        <v>0.99</v>
      </c>
      <c r="O302" t="s">
        <v>20</v>
      </c>
      <c r="P302" t="s">
        <v>21</v>
      </c>
      <c r="Q302">
        <f t="shared" si="20"/>
        <v>13</v>
      </c>
      <c r="R302" s="4">
        <f>RANK(N302,$N$2:N$2800,0)</f>
        <v>1080</v>
      </c>
      <c r="S302">
        <f t="shared" si="21"/>
        <v>1.4666666666666666</v>
      </c>
      <c r="T302" t="str">
        <f t="shared" si="22"/>
        <v>Low</v>
      </c>
      <c r="U302" t="str" cm="1">
        <f t="array" ref="U302">_xlfn.LET(_xlpm.roles,_xlfn.UNIQUE(D302:D3100),_xlpm.kills, SUMIF(D302:D3100,_xlpm.roles,G302:G3100),INDEX(_xlpm.roles,MATCH(MAX(_xlpm.kills),_xlpm.kills,0)))</f>
        <v>Entry Fragger</v>
      </c>
      <c r="V302" t="str">
        <f t="shared" si="23"/>
        <v>Medium Accuracy</v>
      </c>
      <c r="W302" t="str" cm="1">
        <f t="array" ref="W302">_xlfn.LET(_xlpm.roles,_xlfn.UNIQUE(D302:D3100), _xlpm.counts,COUNTIF(D302:D3100,_xlpm.roles), INDEX(_xlpm.roles,MATCH(MAX(_xlpm.counts),_xlpm.counts,0)))</f>
        <v>Entry Fragger</v>
      </c>
      <c r="X302" s="2">
        <f t="shared" si="24"/>
        <v>12.809421841541756</v>
      </c>
    </row>
    <row r="303" spans="1:24" x14ac:dyDescent="0.3">
      <c r="A303">
        <v>2657</v>
      </c>
      <c r="B303">
        <v>52</v>
      </c>
      <c r="C303" t="s">
        <v>35</v>
      </c>
      <c r="D303" t="s">
        <v>36</v>
      </c>
      <c r="E303" t="s">
        <v>18</v>
      </c>
      <c r="F303" t="s">
        <v>19</v>
      </c>
      <c r="G303">
        <v>16</v>
      </c>
      <c r="H303">
        <v>8</v>
      </c>
      <c r="I303">
        <v>8</v>
      </c>
      <c r="J303">
        <v>42.59</v>
      </c>
      <c r="K303">
        <v>271.83999999999997</v>
      </c>
      <c r="L303">
        <v>0.93</v>
      </c>
      <c r="M303">
        <v>44</v>
      </c>
      <c r="N303">
        <v>0.96</v>
      </c>
      <c r="O303" t="s">
        <v>20</v>
      </c>
      <c r="P303" t="s">
        <v>21</v>
      </c>
      <c r="Q303">
        <f t="shared" si="20"/>
        <v>16</v>
      </c>
      <c r="R303" s="4">
        <f>RANK(N303,$N$2:N$2800,0)</f>
        <v>1301</v>
      </c>
      <c r="S303">
        <f t="shared" si="21"/>
        <v>2</v>
      </c>
      <c r="T303" t="str">
        <f t="shared" si="22"/>
        <v>Good</v>
      </c>
      <c r="U303" t="str" cm="1">
        <f t="array" ref="U303">_xlfn.LET(_xlpm.roles,_xlfn.UNIQUE(D303:D3101),_xlpm.kills, SUMIF(D303:D3101,_xlpm.roles,G303:G3101),INDEX(_xlpm.roles,MATCH(MAX(_xlpm.kills),_xlpm.kills,0)))</f>
        <v>Entry Fragger</v>
      </c>
      <c r="V303" t="str">
        <f t="shared" si="23"/>
        <v>Medium Accuracy</v>
      </c>
      <c r="W303" t="str" cm="1">
        <f t="array" ref="W303">_xlfn.LET(_xlpm.roles,_xlfn.UNIQUE(D303:D3101), _xlpm.counts,COUNTIF(D303:D3101,_xlpm.roles), INDEX(_xlpm.roles,MATCH(MAX(_xlpm.counts),_xlpm.counts,0)))</f>
        <v>Entry Fragger</v>
      </c>
      <c r="X303" s="2">
        <f t="shared" si="24"/>
        <v>12.599585062240664</v>
      </c>
    </row>
    <row r="304" spans="1:24" x14ac:dyDescent="0.3">
      <c r="A304">
        <v>111</v>
      </c>
      <c r="B304">
        <v>53</v>
      </c>
      <c r="C304" t="s">
        <v>16</v>
      </c>
      <c r="D304" t="s">
        <v>31</v>
      </c>
      <c r="E304" t="s">
        <v>29</v>
      </c>
      <c r="F304" t="s">
        <v>26</v>
      </c>
      <c r="G304">
        <v>15</v>
      </c>
      <c r="H304">
        <v>10</v>
      </c>
      <c r="I304">
        <v>13</v>
      </c>
      <c r="J304">
        <v>54.51</v>
      </c>
      <c r="K304">
        <v>236.1</v>
      </c>
      <c r="L304">
        <v>0.4</v>
      </c>
      <c r="M304">
        <v>50.25</v>
      </c>
      <c r="N304">
        <v>1</v>
      </c>
      <c r="O304" t="s">
        <v>20</v>
      </c>
      <c r="P304" t="s">
        <v>21</v>
      </c>
      <c r="Q304">
        <f t="shared" si="20"/>
        <v>12</v>
      </c>
      <c r="R304" s="4">
        <f>RANK(N304,$N$2:N$2800,0)</f>
        <v>1</v>
      </c>
      <c r="S304">
        <f t="shared" si="21"/>
        <v>1.1538461538461537</v>
      </c>
      <c r="T304" t="str">
        <f t="shared" si="22"/>
        <v>Low</v>
      </c>
      <c r="U304" t="str" cm="1">
        <f t="array" ref="U304">_xlfn.LET(_xlpm.roles,_xlfn.UNIQUE(D304:D3102),_xlpm.kills, SUMIF(D304:D3102,_xlpm.roles,G304:G3102),INDEX(_xlpm.roles,MATCH(MAX(_xlpm.kills),_xlpm.kills,0)))</f>
        <v>Entry Fragger</v>
      </c>
      <c r="V304" t="str">
        <f t="shared" si="23"/>
        <v>High Accuracy</v>
      </c>
      <c r="W304" t="str" cm="1">
        <f t="array" ref="W304">_xlfn.LET(_xlpm.roles,_xlfn.UNIQUE(D304:D3102), _xlpm.counts,COUNTIF(D304:D3102,_xlpm.roles), INDEX(_xlpm.roles,MATCH(MAX(_xlpm.counts),_xlpm.counts,0)))</f>
        <v>Entry Fragger</v>
      </c>
      <c r="X304" s="2">
        <f t="shared" si="24"/>
        <v>12.520971302428256</v>
      </c>
    </row>
    <row r="305" spans="1:24" x14ac:dyDescent="0.3">
      <c r="A305">
        <v>191</v>
      </c>
      <c r="B305">
        <v>53</v>
      </c>
      <c r="C305" t="s">
        <v>25</v>
      </c>
      <c r="D305" t="s">
        <v>31</v>
      </c>
      <c r="E305" t="s">
        <v>33</v>
      </c>
      <c r="F305" t="s">
        <v>19</v>
      </c>
      <c r="G305">
        <v>10</v>
      </c>
      <c r="H305">
        <v>8</v>
      </c>
      <c r="I305">
        <v>7</v>
      </c>
      <c r="J305">
        <v>49.28</v>
      </c>
      <c r="K305">
        <v>256.87</v>
      </c>
      <c r="L305">
        <v>0.75</v>
      </c>
      <c r="M305">
        <v>38.14</v>
      </c>
      <c r="N305">
        <v>0.87</v>
      </c>
      <c r="O305" t="s">
        <v>20</v>
      </c>
      <c r="P305" t="s">
        <v>21</v>
      </c>
      <c r="Q305">
        <f t="shared" si="20"/>
        <v>11</v>
      </c>
      <c r="R305" s="4">
        <f>RANK(N305,$N$2:N$2800,0)</f>
        <v>1965</v>
      </c>
      <c r="S305">
        <f t="shared" si="21"/>
        <v>1.4285714285714286</v>
      </c>
      <c r="T305" t="str">
        <f t="shared" si="22"/>
        <v>Low</v>
      </c>
      <c r="U305" t="str" cm="1">
        <f t="array" ref="U305">_xlfn.LET(_xlpm.roles,_xlfn.UNIQUE(D305:D3103),_xlpm.kills, SUMIF(D305:D3103,_xlpm.roles,G305:G3103),INDEX(_xlpm.roles,MATCH(MAX(_xlpm.kills),_xlpm.kills,0)))</f>
        <v>Entry Fragger</v>
      </c>
      <c r="V305" t="str">
        <f t="shared" si="23"/>
        <v>Medium Accuracy</v>
      </c>
      <c r="W305" t="str" cm="1">
        <f t="array" ref="W305">_xlfn.LET(_xlpm.roles,_xlfn.UNIQUE(D305:D3103), _xlpm.counts,COUNTIF(D305:D3103,_xlpm.roles), INDEX(_xlpm.roles,MATCH(MAX(_xlpm.counts),_xlpm.counts,0)))</f>
        <v>Entry Fragger</v>
      </c>
      <c r="X305" s="2">
        <f t="shared" si="24"/>
        <v>12.809421841541756</v>
      </c>
    </row>
    <row r="306" spans="1:24" x14ac:dyDescent="0.3">
      <c r="A306">
        <v>647</v>
      </c>
      <c r="B306">
        <v>53</v>
      </c>
      <c r="C306" t="s">
        <v>39</v>
      </c>
      <c r="D306" t="s">
        <v>28</v>
      </c>
      <c r="E306" t="s">
        <v>32</v>
      </c>
      <c r="F306" t="s">
        <v>19</v>
      </c>
      <c r="G306">
        <v>15</v>
      </c>
      <c r="H306">
        <v>9</v>
      </c>
      <c r="I306">
        <v>11</v>
      </c>
      <c r="J306">
        <v>46.02</v>
      </c>
      <c r="K306">
        <v>239.07</v>
      </c>
      <c r="L306">
        <v>0.31</v>
      </c>
      <c r="M306">
        <v>47.91</v>
      </c>
      <c r="N306">
        <v>1</v>
      </c>
      <c r="O306" t="s">
        <v>20</v>
      </c>
      <c r="P306" t="s">
        <v>21</v>
      </c>
      <c r="Q306">
        <f t="shared" si="20"/>
        <v>13</v>
      </c>
      <c r="R306" s="4">
        <f>RANK(N306,$N$2:N$2800,0)</f>
        <v>1</v>
      </c>
      <c r="S306">
        <f t="shared" si="21"/>
        <v>1.3636363636363635</v>
      </c>
      <c r="T306" t="str">
        <f t="shared" si="22"/>
        <v>Low</v>
      </c>
      <c r="U306" t="str" cm="1">
        <f t="array" ref="U306">_xlfn.LET(_xlpm.roles,_xlfn.UNIQUE(D306:D3104),_xlpm.kills, SUMIF(D306:D3104,_xlpm.roles,G306:G3104),INDEX(_xlpm.roles,MATCH(MAX(_xlpm.kills),_xlpm.kills,0)))</f>
        <v>Entry Fragger</v>
      </c>
      <c r="V306" t="str">
        <f t="shared" si="23"/>
        <v>Medium Accuracy</v>
      </c>
      <c r="W306" t="str" cm="1">
        <f t="array" ref="W306">_xlfn.LET(_xlpm.roles,_xlfn.UNIQUE(D306:D3104), _xlpm.counts,COUNTIF(D306:D3104,_xlpm.roles), INDEX(_xlpm.roles,MATCH(MAX(_xlpm.counts),_xlpm.counts,0)))</f>
        <v>Entry Fragger</v>
      </c>
      <c r="X306" s="2">
        <f t="shared" si="24"/>
        <v>13.103594080338267</v>
      </c>
    </row>
    <row r="307" spans="1:24" x14ac:dyDescent="0.3">
      <c r="A307">
        <v>834</v>
      </c>
      <c r="B307">
        <v>53</v>
      </c>
      <c r="C307" t="s">
        <v>16</v>
      </c>
      <c r="D307" t="s">
        <v>17</v>
      </c>
      <c r="E307" t="s">
        <v>18</v>
      </c>
      <c r="F307" t="s">
        <v>37</v>
      </c>
      <c r="G307">
        <v>13</v>
      </c>
      <c r="H307">
        <v>10</v>
      </c>
      <c r="I307">
        <v>5</v>
      </c>
      <c r="J307">
        <v>26.13</v>
      </c>
      <c r="K307">
        <v>258.52</v>
      </c>
      <c r="L307">
        <v>0.31</v>
      </c>
      <c r="M307">
        <v>40.96</v>
      </c>
      <c r="N307">
        <v>0.89</v>
      </c>
      <c r="O307" t="s">
        <v>20</v>
      </c>
      <c r="P307" t="s">
        <v>21</v>
      </c>
      <c r="Q307">
        <f t="shared" si="20"/>
        <v>18</v>
      </c>
      <c r="R307" s="4">
        <f>RANK(N307,$N$2:N$2800,0)</f>
        <v>1815</v>
      </c>
      <c r="S307">
        <f t="shared" si="21"/>
        <v>2.6</v>
      </c>
      <c r="T307" t="str">
        <f t="shared" si="22"/>
        <v>Good</v>
      </c>
      <c r="U307" t="str" cm="1">
        <f t="array" ref="U307">_xlfn.LET(_xlpm.roles,_xlfn.UNIQUE(D307:D3105),_xlpm.kills, SUMIF(D307:D3105,_xlpm.roles,G307:G3105),INDEX(_xlpm.roles,MATCH(MAX(_xlpm.kills),_xlpm.kills,0)))</f>
        <v>Entry Fragger</v>
      </c>
      <c r="V307" t="str">
        <f t="shared" si="23"/>
        <v>Low Accuracy</v>
      </c>
      <c r="W307" t="str" cm="1">
        <f t="array" ref="W307">_xlfn.LET(_xlpm.roles,_xlfn.UNIQUE(D307:D3105), _xlpm.counts,COUNTIF(D307:D3105,_xlpm.roles), INDEX(_xlpm.roles,MATCH(MAX(_xlpm.counts),_xlpm.counts,0)))</f>
        <v>Entry Fragger</v>
      </c>
      <c r="X307" s="2">
        <f t="shared" si="24"/>
        <v>12.520971302428256</v>
      </c>
    </row>
    <row r="308" spans="1:24" x14ac:dyDescent="0.3">
      <c r="A308">
        <v>909</v>
      </c>
      <c r="B308">
        <v>53</v>
      </c>
      <c r="C308" t="s">
        <v>30</v>
      </c>
      <c r="D308" t="s">
        <v>36</v>
      </c>
      <c r="E308" t="s">
        <v>32</v>
      </c>
      <c r="F308" t="s">
        <v>34</v>
      </c>
      <c r="G308">
        <v>14</v>
      </c>
      <c r="H308">
        <v>4</v>
      </c>
      <c r="I308">
        <v>7</v>
      </c>
      <c r="J308">
        <v>37.78</v>
      </c>
      <c r="K308">
        <v>259.83999999999997</v>
      </c>
      <c r="L308">
        <v>0.46</v>
      </c>
      <c r="M308">
        <v>39.29</v>
      </c>
      <c r="N308">
        <v>0.86</v>
      </c>
      <c r="O308" t="s">
        <v>20</v>
      </c>
      <c r="P308" t="s">
        <v>21</v>
      </c>
      <c r="Q308">
        <f t="shared" si="20"/>
        <v>11</v>
      </c>
      <c r="R308" s="4">
        <f>RANK(N308,$N$2:N$2800,0)</f>
        <v>2040</v>
      </c>
      <c r="S308">
        <f t="shared" si="21"/>
        <v>2</v>
      </c>
      <c r="T308" t="str">
        <f t="shared" si="22"/>
        <v>Low</v>
      </c>
      <c r="U308" t="str" cm="1">
        <f t="array" ref="U308">_xlfn.LET(_xlpm.roles,_xlfn.UNIQUE(D308:D3106),_xlpm.kills, SUMIF(D308:D3106,_xlpm.roles,G308:G3106),INDEX(_xlpm.roles,MATCH(MAX(_xlpm.kills),_xlpm.kills,0)))</f>
        <v>Entry Fragger</v>
      </c>
      <c r="V308" t="str">
        <f t="shared" si="23"/>
        <v>Medium Accuracy</v>
      </c>
      <c r="W308" t="str" cm="1">
        <f t="array" ref="W308">_xlfn.LET(_xlpm.roles,_xlfn.UNIQUE(D308:D3106), _xlpm.counts,COUNTIF(D308:D3106,_xlpm.roles), INDEX(_xlpm.roles,MATCH(MAX(_xlpm.counts),_xlpm.counts,0)))</f>
        <v>Entry Fragger</v>
      </c>
      <c r="X308" s="2">
        <f t="shared" si="24"/>
        <v>13.135802469135802</v>
      </c>
    </row>
    <row r="309" spans="1:24" x14ac:dyDescent="0.3">
      <c r="A309">
        <v>1141</v>
      </c>
      <c r="B309">
        <v>53</v>
      </c>
      <c r="C309" t="s">
        <v>25</v>
      </c>
      <c r="D309" t="s">
        <v>22</v>
      </c>
      <c r="E309" t="s">
        <v>29</v>
      </c>
      <c r="F309" t="s">
        <v>26</v>
      </c>
      <c r="G309">
        <v>15</v>
      </c>
      <c r="H309">
        <v>8</v>
      </c>
      <c r="I309">
        <v>13</v>
      </c>
      <c r="J309">
        <v>42.75</v>
      </c>
      <c r="K309">
        <v>219.82</v>
      </c>
      <c r="L309">
        <v>0.97</v>
      </c>
      <c r="M309">
        <v>36.67</v>
      </c>
      <c r="N309">
        <v>0.8</v>
      </c>
      <c r="O309" t="s">
        <v>20</v>
      </c>
      <c r="P309" t="s">
        <v>21</v>
      </c>
      <c r="Q309">
        <f t="shared" si="20"/>
        <v>10</v>
      </c>
      <c r="R309" s="4">
        <f>RANK(N309,$N$2:N$2800,0)</f>
        <v>2393</v>
      </c>
      <c r="S309">
        <f t="shared" si="21"/>
        <v>1.1538461538461537</v>
      </c>
      <c r="T309" t="str">
        <f t="shared" si="22"/>
        <v>Low</v>
      </c>
      <c r="U309" t="str" cm="1">
        <f t="array" ref="U309">_xlfn.LET(_xlpm.roles,_xlfn.UNIQUE(D309:D3107),_xlpm.kills, SUMIF(D309:D3107,_xlpm.roles,G309:G3107),INDEX(_xlpm.roles,MATCH(MAX(_xlpm.kills),_xlpm.kills,0)))</f>
        <v>Entry Fragger</v>
      </c>
      <c r="V309" t="str">
        <f t="shared" si="23"/>
        <v>Medium Accuracy</v>
      </c>
      <c r="W309" t="str" cm="1">
        <f t="array" ref="W309">_xlfn.LET(_xlpm.roles,_xlfn.UNIQUE(D309:D3107), _xlpm.counts,COUNTIF(D309:D3107,_xlpm.roles), INDEX(_xlpm.roles,MATCH(MAX(_xlpm.counts),_xlpm.counts,0)))</f>
        <v>Entry Fragger</v>
      </c>
      <c r="X309" s="2">
        <f t="shared" si="24"/>
        <v>12.809421841541756</v>
      </c>
    </row>
    <row r="310" spans="1:24" x14ac:dyDescent="0.3">
      <c r="A310">
        <v>205</v>
      </c>
      <c r="B310">
        <v>54</v>
      </c>
      <c r="C310" t="s">
        <v>39</v>
      </c>
      <c r="D310" t="s">
        <v>36</v>
      </c>
      <c r="E310" t="s">
        <v>32</v>
      </c>
      <c r="F310" t="s">
        <v>19</v>
      </c>
      <c r="G310">
        <v>14</v>
      </c>
      <c r="H310">
        <v>6</v>
      </c>
      <c r="I310">
        <v>9</v>
      </c>
      <c r="J310">
        <v>46.22</v>
      </c>
      <c r="K310">
        <v>250.54</v>
      </c>
      <c r="L310">
        <v>0.23</v>
      </c>
      <c r="M310">
        <v>45.81</v>
      </c>
      <c r="N310">
        <v>1</v>
      </c>
      <c r="O310" t="s">
        <v>20</v>
      </c>
      <c r="P310" t="s">
        <v>21</v>
      </c>
      <c r="Q310">
        <f t="shared" si="20"/>
        <v>11</v>
      </c>
      <c r="R310" s="4">
        <f>RANK(N310,$N$2:N$2800,0)</f>
        <v>1</v>
      </c>
      <c r="S310">
        <f t="shared" si="21"/>
        <v>1.5555555555555556</v>
      </c>
      <c r="T310" t="str">
        <f t="shared" si="22"/>
        <v>Low</v>
      </c>
      <c r="U310" t="str" cm="1">
        <f t="array" ref="U310">_xlfn.LET(_xlpm.roles,_xlfn.UNIQUE(D310:D3108),_xlpm.kills, SUMIF(D310:D3108,_xlpm.roles,G310:G3108),INDEX(_xlpm.roles,MATCH(MAX(_xlpm.kills),_xlpm.kills,0)))</f>
        <v>Entry Fragger</v>
      </c>
      <c r="V310" t="str">
        <f t="shared" si="23"/>
        <v>Medium Accuracy</v>
      </c>
      <c r="W310" t="str" cm="1">
        <f t="array" ref="W310">_xlfn.LET(_xlpm.roles,_xlfn.UNIQUE(D310:D3108), _xlpm.counts,COUNTIF(D310:D3108,_xlpm.roles), INDEX(_xlpm.roles,MATCH(MAX(_xlpm.counts),_xlpm.counts,0)))</f>
        <v>Entry Fragger</v>
      </c>
      <c r="X310" s="2">
        <f t="shared" si="24"/>
        <v>13.103594080338267</v>
      </c>
    </row>
    <row r="311" spans="1:24" x14ac:dyDescent="0.3">
      <c r="A311">
        <v>2210</v>
      </c>
      <c r="B311">
        <v>54</v>
      </c>
      <c r="C311" t="s">
        <v>25</v>
      </c>
      <c r="D311" t="s">
        <v>28</v>
      </c>
      <c r="E311" t="s">
        <v>29</v>
      </c>
      <c r="F311" t="s">
        <v>19</v>
      </c>
      <c r="G311">
        <v>7</v>
      </c>
      <c r="H311">
        <v>7</v>
      </c>
      <c r="I311">
        <v>7</v>
      </c>
      <c r="J311">
        <v>69.02</v>
      </c>
      <c r="K311">
        <v>267.08</v>
      </c>
      <c r="L311">
        <v>0.71</v>
      </c>
      <c r="M311">
        <v>41.41</v>
      </c>
      <c r="N311">
        <v>0.86</v>
      </c>
      <c r="O311" t="s">
        <v>20</v>
      </c>
      <c r="P311" t="s">
        <v>21</v>
      </c>
      <c r="Q311">
        <f t="shared" si="20"/>
        <v>7</v>
      </c>
      <c r="R311" s="4">
        <f>RANK(N311,$N$2:N$2800,0)</f>
        <v>2040</v>
      </c>
      <c r="S311">
        <f t="shared" si="21"/>
        <v>1</v>
      </c>
      <c r="T311" t="str">
        <f t="shared" si="22"/>
        <v>Low</v>
      </c>
      <c r="U311" t="str" cm="1">
        <f t="array" ref="U311">_xlfn.LET(_xlpm.roles,_xlfn.UNIQUE(D311:D3109),_xlpm.kills, SUMIF(D311:D3109,_xlpm.roles,G311:G3109),INDEX(_xlpm.roles,MATCH(MAX(_xlpm.kills),_xlpm.kills,0)))</f>
        <v>Entry Fragger</v>
      </c>
      <c r="V311" t="str">
        <f t="shared" si="23"/>
        <v>High Accuracy</v>
      </c>
      <c r="W311" t="str" cm="1">
        <f t="array" ref="W311">_xlfn.LET(_xlpm.roles,_xlfn.UNIQUE(D311:D3109), _xlpm.counts,COUNTIF(D311:D3109,_xlpm.roles), INDEX(_xlpm.roles,MATCH(MAX(_xlpm.counts),_xlpm.counts,0)))</f>
        <v>Entry Fragger</v>
      </c>
      <c r="X311" s="2">
        <f t="shared" si="24"/>
        <v>12.809421841541756</v>
      </c>
    </row>
    <row r="312" spans="1:24" x14ac:dyDescent="0.3">
      <c r="A312">
        <v>2213</v>
      </c>
      <c r="B312">
        <v>54</v>
      </c>
      <c r="C312" t="s">
        <v>16</v>
      </c>
      <c r="D312" t="s">
        <v>36</v>
      </c>
      <c r="E312" t="s">
        <v>33</v>
      </c>
      <c r="F312" t="s">
        <v>34</v>
      </c>
      <c r="G312">
        <v>14</v>
      </c>
      <c r="H312">
        <v>6</v>
      </c>
      <c r="I312">
        <v>12</v>
      </c>
      <c r="J312">
        <v>40.14</v>
      </c>
      <c r="K312">
        <v>194.21</v>
      </c>
      <c r="L312">
        <v>0.93</v>
      </c>
      <c r="M312">
        <v>32.770000000000003</v>
      </c>
      <c r="N312">
        <v>0.86</v>
      </c>
      <c r="O312" t="s">
        <v>20</v>
      </c>
      <c r="P312" t="s">
        <v>21</v>
      </c>
      <c r="Q312">
        <f t="shared" si="20"/>
        <v>8</v>
      </c>
      <c r="R312" s="4">
        <f>RANK(N312,$N$2:N$2800,0)</f>
        <v>2040</v>
      </c>
      <c r="S312">
        <f t="shared" si="21"/>
        <v>1.1666666666666667</v>
      </c>
      <c r="T312" t="str">
        <f t="shared" si="22"/>
        <v>Low</v>
      </c>
      <c r="U312" t="str" cm="1">
        <f t="array" ref="U312">_xlfn.LET(_xlpm.roles,_xlfn.UNIQUE(D312:D3110),_xlpm.kills, SUMIF(D312:D3110,_xlpm.roles,G312:G3110),INDEX(_xlpm.roles,MATCH(MAX(_xlpm.kills),_xlpm.kills,0)))</f>
        <v>Entry Fragger</v>
      </c>
      <c r="V312" t="str">
        <f t="shared" si="23"/>
        <v>Medium Accuracy</v>
      </c>
      <c r="W312" t="str" cm="1">
        <f t="array" ref="W312">_xlfn.LET(_xlpm.roles,_xlfn.UNIQUE(D312:D3110), _xlpm.counts,COUNTIF(D312:D3110,_xlpm.roles), INDEX(_xlpm.roles,MATCH(MAX(_xlpm.counts),_xlpm.counts,0)))</f>
        <v>Entry Fragger</v>
      </c>
      <c r="X312" s="2">
        <f t="shared" si="24"/>
        <v>12.520971302428256</v>
      </c>
    </row>
    <row r="313" spans="1:24" x14ac:dyDescent="0.3">
      <c r="A313">
        <v>2476</v>
      </c>
      <c r="B313">
        <v>54</v>
      </c>
      <c r="C313" t="s">
        <v>27</v>
      </c>
      <c r="D313" t="s">
        <v>28</v>
      </c>
      <c r="E313" t="s">
        <v>33</v>
      </c>
      <c r="F313" t="s">
        <v>19</v>
      </c>
      <c r="G313">
        <v>17</v>
      </c>
      <c r="H313">
        <v>8</v>
      </c>
      <c r="I313">
        <v>11</v>
      </c>
      <c r="J313">
        <v>48.44</v>
      </c>
      <c r="K313">
        <v>201.54</v>
      </c>
      <c r="L313">
        <v>0.12</v>
      </c>
      <c r="M313">
        <v>54.02</v>
      </c>
      <c r="N313">
        <v>1</v>
      </c>
      <c r="O313" t="s">
        <v>20</v>
      </c>
      <c r="P313" t="s">
        <v>21</v>
      </c>
      <c r="Q313">
        <f t="shared" si="20"/>
        <v>14</v>
      </c>
      <c r="R313" s="4">
        <f>RANK(N313,$N$2:N$2800,0)</f>
        <v>1</v>
      </c>
      <c r="S313">
        <f t="shared" si="21"/>
        <v>1.5454545454545454</v>
      </c>
      <c r="T313" t="str">
        <f t="shared" si="22"/>
        <v>Low</v>
      </c>
      <c r="U313" t="str" cm="1">
        <f t="array" ref="U313">_xlfn.LET(_xlpm.roles,_xlfn.UNIQUE(D313:D3111),_xlpm.kills, SUMIF(D313:D3111,_xlpm.roles,G313:G3111),INDEX(_xlpm.roles,MATCH(MAX(_xlpm.kills),_xlpm.kills,0)))</f>
        <v>Entry Fragger</v>
      </c>
      <c r="V313" t="str">
        <f t="shared" si="23"/>
        <v>Medium Accuracy</v>
      </c>
      <c r="W313" t="str" cm="1">
        <f t="array" ref="W313">_xlfn.LET(_xlpm.roles,_xlfn.UNIQUE(D313:D3111), _xlpm.counts,COUNTIF(D313:D3111,_xlpm.roles), INDEX(_xlpm.roles,MATCH(MAX(_xlpm.counts),_xlpm.counts,0)))</f>
        <v>Entry Fragger</v>
      </c>
      <c r="X313" s="2">
        <f t="shared" si="24"/>
        <v>13.057077625570777</v>
      </c>
    </row>
    <row r="314" spans="1:24" x14ac:dyDescent="0.3">
      <c r="A314">
        <v>419</v>
      </c>
      <c r="B314">
        <v>55</v>
      </c>
      <c r="C314" t="s">
        <v>35</v>
      </c>
      <c r="D314" t="s">
        <v>36</v>
      </c>
      <c r="E314" t="s">
        <v>29</v>
      </c>
      <c r="F314" t="s">
        <v>34</v>
      </c>
      <c r="G314">
        <v>14</v>
      </c>
      <c r="H314">
        <v>8</v>
      </c>
      <c r="I314">
        <v>8</v>
      </c>
      <c r="J314">
        <v>30.63</v>
      </c>
      <c r="K314">
        <v>172.5</v>
      </c>
      <c r="L314">
        <v>0.23</v>
      </c>
      <c r="M314">
        <v>41.02</v>
      </c>
      <c r="N314">
        <v>0.88</v>
      </c>
      <c r="O314" t="s">
        <v>20</v>
      </c>
      <c r="P314" t="s">
        <v>21</v>
      </c>
      <c r="Q314">
        <f t="shared" si="20"/>
        <v>14</v>
      </c>
      <c r="R314" s="4">
        <f>RANK(N314,$N$2:N$2800,0)</f>
        <v>1894</v>
      </c>
      <c r="S314">
        <f t="shared" si="21"/>
        <v>1.75</v>
      </c>
      <c r="T314" t="str">
        <f t="shared" si="22"/>
        <v>Low</v>
      </c>
      <c r="U314" t="str" cm="1">
        <f t="array" ref="U314">_xlfn.LET(_xlpm.roles,_xlfn.UNIQUE(D314:D3112),_xlpm.kills, SUMIF(D314:D3112,_xlpm.roles,G314:G3112),INDEX(_xlpm.roles,MATCH(MAX(_xlpm.kills),_xlpm.kills,0)))</f>
        <v>Entry Fragger</v>
      </c>
      <c r="V314" t="str">
        <f t="shared" si="23"/>
        <v>Medium Accuracy</v>
      </c>
      <c r="W314" t="str" cm="1">
        <f t="array" ref="W314">_xlfn.LET(_xlpm.roles,_xlfn.UNIQUE(D314:D3112), _xlpm.counts,COUNTIF(D314:D3112,_xlpm.roles), INDEX(_xlpm.roles,MATCH(MAX(_xlpm.counts),_xlpm.counts,0)))</f>
        <v>Entry Fragger</v>
      </c>
      <c r="X314" s="2">
        <f t="shared" si="24"/>
        <v>12.599585062240664</v>
      </c>
    </row>
    <row r="315" spans="1:24" x14ac:dyDescent="0.3">
      <c r="A315">
        <v>772</v>
      </c>
      <c r="B315">
        <v>55</v>
      </c>
      <c r="C315" t="s">
        <v>27</v>
      </c>
      <c r="D315" t="s">
        <v>17</v>
      </c>
      <c r="E315" t="s">
        <v>29</v>
      </c>
      <c r="F315" t="s">
        <v>26</v>
      </c>
      <c r="G315">
        <v>14</v>
      </c>
      <c r="H315">
        <v>8</v>
      </c>
      <c r="I315">
        <v>8</v>
      </c>
      <c r="J315">
        <v>41.32</v>
      </c>
      <c r="K315">
        <v>202.55</v>
      </c>
      <c r="L315">
        <v>0.42</v>
      </c>
      <c r="M315">
        <v>44.46</v>
      </c>
      <c r="N315">
        <v>0.86</v>
      </c>
      <c r="O315" t="s">
        <v>20</v>
      </c>
      <c r="P315" t="s">
        <v>21</v>
      </c>
      <c r="Q315">
        <f t="shared" si="20"/>
        <v>14</v>
      </c>
      <c r="R315" s="4">
        <f>RANK(N315,$N$2:N$2800,0)</f>
        <v>2040</v>
      </c>
      <c r="S315">
        <f t="shared" si="21"/>
        <v>1.75</v>
      </c>
      <c r="T315" t="str">
        <f t="shared" si="22"/>
        <v>Low</v>
      </c>
      <c r="U315" t="str" cm="1">
        <f t="array" ref="U315">_xlfn.LET(_xlpm.roles,_xlfn.UNIQUE(D315:D3113),_xlpm.kills, SUMIF(D315:D3113,_xlpm.roles,G315:G3113),INDEX(_xlpm.roles,MATCH(MAX(_xlpm.kills),_xlpm.kills,0)))</f>
        <v>Entry Fragger</v>
      </c>
      <c r="V315" t="str">
        <f t="shared" si="23"/>
        <v>Medium Accuracy</v>
      </c>
      <c r="W315" t="str" cm="1">
        <f t="array" ref="W315">_xlfn.LET(_xlpm.roles,_xlfn.UNIQUE(D315:D3113), _xlpm.counts,COUNTIF(D315:D3113,_xlpm.roles), INDEX(_xlpm.roles,MATCH(MAX(_xlpm.counts),_xlpm.counts,0)))</f>
        <v>Entry Fragger</v>
      </c>
      <c r="X315" s="2">
        <f t="shared" si="24"/>
        <v>13.057077625570777</v>
      </c>
    </row>
    <row r="316" spans="1:24" x14ac:dyDescent="0.3">
      <c r="A316">
        <v>1135</v>
      </c>
      <c r="B316">
        <v>55</v>
      </c>
      <c r="C316" t="s">
        <v>16</v>
      </c>
      <c r="D316" t="s">
        <v>28</v>
      </c>
      <c r="E316" t="s">
        <v>32</v>
      </c>
      <c r="F316" t="s">
        <v>24</v>
      </c>
      <c r="G316">
        <v>20</v>
      </c>
      <c r="H316">
        <v>8</v>
      </c>
      <c r="I316">
        <v>10</v>
      </c>
      <c r="J316">
        <v>44.29</v>
      </c>
      <c r="K316">
        <v>273.33</v>
      </c>
      <c r="L316">
        <v>0.86</v>
      </c>
      <c r="M316">
        <v>51.54</v>
      </c>
      <c r="N316">
        <v>1</v>
      </c>
      <c r="O316" t="s">
        <v>20</v>
      </c>
      <c r="P316" t="s">
        <v>21</v>
      </c>
      <c r="Q316">
        <f t="shared" si="20"/>
        <v>18</v>
      </c>
      <c r="R316" s="4">
        <f>RANK(N316,$N$2:N$2800,0)</f>
        <v>1</v>
      </c>
      <c r="S316">
        <f t="shared" si="21"/>
        <v>2</v>
      </c>
      <c r="T316" t="str">
        <f t="shared" si="22"/>
        <v>Good</v>
      </c>
      <c r="U316" t="str" cm="1">
        <f t="array" ref="U316">_xlfn.LET(_xlpm.roles,_xlfn.UNIQUE(D316:D3114),_xlpm.kills, SUMIF(D316:D3114,_xlpm.roles,G316:G3114),INDEX(_xlpm.roles,MATCH(MAX(_xlpm.kills),_xlpm.kills,0)))</f>
        <v>Entry Fragger</v>
      </c>
      <c r="V316" t="str">
        <f t="shared" si="23"/>
        <v>Medium Accuracy</v>
      </c>
      <c r="W316" t="str" cm="1">
        <f t="array" ref="W316">_xlfn.LET(_xlpm.roles,_xlfn.UNIQUE(D316:D3114), _xlpm.counts,COUNTIF(D316:D3114,_xlpm.roles), INDEX(_xlpm.roles,MATCH(MAX(_xlpm.counts),_xlpm.counts,0)))</f>
        <v>Entry Fragger</v>
      </c>
      <c r="X316" s="2">
        <f t="shared" si="24"/>
        <v>12.520971302428256</v>
      </c>
    </row>
    <row r="317" spans="1:24" x14ac:dyDescent="0.3">
      <c r="A317">
        <v>1175</v>
      </c>
      <c r="B317">
        <v>55</v>
      </c>
      <c r="C317" t="s">
        <v>16</v>
      </c>
      <c r="D317" t="s">
        <v>22</v>
      </c>
      <c r="E317" t="s">
        <v>18</v>
      </c>
      <c r="F317" t="s">
        <v>34</v>
      </c>
      <c r="G317">
        <v>15</v>
      </c>
      <c r="H317">
        <v>13</v>
      </c>
      <c r="I317">
        <v>11</v>
      </c>
      <c r="J317">
        <v>31.25</v>
      </c>
      <c r="K317">
        <v>205.84</v>
      </c>
      <c r="L317">
        <v>0.76</v>
      </c>
      <c r="M317">
        <v>40.020000000000003</v>
      </c>
      <c r="N317">
        <v>0.85</v>
      </c>
      <c r="O317" t="s">
        <v>20</v>
      </c>
      <c r="P317" t="s">
        <v>21</v>
      </c>
      <c r="Q317">
        <f t="shared" si="20"/>
        <v>17</v>
      </c>
      <c r="R317" s="4">
        <f>RANK(N317,$N$2:N$2800,0)</f>
        <v>2105</v>
      </c>
      <c r="S317">
        <f t="shared" si="21"/>
        <v>1.3636363636363635</v>
      </c>
      <c r="T317" t="str">
        <f t="shared" si="22"/>
        <v>Good</v>
      </c>
      <c r="U317" t="str" cm="1">
        <f t="array" ref="U317">_xlfn.LET(_xlpm.roles,_xlfn.UNIQUE(D317:D3115),_xlpm.kills, SUMIF(D317:D3115,_xlpm.roles,G317:G3115),INDEX(_xlpm.roles,MATCH(MAX(_xlpm.kills),_xlpm.kills,0)))</f>
        <v>Entry Fragger</v>
      </c>
      <c r="V317" t="str">
        <f t="shared" si="23"/>
        <v>Medium Accuracy</v>
      </c>
      <c r="W317" t="str" cm="1">
        <f t="array" ref="W317">_xlfn.LET(_xlpm.roles,_xlfn.UNIQUE(D317:D3115), _xlpm.counts,COUNTIF(D317:D3115,_xlpm.roles), INDEX(_xlpm.roles,MATCH(MAX(_xlpm.counts),_xlpm.counts,0)))</f>
        <v>Entry Fragger</v>
      </c>
      <c r="X317" s="2">
        <f t="shared" si="24"/>
        <v>12.520971302428256</v>
      </c>
    </row>
    <row r="318" spans="1:24" x14ac:dyDescent="0.3">
      <c r="A318">
        <v>1649</v>
      </c>
      <c r="B318">
        <v>55</v>
      </c>
      <c r="C318" t="s">
        <v>39</v>
      </c>
      <c r="D318" t="s">
        <v>36</v>
      </c>
      <c r="E318" t="s">
        <v>23</v>
      </c>
      <c r="F318" t="s">
        <v>34</v>
      </c>
      <c r="G318">
        <v>20</v>
      </c>
      <c r="H318">
        <v>7</v>
      </c>
      <c r="I318">
        <v>13</v>
      </c>
      <c r="J318">
        <v>43.71</v>
      </c>
      <c r="K318">
        <v>174.41</v>
      </c>
      <c r="L318">
        <v>0.92</v>
      </c>
      <c r="M318">
        <v>46.66</v>
      </c>
      <c r="N318">
        <v>1</v>
      </c>
      <c r="O318" t="s">
        <v>20</v>
      </c>
      <c r="P318" t="s">
        <v>21</v>
      </c>
      <c r="Q318">
        <f t="shared" si="20"/>
        <v>14</v>
      </c>
      <c r="R318" s="4">
        <f>RANK(N318,$N$2:N$2800,0)</f>
        <v>1</v>
      </c>
      <c r="S318">
        <f t="shared" si="21"/>
        <v>1.5384615384615385</v>
      </c>
      <c r="T318" t="str">
        <f t="shared" si="22"/>
        <v>Low</v>
      </c>
      <c r="U318" t="str" cm="1">
        <f t="array" ref="U318">_xlfn.LET(_xlpm.roles,_xlfn.UNIQUE(D318:D3116),_xlpm.kills, SUMIF(D318:D3116,_xlpm.roles,G318:G3116),INDEX(_xlpm.roles,MATCH(MAX(_xlpm.kills),_xlpm.kills,0)))</f>
        <v>Entry Fragger</v>
      </c>
      <c r="V318" t="str">
        <f t="shared" si="23"/>
        <v>Medium Accuracy</v>
      </c>
      <c r="W318" t="str" cm="1">
        <f t="array" ref="W318">_xlfn.LET(_xlpm.roles,_xlfn.UNIQUE(D318:D3116), _xlpm.counts,COUNTIF(D318:D3116,_xlpm.roles), INDEX(_xlpm.roles,MATCH(MAX(_xlpm.counts),_xlpm.counts,0)))</f>
        <v>Entry Fragger</v>
      </c>
      <c r="X318" s="2">
        <f t="shared" si="24"/>
        <v>13.103594080338267</v>
      </c>
    </row>
    <row r="319" spans="1:24" x14ac:dyDescent="0.3">
      <c r="A319">
        <v>2030</v>
      </c>
      <c r="B319">
        <v>55</v>
      </c>
      <c r="C319" t="s">
        <v>27</v>
      </c>
      <c r="D319" t="s">
        <v>17</v>
      </c>
      <c r="E319" t="s">
        <v>29</v>
      </c>
      <c r="F319" t="s">
        <v>24</v>
      </c>
      <c r="G319">
        <v>11</v>
      </c>
      <c r="H319">
        <v>8</v>
      </c>
      <c r="I319">
        <v>9</v>
      </c>
      <c r="J319">
        <v>42.6</v>
      </c>
      <c r="K319">
        <v>198.26</v>
      </c>
      <c r="L319">
        <v>0.92</v>
      </c>
      <c r="M319">
        <v>33.1</v>
      </c>
      <c r="N319">
        <v>0.79</v>
      </c>
      <c r="O319" t="s">
        <v>20</v>
      </c>
      <c r="P319" t="s">
        <v>21</v>
      </c>
      <c r="Q319">
        <f t="shared" si="20"/>
        <v>10</v>
      </c>
      <c r="R319" s="4">
        <f>RANK(N319,$N$2:N$2800,0)</f>
        <v>2436</v>
      </c>
      <c r="S319">
        <f t="shared" si="21"/>
        <v>1.2222222222222223</v>
      </c>
      <c r="T319" t="str">
        <f t="shared" si="22"/>
        <v>Low</v>
      </c>
      <c r="U319" t="str" cm="1">
        <f t="array" ref="U319">_xlfn.LET(_xlpm.roles,_xlfn.UNIQUE(D319:D3117),_xlpm.kills, SUMIF(D319:D3117,_xlpm.roles,G319:G3117),INDEX(_xlpm.roles,MATCH(MAX(_xlpm.kills),_xlpm.kills,0)))</f>
        <v>Entry Fragger</v>
      </c>
      <c r="V319" t="str">
        <f t="shared" si="23"/>
        <v>Medium Accuracy</v>
      </c>
      <c r="W319" t="str" cm="1">
        <f t="array" ref="W319">_xlfn.LET(_xlpm.roles,_xlfn.UNIQUE(D319:D3117), _xlpm.counts,COUNTIF(D319:D3117,_xlpm.roles), INDEX(_xlpm.roles,MATCH(MAX(_xlpm.counts),_xlpm.counts,0)))</f>
        <v>Entry Fragger</v>
      </c>
      <c r="X319" s="2">
        <f t="shared" si="24"/>
        <v>13.057077625570777</v>
      </c>
    </row>
    <row r="320" spans="1:24" x14ac:dyDescent="0.3">
      <c r="A320">
        <v>91</v>
      </c>
      <c r="B320">
        <v>56</v>
      </c>
      <c r="C320" t="s">
        <v>39</v>
      </c>
      <c r="D320" t="s">
        <v>31</v>
      </c>
      <c r="E320" t="s">
        <v>33</v>
      </c>
      <c r="F320" t="s">
        <v>24</v>
      </c>
      <c r="G320">
        <v>12</v>
      </c>
      <c r="H320">
        <v>4</v>
      </c>
      <c r="I320">
        <v>13</v>
      </c>
      <c r="J320">
        <v>52.6</v>
      </c>
      <c r="K320">
        <v>175.45</v>
      </c>
      <c r="L320">
        <v>0.53</v>
      </c>
      <c r="M320">
        <v>36</v>
      </c>
      <c r="N320">
        <v>0.76</v>
      </c>
      <c r="O320" t="s">
        <v>20</v>
      </c>
      <c r="P320" t="s">
        <v>21</v>
      </c>
      <c r="Q320">
        <f t="shared" si="20"/>
        <v>3</v>
      </c>
      <c r="R320" s="4">
        <f>RANK(N320,$N$2:N$2800,0)</f>
        <v>2547</v>
      </c>
      <c r="S320">
        <f t="shared" si="21"/>
        <v>0.92307692307692313</v>
      </c>
      <c r="T320" t="str">
        <f t="shared" si="22"/>
        <v>Low</v>
      </c>
      <c r="U320" t="str" cm="1">
        <f t="array" ref="U320">_xlfn.LET(_xlpm.roles,_xlfn.UNIQUE(D320:D3118),_xlpm.kills, SUMIF(D320:D3118,_xlpm.roles,G320:G3118),INDEX(_xlpm.roles,MATCH(MAX(_xlpm.kills),_xlpm.kills,0)))</f>
        <v>Entry Fragger</v>
      </c>
      <c r="V320" t="str">
        <f t="shared" si="23"/>
        <v>High Accuracy</v>
      </c>
      <c r="W320" t="str" cm="1">
        <f t="array" ref="W320">_xlfn.LET(_xlpm.roles,_xlfn.UNIQUE(D320:D3118), _xlpm.counts,COUNTIF(D320:D3118,_xlpm.roles), INDEX(_xlpm.roles,MATCH(MAX(_xlpm.counts),_xlpm.counts,0)))</f>
        <v>Entry Fragger</v>
      </c>
      <c r="X320" s="2">
        <f t="shared" si="24"/>
        <v>13.103594080338267</v>
      </c>
    </row>
    <row r="321" spans="1:24" x14ac:dyDescent="0.3">
      <c r="A321">
        <v>182</v>
      </c>
      <c r="B321">
        <v>56</v>
      </c>
      <c r="C321" t="s">
        <v>30</v>
      </c>
      <c r="D321" t="s">
        <v>36</v>
      </c>
      <c r="E321" t="s">
        <v>33</v>
      </c>
      <c r="F321" t="s">
        <v>24</v>
      </c>
      <c r="G321">
        <v>18</v>
      </c>
      <c r="H321">
        <v>14</v>
      </c>
      <c r="I321">
        <v>12</v>
      </c>
      <c r="J321">
        <v>53.36</v>
      </c>
      <c r="K321">
        <v>236.75</v>
      </c>
      <c r="L321">
        <v>0.17</v>
      </c>
      <c r="M321">
        <v>62.98</v>
      </c>
      <c r="N321">
        <v>1</v>
      </c>
      <c r="O321" t="s">
        <v>20</v>
      </c>
      <c r="P321" t="s">
        <v>38</v>
      </c>
      <c r="Q321">
        <f t="shared" si="20"/>
        <v>20</v>
      </c>
      <c r="R321" s="4">
        <f>RANK(N321,$N$2:N$2800,0)</f>
        <v>1</v>
      </c>
      <c r="S321">
        <f t="shared" si="21"/>
        <v>1.5</v>
      </c>
      <c r="T321" t="str">
        <f t="shared" si="22"/>
        <v>Good</v>
      </c>
      <c r="U321" t="str" cm="1">
        <f t="array" ref="U321">_xlfn.LET(_xlpm.roles,_xlfn.UNIQUE(D321:D3119),_xlpm.kills, SUMIF(D321:D3119,_xlpm.roles,G321:G3119),INDEX(_xlpm.roles,MATCH(MAX(_xlpm.kills),_xlpm.kills,0)))</f>
        <v>Entry Fragger</v>
      </c>
      <c r="V321" t="str">
        <f t="shared" si="23"/>
        <v>High Accuracy</v>
      </c>
      <c r="W321" t="str" cm="1">
        <f t="array" ref="W321">_xlfn.LET(_xlpm.roles,_xlfn.UNIQUE(D321:D3119), _xlpm.counts,COUNTIF(D321:D3119,_xlpm.roles), INDEX(_xlpm.roles,MATCH(MAX(_xlpm.counts),_xlpm.counts,0)))</f>
        <v>Entry Fragger</v>
      </c>
      <c r="X321" s="2">
        <f t="shared" si="24"/>
        <v>13.135802469135802</v>
      </c>
    </row>
    <row r="322" spans="1:24" x14ac:dyDescent="0.3">
      <c r="A322">
        <v>216</v>
      </c>
      <c r="B322">
        <v>56</v>
      </c>
      <c r="C322" t="s">
        <v>35</v>
      </c>
      <c r="D322" t="s">
        <v>31</v>
      </c>
      <c r="E322" t="s">
        <v>18</v>
      </c>
      <c r="F322" t="s">
        <v>19</v>
      </c>
      <c r="G322">
        <v>9</v>
      </c>
      <c r="H322">
        <v>13</v>
      </c>
      <c r="I322">
        <v>7</v>
      </c>
      <c r="J322">
        <v>41.83</v>
      </c>
      <c r="K322">
        <v>195.75</v>
      </c>
      <c r="L322">
        <v>0.06</v>
      </c>
      <c r="M322">
        <v>44.31</v>
      </c>
      <c r="N322">
        <v>1</v>
      </c>
      <c r="O322" t="s">
        <v>20</v>
      </c>
      <c r="P322" t="s">
        <v>21</v>
      </c>
      <c r="Q322">
        <f t="shared" si="20"/>
        <v>15</v>
      </c>
      <c r="R322" s="4">
        <f>RANK(N322,$N$2:N$2800,0)</f>
        <v>1</v>
      </c>
      <c r="S322">
        <f t="shared" si="21"/>
        <v>1.2857142857142858</v>
      </c>
      <c r="T322" t="str">
        <f t="shared" si="22"/>
        <v>Good</v>
      </c>
      <c r="U322" t="str" cm="1">
        <f t="array" ref="U322">_xlfn.LET(_xlpm.roles,_xlfn.UNIQUE(D322:D3120),_xlpm.kills, SUMIF(D322:D3120,_xlpm.roles,G322:G3120),INDEX(_xlpm.roles,MATCH(MAX(_xlpm.kills),_xlpm.kills,0)))</f>
        <v>Entry Fragger</v>
      </c>
      <c r="V322" t="str">
        <f t="shared" si="23"/>
        <v>Medium Accuracy</v>
      </c>
      <c r="W322" t="str" cm="1">
        <f t="array" ref="W322">_xlfn.LET(_xlpm.roles,_xlfn.UNIQUE(D322:D3120), _xlpm.counts,COUNTIF(D322:D3120,_xlpm.roles), INDEX(_xlpm.roles,MATCH(MAX(_xlpm.counts),_xlpm.counts,0)))</f>
        <v>Entry Fragger</v>
      </c>
      <c r="X322" s="2">
        <f t="shared" si="24"/>
        <v>12.599585062240664</v>
      </c>
    </row>
    <row r="323" spans="1:24" x14ac:dyDescent="0.3">
      <c r="A323">
        <v>413</v>
      </c>
      <c r="B323">
        <v>56</v>
      </c>
      <c r="C323" t="s">
        <v>30</v>
      </c>
      <c r="D323" t="s">
        <v>31</v>
      </c>
      <c r="E323" t="s">
        <v>32</v>
      </c>
      <c r="F323" t="s">
        <v>34</v>
      </c>
      <c r="G323">
        <v>17</v>
      </c>
      <c r="H323">
        <v>8</v>
      </c>
      <c r="I323">
        <v>12</v>
      </c>
      <c r="J323">
        <v>38.9</v>
      </c>
      <c r="K323">
        <v>231.56</v>
      </c>
      <c r="L323">
        <v>0.43</v>
      </c>
      <c r="M323">
        <v>45.15</v>
      </c>
      <c r="N323">
        <v>1</v>
      </c>
      <c r="O323" t="s">
        <v>20</v>
      </c>
      <c r="P323" t="s">
        <v>21</v>
      </c>
      <c r="Q323">
        <f t="shared" ref="Q323:Q386" si="25">G323+H323-I323</f>
        <v>13</v>
      </c>
      <c r="R323" s="4">
        <f>RANK(N323,$N$2:N$2800,0)</f>
        <v>1</v>
      </c>
      <c r="S323">
        <f t="shared" ref="S323:S386" si="26">G323/I323</f>
        <v>1.4166666666666667</v>
      </c>
      <c r="T323" t="str">
        <f t="shared" ref="T323:T386" si="27">IF(Q323&lt;15,"Low",IF(Q323&lt;25,"Good","Excellent"))</f>
        <v>Low</v>
      </c>
      <c r="U323" t="str" cm="1">
        <f t="array" ref="U323">_xlfn.LET(_xlpm.roles,_xlfn.UNIQUE(D323:D3121),_xlpm.kills, SUMIF(D323:D3121,_xlpm.roles,G323:G3121),INDEX(_xlpm.roles,MATCH(MAX(_xlpm.kills),_xlpm.kills,0)))</f>
        <v>Entry Fragger</v>
      </c>
      <c r="V323" t="str">
        <f t="shared" ref="V323:V386" si="28">IF(J323&gt;=50,"High Accuracy",IF(J323&gt;=30,"Medium Accuracy","Low Accuracy"))</f>
        <v>Medium Accuracy</v>
      </c>
      <c r="W323" t="str" cm="1">
        <f t="array" ref="W323">_xlfn.LET(_xlpm.roles,_xlfn.UNIQUE(D323:D3121), _xlpm.counts,COUNTIF(D323:D3121,_xlpm.roles), INDEX(_xlpm.roles,MATCH(MAX(_xlpm.counts),_xlpm.counts,0)))</f>
        <v>Entry Fragger</v>
      </c>
      <c r="X323" s="2">
        <f t="shared" ref="X323:X386" si="29">AVERAGEIF($C$2:$C$2800,C323,$Q$2:$Q$2800)</f>
        <v>13.135802469135802</v>
      </c>
    </row>
    <row r="324" spans="1:24" x14ac:dyDescent="0.3">
      <c r="A324">
        <v>585</v>
      </c>
      <c r="B324">
        <v>56</v>
      </c>
      <c r="C324" t="s">
        <v>16</v>
      </c>
      <c r="D324" t="s">
        <v>22</v>
      </c>
      <c r="E324" t="s">
        <v>18</v>
      </c>
      <c r="F324" t="s">
        <v>24</v>
      </c>
      <c r="G324">
        <v>14</v>
      </c>
      <c r="H324">
        <v>6</v>
      </c>
      <c r="I324">
        <v>12</v>
      </c>
      <c r="J324">
        <v>53.43</v>
      </c>
      <c r="K324">
        <v>230.38</v>
      </c>
      <c r="L324">
        <v>0.48</v>
      </c>
      <c r="M324">
        <v>43.92</v>
      </c>
      <c r="N324">
        <v>0.9</v>
      </c>
      <c r="O324" t="s">
        <v>20</v>
      </c>
      <c r="P324" t="s">
        <v>21</v>
      </c>
      <c r="Q324">
        <f t="shared" si="25"/>
        <v>8</v>
      </c>
      <c r="R324" s="4">
        <f>RANK(N324,$N$2:N$2800,0)</f>
        <v>1738</v>
      </c>
      <c r="S324">
        <f t="shared" si="26"/>
        <v>1.1666666666666667</v>
      </c>
      <c r="T324" t="str">
        <f t="shared" si="27"/>
        <v>Low</v>
      </c>
      <c r="U324" t="str" cm="1">
        <f t="array" ref="U324">_xlfn.LET(_xlpm.roles,_xlfn.UNIQUE(D324:D3122),_xlpm.kills, SUMIF(D324:D3122,_xlpm.roles,G324:G3122),INDEX(_xlpm.roles,MATCH(MAX(_xlpm.kills),_xlpm.kills,0)))</f>
        <v>Entry Fragger</v>
      </c>
      <c r="V324" t="str">
        <f t="shared" si="28"/>
        <v>High Accuracy</v>
      </c>
      <c r="W324" t="str" cm="1">
        <f t="array" ref="W324">_xlfn.LET(_xlpm.roles,_xlfn.UNIQUE(D324:D3122), _xlpm.counts,COUNTIF(D324:D3122,_xlpm.roles), INDEX(_xlpm.roles,MATCH(MAX(_xlpm.counts),_xlpm.counts,0)))</f>
        <v>Entry Fragger</v>
      </c>
      <c r="X324" s="2">
        <f t="shared" si="29"/>
        <v>12.520971302428256</v>
      </c>
    </row>
    <row r="325" spans="1:24" x14ac:dyDescent="0.3">
      <c r="A325">
        <v>249</v>
      </c>
      <c r="B325">
        <v>57</v>
      </c>
      <c r="C325" t="s">
        <v>39</v>
      </c>
      <c r="D325" t="s">
        <v>17</v>
      </c>
      <c r="E325" t="s">
        <v>18</v>
      </c>
      <c r="F325" t="s">
        <v>24</v>
      </c>
      <c r="G325">
        <v>12</v>
      </c>
      <c r="H325">
        <v>3</v>
      </c>
      <c r="I325">
        <v>9</v>
      </c>
      <c r="J325">
        <v>23.22</v>
      </c>
      <c r="K325">
        <v>248.28</v>
      </c>
      <c r="L325">
        <v>0.88</v>
      </c>
      <c r="M325">
        <v>20.81</v>
      </c>
      <c r="N325">
        <v>1</v>
      </c>
      <c r="O325" t="s">
        <v>20</v>
      </c>
      <c r="P325" t="s">
        <v>21</v>
      </c>
      <c r="Q325">
        <f t="shared" si="25"/>
        <v>6</v>
      </c>
      <c r="R325" s="4">
        <f>RANK(N325,$N$2:N$2800,0)</f>
        <v>1</v>
      </c>
      <c r="S325">
        <f t="shared" si="26"/>
        <v>1.3333333333333333</v>
      </c>
      <c r="T325" t="str">
        <f t="shared" si="27"/>
        <v>Low</v>
      </c>
      <c r="U325" t="str" cm="1">
        <f t="array" ref="U325">_xlfn.LET(_xlpm.roles,_xlfn.UNIQUE(D325:D3123),_xlpm.kills, SUMIF(D325:D3123,_xlpm.roles,G325:G3123),INDEX(_xlpm.roles,MATCH(MAX(_xlpm.kills),_xlpm.kills,0)))</f>
        <v>Entry Fragger</v>
      </c>
      <c r="V325" t="str">
        <f t="shared" si="28"/>
        <v>Low Accuracy</v>
      </c>
      <c r="W325" t="str" cm="1">
        <f t="array" ref="W325">_xlfn.LET(_xlpm.roles,_xlfn.UNIQUE(D325:D3123), _xlpm.counts,COUNTIF(D325:D3123,_xlpm.roles), INDEX(_xlpm.roles,MATCH(MAX(_xlpm.counts),_xlpm.counts,0)))</f>
        <v>Entry Fragger</v>
      </c>
      <c r="X325" s="2">
        <f t="shared" si="29"/>
        <v>13.103594080338267</v>
      </c>
    </row>
    <row r="326" spans="1:24" x14ac:dyDescent="0.3">
      <c r="A326">
        <v>265</v>
      </c>
      <c r="B326">
        <v>57</v>
      </c>
      <c r="C326" t="s">
        <v>35</v>
      </c>
      <c r="D326" t="s">
        <v>28</v>
      </c>
      <c r="E326" t="s">
        <v>23</v>
      </c>
      <c r="F326" t="s">
        <v>34</v>
      </c>
      <c r="G326">
        <v>17</v>
      </c>
      <c r="H326">
        <v>3</v>
      </c>
      <c r="I326">
        <v>7</v>
      </c>
      <c r="J326">
        <v>46.45</v>
      </c>
      <c r="K326">
        <v>256.45</v>
      </c>
      <c r="L326">
        <v>0.15</v>
      </c>
      <c r="M326">
        <v>51.73</v>
      </c>
      <c r="N326">
        <v>1</v>
      </c>
      <c r="O326" t="s">
        <v>20</v>
      </c>
      <c r="P326" t="s">
        <v>21</v>
      </c>
      <c r="Q326">
        <f t="shared" si="25"/>
        <v>13</v>
      </c>
      <c r="R326" s="4">
        <f>RANK(N326,$N$2:N$2800,0)</f>
        <v>1</v>
      </c>
      <c r="S326">
        <f t="shared" si="26"/>
        <v>2.4285714285714284</v>
      </c>
      <c r="T326" t="str">
        <f t="shared" si="27"/>
        <v>Low</v>
      </c>
      <c r="U326" t="str" cm="1">
        <f t="array" ref="U326">_xlfn.LET(_xlpm.roles,_xlfn.UNIQUE(D326:D3124),_xlpm.kills, SUMIF(D326:D3124,_xlpm.roles,G326:G3124),INDEX(_xlpm.roles,MATCH(MAX(_xlpm.kills),_xlpm.kills,0)))</f>
        <v>Entry Fragger</v>
      </c>
      <c r="V326" t="str">
        <f t="shared" si="28"/>
        <v>Medium Accuracy</v>
      </c>
      <c r="W326" t="str" cm="1">
        <f t="array" ref="W326">_xlfn.LET(_xlpm.roles,_xlfn.UNIQUE(D326:D3124), _xlpm.counts,COUNTIF(D326:D3124,_xlpm.roles), INDEX(_xlpm.roles,MATCH(MAX(_xlpm.counts),_xlpm.counts,0)))</f>
        <v>Entry Fragger</v>
      </c>
      <c r="X326" s="2">
        <f t="shared" si="29"/>
        <v>12.599585062240664</v>
      </c>
    </row>
    <row r="327" spans="1:24" x14ac:dyDescent="0.3">
      <c r="A327">
        <v>436</v>
      </c>
      <c r="B327">
        <v>57</v>
      </c>
      <c r="C327" t="s">
        <v>39</v>
      </c>
      <c r="D327" t="s">
        <v>22</v>
      </c>
      <c r="E327" t="s">
        <v>32</v>
      </c>
      <c r="F327" t="s">
        <v>26</v>
      </c>
      <c r="G327">
        <v>17</v>
      </c>
      <c r="H327">
        <v>4</v>
      </c>
      <c r="I327">
        <v>6</v>
      </c>
      <c r="J327">
        <v>43.97</v>
      </c>
      <c r="K327">
        <v>206.81</v>
      </c>
      <c r="L327">
        <v>0.94</v>
      </c>
      <c r="M327">
        <v>44.59</v>
      </c>
      <c r="N327">
        <v>0.89</v>
      </c>
      <c r="O327" t="s">
        <v>20</v>
      </c>
      <c r="P327" t="s">
        <v>21</v>
      </c>
      <c r="Q327">
        <f t="shared" si="25"/>
        <v>15</v>
      </c>
      <c r="R327" s="4">
        <f>RANK(N327,$N$2:N$2800,0)</f>
        <v>1815</v>
      </c>
      <c r="S327">
        <f t="shared" si="26"/>
        <v>2.8333333333333335</v>
      </c>
      <c r="T327" t="str">
        <f t="shared" si="27"/>
        <v>Good</v>
      </c>
      <c r="U327" t="str" cm="1">
        <f t="array" ref="U327">_xlfn.LET(_xlpm.roles,_xlfn.UNIQUE(D327:D3125),_xlpm.kills, SUMIF(D327:D3125,_xlpm.roles,G327:G3125),INDEX(_xlpm.roles,MATCH(MAX(_xlpm.kills),_xlpm.kills,0)))</f>
        <v>Entry Fragger</v>
      </c>
      <c r="V327" t="str">
        <f t="shared" si="28"/>
        <v>Medium Accuracy</v>
      </c>
      <c r="W327" t="str" cm="1">
        <f t="array" ref="W327">_xlfn.LET(_xlpm.roles,_xlfn.UNIQUE(D327:D3125), _xlpm.counts,COUNTIF(D327:D3125,_xlpm.roles), INDEX(_xlpm.roles,MATCH(MAX(_xlpm.counts),_xlpm.counts,0)))</f>
        <v>Entry Fragger</v>
      </c>
      <c r="X327" s="2">
        <f t="shared" si="29"/>
        <v>13.103594080338267</v>
      </c>
    </row>
    <row r="328" spans="1:24" x14ac:dyDescent="0.3">
      <c r="A328">
        <v>1506</v>
      </c>
      <c r="B328">
        <v>57</v>
      </c>
      <c r="C328" t="s">
        <v>30</v>
      </c>
      <c r="D328" t="s">
        <v>22</v>
      </c>
      <c r="E328" t="s">
        <v>33</v>
      </c>
      <c r="F328" t="s">
        <v>37</v>
      </c>
      <c r="G328">
        <v>19</v>
      </c>
      <c r="H328">
        <v>8</v>
      </c>
      <c r="I328">
        <v>13</v>
      </c>
      <c r="J328">
        <v>41.05</v>
      </c>
      <c r="K328">
        <v>262.14</v>
      </c>
      <c r="L328">
        <v>0.9</v>
      </c>
      <c r="M328">
        <v>44.52</v>
      </c>
      <c r="N328">
        <v>1</v>
      </c>
      <c r="O328" t="s">
        <v>20</v>
      </c>
      <c r="P328" t="s">
        <v>21</v>
      </c>
      <c r="Q328">
        <f t="shared" si="25"/>
        <v>14</v>
      </c>
      <c r="R328" s="4">
        <f>RANK(N328,$N$2:N$2800,0)</f>
        <v>1</v>
      </c>
      <c r="S328">
        <f t="shared" si="26"/>
        <v>1.4615384615384615</v>
      </c>
      <c r="T328" t="str">
        <f t="shared" si="27"/>
        <v>Low</v>
      </c>
      <c r="U328" t="str" cm="1">
        <f t="array" ref="U328">_xlfn.LET(_xlpm.roles,_xlfn.UNIQUE(D328:D3126),_xlpm.kills, SUMIF(D328:D3126,_xlpm.roles,G328:G3126),INDEX(_xlpm.roles,MATCH(MAX(_xlpm.kills),_xlpm.kills,0)))</f>
        <v>Entry Fragger</v>
      </c>
      <c r="V328" t="str">
        <f t="shared" si="28"/>
        <v>Medium Accuracy</v>
      </c>
      <c r="W328" t="str" cm="1">
        <f t="array" ref="W328">_xlfn.LET(_xlpm.roles,_xlfn.UNIQUE(D328:D3126), _xlpm.counts,COUNTIF(D328:D3126,_xlpm.roles), INDEX(_xlpm.roles,MATCH(MAX(_xlpm.counts),_xlpm.counts,0)))</f>
        <v>Entry Fragger</v>
      </c>
      <c r="X328" s="2">
        <f t="shared" si="29"/>
        <v>13.135802469135802</v>
      </c>
    </row>
    <row r="329" spans="1:24" x14ac:dyDescent="0.3">
      <c r="A329">
        <v>1520</v>
      </c>
      <c r="B329">
        <v>57</v>
      </c>
      <c r="C329" t="s">
        <v>25</v>
      </c>
      <c r="D329" t="s">
        <v>36</v>
      </c>
      <c r="E329" t="s">
        <v>23</v>
      </c>
      <c r="F329" t="s">
        <v>24</v>
      </c>
      <c r="G329">
        <v>10</v>
      </c>
      <c r="H329">
        <v>10</v>
      </c>
      <c r="I329">
        <v>15</v>
      </c>
      <c r="J329">
        <v>58.32</v>
      </c>
      <c r="K329">
        <v>215.4</v>
      </c>
      <c r="L329">
        <v>0.44</v>
      </c>
      <c r="M329">
        <v>39.76</v>
      </c>
      <c r="N329">
        <v>0.92</v>
      </c>
      <c r="O329" t="s">
        <v>20</v>
      </c>
      <c r="P329" t="s">
        <v>21</v>
      </c>
      <c r="Q329">
        <f t="shared" si="25"/>
        <v>5</v>
      </c>
      <c r="R329" s="4">
        <f>RANK(N329,$N$2:N$2800,0)</f>
        <v>1585</v>
      </c>
      <c r="S329">
        <f t="shared" si="26"/>
        <v>0.66666666666666663</v>
      </c>
      <c r="T329" t="str">
        <f t="shared" si="27"/>
        <v>Low</v>
      </c>
      <c r="U329" t="str" cm="1">
        <f t="array" ref="U329">_xlfn.LET(_xlpm.roles,_xlfn.UNIQUE(D329:D3127),_xlpm.kills, SUMIF(D329:D3127,_xlpm.roles,G329:G3127),INDEX(_xlpm.roles,MATCH(MAX(_xlpm.kills),_xlpm.kills,0)))</f>
        <v>Entry Fragger</v>
      </c>
      <c r="V329" t="str">
        <f t="shared" si="28"/>
        <v>High Accuracy</v>
      </c>
      <c r="W329" t="str" cm="1">
        <f t="array" ref="W329">_xlfn.LET(_xlpm.roles,_xlfn.UNIQUE(D329:D3127), _xlpm.counts,COUNTIF(D329:D3127,_xlpm.roles), INDEX(_xlpm.roles,MATCH(MAX(_xlpm.counts),_xlpm.counts,0)))</f>
        <v>Entry Fragger</v>
      </c>
      <c r="X329" s="2">
        <f t="shared" si="29"/>
        <v>12.809421841541756</v>
      </c>
    </row>
    <row r="330" spans="1:24" x14ac:dyDescent="0.3">
      <c r="A330">
        <v>1890</v>
      </c>
      <c r="B330">
        <v>57</v>
      </c>
      <c r="C330" t="s">
        <v>16</v>
      </c>
      <c r="D330" t="s">
        <v>36</v>
      </c>
      <c r="E330" t="s">
        <v>18</v>
      </c>
      <c r="F330" t="s">
        <v>19</v>
      </c>
      <c r="G330">
        <v>18</v>
      </c>
      <c r="H330">
        <v>6</v>
      </c>
      <c r="I330">
        <v>11</v>
      </c>
      <c r="J330">
        <v>39.19</v>
      </c>
      <c r="K330">
        <v>180.93</v>
      </c>
      <c r="L330">
        <v>0.12</v>
      </c>
      <c r="M330">
        <v>49.39</v>
      </c>
      <c r="N330">
        <v>1</v>
      </c>
      <c r="O330" t="s">
        <v>20</v>
      </c>
      <c r="P330" t="s">
        <v>21</v>
      </c>
      <c r="Q330">
        <f t="shared" si="25"/>
        <v>13</v>
      </c>
      <c r="R330" s="4">
        <f>RANK(N330,$N$2:N$2800,0)</f>
        <v>1</v>
      </c>
      <c r="S330">
        <f t="shared" si="26"/>
        <v>1.6363636363636365</v>
      </c>
      <c r="T330" t="str">
        <f t="shared" si="27"/>
        <v>Low</v>
      </c>
      <c r="U330" t="str" cm="1">
        <f t="array" ref="U330">_xlfn.LET(_xlpm.roles,_xlfn.UNIQUE(D330:D3128),_xlpm.kills, SUMIF(D330:D3128,_xlpm.roles,G330:G3128),INDEX(_xlpm.roles,MATCH(MAX(_xlpm.kills),_xlpm.kills,0)))</f>
        <v>Entry Fragger</v>
      </c>
      <c r="V330" t="str">
        <f t="shared" si="28"/>
        <v>Medium Accuracy</v>
      </c>
      <c r="W330" t="str" cm="1">
        <f t="array" ref="W330">_xlfn.LET(_xlpm.roles,_xlfn.UNIQUE(D330:D3128), _xlpm.counts,COUNTIF(D330:D3128,_xlpm.roles), INDEX(_xlpm.roles,MATCH(MAX(_xlpm.counts),_xlpm.counts,0)))</f>
        <v>Entry Fragger</v>
      </c>
      <c r="X330" s="2">
        <f t="shared" si="29"/>
        <v>12.520971302428256</v>
      </c>
    </row>
    <row r="331" spans="1:24" x14ac:dyDescent="0.3">
      <c r="A331">
        <v>1974</v>
      </c>
      <c r="B331">
        <v>57</v>
      </c>
      <c r="C331" t="s">
        <v>39</v>
      </c>
      <c r="D331" t="s">
        <v>22</v>
      </c>
      <c r="E331" t="s">
        <v>29</v>
      </c>
      <c r="F331" t="s">
        <v>34</v>
      </c>
      <c r="G331">
        <v>15</v>
      </c>
      <c r="H331">
        <v>6</v>
      </c>
      <c r="I331">
        <v>8</v>
      </c>
      <c r="J331">
        <v>43.21</v>
      </c>
      <c r="K331">
        <v>206.38</v>
      </c>
      <c r="L331">
        <v>0.3</v>
      </c>
      <c r="M331">
        <v>46.61</v>
      </c>
      <c r="N331">
        <v>1</v>
      </c>
      <c r="O331" t="s">
        <v>20</v>
      </c>
      <c r="P331" t="s">
        <v>21</v>
      </c>
      <c r="Q331">
        <f t="shared" si="25"/>
        <v>13</v>
      </c>
      <c r="R331" s="4">
        <f>RANK(N331,$N$2:N$2800,0)</f>
        <v>1</v>
      </c>
      <c r="S331">
        <f t="shared" si="26"/>
        <v>1.875</v>
      </c>
      <c r="T331" t="str">
        <f t="shared" si="27"/>
        <v>Low</v>
      </c>
      <c r="U331" t="str" cm="1">
        <f t="array" ref="U331">_xlfn.LET(_xlpm.roles,_xlfn.UNIQUE(D331:D3129),_xlpm.kills, SUMIF(D331:D3129,_xlpm.roles,G331:G3129),INDEX(_xlpm.roles,MATCH(MAX(_xlpm.kills),_xlpm.kills,0)))</f>
        <v>Entry Fragger</v>
      </c>
      <c r="V331" t="str">
        <f t="shared" si="28"/>
        <v>Medium Accuracy</v>
      </c>
      <c r="W331" t="str" cm="1">
        <f t="array" ref="W331">_xlfn.LET(_xlpm.roles,_xlfn.UNIQUE(D331:D3129), _xlpm.counts,COUNTIF(D331:D3129,_xlpm.roles), INDEX(_xlpm.roles,MATCH(MAX(_xlpm.counts),_xlpm.counts,0)))</f>
        <v>Entry Fragger</v>
      </c>
      <c r="X331" s="2">
        <f t="shared" si="29"/>
        <v>13.103594080338267</v>
      </c>
    </row>
    <row r="332" spans="1:24" x14ac:dyDescent="0.3">
      <c r="A332">
        <v>2535</v>
      </c>
      <c r="B332">
        <v>57</v>
      </c>
      <c r="C332" t="s">
        <v>39</v>
      </c>
      <c r="D332" t="s">
        <v>22</v>
      </c>
      <c r="E332" t="s">
        <v>33</v>
      </c>
      <c r="F332" t="s">
        <v>34</v>
      </c>
      <c r="G332">
        <v>13</v>
      </c>
      <c r="H332">
        <v>10</v>
      </c>
      <c r="I332">
        <v>7</v>
      </c>
      <c r="J332">
        <v>37.130000000000003</v>
      </c>
      <c r="K332">
        <v>196.97</v>
      </c>
      <c r="L332">
        <v>0.62</v>
      </c>
      <c r="M332">
        <v>41.36</v>
      </c>
      <c r="N332">
        <v>0.92</v>
      </c>
      <c r="O332" t="s">
        <v>20</v>
      </c>
      <c r="P332" t="s">
        <v>21</v>
      </c>
      <c r="Q332">
        <f t="shared" si="25"/>
        <v>16</v>
      </c>
      <c r="R332" s="4">
        <f>RANK(N332,$N$2:N$2800,0)</f>
        <v>1585</v>
      </c>
      <c r="S332">
        <f t="shared" si="26"/>
        <v>1.8571428571428572</v>
      </c>
      <c r="T332" t="str">
        <f t="shared" si="27"/>
        <v>Good</v>
      </c>
      <c r="U332" t="str" cm="1">
        <f t="array" ref="U332">_xlfn.LET(_xlpm.roles,_xlfn.UNIQUE(D332:D3130),_xlpm.kills, SUMIF(D332:D3130,_xlpm.roles,G332:G3130),INDEX(_xlpm.roles,MATCH(MAX(_xlpm.kills),_xlpm.kills,0)))</f>
        <v>Entry Fragger</v>
      </c>
      <c r="V332" t="str">
        <f t="shared" si="28"/>
        <v>Medium Accuracy</v>
      </c>
      <c r="W332" t="str" cm="1">
        <f t="array" ref="W332">_xlfn.LET(_xlpm.roles,_xlfn.UNIQUE(D332:D3130), _xlpm.counts,COUNTIF(D332:D3130,_xlpm.roles), INDEX(_xlpm.roles,MATCH(MAX(_xlpm.counts),_xlpm.counts,0)))</f>
        <v>Entry Fragger</v>
      </c>
      <c r="X332" s="2">
        <f t="shared" si="29"/>
        <v>13.103594080338267</v>
      </c>
    </row>
    <row r="333" spans="1:24" x14ac:dyDescent="0.3">
      <c r="A333">
        <v>2640</v>
      </c>
      <c r="B333">
        <v>57</v>
      </c>
      <c r="C333" t="s">
        <v>27</v>
      </c>
      <c r="D333" t="s">
        <v>22</v>
      </c>
      <c r="E333" t="s">
        <v>29</v>
      </c>
      <c r="F333" t="s">
        <v>24</v>
      </c>
      <c r="G333">
        <v>7</v>
      </c>
      <c r="H333">
        <v>10</v>
      </c>
      <c r="I333">
        <v>12</v>
      </c>
      <c r="J333">
        <v>46.16</v>
      </c>
      <c r="K333">
        <v>217.25</v>
      </c>
      <c r="L333">
        <v>0.33</v>
      </c>
      <c r="M333">
        <v>31.78</v>
      </c>
      <c r="N333">
        <v>0.8</v>
      </c>
      <c r="O333" t="s">
        <v>20</v>
      </c>
      <c r="P333" t="s">
        <v>21</v>
      </c>
      <c r="Q333">
        <f t="shared" si="25"/>
        <v>5</v>
      </c>
      <c r="R333" s="4">
        <f>RANK(N333,$N$2:N$2800,0)</f>
        <v>2393</v>
      </c>
      <c r="S333">
        <f t="shared" si="26"/>
        <v>0.58333333333333337</v>
      </c>
      <c r="T333" t="str">
        <f t="shared" si="27"/>
        <v>Low</v>
      </c>
      <c r="U333" t="str" cm="1">
        <f t="array" ref="U333">_xlfn.LET(_xlpm.roles,_xlfn.UNIQUE(D333:D3131),_xlpm.kills, SUMIF(D333:D3131,_xlpm.roles,G333:G3131),INDEX(_xlpm.roles,MATCH(MAX(_xlpm.kills),_xlpm.kills,0)))</f>
        <v>Entry Fragger</v>
      </c>
      <c r="V333" t="str">
        <f t="shared" si="28"/>
        <v>Medium Accuracy</v>
      </c>
      <c r="W333" t="str" cm="1">
        <f t="array" ref="W333">_xlfn.LET(_xlpm.roles,_xlfn.UNIQUE(D333:D3131), _xlpm.counts,COUNTIF(D333:D3131,_xlpm.roles), INDEX(_xlpm.roles,MATCH(MAX(_xlpm.counts),_xlpm.counts,0)))</f>
        <v>Entry Fragger</v>
      </c>
      <c r="X333" s="2">
        <f t="shared" si="29"/>
        <v>13.057077625570777</v>
      </c>
    </row>
    <row r="334" spans="1:24" x14ac:dyDescent="0.3">
      <c r="A334">
        <v>2668</v>
      </c>
      <c r="B334">
        <v>57</v>
      </c>
      <c r="C334" t="s">
        <v>35</v>
      </c>
      <c r="D334" t="s">
        <v>31</v>
      </c>
      <c r="E334" t="s">
        <v>23</v>
      </c>
      <c r="F334" t="s">
        <v>34</v>
      </c>
      <c r="G334">
        <v>14</v>
      </c>
      <c r="H334">
        <v>16</v>
      </c>
      <c r="I334">
        <v>8</v>
      </c>
      <c r="J334">
        <v>47.25</v>
      </c>
      <c r="K334">
        <v>206.98</v>
      </c>
      <c r="L334">
        <v>0.83</v>
      </c>
      <c r="M334">
        <v>51.33</v>
      </c>
      <c r="N334">
        <v>1</v>
      </c>
      <c r="O334" t="s">
        <v>20</v>
      </c>
      <c r="P334" t="s">
        <v>21</v>
      </c>
      <c r="Q334">
        <f t="shared" si="25"/>
        <v>22</v>
      </c>
      <c r="R334" s="4">
        <f>RANK(N334,$N$2:N$2800,0)</f>
        <v>1</v>
      </c>
      <c r="S334">
        <f t="shared" si="26"/>
        <v>1.75</v>
      </c>
      <c r="T334" t="str">
        <f t="shared" si="27"/>
        <v>Good</v>
      </c>
      <c r="U334" t="str" cm="1">
        <f t="array" ref="U334">_xlfn.LET(_xlpm.roles,_xlfn.UNIQUE(D334:D3132),_xlpm.kills, SUMIF(D334:D3132,_xlpm.roles,G334:G3132),INDEX(_xlpm.roles,MATCH(MAX(_xlpm.kills),_xlpm.kills,0)))</f>
        <v>Entry Fragger</v>
      </c>
      <c r="V334" t="str">
        <f t="shared" si="28"/>
        <v>Medium Accuracy</v>
      </c>
      <c r="W334" t="str" cm="1">
        <f t="array" ref="W334">_xlfn.LET(_xlpm.roles,_xlfn.UNIQUE(D334:D3132), _xlpm.counts,COUNTIF(D334:D3132,_xlpm.roles), INDEX(_xlpm.roles,MATCH(MAX(_xlpm.counts),_xlpm.counts,0)))</f>
        <v>Entry Fragger</v>
      </c>
      <c r="X334" s="2">
        <f t="shared" si="29"/>
        <v>12.599585062240664</v>
      </c>
    </row>
    <row r="335" spans="1:24" x14ac:dyDescent="0.3">
      <c r="A335">
        <v>979</v>
      </c>
      <c r="B335">
        <v>58</v>
      </c>
      <c r="C335" t="s">
        <v>39</v>
      </c>
      <c r="D335" t="s">
        <v>17</v>
      </c>
      <c r="E335" t="s">
        <v>23</v>
      </c>
      <c r="F335" t="s">
        <v>19</v>
      </c>
      <c r="G335">
        <v>6</v>
      </c>
      <c r="H335">
        <v>12</v>
      </c>
      <c r="I335">
        <v>12</v>
      </c>
      <c r="J335">
        <v>54</v>
      </c>
      <c r="K335">
        <v>214.08</v>
      </c>
      <c r="L335">
        <v>0.05</v>
      </c>
      <c r="M335">
        <v>38.5</v>
      </c>
      <c r="N335">
        <v>0.56000000000000005</v>
      </c>
      <c r="O335" t="s">
        <v>20</v>
      </c>
      <c r="P335" t="s">
        <v>21</v>
      </c>
      <c r="Q335">
        <f t="shared" si="25"/>
        <v>6</v>
      </c>
      <c r="R335" s="4">
        <f>RANK(N335,$N$2:N$2800,0)</f>
        <v>2789</v>
      </c>
      <c r="S335">
        <f t="shared" si="26"/>
        <v>0.5</v>
      </c>
      <c r="T335" t="str">
        <f t="shared" si="27"/>
        <v>Low</v>
      </c>
      <c r="U335" t="str" cm="1">
        <f t="array" ref="U335">_xlfn.LET(_xlpm.roles,_xlfn.UNIQUE(D335:D3133),_xlpm.kills, SUMIF(D335:D3133,_xlpm.roles,G335:G3133),INDEX(_xlpm.roles,MATCH(MAX(_xlpm.kills),_xlpm.kills,0)))</f>
        <v>Entry Fragger</v>
      </c>
      <c r="V335" t="str">
        <f t="shared" si="28"/>
        <v>High Accuracy</v>
      </c>
      <c r="W335" t="str" cm="1">
        <f t="array" ref="W335">_xlfn.LET(_xlpm.roles,_xlfn.UNIQUE(D335:D3133), _xlpm.counts,COUNTIF(D335:D3133,_xlpm.roles), INDEX(_xlpm.roles,MATCH(MAX(_xlpm.counts),_xlpm.counts,0)))</f>
        <v>Entry Fragger</v>
      </c>
      <c r="X335" s="2">
        <f t="shared" si="29"/>
        <v>13.103594080338267</v>
      </c>
    </row>
    <row r="336" spans="1:24" x14ac:dyDescent="0.3">
      <c r="A336">
        <v>1726</v>
      </c>
      <c r="B336">
        <v>58</v>
      </c>
      <c r="C336" t="s">
        <v>35</v>
      </c>
      <c r="D336" t="s">
        <v>31</v>
      </c>
      <c r="E336" t="s">
        <v>32</v>
      </c>
      <c r="F336" t="s">
        <v>19</v>
      </c>
      <c r="G336">
        <v>26</v>
      </c>
      <c r="H336">
        <v>9</v>
      </c>
      <c r="I336">
        <v>6</v>
      </c>
      <c r="J336">
        <v>60.71</v>
      </c>
      <c r="K336">
        <v>226.73</v>
      </c>
      <c r="L336">
        <v>0.95</v>
      </c>
      <c r="M336">
        <v>75.86</v>
      </c>
      <c r="N336">
        <v>1</v>
      </c>
      <c r="O336" t="s">
        <v>20</v>
      </c>
      <c r="P336" t="s">
        <v>38</v>
      </c>
      <c r="Q336">
        <f t="shared" si="25"/>
        <v>29</v>
      </c>
      <c r="R336" s="4">
        <f>RANK(N336,$N$2:N$2800,0)</f>
        <v>1</v>
      </c>
      <c r="S336">
        <f t="shared" si="26"/>
        <v>4.333333333333333</v>
      </c>
      <c r="T336" t="str">
        <f t="shared" si="27"/>
        <v>Excellent</v>
      </c>
      <c r="U336" t="str" cm="1">
        <f t="array" ref="U336">_xlfn.LET(_xlpm.roles,_xlfn.UNIQUE(D336:D3134),_xlpm.kills, SUMIF(D336:D3134,_xlpm.roles,G336:G3134),INDEX(_xlpm.roles,MATCH(MAX(_xlpm.kills),_xlpm.kills,0)))</f>
        <v>Entry Fragger</v>
      </c>
      <c r="V336" t="str">
        <f t="shared" si="28"/>
        <v>High Accuracy</v>
      </c>
      <c r="W336" t="str" cm="1">
        <f t="array" ref="W336">_xlfn.LET(_xlpm.roles,_xlfn.UNIQUE(D336:D3134), _xlpm.counts,COUNTIF(D336:D3134,_xlpm.roles), INDEX(_xlpm.roles,MATCH(MAX(_xlpm.counts),_xlpm.counts,0)))</f>
        <v>Entry Fragger</v>
      </c>
      <c r="X336" s="2">
        <f t="shared" si="29"/>
        <v>12.599585062240664</v>
      </c>
    </row>
    <row r="337" spans="1:24" x14ac:dyDescent="0.3">
      <c r="A337">
        <v>2390</v>
      </c>
      <c r="B337">
        <v>58</v>
      </c>
      <c r="C337" t="s">
        <v>35</v>
      </c>
      <c r="D337" t="s">
        <v>28</v>
      </c>
      <c r="E337" t="s">
        <v>29</v>
      </c>
      <c r="F337" t="s">
        <v>34</v>
      </c>
      <c r="G337">
        <v>14</v>
      </c>
      <c r="H337">
        <v>5</v>
      </c>
      <c r="I337">
        <v>8</v>
      </c>
      <c r="J337">
        <v>43.38</v>
      </c>
      <c r="K337">
        <v>200.32</v>
      </c>
      <c r="L337">
        <v>0.91</v>
      </c>
      <c r="M337">
        <v>37.590000000000003</v>
      </c>
      <c r="N337">
        <v>0.78</v>
      </c>
      <c r="O337" t="s">
        <v>20</v>
      </c>
      <c r="P337" t="s">
        <v>21</v>
      </c>
      <c r="Q337">
        <f t="shared" si="25"/>
        <v>11</v>
      </c>
      <c r="R337" s="4">
        <f>RANK(N337,$N$2:N$2800,0)</f>
        <v>2469</v>
      </c>
      <c r="S337">
        <f t="shared" si="26"/>
        <v>1.75</v>
      </c>
      <c r="T337" t="str">
        <f t="shared" si="27"/>
        <v>Low</v>
      </c>
      <c r="U337" t="str" cm="1">
        <f t="array" ref="U337">_xlfn.LET(_xlpm.roles,_xlfn.UNIQUE(D337:D3135),_xlpm.kills, SUMIF(D337:D3135,_xlpm.roles,G337:G3135),INDEX(_xlpm.roles,MATCH(MAX(_xlpm.kills),_xlpm.kills,0)))</f>
        <v>Entry Fragger</v>
      </c>
      <c r="V337" t="str">
        <f t="shared" si="28"/>
        <v>Medium Accuracy</v>
      </c>
      <c r="W337" t="str" cm="1">
        <f t="array" ref="W337">_xlfn.LET(_xlpm.roles,_xlfn.UNIQUE(D337:D3135), _xlpm.counts,COUNTIF(D337:D3135,_xlpm.roles), INDEX(_xlpm.roles,MATCH(MAX(_xlpm.counts),_xlpm.counts,0)))</f>
        <v>Entry Fragger</v>
      </c>
      <c r="X337" s="2">
        <f t="shared" si="29"/>
        <v>12.599585062240664</v>
      </c>
    </row>
    <row r="338" spans="1:24" x14ac:dyDescent="0.3">
      <c r="A338">
        <v>2422</v>
      </c>
      <c r="B338">
        <v>58</v>
      </c>
      <c r="C338" t="s">
        <v>25</v>
      </c>
      <c r="D338" t="s">
        <v>28</v>
      </c>
      <c r="E338" t="s">
        <v>23</v>
      </c>
      <c r="F338" t="s">
        <v>19</v>
      </c>
      <c r="G338">
        <v>16</v>
      </c>
      <c r="H338">
        <v>10</v>
      </c>
      <c r="I338">
        <v>8</v>
      </c>
      <c r="J338">
        <v>40.01</v>
      </c>
      <c r="K338">
        <v>216.49</v>
      </c>
      <c r="L338">
        <v>0.2</v>
      </c>
      <c r="M338">
        <v>52</v>
      </c>
      <c r="N338">
        <v>1</v>
      </c>
      <c r="O338" t="s">
        <v>20</v>
      </c>
      <c r="P338" t="s">
        <v>21</v>
      </c>
      <c r="Q338">
        <f t="shared" si="25"/>
        <v>18</v>
      </c>
      <c r="R338" s="4">
        <f>RANK(N338,$N$2:N$2800,0)</f>
        <v>1</v>
      </c>
      <c r="S338">
        <f t="shared" si="26"/>
        <v>2</v>
      </c>
      <c r="T338" t="str">
        <f t="shared" si="27"/>
        <v>Good</v>
      </c>
      <c r="U338" t="str" cm="1">
        <f t="array" ref="U338">_xlfn.LET(_xlpm.roles,_xlfn.UNIQUE(D338:D3136),_xlpm.kills, SUMIF(D338:D3136,_xlpm.roles,G338:G3136),INDEX(_xlpm.roles,MATCH(MAX(_xlpm.kills),_xlpm.kills,0)))</f>
        <v>Entry Fragger</v>
      </c>
      <c r="V338" t="str">
        <f t="shared" si="28"/>
        <v>Medium Accuracy</v>
      </c>
      <c r="W338" t="str" cm="1">
        <f t="array" ref="W338">_xlfn.LET(_xlpm.roles,_xlfn.UNIQUE(D338:D3136), _xlpm.counts,COUNTIF(D338:D3136,_xlpm.roles), INDEX(_xlpm.roles,MATCH(MAX(_xlpm.counts),_xlpm.counts,0)))</f>
        <v>Entry Fragger</v>
      </c>
      <c r="X338" s="2">
        <f t="shared" si="29"/>
        <v>12.809421841541756</v>
      </c>
    </row>
    <row r="339" spans="1:24" x14ac:dyDescent="0.3">
      <c r="A339">
        <v>2483</v>
      </c>
      <c r="B339">
        <v>58</v>
      </c>
      <c r="C339" t="s">
        <v>30</v>
      </c>
      <c r="D339" t="s">
        <v>36</v>
      </c>
      <c r="E339" t="s">
        <v>29</v>
      </c>
      <c r="F339" t="s">
        <v>37</v>
      </c>
      <c r="G339">
        <v>18</v>
      </c>
      <c r="H339">
        <v>12</v>
      </c>
      <c r="I339">
        <v>10</v>
      </c>
      <c r="J339">
        <v>40.11</v>
      </c>
      <c r="K339">
        <v>193.38</v>
      </c>
      <c r="L339">
        <v>0.85</v>
      </c>
      <c r="M339">
        <v>49.55</v>
      </c>
      <c r="N339">
        <v>1</v>
      </c>
      <c r="O339" t="s">
        <v>20</v>
      </c>
      <c r="P339" t="s">
        <v>21</v>
      </c>
      <c r="Q339">
        <f t="shared" si="25"/>
        <v>20</v>
      </c>
      <c r="R339" s="4">
        <f>RANK(N339,$N$2:N$2800,0)</f>
        <v>1</v>
      </c>
      <c r="S339">
        <f t="shared" si="26"/>
        <v>1.8</v>
      </c>
      <c r="T339" t="str">
        <f t="shared" si="27"/>
        <v>Good</v>
      </c>
      <c r="U339" t="str" cm="1">
        <f t="array" ref="U339">_xlfn.LET(_xlpm.roles,_xlfn.UNIQUE(D339:D3137),_xlpm.kills, SUMIF(D339:D3137,_xlpm.roles,G339:G3137),INDEX(_xlpm.roles,MATCH(MAX(_xlpm.kills),_xlpm.kills,0)))</f>
        <v>Entry Fragger</v>
      </c>
      <c r="V339" t="str">
        <f t="shared" si="28"/>
        <v>Medium Accuracy</v>
      </c>
      <c r="W339" t="str" cm="1">
        <f t="array" ref="W339">_xlfn.LET(_xlpm.roles,_xlfn.UNIQUE(D339:D3137), _xlpm.counts,COUNTIF(D339:D3137,_xlpm.roles), INDEX(_xlpm.roles,MATCH(MAX(_xlpm.counts),_xlpm.counts,0)))</f>
        <v>Entry Fragger</v>
      </c>
      <c r="X339" s="2">
        <f t="shared" si="29"/>
        <v>13.135802469135802</v>
      </c>
    </row>
    <row r="340" spans="1:24" x14ac:dyDescent="0.3">
      <c r="A340">
        <v>2707</v>
      </c>
      <c r="B340">
        <v>58</v>
      </c>
      <c r="C340" t="s">
        <v>30</v>
      </c>
      <c r="D340" t="s">
        <v>22</v>
      </c>
      <c r="E340" t="s">
        <v>18</v>
      </c>
      <c r="F340" t="s">
        <v>19</v>
      </c>
      <c r="G340">
        <v>18</v>
      </c>
      <c r="H340">
        <v>9</v>
      </c>
      <c r="I340">
        <v>12</v>
      </c>
      <c r="J340">
        <v>46.84</v>
      </c>
      <c r="K340">
        <v>221.77</v>
      </c>
      <c r="L340">
        <v>0.43</v>
      </c>
      <c r="M340">
        <v>52.12</v>
      </c>
      <c r="N340">
        <v>0.99</v>
      </c>
      <c r="O340" t="s">
        <v>20</v>
      </c>
      <c r="P340" t="s">
        <v>21</v>
      </c>
      <c r="Q340">
        <f t="shared" si="25"/>
        <v>15</v>
      </c>
      <c r="R340" s="4">
        <f>RANK(N340,$N$2:N$2800,0)</f>
        <v>1080</v>
      </c>
      <c r="S340">
        <f t="shared" si="26"/>
        <v>1.5</v>
      </c>
      <c r="T340" t="str">
        <f t="shared" si="27"/>
        <v>Good</v>
      </c>
      <c r="U340" t="str" cm="1">
        <f t="array" ref="U340">_xlfn.LET(_xlpm.roles,_xlfn.UNIQUE(D340:D3138),_xlpm.kills, SUMIF(D340:D3138,_xlpm.roles,G340:G3138),INDEX(_xlpm.roles,MATCH(MAX(_xlpm.kills),_xlpm.kills,0)))</f>
        <v>Entry Fragger</v>
      </c>
      <c r="V340" t="str">
        <f t="shared" si="28"/>
        <v>Medium Accuracy</v>
      </c>
      <c r="W340" t="str" cm="1">
        <f t="array" ref="W340">_xlfn.LET(_xlpm.roles,_xlfn.UNIQUE(D340:D3138), _xlpm.counts,COUNTIF(D340:D3138,_xlpm.roles), INDEX(_xlpm.roles,MATCH(MAX(_xlpm.counts),_xlpm.counts,0)))</f>
        <v>Entry Fragger</v>
      </c>
      <c r="X340" s="2">
        <f t="shared" si="29"/>
        <v>13.135802469135802</v>
      </c>
    </row>
    <row r="341" spans="1:24" x14ac:dyDescent="0.3">
      <c r="A341">
        <v>407</v>
      </c>
      <c r="B341">
        <v>59</v>
      </c>
      <c r="C341" t="s">
        <v>39</v>
      </c>
      <c r="D341" t="s">
        <v>17</v>
      </c>
      <c r="E341" t="s">
        <v>18</v>
      </c>
      <c r="F341" t="s">
        <v>34</v>
      </c>
      <c r="G341">
        <v>15</v>
      </c>
      <c r="H341">
        <v>10</v>
      </c>
      <c r="I341">
        <v>11</v>
      </c>
      <c r="J341">
        <v>44.65</v>
      </c>
      <c r="K341">
        <v>207.56</v>
      </c>
      <c r="L341">
        <v>0.33</v>
      </c>
      <c r="M341">
        <v>48.03</v>
      </c>
      <c r="N341">
        <v>0.82</v>
      </c>
      <c r="O341" t="s">
        <v>20</v>
      </c>
      <c r="P341" t="s">
        <v>21</v>
      </c>
      <c r="Q341">
        <f t="shared" si="25"/>
        <v>14</v>
      </c>
      <c r="R341" s="4">
        <f>RANK(N341,$N$2:N$2800,0)</f>
        <v>2275</v>
      </c>
      <c r="S341">
        <f t="shared" si="26"/>
        <v>1.3636363636363635</v>
      </c>
      <c r="T341" t="str">
        <f t="shared" si="27"/>
        <v>Low</v>
      </c>
      <c r="U341" t="str" cm="1">
        <f t="array" ref="U341">_xlfn.LET(_xlpm.roles,_xlfn.UNIQUE(D341:D3139),_xlpm.kills, SUMIF(D341:D3139,_xlpm.roles,G341:G3139),INDEX(_xlpm.roles,MATCH(MAX(_xlpm.kills),_xlpm.kills,0)))</f>
        <v>Entry Fragger</v>
      </c>
      <c r="V341" t="str">
        <f t="shared" si="28"/>
        <v>Medium Accuracy</v>
      </c>
      <c r="W341" t="str" cm="1">
        <f t="array" ref="W341">_xlfn.LET(_xlpm.roles,_xlfn.UNIQUE(D341:D3139), _xlpm.counts,COUNTIF(D341:D3139,_xlpm.roles), INDEX(_xlpm.roles,MATCH(MAX(_xlpm.counts),_xlpm.counts,0)))</f>
        <v>Entry Fragger</v>
      </c>
      <c r="X341" s="2">
        <f t="shared" si="29"/>
        <v>13.103594080338267</v>
      </c>
    </row>
    <row r="342" spans="1:24" x14ac:dyDescent="0.3">
      <c r="A342">
        <v>496</v>
      </c>
      <c r="B342">
        <v>59</v>
      </c>
      <c r="C342" t="s">
        <v>27</v>
      </c>
      <c r="D342" t="s">
        <v>31</v>
      </c>
      <c r="E342" t="s">
        <v>33</v>
      </c>
      <c r="F342" t="s">
        <v>24</v>
      </c>
      <c r="G342">
        <v>11</v>
      </c>
      <c r="H342">
        <v>14</v>
      </c>
      <c r="I342">
        <v>7</v>
      </c>
      <c r="J342">
        <v>54.72</v>
      </c>
      <c r="K342">
        <v>206.46</v>
      </c>
      <c r="L342">
        <v>0.26</v>
      </c>
      <c r="M342">
        <v>53.76</v>
      </c>
      <c r="N342">
        <v>0.94</v>
      </c>
      <c r="O342" t="s">
        <v>20</v>
      </c>
      <c r="P342" t="s">
        <v>21</v>
      </c>
      <c r="Q342">
        <f t="shared" si="25"/>
        <v>18</v>
      </c>
      <c r="R342" s="4">
        <f>RANK(N342,$N$2:N$2800,0)</f>
        <v>1431</v>
      </c>
      <c r="S342">
        <f t="shared" si="26"/>
        <v>1.5714285714285714</v>
      </c>
      <c r="T342" t="str">
        <f t="shared" si="27"/>
        <v>Good</v>
      </c>
      <c r="U342" t="str" cm="1">
        <f t="array" ref="U342">_xlfn.LET(_xlpm.roles,_xlfn.UNIQUE(D342:D3140),_xlpm.kills, SUMIF(D342:D3140,_xlpm.roles,G342:G3140),INDEX(_xlpm.roles,MATCH(MAX(_xlpm.kills),_xlpm.kills,0)))</f>
        <v>Entry Fragger</v>
      </c>
      <c r="V342" t="str">
        <f t="shared" si="28"/>
        <v>High Accuracy</v>
      </c>
      <c r="W342" t="str" cm="1">
        <f t="array" ref="W342">_xlfn.LET(_xlpm.roles,_xlfn.UNIQUE(D342:D3140), _xlpm.counts,COUNTIF(D342:D3140,_xlpm.roles), INDEX(_xlpm.roles,MATCH(MAX(_xlpm.counts),_xlpm.counts,0)))</f>
        <v>Entry Fragger</v>
      </c>
      <c r="X342" s="2">
        <f t="shared" si="29"/>
        <v>13.057077625570777</v>
      </c>
    </row>
    <row r="343" spans="1:24" x14ac:dyDescent="0.3">
      <c r="A343">
        <v>859</v>
      </c>
      <c r="B343">
        <v>59</v>
      </c>
      <c r="C343" t="s">
        <v>16</v>
      </c>
      <c r="D343" t="s">
        <v>31</v>
      </c>
      <c r="E343" t="s">
        <v>23</v>
      </c>
      <c r="F343" t="s">
        <v>37</v>
      </c>
      <c r="G343">
        <v>21</v>
      </c>
      <c r="H343">
        <v>8</v>
      </c>
      <c r="I343">
        <v>11</v>
      </c>
      <c r="J343">
        <v>50.61</v>
      </c>
      <c r="K343">
        <v>241.69</v>
      </c>
      <c r="L343">
        <v>0.23</v>
      </c>
      <c r="M343">
        <v>62.01</v>
      </c>
      <c r="N343">
        <v>1</v>
      </c>
      <c r="O343" t="s">
        <v>20</v>
      </c>
      <c r="P343" t="s">
        <v>38</v>
      </c>
      <c r="Q343">
        <f t="shared" si="25"/>
        <v>18</v>
      </c>
      <c r="R343" s="4">
        <f>RANK(N343,$N$2:N$2800,0)</f>
        <v>1</v>
      </c>
      <c r="S343">
        <f t="shared" si="26"/>
        <v>1.9090909090909092</v>
      </c>
      <c r="T343" t="str">
        <f t="shared" si="27"/>
        <v>Good</v>
      </c>
      <c r="U343" t="str" cm="1">
        <f t="array" ref="U343">_xlfn.LET(_xlpm.roles,_xlfn.UNIQUE(D343:D3141),_xlpm.kills, SUMIF(D343:D3141,_xlpm.roles,G343:G3141),INDEX(_xlpm.roles,MATCH(MAX(_xlpm.kills),_xlpm.kills,0)))</f>
        <v>Entry Fragger</v>
      </c>
      <c r="V343" t="str">
        <f t="shared" si="28"/>
        <v>High Accuracy</v>
      </c>
      <c r="W343" t="str" cm="1">
        <f t="array" ref="W343">_xlfn.LET(_xlpm.roles,_xlfn.UNIQUE(D343:D3141), _xlpm.counts,COUNTIF(D343:D3141,_xlpm.roles), INDEX(_xlpm.roles,MATCH(MAX(_xlpm.counts),_xlpm.counts,0)))</f>
        <v>Entry Fragger</v>
      </c>
      <c r="X343" s="2">
        <f t="shared" si="29"/>
        <v>12.520971302428256</v>
      </c>
    </row>
    <row r="344" spans="1:24" x14ac:dyDescent="0.3">
      <c r="A344">
        <v>1239</v>
      </c>
      <c r="B344">
        <v>59</v>
      </c>
      <c r="C344" t="s">
        <v>25</v>
      </c>
      <c r="D344" t="s">
        <v>17</v>
      </c>
      <c r="E344" t="s">
        <v>32</v>
      </c>
      <c r="F344" t="s">
        <v>37</v>
      </c>
      <c r="G344">
        <v>14</v>
      </c>
      <c r="H344">
        <v>11</v>
      </c>
      <c r="I344">
        <v>9</v>
      </c>
      <c r="J344">
        <v>44.92</v>
      </c>
      <c r="K344">
        <v>193.68</v>
      </c>
      <c r="L344">
        <v>0.93</v>
      </c>
      <c r="M344">
        <v>43.16</v>
      </c>
      <c r="N344">
        <v>0.9</v>
      </c>
      <c r="O344" t="s">
        <v>20</v>
      </c>
      <c r="P344" t="s">
        <v>21</v>
      </c>
      <c r="Q344">
        <f t="shared" si="25"/>
        <v>16</v>
      </c>
      <c r="R344" s="4">
        <f>RANK(N344,$N$2:N$2800,0)</f>
        <v>1738</v>
      </c>
      <c r="S344">
        <f t="shared" si="26"/>
        <v>1.5555555555555556</v>
      </c>
      <c r="T344" t="str">
        <f t="shared" si="27"/>
        <v>Good</v>
      </c>
      <c r="U344" t="str" cm="1">
        <f t="array" ref="U344">_xlfn.LET(_xlpm.roles,_xlfn.UNIQUE(D344:D3142),_xlpm.kills, SUMIF(D344:D3142,_xlpm.roles,G344:G3142),INDEX(_xlpm.roles,MATCH(MAX(_xlpm.kills),_xlpm.kills,0)))</f>
        <v>Entry Fragger</v>
      </c>
      <c r="V344" t="str">
        <f t="shared" si="28"/>
        <v>Medium Accuracy</v>
      </c>
      <c r="W344" t="str" cm="1">
        <f t="array" ref="W344">_xlfn.LET(_xlpm.roles,_xlfn.UNIQUE(D344:D3142), _xlpm.counts,COUNTIF(D344:D3142,_xlpm.roles), INDEX(_xlpm.roles,MATCH(MAX(_xlpm.counts),_xlpm.counts,0)))</f>
        <v>Entry Fragger</v>
      </c>
      <c r="X344" s="2">
        <f t="shared" si="29"/>
        <v>12.809421841541756</v>
      </c>
    </row>
    <row r="345" spans="1:24" x14ac:dyDescent="0.3">
      <c r="A345">
        <v>1859</v>
      </c>
      <c r="B345">
        <v>59</v>
      </c>
      <c r="C345" t="s">
        <v>30</v>
      </c>
      <c r="D345" t="s">
        <v>31</v>
      </c>
      <c r="E345" t="s">
        <v>32</v>
      </c>
      <c r="F345" t="s">
        <v>34</v>
      </c>
      <c r="G345">
        <v>19</v>
      </c>
      <c r="H345">
        <v>9</v>
      </c>
      <c r="I345">
        <v>9</v>
      </c>
      <c r="J345">
        <v>48.07</v>
      </c>
      <c r="K345">
        <v>253.03</v>
      </c>
      <c r="L345">
        <v>0.18</v>
      </c>
      <c r="M345">
        <v>60.23</v>
      </c>
      <c r="N345">
        <v>1</v>
      </c>
      <c r="O345" t="s">
        <v>20</v>
      </c>
      <c r="P345" t="s">
        <v>38</v>
      </c>
      <c r="Q345">
        <f t="shared" si="25"/>
        <v>19</v>
      </c>
      <c r="R345" s="4">
        <f>RANK(N345,$N$2:N$2800,0)</f>
        <v>1</v>
      </c>
      <c r="S345">
        <f t="shared" si="26"/>
        <v>2.1111111111111112</v>
      </c>
      <c r="T345" t="str">
        <f t="shared" si="27"/>
        <v>Good</v>
      </c>
      <c r="U345" t="str" cm="1">
        <f t="array" ref="U345">_xlfn.LET(_xlpm.roles,_xlfn.UNIQUE(D345:D3143),_xlpm.kills, SUMIF(D345:D3143,_xlpm.roles,G345:G3143),INDEX(_xlpm.roles,MATCH(MAX(_xlpm.kills),_xlpm.kills,0)))</f>
        <v>Entry Fragger</v>
      </c>
      <c r="V345" t="str">
        <f t="shared" si="28"/>
        <v>Medium Accuracy</v>
      </c>
      <c r="W345" t="str" cm="1">
        <f t="array" ref="W345">_xlfn.LET(_xlpm.roles,_xlfn.UNIQUE(D345:D3143), _xlpm.counts,COUNTIF(D345:D3143,_xlpm.roles), INDEX(_xlpm.roles,MATCH(MAX(_xlpm.counts),_xlpm.counts,0)))</f>
        <v>Entry Fragger</v>
      </c>
      <c r="X345" s="2">
        <f t="shared" si="29"/>
        <v>13.135802469135802</v>
      </c>
    </row>
    <row r="346" spans="1:24" x14ac:dyDescent="0.3">
      <c r="A346">
        <v>2130</v>
      </c>
      <c r="B346">
        <v>59</v>
      </c>
      <c r="C346" t="s">
        <v>27</v>
      </c>
      <c r="D346" t="s">
        <v>28</v>
      </c>
      <c r="E346" t="s">
        <v>33</v>
      </c>
      <c r="F346" t="s">
        <v>37</v>
      </c>
      <c r="G346">
        <v>18</v>
      </c>
      <c r="H346">
        <v>15</v>
      </c>
      <c r="I346">
        <v>12</v>
      </c>
      <c r="J346">
        <v>57.39</v>
      </c>
      <c r="K346">
        <v>284.76</v>
      </c>
      <c r="L346">
        <v>0.01</v>
      </c>
      <c r="M346">
        <v>67.59</v>
      </c>
      <c r="N346">
        <v>1</v>
      </c>
      <c r="O346" t="s">
        <v>20</v>
      </c>
      <c r="P346" t="s">
        <v>38</v>
      </c>
      <c r="Q346">
        <f t="shared" si="25"/>
        <v>21</v>
      </c>
      <c r="R346" s="4">
        <f>RANK(N346,$N$2:N$2800,0)</f>
        <v>1</v>
      </c>
      <c r="S346">
        <f t="shared" si="26"/>
        <v>1.5</v>
      </c>
      <c r="T346" t="str">
        <f t="shared" si="27"/>
        <v>Good</v>
      </c>
      <c r="U346" t="str" cm="1">
        <f t="array" ref="U346">_xlfn.LET(_xlpm.roles,_xlfn.UNIQUE(D346:D3144),_xlpm.kills, SUMIF(D346:D3144,_xlpm.roles,G346:G3144),INDEX(_xlpm.roles,MATCH(MAX(_xlpm.kills),_xlpm.kills,0)))</f>
        <v>Entry Fragger</v>
      </c>
      <c r="V346" t="str">
        <f t="shared" si="28"/>
        <v>High Accuracy</v>
      </c>
      <c r="W346" t="str" cm="1">
        <f t="array" ref="W346">_xlfn.LET(_xlpm.roles,_xlfn.UNIQUE(D346:D3144), _xlpm.counts,COUNTIF(D346:D3144,_xlpm.roles), INDEX(_xlpm.roles,MATCH(MAX(_xlpm.counts),_xlpm.counts,0)))</f>
        <v>Entry Fragger</v>
      </c>
      <c r="X346" s="2">
        <f t="shared" si="29"/>
        <v>13.057077625570777</v>
      </c>
    </row>
    <row r="347" spans="1:24" x14ac:dyDescent="0.3">
      <c r="A347">
        <v>2194</v>
      </c>
      <c r="B347">
        <v>59</v>
      </c>
      <c r="C347" t="s">
        <v>30</v>
      </c>
      <c r="D347" t="s">
        <v>28</v>
      </c>
      <c r="E347" t="s">
        <v>33</v>
      </c>
      <c r="F347" t="s">
        <v>24</v>
      </c>
      <c r="G347">
        <v>11</v>
      </c>
      <c r="H347">
        <v>8</v>
      </c>
      <c r="I347">
        <v>3</v>
      </c>
      <c r="J347">
        <v>33.76</v>
      </c>
      <c r="K347">
        <v>155.59</v>
      </c>
      <c r="L347">
        <v>0.28000000000000003</v>
      </c>
      <c r="M347">
        <v>41.08</v>
      </c>
      <c r="N347">
        <v>1</v>
      </c>
      <c r="O347" t="s">
        <v>20</v>
      </c>
      <c r="P347" t="s">
        <v>21</v>
      </c>
      <c r="Q347">
        <f t="shared" si="25"/>
        <v>16</v>
      </c>
      <c r="R347" s="4">
        <f>RANK(N347,$N$2:N$2800,0)</f>
        <v>1</v>
      </c>
      <c r="S347">
        <f t="shared" si="26"/>
        <v>3.6666666666666665</v>
      </c>
      <c r="T347" t="str">
        <f t="shared" si="27"/>
        <v>Good</v>
      </c>
      <c r="U347" t="str" cm="1">
        <f t="array" ref="U347">_xlfn.LET(_xlpm.roles,_xlfn.UNIQUE(D347:D3145),_xlpm.kills, SUMIF(D347:D3145,_xlpm.roles,G347:G3145),INDEX(_xlpm.roles,MATCH(MAX(_xlpm.kills),_xlpm.kills,0)))</f>
        <v>Entry Fragger</v>
      </c>
      <c r="V347" t="str">
        <f t="shared" si="28"/>
        <v>Medium Accuracy</v>
      </c>
      <c r="W347" t="str" cm="1">
        <f t="array" ref="W347">_xlfn.LET(_xlpm.roles,_xlfn.UNIQUE(D347:D3145), _xlpm.counts,COUNTIF(D347:D3145,_xlpm.roles), INDEX(_xlpm.roles,MATCH(MAX(_xlpm.counts),_xlpm.counts,0)))</f>
        <v>Entry Fragger</v>
      </c>
      <c r="X347" s="2">
        <f t="shared" si="29"/>
        <v>13.135802469135802</v>
      </c>
    </row>
    <row r="348" spans="1:24" x14ac:dyDescent="0.3">
      <c r="A348">
        <v>141</v>
      </c>
      <c r="B348">
        <v>60</v>
      </c>
      <c r="C348" t="s">
        <v>25</v>
      </c>
      <c r="D348" t="s">
        <v>22</v>
      </c>
      <c r="E348" t="s">
        <v>32</v>
      </c>
      <c r="F348" t="s">
        <v>34</v>
      </c>
      <c r="G348">
        <v>6</v>
      </c>
      <c r="H348">
        <v>7</v>
      </c>
      <c r="I348">
        <v>13</v>
      </c>
      <c r="J348">
        <v>47.61</v>
      </c>
      <c r="K348">
        <v>229.01</v>
      </c>
      <c r="L348">
        <v>0.21</v>
      </c>
      <c r="M348">
        <v>27.7</v>
      </c>
      <c r="N348">
        <v>0.74</v>
      </c>
      <c r="O348" t="s">
        <v>20</v>
      </c>
      <c r="P348" t="s">
        <v>21</v>
      </c>
      <c r="Q348">
        <f t="shared" si="25"/>
        <v>0</v>
      </c>
      <c r="R348" s="4">
        <f>RANK(N348,$N$2:N$2800,0)</f>
        <v>2613</v>
      </c>
      <c r="S348">
        <f t="shared" si="26"/>
        <v>0.46153846153846156</v>
      </c>
      <c r="T348" t="str">
        <f t="shared" si="27"/>
        <v>Low</v>
      </c>
      <c r="U348" t="str" cm="1">
        <f t="array" ref="U348">_xlfn.LET(_xlpm.roles,_xlfn.UNIQUE(D348:D3146),_xlpm.kills, SUMIF(D348:D3146,_xlpm.roles,G348:G3146),INDEX(_xlpm.roles,MATCH(MAX(_xlpm.kills),_xlpm.kills,0)))</f>
        <v>Entry Fragger</v>
      </c>
      <c r="V348" t="str">
        <f t="shared" si="28"/>
        <v>Medium Accuracy</v>
      </c>
      <c r="W348" t="str" cm="1">
        <f t="array" ref="W348">_xlfn.LET(_xlpm.roles,_xlfn.UNIQUE(D348:D3146), _xlpm.counts,COUNTIF(D348:D3146,_xlpm.roles), INDEX(_xlpm.roles,MATCH(MAX(_xlpm.counts),_xlpm.counts,0)))</f>
        <v>Entry Fragger</v>
      </c>
      <c r="X348" s="2">
        <f t="shared" si="29"/>
        <v>12.809421841541756</v>
      </c>
    </row>
    <row r="349" spans="1:24" x14ac:dyDescent="0.3">
      <c r="A349">
        <v>323</v>
      </c>
      <c r="B349">
        <v>60</v>
      </c>
      <c r="C349" t="s">
        <v>30</v>
      </c>
      <c r="D349" t="s">
        <v>22</v>
      </c>
      <c r="E349" t="s">
        <v>32</v>
      </c>
      <c r="F349" t="s">
        <v>34</v>
      </c>
      <c r="G349">
        <v>14</v>
      </c>
      <c r="H349">
        <v>11</v>
      </c>
      <c r="I349">
        <v>8</v>
      </c>
      <c r="J349">
        <v>37.92</v>
      </c>
      <c r="K349">
        <v>204.38</v>
      </c>
      <c r="L349">
        <v>0.46</v>
      </c>
      <c r="M349">
        <v>45.36</v>
      </c>
      <c r="N349">
        <v>1</v>
      </c>
      <c r="O349" t="s">
        <v>20</v>
      </c>
      <c r="P349" t="s">
        <v>21</v>
      </c>
      <c r="Q349">
        <f t="shared" si="25"/>
        <v>17</v>
      </c>
      <c r="R349" s="4">
        <f>RANK(N349,$N$2:N$2800,0)</f>
        <v>1</v>
      </c>
      <c r="S349">
        <f t="shared" si="26"/>
        <v>1.75</v>
      </c>
      <c r="T349" t="str">
        <f t="shared" si="27"/>
        <v>Good</v>
      </c>
      <c r="U349" t="str" cm="1">
        <f t="array" ref="U349">_xlfn.LET(_xlpm.roles,_xlfn.UNIQUE(D349:D3147),_xlpm.kills, SUMIF(D349:D3147,_xlpm.roles,G349:G3147),INDEX(_xlpm.roles,MATCH(MAX(_xlpm.kills),_xlpm.kills,0)))</f>
        <v>Entry Fragger</v>
      </c>
      <c r="V349" t="str">
        <f t="shared" si="28"/>
        <v>Medium Accuracy</v>
      </c>
      <c r="W349" t="str" cm="1">
        <f t="array" ref="W349">_xlfn.LET(_xlpm.roles,_xlfn.UNIQUE(D349:D3147), _xlpm.counts,COUNTIF(D349:D3147,_xlpm.roles), INDEX(_xlpm.roles,MATCH(MAX(_xlpm.counts),_xlpm.counts,0)))</f>
        <v>Entry Fragger</v>
      </c>
      <c r="X349" s="2">
        <f t="shared" si="29"/>
        <v>13.135802469135802</v>
      </c>
    </row>
    <row r="350" spans="1:24" x14ac:dyDescent="0.3">
      <c r="A350">
        <v>422</v>
      </c>
      <c r="B350">
        <v>60</v>
      </c>
      <c r="C350" t="s">
        <v>16</v>
      </c>
      <c r="D350" t="s">
        <v>17</v>
      </c>
      <c r="E350" t="s">
        <v>18</v>
      </c>
      <c r="F350" t="s">
        <v>37</v>
      </c>
      <c r="G350">
        <v>19</v>
      </c>
      <c r="H350">
        <v>10</v>
      </c>
      <c r="I350">
        <v>13</v>
      </c>
      <c r="J350">
        <v>35.43</v>
      </c>
      <c r="K350">
        <v>251.32</v>
      </c>
      <c r="L350">
        <v>0.41</v>
      </c>
      <c r="M350">
        <v>48.62</v>
      </c>
      <c r="N350">
        <v>0.98</v>
      </c>
      <c r="O350" t="s">
        <v>20</v>
      </c>
      <c r="P350" t="s">
        <v>21</v>
      </c>
      <c r="Q350">
        <f t="shared" si="25"/>
        <v>16</v>
      </c>
      <c r="R350" s="4">
        <f>RANK(N350,$N$2:N$2800,0)</f>
        <v>1157</v>
      </c>
      <c r="S350">
        <f t="shared" si="26"/>
        <v>1.4615384615384615</v>
      </c>
      <c r="T350" t="str">
        <f t="shared" si="27"/>
        <v>Good</v>
      </c>
      <c r="U350" t="str" cm="1">
        <f t="array" ref="U350">_xlfn.LET(_xlpm.roles,_xlfn.UNIQUE(D350:D3148),_xlpm.kills, SUMIF(D350:D3148,_xlpm.roles,G350:G3148),INDEX(_xlpm.roles,MATCH(MAX(_xlpm.kills),_xlpm.kills,0)))</f>
        <v>Entry Fragger</v>
      </c>
      <c r="V350" t="str">
        <f t="shared" si="28"/>
        <v>Medium Accuracy</v>
      </c>
      <c r="W350" t="str" cm="1">
        <f t="array" ref="W350">_xlfn.LET(_xlpm.roles,_xlfn.UNIQUE(D350:D3148), _xlpm.counts,COUNTIF(D350:D3148,_xlpm.roles), INDEX(_xlpm.roles,MATCH(MAX(_xlpm.counts),_xlpm.counts,0)))</f>
        <v>Entry Fragger</v>
      </c>
      <c r="X350" s="2">
        <f t="shared" si="29"/>
        <v>12.520971302428256</v>
      </c>
    </row>
    <row r="351" spans="1:24" x14ac:dyDescent="0.3">
      <c r="A351">
        <v>432</v>
      </c>
      <c r="B351">
        <v>60</v>
      </c>
      <c r="C351" t="s">
        <v>25</v>
      </c>
      <c r="D351" t="s">
        <v>17</v>
      </c>
      <c r="E351" t="s">
        <v>18</v>
      </c>
      <c r="F351" t="s">
        <v>37</v>
      </c>
      <c r="G351">
        <v>8</v>
      </c>
      <c r="H351">
        <v>9</v>
      </c>
      <c r="I351">
        <v>12</v>
      </c>
      <c r="J351">
        <v>45.58</v>
      </c>
      <c r="K351">
        <v>161.74</v>
      </c>
      <c r="L351">
        <v>0.97</v>
      </c>
      <c r="M351">
        <v>26.09</v>
      </c>
      <c r="N351">
        <v>0.76</v>
      </c>
      <c r="O351" t="s">
        <v>20</v>
      </c>
      <c r="P351" t="s">
        <v>21</v>
      </c>
      <c r="Q351">
        <f t="shared" si="25"/>
        <v>5</v>
      </c>
      <c r="R351" s="4">
        <f>RANK(N351,$N$2:N$2800,0)</f>
        <v>2547</v>
      </c>
      <c r="S351">
        <f t="shared" si="26"/>
        <v>0.66666666666666663</v>
      </c>
      <c r="T351" t="str">
        <f t="shared" si="27"/>
        <v>Low</v>
      </c>
      <c r="U351" t="str" cm="1">
        <f t="array" ref="U351">_xlfn.LET(_xlpm.roles,_xlfn.UNIQUE(D351:D3149),_xlpm.kills, SUMIF(D351:D3149,_xlpm.roles,G351:G3149),INDEX(_xlpm.roles,MATCH(MAX(_xlpm.kills),_xlpm.kills,0)))</f>
        <v>Entry Fragger</v>
      </c>
      <c r="V351" t="str">
        <f t="shared" si="28"/>
        <v>Medium Accuracy</v>
      </c>
      <c r="W351" t="str" cm="1">
        <f t="array" ref="W351">_xlfn.LET(_xlpm.roles,_xlfn.UNIQUE(D351:D3149), _xlpm.counts,COUNTIF(D351:D3149,_xlpm.roles), INDEX(_xlpm.roles,MATCH(MAX(_xlpm.counts),_xlpm.counts,0)))</f>
        <v>Entry Fragger</v>
      </c>
      <c r="X351" s="2">
        <f t="shared" si="29"/>
        <v>12.809421841541756</v>
      </c>
    </row>
    <row r="352" spans="1:24" x14ac:dyDescent="0.3">
      <c r="A352">
        <v>837</v>
      </c>
      <c r="B352">
        <v>60</v>
      </c>
      <c r="C352" t="s">
        <v>35</v>
      </c>
      <c r="D352" t="s">
        <v>36</v>
      </c>
      <c r="E352" t="s">
        <v>18</v>
      </c>
      <c r="F352" t="s">
        <v>34</v>
      </c>
      <c r="G352">
        <v>12</v>
      </c>
      <c r="H352">
        <v>8</v>
      </c>
      <c r="I352">
        <v>14</v>
      </c>
      <c r="J352">
        <v>44.86</v>
      </c>
      <c r="K352">
        <v>188.24</v>
      </c>
      <c r="L352">
        <v>0.28000000000000003</v>
      </c>
      <c r="M352">
        <v>37.630000000000003</v>
      </c>
      <c r="N352">
        <v>0.72</v>
      </c>
      <c r="O352" t="s">
        <v>20</v>
      </c>
      <c r="P352" t="s">
        <v>21</v>
      </c>
      <c r="Q352">
        <f t="shared" si="25"/>
        <v>6</v>
      </c>
      <c r="R352" s="4">
        <f>RANK(N352,$N$2:N$2800,0)</f>
        <v>2663</v>
      </c>
      <c r="S352">
        <f t="shared" si="26"/>
        <v>0.8571428571428571</v>
      </c>
      <c r="T352" t="str">
        <f t="shared" si="27"/>
        <v>Low</v>
      </c>
      <c r="U352" t="str" cm="1">
        <f t="array" ref="U352">_xlfn.LET(_xlpm.roles,_xlfn.UNIQUE(D352:D3150),_xlpm.kills, SUMIF(D352:D3150,_xlpm.roles,G352:G3150),INDEX(_xlpm.roles,MATCH(MAX(_xlpm.kills),_xlpm.kills,0)))</f>
        <v>Entry Fragger</v>
      </c>
      <c r="V352" t="str">
        <f t="shared" si="28"/>
        <v>Medium Accuracy</v>
      </c>
      <c r="W352" t="str" cm="1">
        <f t="array" ref="W352">_xlfn.LET(_xlpm.roles,_xlfn.UNIQUE(D352:D3150), _xlpm.counts,COUNTIF(D352:D3150,_xlpm.roles), INDEX(_xlpm.roles,MATCH(MAX(_xlpm.counts),_xlpm.counts,0)))</f>
        <v>Entry Fragger</v>
      </c>
      <c r="X352" s="2">
        <f t="shared" si="29"/>
        <v>12.599585062240664</v>
      </c>
    </row>
    <row r="353" spans="1:24" x14ac:dyDescent="0.3">
      <c r="A353">
        <v>1626</v>
      </c>
      <c r="B353">
        <v>60</v>
      </c>
      <c r="C353" t="s">
        <v>25</v>
      </c>
      <c r="D353" t="s">
        <v>22</v>
      </c>
      <c r="E353" t="s">
        <v>18</v>
      </c>
      <c r="F353" t="s">
        <v>37</v>
      </c>
      <c r="G353">
        <v>15</v>
      </c>
      <c r="H353">
        <v>3</v>
      </c>
      <c r="I353">
        <v>7</v>
      </c>
      <c r="J353">
        <v>34.65</v>
      </c>
      <c r="K353">
        <v>186.76</v>
      </c>
      <c r="L353">
        <v>0.13</v>
      </c>
      <c r="M353">
        <v>42.03</v>
      </c>
      <c r="N353">
        <v>0.79</v>
      </c>
      <c r="O353" t="s">
        <v>20</v>
      </c>
      <c r="P353" t="s">
        <v>21</v>
      </c>
      <c r="Q353">
        <f t="shared" si="25"/>
        <v>11</v>
      </c>
      <c r="R353" s="4">
        <f>RANK(N353,$N$2:N$2800,0)</f>
        <v>2436</v>
      </c>
      <c r="S353">
        <f t="shared" si="26"/>
        <v>2.1428571428571428</v>
      </c>
      <c r="T353" t="str">
        <f t="shared" si="27"/>
        <v>Low</v>
      </c>
      <c r="U353" t="str" cm="1">
        <f t="array" ref="U353">_xlfn.LET(_xlpm.roles,_xlfn.UNIQUE(D353:D3151),_xlpm.kills, SUMIF(D353:D3151,_xlpm.roles,G353:G3151),INDEX(_xlpm.roles,MATCH(MAX(_xlpm.kills),_xlpm.kills,0)))</f>
        <v>Entry Fragger</v>
      </c>
      <c r="V353" t="str">
        <f t="shared" si="28"/>
        <v>Medium Accuracy</v>
      </c>
      <c r="W353" t="str" cm="1">
        <f t="array" ref="W353">_xlfn.LET(_xlpm.roles,_xlfn.UNIQUE(D353:D3151), _xlpm.counts,COUNTIF(D353:D3151,_xlpm.roles), INDEX(_xlpm.roles,MATCH(MAX(_xlpm.counts),_xlpm.counts,0)))</f>
        <v>Entry Fragger</v>
      </c>
      <c r="X353" s="2">
        <f t="shared" si="29"/>
        <v>12.809421841541756</v>
      </c>
    </row>
    <row r="354" spans="1:24" x14ac:dyDescent="0.3">
      <c r="A354">
        <v>2472</v>
      </c>
      <c r="B354">
        <v>60</v>
      </c>
      <c r="C354" t="s">
        <v>16</v>
      </c>
      <c r="D354" t="s">
        <v>22</v>
      </c>
      <c r="E354" t="s">
        <v>32</v>
      </c>
      <c r="F354" t="s">
        <v>37</v>
      </c>
      <c r="G354">
        <v>13</v>
      </c>
      <c r="H354">
        <v>11</v>
      </c>
      <c r="I354">
        <v>9</v>
      </c>
      <c r="J354">
        <v>45.67</v>
      </c>
      <c r="K354">
        <v>223.21</v>
      </c>
      <c r="L354">
        <v>0.13</v>
      </c>
      <c r="M354">
        <v>49.54</v>
      </c>
      <c r="N354">
        <v>1</v>
      </c>
      <c r="O354" t="s">
        <v>20</v>
      </c>
      <c r="P354" t="s">
        <v>21</v>
      </c>
      <c r="Q354">
        <f t="shared" si="25"/>
        <v>15</v>
      </c>
      <c r="R354" s="4">
        <f>RANK(N354,$N$2:N$2800,0)</f>
        <v>1</v>
      </c>
      <c r="S354">
        <f t="shared" si="26"/>
        <v>1.4444444444444444</v>
      </c>
      <c r="T354" t="str">
        <f t="shared" si="27"/>
        <v>Good</v>
      </c>
      <c r="U354" t="str" cm="1">
        <f t="array" ref="U354">_xlfn.LET(_xlpm.roles,_xlfn.UNIQUE(D354:D3152),_xlpm.kills, SUMIF(D354:D3152,_xlpm.roles,G354:G3152),INDEX(_xlpm.roles,MATCH(MAX(_xlpm.kills),_xlpm.kills,0)))</f>
        <v>Entry Fragger</v>
      </c>
      <c r="V354" t="str">
        <f t="shared" si="28"/>
        <v>Medium Accuracy</v>
      </c>
      <c r="W354" t="str" cm="1">
        <f t="array" ref="W354">_xlfn.LET(_xlpm.roles,_xlfn.UNIQUE(D354:D3152), _xlpm.counts,COUNTIF(D354:D3152,_xlpm.roles), INDEX(_xlpm.roles,MATCH(MAX(_xlpm.counts),_xlpm.counts,0)))</f>
        <v>Entry Fragger</v>
      </c>
      <c r="X354" s="2">
        <f t="shared" si="29"/>
        <v>12.520971302428256</v>
      </c>
    </row>
    <row r="355" spans="1:24" x14ac:dyDescent="0.3">
      <c r="A355">
        <v>2763</v>
      </c>
      <c r="B355">
        <v>60</v>
      </c>
      <c r="C355" t="s">
        <v>39</v>
      </c>
      <c r="D355" t="s">
        <v>31</v>
      </c>
      <c r="E355" t="s">
        <v>23</v>
      </c>
      <c r="F355" t="s">
        <v>34</v>
      </c>
      <c r="G355">
        <v>12</v>
      </c>
      <c r="H355">
        <v>12</v>
      </c>
      <c r="I355">
        <v>15</v>
      </c>
      <c r="J355">
        <v>48.22</v>
      </c>
      <c r="K355">
        <v>205.62</v>
      </c>
      <c r="L355">
        <v>0.62</v>
      </c>
      <c r="M355">
        <v>38.909999999999997</v>
      </c>
      <c r="N355">
        <v>0.78</v>
      </c>
      <c r="O355" t="s">
        <v>20</v>
      </c>
      <c r="P355" t="s">
        <v>21</v>
      </c>
      <c r="Q355">
        <f t="shared" si="25"/>
        <v>9</v>
      </c>
      <c r="R355" s="4">
        <f>RANK(N355,$N$2:N$2800,0)</f>
        <v>2469</v>
      </c>
      <c r="S355">
        <f t="shared" si="26"/>
        <v>0.8</v>
      </c>
      <c r="T355" t="str">
        <f t="shared" si="27"/>
        <v>Low</v>
      </c>
      <c r="U355" t="str" cm="1">
        <f t="array" ref="U355">_xlfn.LET(_xlpm.roles,_xlfn.UNIQUE(D355:D3153),_xlpm.kills, SUMIF(D355:D3153,_xlpm.roles,G355:G3153),INDEX(_xlpm.roles,MATCH(MAX(_xlpm.kills),_xlpm.kills,0)))</f>
        <v>Entry Fragger</v>
      </c>
      <c r="V355" t="str">
        <f t="shared" si="28"/>
        <v>Medium Accuracy</v>
      </c>
      <c r="W355" t="str" cm="1">
        <f t="array" ref="W355">_xlfn.LET(_xlpm.roles,_xlfn.UNIQUE(D355:D3153), _xlpm.counts,COUNTIF(D355:D3153,_xlpm.roles), INDEX(_xlpm.roles,MATCH(MAX(_xlpm.counts),_xlpm.counts,0)))</f>
        <v>Entry Fragger</v>
      </c>
      <c r="X355" s="2">
        <f t="shared" si="29"/>
        <v>13.103594080338267</v>
      </c>
    </row>
    <row r="356" spans="1:24" x14ac:dyDescent="0.3">
      <c r="A356">
        <v>855</v>
      </c>
      <c r="B356">
        <v>61</v>
      </c>
      <c r="C356" t="s">
        <v>25</v>
      </c>
      <c r="D356" t="s">
        <v>36</v>
      </c>
      <c r="E356" t="s">
        <v>23</v>
      </c>
      <c r="F356" t="s">
        <v>34</v>
      </c>
      <c r="G356">
        <v>19</v>
      </c>
      <c r="H356">
        <v>10</v>
      </c>
      <c r="I356">
        <v>7</v>
      </c>
      <c r="J356">
        <v>71.27</v>
      </c>
      <c r="K356">
        <v>243.5</v>
      </c>
      <c r="L356">
        <v>0.89</v>
      </c>
      <c r="M356">
        <v>67.73</v>
      </c>
      <c r="N356">
        <v>1</v>
      </c>
      <c r="O356" t="s">
        <v>20</v>
      </c>
      <c r="P356" t="s">
        <v>38</v>
      </c>
      <c r="Q356">
        <f t="shared" si="25"/>
        <v>22</v>
      </c>
      <c r="R356" s="4">
        <f>RANK(N356,$N$2:N$2800,0)</f>
        <v>1</v>
      </c>
      <c r="S356">
        <f t="shared" si="26"/>
        <v>2.7142857142857144</v>
      </c>
      <c r="T356" t="str">
        <f t="shared" si="27"/>
        <v>Good</v>
      </c>
      <c r="U356" t="str" cm="1">
        <f t="array" ref="U356">_xlfn.LET(_xlpm.roles,_xlfn.UNIQUE(D356:D3154),_xlpm.kills, SUMIF(D356:D3154,_xlpm.roles,G356:G3154),INDEX(_xlpm.roles,MATCH(MAX(_xlpm.kills),_xlpm.kills,0)))</f>
        <v>Entry Fragger</v>
      </c>
      <c r="V356" t="str">
        <f t="shared" si="28"/>
        <v>High Accuracy</v>
      </c>
      <c r="W356" t="str" cm="1">
        <f t="array" ref="W356">_xlfn.LET(_xlpm.roles,_xlfn.UNIQUE(D356:D3154), _xlpm.counts,COUNTIF(D356:D3154,_xlpm.roles), INDEX(_xlpm.roles,MATCH(MAX(_xlpm.counts),_xlpm.counts,0)))</f>
        <v>Entry Fragger</v>
      </c>
      <c r="X356" s="2">
        <f t="shared" si="29"/>
        <v>12.809421841541756</v>
      </c>
    </row>
    <row r="357" spans="1:24" x14ac:dyDescent="0.3">
      <c r="A357">
        <v>1011</v>
      </c>
      <c r="B357">
        <v>61</v>
      </c>
      <c r="C357" t="s">
        <v>25</v>
      </c>
      <c r="D357" t="s">
        <v>22</v>
      </c>
      <c r="E357" t="s">
        <v>23</v>
      </c>
      <c r="F357" t="s">
        <v>24</v>
      </c>
      <c r="G357">
        <v>24</v>
      </c>
      <c r="H357">
        <v>6</v>
      </c>
      <c r="I357">
        <v>6</v>
      </c>
      <c r="J357">
        <v>39.81</v>
      </c>
      <c r="K357">
        <v>214.75</v>
      </c>
      <c r="L357">
        <v>0.79</v>
      </c>
      <c r="M357">
        <v>60.01</v>
      </c>
      <c r="N357">
        <v>1</v>
      </c>
      <c r="O357" t="s">
        <v>20</v>
      </c>
      <c r="P357" t="s">
        <v>38</v>
      </c>
      <c r="Q357">
        <f t="shared" si="25"/>
        <v>24</v>
      </c>
      <c r="R357" s="4">
        <f>RANK(N357,$N$2:N$2800,0)</f>
        <v>1</v>
      </c>
      <c r="S357">
        <f t="shared" si="26"/>
        <v>4</v>
      </c>
      <c r="T357" t="str">
        <f t="shared" si="27"/>
        <v>Good</v>
      </c>
      <c r="U357" t="str" cm="1">
        <f t="array" ref="U357">_xlfn.LET(_xlpm.roles,_xlfn.UNIQUE(D357:D3155),_xlpm.kills, SUMIF(D357:D3155,_xlpm.roles,G357:G3155),INDEX(_xlpm.roles,MATCH(MAX(_xlpm.kills),_xlpm.kills,0)))</f>
        <v>Entry Fragger</v>
      </c>
      <c r="V357" t="str">
        <f t="shared" si="28"/>
        <v>Medium Accuracy</v>
      </c>
      <c r="W357" t="str" cm="1">
        <f t="array" ref="W357">_xlfn.LET(_xlpm.roles,_xlfn.UNIQUE(D357:D3155), _xlpm.counts,COUNTIF(D357:D3155,_xlpm.roles), INDEX(_xlpm.roles,MATCH(MAX(_xlpm.counts),_xlpm.counts,0)))</f>
        <v>Entry Fragger</v>
      </c>
      <c r="X357" s="2">
        <f t="shared" si="29"/>
        <v>12.809421841541756</v>
      </c>
    </row>
    <row r="358" spans="1:24" x14ac:dyDescent="0.3">
      <c r="A358">
        <v>2037</v>
      </c>
      <c r="B358">
        <v>61</v>
      </c>
      <c r="C358" t="s">
        <v>16</v>
      </c>
      <c r="D358" t="s">
        <v>28</v>
      </c>
      <c r="E358" t="s">
        <v>18</v>
      </c>
      <c r="F358" t="s">
        <v>37</v>
      </c>
      <c r="G358">
        <v>11</v>
      </c>
      <c r="H358">
        <v>9</v>
      </c>
      <c r="I358">
        <v>11</v>
      </c>
      <c r="J358">
        <v>39.99</v>
      </c>
      <c r="K358">
        <v>151.05000000000001</v>
      </c>
      <c r="L358">
        <v>0.85</v>
      </c>
      <c r="M358">
        <v>31.5</v>
      </c>
      <c r="N358">
        <v>0.77</v>
      </c>
      <c r="O358" t="s">
        <v>20</v>
      </c>
      <c r="P358" t="s">
        <v>21</v>
      </c>
      <c r="Q358">
        <f t="shared" si="25"/>
        <v>9</v>
      </c>
      <c r="R358" s="4">
        <f>RANK(N358,$N$2:N$2800,0)</f>
        <v>2511</v>
      </c>
      <c r="S358">
        <f t="shared" si="26"/>
        <v>1</v>
      </c>
      <c r="T358" t="str">
        <f t="shared" si="27"/>
        <v>Low</v>
      </c>
      <c r="U358" t="str" cm="1">
        <f t="array" ref="U358">_xlfn.LET(_xlpm.roles,_xlfn.UNIQUE(D358:D3156),_xlpm.kills, SUMIF(D358:D3156,_xlpm.roles,G358:G3156),INDEX(_xlpm.roles,MATCH(MAX(_xlpm.kills),_xlpm.kills,0)))</f>
        <v>Entry Fragger</v>
      </c>
      <c r="V358" t="str">
        <f t="shared" si="28"/>
        <v>Medium Accuracy</v>
      </c>
      <c r="W358" t="str" cm="1">
        <f t="array" ref="W358">_xlfn.LET(_xlpm.roles,_xlfn.UNIQUE(D358:D3156), _xlpm.counts,COUNTIF(D358:D3156,_xlpm.roles), INDEX(_xlpm.roles,MATCH(MAX(_xlpm.counts),_xlpm.counts,0)))</f>
        <v>Entry Fragger</v>
      </c>
      <c r="X358" s="2">
        <f t="shared" si="29"/>
        <v>12.520971302428256</v>
      </c>
    </row>
    <row r="359" spans="1:24" x14ac:dyDescent="0.3">
      <c r="A359">
        <v>2159</v>
      </c>
      <c r="B359">
        <v>61</v>
      </c>
      <c r="C359" t="s">
        <v>30</v>
      </c>
      <c r="D359" t="s">
        <v>28</v>
      </c>
      <c r="E359" t="s">
        <v>18</v>
      </c>
      <c r="F359" t="s">
        <v>26</v>
      </c>
      <c r="G359">
        <v>23</v>
      </c>
      <c r="H359">
        <v>8</v>
      </c>
      <c r="I359">
        <v>11</v>
      </c>
      <c r="J359">
        <v>51.27</v>
      </c>
      <c r="K359">
        <v>196.65</v>
      </c>
      <c r="L359">
        <v>0.83</v>
      </c>
      <c r="M359">
        <v>60.34</v>
      </c>
      <c r="N359">
        <v>1</v>
      </c>
      <c r="O359" t="s">
        <v>20</v>
      </c>
      <c r="P359" t="s">
        <v>38</v>
      </c>
      <c r="Q359">
        <f t="shared" si="25"/>
        <v>20</v>
      </c>
      <c r="R359" s="4">
        <f>RANK(N359,$N$2:N$2800,0)</f>
        <v>1</v>
      </c>
      <c r="S359">
        <f t="shared" si="26"/>
        <v>2.0909090909090908</v>
      </c>
      <c r="T359" t="str">
        <f t="shared" si="27"/>
        <v>Good</v>
      </c>
      <c r="U359" t="str" cm="1">
        <f t="array" ref="U359">_xlfn.LET(_xlpm.roles,_xlfn.UNIQUE(D359:D3157),_xlpm.kills, SUMIF(D359:D3157,_xlpm.roles,G359:G3157),INDEX(_xlpm.roles,MATCH(MAX(_xlpm.kills),_xlpm.kills,0)))</f>
        <v>Entry Fragger</v>
      </c>
      <c r="V359" t="str">
        <f t="shared" si="28"/>
        <v>High Accuracy</v>
      </c>
      <c r="W359" t="str" cm="1">
        <f t="array" ref="W359">_xlfn.LET(_xlpm.roles,_xlfn.UNIQUE(D359:D3157), _xlpm.counts,COUNTIF(D359:D3157,_xlpm.roles), INDEX(_xlpm.roles,MATCH(MAX(_xlpm.counts),_xlpm.counts,0)))</f>
        <v>Entry Fragger</v>
      </c>
      <c r="X359" s="2">
        <f t="shared" si="29"/>
        <v>13.135802469135802</v>
      </c>
    </row>
    <row r="360" spans="1:24" x14ac:dyDescent="0.3">
      <c r="A360">
        <v>2665</v>
      </c>
      <c r="B360">
        <v>61</v>
      </c>
      <c r="C360" t="s">
        <v>35</v>
      </c>
      <c r="D360" t="s">
        <v>31</v>
      </c>
      <c r="E360" t="s">
        <v>32</v>
      </c>
      <c r="F360" t="s">
        <v>37</v>
      </c>
      <c r="G360">
        <v>17</v>
      </c>
      <c r="H360">
        <v>9</v>
      </c>
      <c r="I360">
        <v>12</v>
      </c>
      <c r="J360">
        <v>44.42</v>
      </c>
      <c r="K360">
        <v>234.86</v>
      </c>
      <c r="L360">
        <v>0.62</v>
      </c>
      <c r="M360">
        <v>47.01</v>
      </c>
      <c r="N360">
        <v>0.93</v>
      </c>
      <c r="O360" t="s">
        <v>20</v>
      </c>
      <c r="P360" t="s">
        <v>21</v>
      </c>
      <c r="Q360">
        <f t="shared" si="25"/>
        <v>14</v>
      </c>
      <c r="R360" s="4">
        <f>RANK(N360,$N$2:N$2800,0)</f>
        <v>1505</v>
      </c>
      <c r="S360">
        <f t="shared" si="26"/>
        <v>1.4166666666666667</v>
      </c>
      <c r="T360" t="str">
        <f t="shared" si="27"/>
        <v>Low</v>
      </c>
      <c r="U360" t="str" cm="1">
        <f t="array" ref="U360">_xlfn.LET(_xlpm.roles,_xlfn.UNIQUE(D360:D3158),_xlpm.kills, SUMIF(D360:D3158,_xlpm.roles,G360:G3158),INDEX(_xlpm.roles,MATCH(MAX(_xlpm.kills),_xlpm.kills,0)))</f>
        <v>Entry Fragger</v>
      </c>
      <c r="V360" t="str">
        <f t="shared" si="28"/>
        <v>Medium Accuracy</v>
      </c>
      <c r="W360" t="str" cm="1">
        <f t="array" ref="W360">_xlfn.LET(_xlpm.roles,_xlfn.UNIQUE(D360:D3158), _xlpm.counts,COUNTIF(D360:D3158,_xlpm.roles), INDEX(_xlpm.roles,MATCH(MAX(_xlpm.counts),_xlpm.counts,0)))</f>
        <v>Entry Fragger</v>
      </c>
      <c r="X360" s="2">
        <f t="shared" si="29"/>
        <v>12.599585062240664</v>
      </c>
    </row>
    <row r="361" spans="1:24" x14ac:dyDescent="0.3">
      <c r="A361">
        <v>175</v>
      </c>
      <c r="B361">
        <v>62</v>
      </c>
      <c r="C361" t="s">
        <v>25</v>
      </c>
      <c r="D361" t="s">
        <v>17</v>
      </c>
      <c r="E361" t="s">
        <v>23</v>
      </c>
      <c r="F361" t="s">
        <v>37</v>
      </c>
      <c r="G361">
        <v>19</v>
      </c>
      <c r="H361">
        <v>7</v>
      </c>
      <c r="I361">
        <v>10</v>
      </c>
      <c r="J361">
        <v>55.32</v>
      </c>
      <c r="K361">
        <v>249.04</v>
      </c>
      <c r="L361">
        <v>0.01</v>
      </c>
      <c r="M361">
        <v>62.56</v>
      </c>
      <c r="N361">
        <v>1</v>
      </c>
      <c r="O361" t="s">
        <v>20</v>
      </c>
      <c r="P361" t="s">
        <v>38</v>
      </c>
      <c r="Q361">
        <f t="shared" si="25"/>
        <v>16</v>
      </c>
      <c r="R361" s="4">
        <f>RANK(N361,$N$2:N$2800,0)</f>
        <v>1</v>
      </c>
      <c r="S361">
        <f t="shared" si="26"/>
        <v>1.9</v>
      </c>
      <c r="T361" t="str">
        <f t="shared" si="27"/>
        <v>Good</v>
      </c>
      <c r="U361" t="str" cm="1">
        <f t="array" ref="U361">_xlfn.LET(_xlpm.roles,_xlfn.UNIQUE(D361:D3159),_xlpm.kills, SUMIF(D361:D3159,_xlpm.roles,G361:G3159),INDEX(_xlpm.roles,MATCH(MAX(_xlpm.kills),_xlpm.kills,0)))</f>
        <v>Entry Fragger</v>
      </c>
      <c r="V361" t="str">
        <f t="shared" si="28"/>
        <v>High Accuracy</v>
      </c>
      <c r="W361" t="str" cm="1">
        <f t="array" ref="W361">_xlfn.LET(_xlpm.roles,_xlfn.UNIQUE(D361:D3159), _xlpm.counts,COUNTIF(D361:D3159,_xlpm.roles), INDEX(_xlpm.roles,MATCH(MAX(_xlpm.counts),_xlpm.counts,0)))</f>
        <v>Entry Fragger</v>
      </c>
      <c r="X361" s="2">
        <f t="shared" si="29"/>
        <v>12.809421841541756</v>
      </c>
    </row>
    <row r="362" spans="1:24" x14ac:dyDescent="0.3">
      <c r="A362">
        <v>448</v>
      </c>
      <c r="B362">
        <v>62</v>
      </c>
      <c r="C362" t="s">
        <v>35</v>
      </c>
      <c r="D362" t="s">
        <v>22</v>
      </c>
      <c r="E362" t="s">
        <v>23</v>
      </c>
      <c r="F362" t="s">
        <v>26</v>
      </c>
      <c r="G362">
        <v>20</v>
      </c>
      <c r="H362">
        <v>8</v>
      </c>
      <c r="I362">
        <v>11</v>
      </c>
      <c r="J362">
        <v>37.04</v>
      </c>
      <c r="K362">
        <v>243.02</v>
      </c>
      <c r="L362">
        <v>0.57999999999999996</v>
      </c>
      <c r="M362">
        <v>49.72</v>
      </c>
      <c r="N362">
        <v>1</v>
      </c>
      <c r="O362" t="s">
        <v>20</v>
      </c>
      <c r="P362" t="s">
        <v>21</v>
      </c>
      <c r="Q362">
        <f t="shared" si="25"/>
        <v>17</v>
      </c>
      <c r="R362" s="4">
        <f>RANK(N362,$N$2:N$2800,0)</f>
        <v>1</v>
      </c>
      <c r="S362">
        <f t="shared" si="26"/>
        <v>1.8181818181818181</v>
      </c>
      <c r="T362" t="str">
        <f t="shared" si="27"/>
        <v>Good</v>
      </c>
      <c r="U362" t="str" cm="1">
        <f t="array" ref="U362">_xlfn.LET(_xlpm.roles,_xlfn.UNIQUE(D362:D3160),_xlpm.kills, SUMIF(D362:D3160,_xlpm.roles,G362:G3160),INDEX(_xlpm.roles,MATCH(MAX(_xlpm.kills),_xlpm.kills,0)))</f>
        <v>Entry Fragger</v>
      </c>
      <c r="V362" t="str">
        <f t="shared" si="28"/>
        <v>Medium Accuracy</v>
      </c>
      <c r="W362" t="str" cm="1">
        <f t="array" ref="W362">_xlfn.LET(_xlpm.roles,_xlfn.UNIQUE(D362:D3160), _xlpm.counts,COUNTIF(D362:D3160,_xlpm.roles), INDEX(_xlpm.roles,MATCH(MAX(_xlpm.counts),_xlpm.counts,0)))</f>
        <v>Entry Fragger</v>
      </c>
      <c r="X362" s="2">
        <f t="shared" si="29"/>
        <v>12.599585062240664</v>
      </c>
    </row>
    <row r="363" spans="1:24" x14ac:dyDescent="0.3">
      <c r="A363">
        <v>1109</v>
      </c>
      <c r="B363">
        <v>62</v>
      </c>
      <c r="C363" t="s">
        <v>30</v>
      </c>
      <c r="D363" t="s">
        <v>22</v>
      </c>
      <c r="E363" t="s">
        <v>23</v>
      </c>
      <c r="F363" t="s">
        <v>24</v>
      </c>
      <c r="G363">
        <v>16</v>
      </c>
      <c r="H363">
        <v>9</v>
      </c>
      <c r="I363">
        <v>11</v>
      </c>
      <c r="J363">
        <v>44.55</v>
      </c>
      <c r="K363">
        <v>217.19</v>
      </c>
      <c r="L363">
        <v>0.02</v>
      </c>
      <c r="M363">
        <v>52.07</v>
      </c>
      <c r="N363">
        <v>1</v>
      </c>
      <c r="O363" t="s">
        <v>20</v>
      </c>
      <c r="P363" t="s">
        <v>21</v>
      </c>
      <c r="Q363">
        <f t="shared" si="25"/>
        <v>14</v>
      </c>
      <c r="R363" s="4">
        <f>RANK(N363,$N$2:N$2800,0)</f>
        <v>1</v>
      </c>
      <c r="S363">
        <f t="shared" si="26"/>
        <v>1.4545454545454546</v>
      </c>
      <c r="T363" t="str">
        <f t="shared" si="27"/>
        <v>Low</v>
      </c>
      <c r="U363" t="str" cm="1">
        <f t="array" ref="U363">_xlfn.LET(_xlpm.roles,_xlfn.UNIQUE(D363:D3161),_xlpm.kills, SUMIF(D363:D3161,_xlpm.roles,G363:G3161),INDEX(_xlpm.roles,MATCH(MAX(_xlpm.kills),_xlpm.kills,0)))</f>
        <v>Entry Fragger</v>
      </c>
      <c r="V363" t="str">
        <f t="shared" si="28"/>
        <v>Medium Accuracy</v>
      </c>
      <c r="W363" t="str" cm="1">
        <f t="array" ref="W363">_xlfn.LET(_xlpm.roles,_xlfn.UNIQUE(D363:D3161), _xlpm.counts,COUNTIF(D363:D3161,_xlpm.roles), INDEX(_xlpm.roles,MATCH(MAX(_xlpm.counts),_xlpm.counts,0)))</f>
        <v>Entry Fragger</v>
      </c>
      <c r="X363" s="2">
        <f t="shared" si="29"/>
        <v>13.135802469135802</v>
      </c>
    </row>
    <row r="364" spans="1:24" x14ac:dyDescent="0.3">
      <c r="A364">
        <v>1116</v>
      </c>
      <c r="B364">
        <v>62</v>
      </c>
      <c r="C364" t="s">
        <v>39</v>
      </c>
      <c r="D364" t="s">
        <v>22</v>
      </c>
      <c r="E364" t="s">
        <v>29</v>
      </c>
      <c r="F364" t="s">
        <v>34</v>
      </c>
      <c r="G364">
        <v>10</v>
      </c>
      <c r="H364">
        <v>5</v>
      </c>
      <c r="I364">
        <v>11</v>
      </c>
      <c r="J364">
        <v>36.200000000000003</v>
      </c>
      <c r="K364">
        <v>228.36</v>
      </c>
      <c r="L364">
        <v>0.76</v>
      </c>
      <c r="M364">
        <v>24.5</v>
      </c>
      <c r="N364">
        <v>0.72</v>
      </c>
      <c r="O364" t="s">
        <v>20</v>
      </c>
      <c r="P364" t="s">
        <v>21</v>
      </c>
      <c r="Q364">
        <f t="shared" si="25"/>
        <v>4</v>
      </c>
      <c r="R364" s="4">
        <f>RANK(N364,$N$2:N$2800,0)</f>
        <v>2663</v>
      </c>
      <c r="S364">
        <f t="shared" si="26"/>
        <v>0.90909090909090906</v>
      </c>
      <c r="T364" t="str">
        <f t="shared" si="27"/>
        <v>Low</v>
      </c>
      <c r="U364" t="str" cm="1">
        <f t="array" ref="U364">_xlfn.LET(_xlpm.roles,_xlfn.UNIQUE(D364:D3162),_xlpm.kills, SUMIF(D364:D3162,_xlpm.roles,G364:G3162),INDEX(_xlpm.roles,MATCH(MAX(_xlpm.kills),_xlpm.kills,0)))</f>
        <v>Entry Fragger</v>
      </c>
      <c r="V364" t="str">
        <f t="shared" si="28"/>
        <v>Medium Accuracy</v>
      </c>
      <c r="W364" t="str" cm="1">
        <f t="array" ref="W364">_xlfn.LET(_xlpm.roles,_xlfn.UNIQUE(D364:D3162), _xlpm.counts,COUNTIF(D364:D3162,_xlpm.roles), INDEX(_xlpm.roles,MATCH(MAX(_xlpm.counts),_xlpm.counts,0)))</f>
        <v>Entry Fragger</v>
      </c>
      <c r="X364" s="2">
        <f t="shared" si="29"/>
        <v>13.103594080338267</v>
      </c>
    </row>
    <row r="365" spans="1:24" x14ac:dyDescent="0.3">
      <c r="A365">
        <v>1182</v>
      </c>
      <c r="B365">
        <v>62</v>
      </c>
      <c r="C365" t="s">
        <v>30</v>
      </c>
      <c r="D365" t="s">
        <v>36</v>
      </c>
      <c r="E365" t="s">
        <v>18</v>
      </c>
      <c r="F365" t="s">
        <v>19</v>
      </c>
      <c r="G365">
        <v>13</v>
      </c>
      <c r="H365">
        <v>7</v>
      </c>
      <c r="I365">
        <v>15</v>
      </c>
      <c r="J365">
        <v>48.17</v>
      </c>
      <c r="K365">
        <v>241.01</v>
      </c>
      <c r="L365">
        <v>0.75</v>
      </c>
      <c r="M365">
        <v>34.590000000000003</v>
      </c>
      <c r="N365">
        <v>0.81</v>
      </c>
      <c r="O365" t="s">
        <v>20</v>
      </c>
      <c r="P365" t="s">
        <v>21</v>
      </c>
      <c r="Q365">
        <f t="shared" si="25"/>
        <v>5</v>
      </c>
      <c r="R365" s="4">
        <f>RANK(N365,$N$2:N$2800,0)</f>
        <v>2341</v>
      </c>
      <c r="S365">
        <f t="shared" si="26"/>
        <v>0.8666666666666667</v>
      </c>
      <c r="T365" t="str">
        <f t="shared" si="27"/>
        <v>Low</v>
      </c>
      <c r="U365" t="str" cm="1">
        <f t="array" ref="U365">_xlfn.LET(_xlpm.roles,_xlfn.UNIQUE(D365:D3163),_xlpm.kills, SUMIF(D365:D3163,_xlpm.roles,G365:G3163),INDEX(_xlpm.roles,MATCH(MAX(_xlpm.kills),_xlpm.kills,0)))</f>
        <v>Entry Fragger</v>
      </c>
      <c r="V365" t="str">
        <f t="shared" si="28"/>
        <v>Medium Accuracy</v>
      </c>
      <c r="W365" t="str" cm="1">
        <f t="array" ref="W365">_xlfn.LET(_xlpm.roles,_xlfn.UNIQUE(D365:D3163), _xlpm.counts,COUNTIF(D365:D3163,_xlpm.roles), INDEX(_xlpm.roles,MATCH(MAX(_xlpm.counts),_xlpm.counts,0)))</f>
        <v>Entry Fragger</v>
      </c>
      <c r="X365" s="2">
        <f t="shared" si="29"/>
        <v>13.135802469135802</v>
      </c>
    </row>
    <row r="366" spans="1:24" x14ac:dyDescent="0.3">
      <c r="A366">
        <v>1465</v>
      </c>
      <c r="B366">
        <v>62</v>
      </c>
      <c r="C366" t="s">
        <v>16</v>
      </c>
      <c r="D366" t="s">
        <v>17</v>
      </c>
      <c r="E366" t="s">
        <v>33</v>
      </c>
      <c r="F366" t="s">
        <v>19</v>
      </c>
      <c r="G366">
        <v>15</v>
      </c>
      <c r="H366">
        <v>12</v>
      </c>
      <c r="I366">
        <v>4</v>
      </c>
      <c r="J366">
        <v>44.99</v>
      </c>
      <c r="K366">
        <v>192.84</v>
      </c>
      <c r="L366">
        <v>0.71</v>
      </c>
      <c r="M366">
        <v>53.4</v>
      </c>
      <c r="N366">
        <v>0.91</v>
      </c>
      <c r="O366" t="s">
        <v>20</v>
      </c>
      <c r="P366" t="s">
        <v>21</v>
      </c>
      <c r="Q366">
        <f t="shared" si="25"/>
        <v>23</v>
      </c>
      <c r="R366" s="4">
        <f>RANK(N366,$N$2:N$2800,0)</f>
        <v>1665</v>
      </c>
      <c r="S366">
        <f t="shared" si="26"/>
        <v>3.75</v>
      </c>
      <c r="T366" t="str">
        <f t="shared" si="27"/>
        <v>Good</v>
      </c>
      <c r="U366" t="str" cm="1">
        <f t="array" ref="U366">_xlfn.LET(_xlpm.roles,_xlfn.UNIQUE(D366:D3164),_xlpm.kills, SUMIF(D366:D3164,_xlpm.roles,G366:G3164),INDEX(_xlpm.roles,MATCH(MAX(_xlpm.kills),_xlpm.kills,0)))</f>
        <v>Entry Fragger</v>
      </c>
      <c r="V366" t="str">
        <f t="shared" si="28"/>
        <v>Medium Accuracy</v>
      </c>
      <c r="W366" t="str" cm="1">
        <f t="array" ref="W366">_xlfn.LET(_xlpm.roles,_xlfn.UNIQUE(D366:D3164), _xlpm.counts,COUNTIF(D366:D3164,_xlpm.roles), INDEX(_xlpm.roles,MATCH(MAX(_xlpm.counts),_xlpm.counts,0)))</f>
        <v>Entry Fragger</v>
      </c>
      <c r="X366" s="2">
        <f t="shared" si="29"/>
        <v>12.520971302428256</v>
      </c>
    </row>
    <row r="367" spans="1:24" x14ac:dyDescent="0.3">
      <c r="A367">
        <v>1770</v>
      </c>
      <c r="B367">
        <v>62</v>
      </c>
      <c r="C367" t="s">
        <v>39</v>
      </c>
      <c r="D367" t="s">
        <v>28</v>
      </c>
      <c r="E367" t="s">
        <v>18</v>
      </c>
      <c r="F367" t="s">
        <v>34</v>
      </c>
      <c r="G367">
        <v>15</v>
      </c>
      <c r="H367">
        <v>8</v>
      </c>
      <c r="I367">
        <v>5</v>
      </c>
      <c r="J367">
        <v>48.26</v>
      </c>
      <c r="K367">
        <v>184.4</v>
      </c>
      <c r="L367">
        <v>0.03</v>
      </c>
      <c r="M367">
        <v>56.83</v>
      </c>
      <c r="N367">
        <v>1</v>
      </c>
      <c r="O367" t="s">
        <v>20</v>
      </c>
      <c r="P367" t="s">
        <v>21</v>
      </c>
      <c r="Q367">
        <f t="shared" si="25"/>
        <v>18</v>
      </c>
      <c r="R367" s="4">
        <f>RANK(N367,$N$2:N$2800,0)</f>
        <v>1</v>
      </c>
      <c r="S367">
        <f t="shared" si="26"/>
        <v>3</v>
      </c>
      <c r="T367" t="str">
        <f t="shared" si="27"/>
        <v>Good</v>
      </c>
      <c r="U367" t="str" cm="1">
        <f t="array" ref="U367">_xlfn.LET(_xlpm.roles,_xlfn.UNIQUE(D367:D3165),_xlpm.kills, SUMIF(D367:D3165,_xlpm.roles,G367:G3165),INDEX(_xlpm.roles,MATCH(MAX(_xlpm.kills),_xlpm.kills,0)))</f>
        <v>Entry Fragger</v>
      </c>
      <c r="V367" t="str">
        <f t="shared" si="28"/>
        <v>Medium Accuracy</v>
      </c>
      <c r="W367" t="str" cm="1">
        <f t="array" ref="W367">_xlfn.LET(_xlpm.roles,_xlfn.UNIQUE(D367:D3165), _xlpm.counts,COUNTIF(D367:D3165,_xlpm.roles), INDEX(_xlpm.roles,MATCH(MAX(_xlpm.counts),_xlpm.counts,0)))</f>
        <v>Entry Fragger</v>
      </c>
      <c r="X367" s="2">
        <f t="shared" si="29"/>
        <v>13.103594080338267</v>
      </c>
    </row>
    <row r="368" spans="1:24" x14ac:dyDescent="0.3">
      <c r="A368">
        <v>1972</v>
      </c>
      <c r="B368">
        <v>62</v>
      </c>
      <c r="C368" t="s">
        <v>27</v>
      </c>
      <c r="D368" t="s">
        <v>22</v>
      </c>
      <c r="E368" t="s">
        <v>18</v>
      </c>
      <c r="F368" t="s">
        <v>26</v>
      </c>
      <c r="G368">
        <v>16</v>
      </c>
      <c r="H368">
        <v>14</v>
      </c>
      <c r="I368">
        <v>11</v>
      </c>
      <c r="J368">
        <v>53.4</v>
      </c>
      <c r="K368">
        <v>255.92</v>
      </c>
      <c r="L368">
        <v>0.3</v>
      </c>
      <c r="M368">
        <v>58.7</v>
      </c>
      <c r="N368">
        <v>1</v>
      </c>
      <c r="O368" t="s">
        <v>20</v>
      </c>
      <c r="P368" t="s">
        <v>21</v>
      </c>
      <c r="Q368">
        <f t="shared" si="25"/>
        <v>19</v>
      </c>
      <c r="R368" s="4">
        <f>RANK(N368,$N$2:N$2800,0)</f>
        <v>1</v>
      </c>
      <c r="S368">
        <f t="shared" si="26"/>
        <v>1.4545454545454546</v>
      </c>
      <c r="T368" t="str">
        <f t="shared" si="27"/>
        <v>Good</v>
      </c>
      <c r="U368" t="str" cm="1">
        <f t="array" ref="U368">_xlfn.LET(_xlpm.roles,_xlfn.UNIQUE(D368:D3166),_xlpm.kills, SUMIF(D368:D3166,_xlpm.roles,G368:G3166),INDEX(_xlpm.roles,MATCH(MAX(_xlpm.kills),_xlpm.kills,0)))</f>
        <v>Entry Fragger</v>
      </c>
      <c r="V368" t="str">
        <f t="shared" si="28"/>
        <v>High Accuracy</v>
      </c>
      <c r="W368" t="str" cm="1">
        <f t="array" ref="W368">_xlfn.LET(_xlpm.roles,_xlfn.UNIQUE(D368:D3166), _xlpm.counts,COUNTIF(D368:D3166,_xlpm.roles), INDEX(_xlpm.roles,MATCH(MAX(_xlpm.counts),_xlpm.counts,0)))</f>
        <v>Entry Fragger</v>
      </c>
      <c r="X368" s="2">
        <f t="shared" si="29"/>
        <v>13.057077625570777</v>
      </c>
    </row>
    <row r="369" spans="1:24" x14ac:dyDescent="0.3">
      <c r="A369">
        <v>1986</v>
      </c>
      <c r="B369">
        <v>62</v>
      </c>
      <c r="C369" t="s">
        <v>16</v>
      </c>
      <c r="D369" t="s">
        <v>31</v>
      </c>
      <c r="E369" t="s">
        <v>32</v>
      </c>
      <c r="F369" t="s">
        <v>34</v>
      </c>
      <c r="G369">
        <v>17</v>
      </c>
      <c r="H369">
        <v>10</v>
      </c>
      <c r="I369">
        <v>12</v>
      </c>
      <c r="J369">
        <v>49.31</v>
      </c>
      <c r="K369">
        <v>217.18</v>
      </c>
      <c r="L369">
        <v>0.8</v>
      </c>
      <c r="M369">
        <v>48.66</v>
      </c>
      <c r="N369">
        <v>1</v>
      </c>
      <c r="O369" t="s">
        <v>20</v>
      </c>
      <c r="P369" t="s">
        <v>21</v>
      </c>
      <c r="Q369">
        <f t="shared" si="25"/>
        <v>15</v>
      </c>
      <c r="R369" s="4">
        <f>RANK(N369,$N$2:N$2800,0)</f>
        <v>1</v>
      </c>
      <c r="S369">
        <f t="shared" si="26"/>
        <v>1.4166666666666667</v>
      </c>
      <c r="T369" t="str">
        <f t="shared" si="27"/>
        <v>Good</v>
      </c>
      <c r="U369" t="str" cm="1">
        <f t="array" ref="U369">_xlfn.LET(_xlpm.roles,_xlfn.UNIQUE(D369:D3167),_xlpm.kills, SUMIF(D369:D3167,_xlpm.roles,G369:G3167),INDEX(_xlpm.roles,MATCH(MAX(_xlpm.kills),_xlpm.kills,0)))</f>
        <v>Entry Fragger</v>
      </c>
      <c r="V369" t="str">
        <f t="shared" si="28"/>
        <v>Medium Accuracy</v>
      </c>
      <c r="W369" t="str" cm="1">
        <f t="array" ref="W369">_xlfn.LET(_xlpm.roles,_xlfn.UNIQUE(D369:D3167), _xlpm.counts,COUNTIF(D369:D3167,_xlpm.roles), INDEX(_xlpm.roles,MATCH(MAX(_xlpm.counts),_xlpm.counts,0)))</f>
        <v>Entry Fragger</v>
      </c>
      <c r="X369" s="2">
        <f t="shared" si="29"/>
        <v>12.520971302428256</v>
      </c>
    </row>
    <row r="370" spans="1:24" x14ac:dyDescent="0.3">
      <c r="A370">
        <v>2312</v>
      </c>
      <c r="B370">
        <v>62</v>
      </c>
      <c r="C370" t="s">
        <v>16</v>
      </c>
      <c r="D370" t="s">
        <v>17</v>
      </c>
      <c r="E370" t="s">
        <v>23</v>
      </c>
      <c r="F370" t="s">
        <v>26</v>
      </c>
      <c r="G370">
        <v>8</v>
      </c>
      <c r="H370">
        <v>6</v>
      </c>
      <c r="I370">
        <v>11</v>
      </c>
      <c r="J370">
        <v>56.84</v>
      </c>
      <c r="K370">
        <v>219.75</v>
      </c>
      <c r="L370">
        <v>0.42</v>
      </c>
      <c r="M370">
        <v>35.22</v>
      </c>
      <c r="N370">
        <v>0.94</v>
      </c>
      <c r="O370" t="s">
        <v>20</v>
      </c>
      <c r="P370" t="s">
        <v>21</v>
      </c>
      <c r="Q370">
        <f t="shared" si="25"/>
        <v>3</v>
      </c>
      <c r="R370" s="4">
        <f>RANK(N370,$N$2:N$2800,0)</f>
        <v>1431</v>
      </c>
      <c r="S370">
        <f t="shared" si="26"/>
        <v>0.72727272727272729</v>
      </c>
      <c r="T370" t="str">
        <f t="shared" si="27"/>
        <v>Low</v>
      </c>
      <c r="U370" t="str" cm="1">
        <f t="array" ref="U370">_xlfn.LET(_xlpm.roles,_xlfn.UNIQUE(D370:D3168),_xlpm.kills, SUMIF(D370:D3168,_xlpm.roles,G370:G3168),INDEX(_xlpm.roles,MATCH(MAX(_xlpm.kills),_xlpm.kills,0)))</f>
        <v>Entry Fragger</v>
      </c>
      <c r="V370" t="str">
        <f t="shared" si="28"/>
        <v>High Accuracy</v>
      </c>
      <c r="W370" t="str" cm="1">
        <f t="array" ref="W370">_xlfn.LET(_xlpm.roles,_xlfn.UNIQUE(D370:D3168), _xlpm.counts,COUNTIF(D370:D3168,_xlpm.roles), INDEX(_xlpm.roles,MATCH(MAX(_xlpm.counts),_xlpm.counts,0)))</f>
        <v>Entry Fragger</v>
      </c>
      <c r="X370" s="2">
        <f t="shared" si="29"/>
        <v>12.520971302428256</v>
      </c>
    </row>
    <row r="371" spans="1:24" x14ac:dyDescent="0.3">
      <c r="A371">
        <v>2432</v>
      </c>
      <c r="B371">
        <v>62</v>
      </c>
      <c r="C371" t="s">
        <v>35</v>
      </c>
      <c r="D371" t="s">
        <v>28</v>
      </c>
      <c r="E371" t="s">
        <v>23</v>
      </c>
      <c r="F371" t="s">
        <v>19</v>
      </c>
      <c r="G371">
        <v>19</v>
      </c>
      <c r="H371">
        <v>7</v>
      </c>
      <c r="I371">
        <v>8</v>
      </c>
      <c r="J371">
        <v>51.81</v>
      </c>
      <c r="K371">
        <v>218.91</v>
      </c>
      <c r="L371">
        <v>0.6</v>
      </c>
      <c r="M371">
        <v>56.91</v>
      </c>
      <c r="N371">
        <v>1</v>
      </c>
      <c r="O371" t="s">
        <v>20</v>
      </c>
      <c r="P371" t="s">
        <v>21</v>
      </c>
      <c r="Q371">
        <f t="shared" si="25"/>
        <v>18</v>
      </c>
      <c r="R371" s="4">
        <f>RANK(N371,$N$2:N$2800,0)</f>
        <v>1</v>
      </c>
      <c r="S371">
        <f t="shared" si="26"/>
        <v>2.375</v>
      </c>
      <c r="T371" t="str">
        <f t="shared" si="27"/>
        <v>Good</v>
      </c>
      <c r="U371" t="str" cm="1">
        <f t="array" ref="U371">_xlfn.LET(_xlpm.roles,_xlfn.UNIQUE(D371:D3169),_xlpm.kills, SUMIF(D371:D3169,_xlpm.roles,G371:G3169),INDEX(_xlpm.roles,MATCH(MAX(_xlpm.kills),_xlpm.kills,0)))</f>
        <v>Entry Fragger</v>
      </c>
      <c r="V371" t="str">
        <f t="shared" si="28"/>
        <v>High Accuracy</v>
      </c>
      <c r="W371" t="str" cm="1">
        <f t="array" ref="W371">_xlfn.LET(_xlpm.roles,_xlfn.UNIQUE(D371:D3169), _xlpm.counts,COUNTIF(D371:D3169,_xlpm.roles), INDEX(_xlpm.roles,MATCH(MAX(_xlpm.counts),_xlpm.counts,0)))</f>
        <v>Entry Fragger</v>
      </c>
      <c r="X371" s="2">
        <f t="shared" si="29"/>
        <v>12.599585062240664</v>
      </c>
    </row>
    <row r="372" spans="1:24" x14ac:dyDescent="0.3">
      <c r="A372">
        <v>84</v>
      </c>
      <c r="B372">
        <v>63</v>
      </c>
      <c r="C372" t="s">
        <v>25</v>
      </c>
      <c r="D372" t="s">
        <v>36</v>
      </c>
      <c r="E372" t="s">
        <v>33</v>
      </c>
      <c r="F372" t="s">
        <v>26</v>
      </c>
      <c r="G372">
        <v>16</v>
      </c>
      <c r="H372">
        <v>9</v>
      </c>
      <c r="I372">
        <v>12</v>
      </c>
      <c r="J372">
        <v>34.04</v>
      </c>
      <c r="K372">
        <v>208.63</v>
      </c>
      <c r="L372">
        <v>0.09</v>
      </c>
      <c r="M372">
        <v>45.12</v>
      </c>
      <c r="N372">
        <v>0.93</v>
      </c>
      <c r="O372" t="s">
        <v>20</v>
      </c>
      <c r="P372" t="s">
        <v>21</v>
      </c>
      <c r="Q372">
        <f t="shared" si="25"/>
        <v>13</v>
      </c>
      <c r="R372" s="4">
        <f>RANK(N372,$N$2:N$2800,0)</f>
        <v>1505</v>
      </c>
      <c r="S372">
        <f t="shared" si="26"/>
        <v>1.3333333333333333</v>
      </c>
      <c r="T372" t="str">
        <f t="shared" si="27"/>
        <v>Low</v>
      </c>
      <c r="U372" t="str" cm="1">
        <f t="array" ref="U372">_xlfn.LET(_xlpm.roles,_xlfn.UNIQUE(D372:D3170),_xlpm.kills, SUMIF(D372:D3170,_xlpm.roles,G372:G3170),INDEX(_xlpm.roles,MATCH(MAX(_xlpm.kills),_xlpm.kills,0)))</f>
        <v>Entry Fragger</v>
      </c>
      <c r="V372" t="str">
        <f t="shared" si="28"/>
        <v>Medium Accuracy</v>
      </c>
      <c r="W372" t="str" cm="1">
        <f t="array" ref="W372">_xlfn.LET(_xlpm.roles,_xlfn.UNIQUE(D372:D3170), _xlpm.counts,COUNTIF(D372:D3170,_xlpm.roles), INDEX(_xlpm.roles,MATCH(MAX(_xlpm.counts),_xlpm.counts,0)))</f>
        <v>Entry Fragger</v>
      </c>
      <c r="X372" s="2">
        <f t="shared" si="29"/>
        <v>12.809421841541756</v>
      </c>
    </row>
    <row r="373" spans="1:24" x14ac:dyDescent="0.3">
      <c r="A373">
        <v>431</v>
      </c>
      <c r="B373">
        <v>63</v>
      </c>
      <c r="C373" t="s">
        <v>39</v>
      </c>
      <c r="D373" t="s">
        <v>31</v>
      </c>
      <c r="E373" t="s">
        <v>32</v>
      </c>
      <c r="F373" t="s">
        <v>24</v>
      </c>
      <c r="G373">
        <v>18</v>
      </c>
      <c r="H373">
        <v>8</v>
      </c>
      <c r="I373">
        <v>12</v>
      </c>
      <c r="J373">
        <v>61.79</v>
      </c>
      <c r="K373">
        <v>178.44</v>
      </c>
      <c r="L373">
        <v>0.98</v>
      </c>
      <c r="M373">
        <v>53.09</v>
      </c>
      <c r="N373">
        <v>1</v>
      </c>
      <c r="O373" t="s">
        <v>20</v>
      </c>
      <c r="P373" t="s">
        <v>21</v>
      </c>
      <c r="Q373">
        <f t="shared" si="25"/>
        <v>14</v>
      </c>
      <c r="R373" s="4">
        <f>RANK(N373,$N$2:N$2800,0)</f>
        <v>1</v>
      </c>
      <c r="S373">
        <f t="shared" si="26"/>
        <v>1.5</v>
      </c>
      <c r="T373" t="str">
        <f t="shared" si="27"/>
        <v>Low</v>
      </c>
      <c r="U373" t="str" cm="1">
        <f t="array" ref="U373">_xlfn.LET(_xlpm.roles,_xlfn.UNIQUE(D373:D3171),_xlpm.kills, SUMIF(D373:D3171,_xlpm.roles,G373:G3171),INDEX(_xlpm.roles,MATCH(MAX(_xlpm.kills),_xlpm.kills,0)))</f>
        <v>Entry Fragger</v>
      </c>
      <c r="V373" t="str">
        <f t="shared" si="28"/>
        <v>High Accuracy</v>
      </c>
      <c r="W373" t="str" cm="1">
        <f t="array" ref="W373">_xlfn.LET(_xlpm.roles,_xlfn.UNIQUE(D373:D3171), _xlpm.counts,COUNTIF(D373:D3171,_xlpm.roles), INDEX(_xlpm.roles,MATCH(MAX(_xlpm.counts),_xlpm.counts,0)))</f>
        <v>Entry Fragger</v>
      </c>
      <c r="X373" s="2">
        <f t="shared" si="29"/>
        <v>13.103594080338267</v>
      </c>
    </row>
    <row r="374" spans="1:24" x14ac:dyDescent="0.3">
      <c r="A374">
        <v>1484</v>
      </c>
      <c r="B374">
        <v>63</v>
      </c>
      <c r="C374" t="s">
        <v>27</v>
      </c>
      <c r="D374" t="s">
        <v>17</v>
      </c>
      <c r="E374" t="s">
        <v>32</v>
      </c>
      <c r="F374" t="s">
        <v>37</v>
      </c>
      <c r="G374">
        <v>10</v>
      </c>
      <c r="H374">
        <v>7</v>
      </c>
      <c r="I374">
        <v>6</v>
      </c>
      <c r="J374">
        <v>33.1</v>
      </c>
      <c r="K374">
        <v>226.06</v>
      </c>
      <c r="L374">
        <v>0.46</v>
      </c>
      <c r="M374">
        <v>32.950000000000003</v>
      </c>
      <c r="N374">
        <v>0.68</v>
      </c>
      <c r="O374" t="s">
        <v>20</v>
      </c>
      <c r="P374" t="s">
        <v>21</v>
      </c>
      <c r="Q374">
        <f t="shared" si="25"/>
        <v>11</v>
      </c>
      <c r="R374" s="4">
        <f>RANK(N374,$N$2:N$2800,0)</f>
        <v>2719</v>
      </c>
      <c r="S374">
        <f t="shared" si="26"/>
        <v>1.6666666666666667</v>
      </c>
      <c r="T374" t="str">
        <f t="shared" si="27"/>
        <v>Low</v>
      </c>
      <c r="U374" t="str" cm="1">
        <f t="array" ref="U374">_xlfn.LET(_xlpm.roles,_xlfn.UNIQUE(D374:D3172),_xlpm.kills, SUMIF(D374:D3172,_xlpm.roles,G374:G3172),INDEX(_xlpm.roles,MATCH(MAX(_xlpm.kills),_xlpm.kills,0)))</f>
        <v>Entry Fragger</v>
      </c>
      <c r="V374" t="str">
        <f t="shared" si="28"/>
        <v>Medium Accuracy</v>
      </c>
      <c r="W374" t="str" cm="1">
        <f t="array" ref="W374">_xlfn.LET(_xlpm.roles,_xlfn.UNIQUE(D374:D3172), _xlpm.counts,COUNTIF(D374:D3172,_xlpm.roles), INDEX(_xlpm.roles,MATCH(MAX(_xlpm.counts),_xlpm.counts,0)))</f>
        <v>Entry Fragger</v>
      </c>
      <c r="X374" s="2">
        <f t="shared" si="29"/>
        <v>13.057077625570777</v>
      </c>
    </row>
    <row r="375" spans="1:24" x14ac:dyDescent="0.3">
      <c r="A375">
        <v>2710</v>
      </c>
      <c r="B375">
        <v>63</v>
      </c>
      <c r="C375" t="s">
        <v>39</v>
      </c>
      <c r="D375" t="s">
        <v>31</v>
      </c>
      <c r="E375" t="s">
        <v>29</v>
      </c>
      <c r="F375" t="s">
        <v>37</v>
      </c>
      <c r="G375">
        <v>15</v>
      </c>
      <c r="H375">
        <v>10</v>
      </c>
      <c r="I375">
        <v>10</v>
      </c>
      <c r="J375">
        <v>51.42</v>
      </c>
      <c r="K375">
        <v>202.54</v>
      </c>
      <c r="L375">
        <v>0.63</v>
      </c>
      <c r="M375">
        <v>49.41</v>
      </c>
      <c r="N375">
        <v>0.98</v>
      </c>
      <c r="O375" t="s">
        <v>20</v>
      </c>
      <c r="P375" t="s">
        <v>21</v>
      </c>
      <c r="Q375">
        <f t="shared" si="25"/>
        <v>15</v>
      </c>
      <c r="R375" s="4">
        <f>RANK(N375,$N$2:N$2800,0)</f>
        <v>1157</v>
      </c>
      <c r="S375">
        <f t="shared" si="26"/>
        <v>1.5</v>
      </c>
      <c r="T375" t="str">
        <f t="shared" si="27"/>
        <v>Good</v>
      </c>
      <c r="U375" t="str" cm="1">
        <f t="array" ref="U375">_xlfn.LET(_xlpm.roles,_xlfn.UNIQUE(D375:D3173),_xlpm.kills, SUMIF(D375:D3173,_xlpm.roles,G375:G3173),INDEX(_xlpm.roles,MATCH(MAX(_xlpm.kills),_xlpm.kills,0)))</f>
        <v>Entry Fragger</v>
      </c>
      <c r="V375" t="str">
        <f t="shared" si="28"/>
        <v>High Accuracy</v>
      </c>
      <c r="W375" t="str" cm="1">
        <f t="array" ref="W375">_xlfn.LET(_xlpm.roles,_xlfn.UNIQUE(D375:D3173), _xlpm.counts,COUNTIF(D375:D3173,_xlpm.roles), INDEX(_xlpm.roles,MATCH(MAX(_xlpm.counts),_xlpm.counts,0)))</f>
        <v>Entry Fragger</v>
      </c>
      <c r="X375" s="2">
        <f t="shared" si="29"/>
        <v>13.103594080338267</v>
      </c>
    </row>
    <row r="376" spans="1:24" x14ac:dyDescent="0.3">
      <c r="A376">
        <v>1717</v>
      </c>
      <c r="B376">
        <v>64</v>
      </c>
      <c r="C376" t="s">
        <v>39</v>
      </c>
      <c r="D376" t="s">
        <v>17</v>
      </c>
      <c r="E376" t="s">
        <v>32</v>
      </c>
      <c r="F376" t="s">
        <v>37</v>
      </c>
      <c r="G376">
        <v>11</v>
      </c>
      <c r="H376">
        <v>9</v>
      </c>
      <c r="I376">
        <v>6</v>
      </c>
      <c r="J376">
        <v>42.95</v>
      </c>
      <c r="K376">
        <v>234.94</v>
      </c>
      <c r="L376">
        <v>0.82</v>
      </c>
      <c r="M376">
        <v>38.28</v>
      </c>
      <c r="N376">
        <v>0.91</v>
      </c>
      <c r="O376" t="s">
        <v>20</v>
      </c>
      <c r="P376" t="s">
        <v>21</v>
      </c>
      <c r="Q376">
        <f t="shared" si="25"/>
        <v>14</v>
      </c>
      <c r="R376" s="4">
        <f>RANK(N376,$N$2:N$2800,0)</f>
        <v>1665</v>
      </c>
      <c r="S376">
        <f t="shared" si="26"/>
        <v>1.8333333333333333</v>
      </c>
      <c r="T376" t="str">
        <f t="shared" si="27"/>
        <v>Low</v>
      </c>
      <c r="U376" t="str" cm="1">
        <f t="array" ref="U376">_xlfn.LET(_xlpm.roles,_xlfn.UNIQUE(D376:D3174),_xlpm.kills, SUMIF(D376:D3174,_xlpm.roles,G376:G3174),INDEX(_xlpm.roles,MATCH(MAX(_xlpm.kills),_xlpm.kills,0)))</f>
        <v>Entry Fragger</v>
      </c>
      <c r="V376" t="str">
        <f t="shared" si="28"/>
        <v>Medium Accuracy</v>
      </c>
      <c r="W376" t="str" cm="1">
        <f t="array" ref="W376">_xlfn.LET(_xlpm.roles,_xlfn.UNIQUE(D376:D3174), _xlpm.counts,COUNTIF(D376:D3174,_xlpm.roles), INDEX(_xlpm.roles,MATCH(MAX(_xlpm.counts),_xlpm.counts,0)))</f>
        <v>Entry Fragger</v>
      </c>
      <c r="X376" s="2">
        <f t="shared" si="29"/>
        <v>13.103594080338267</v>
      </c>
    </row>
    <row r="377" spans="1:24" x14ac:dyDescent="0.3">
      <c r="A377">
        <v>1719</v>
      </c>
      <c r="B377">
        <v>64</v>
      </c>
      <c r="C377" t="s">
        <v>16</v>
      </c>
      <c r="D377" t="s">
        <v>17</v>
      </c>
      <c r="E377" t="s">
        <v>18</v>
      </c>
      <c r="F377" t="s">
        <v>19</v>
      </c>
      <c r="G377">
        <v>17</v>
      </c>
      <c r="H377">
        <v>9</v>
      </c>
      <c r="I377">
        <v>9</v>
      </c>
      <c r="J377">
        <v>46.89</v>
      </c>
      <c r="K377">
        <v>202.71</v>
      </c>
      <c r="L377">
        <v>0.32</v>
      </c>
      <c r="M377">
        <v>54.24</v>
      </c>
      <c r="N377">
        <v>0.98</v>
      </c>
      <c r="O377" t="s">
        <v>20</v>
      </c>
      <c r="P377" t="s">
        <v>21</v>
      </c>
      <c r="Q377">
        <f t="shared" si="25"/>
        <v>17</v>
      </c>
      <c r="R377" s="4">
        <f>RANK(N377,$N$2:N$2800,0)</f>
        <v>1157</v>
      </c>
      <c r="S377">
        <f t="shared" si="26"/>
        <v>1.8888888888888888</v>
      </c>
      <c r="T377" t="str">
        <f t="shared" si="27"/>
        <v>Good</v>
      </c>
      <c r="U377" t="str" cm="1">
        <f t="array" ref="U377">_xlfn.LET(_xlpm.roles,_xlfn.UNIQUE(D377:D3175),_xlpm.kills, SUMIF(D377:D3175,_xlpm.roles,G377:G3175),INDEX(_xlpm.roles,MATCH(MAX(_xlpm.kills),_xlpm.kills,0)))</f>
        <v>Entry Fragger</v>
      </c>
      <c r="V377" t="str">
        <f t="shared" si="28"/>
        <v>Medium Accuracy</v>
      </c>
      <c r="W377" t="str" cm="1">
        <f t="array" ref="W377">_xlfn.LET(_xlpm.roles,_xlfn.UNIQUE(D377:D3175), _xlpm.counts,COUNTIF(D377:D3175,_xlpm.roles), INDEX(_xlpm.roles,MATCH(MAX(_xlpm.counts),_xlpm.counts,0)))</f>
        <v>Entry Fragger</v>
      </c>
      <c r="X377" s="2">
        <f t="shared" si="29"/>
        <v>12.520971302428256</v>
      </c>
    </row>
    <row r="378" spans="1:24" x14ac:dyDescent="0.3">
      <c r="A378">
        <v>2138</v>
      </c>
      <c r="B378">
        <v>64</v>
      </c>
      <c r="C378" t="s">
        <v>30</v>
      </c>
      <c r="D378" t="s">
        <v>28</v>
      </c>
      <c r="E378" t="s">
        <v>18</v>
      </c>
      <c r="F378" t="s">
        <v>34</v>
      </c>
      <c r="G378">
        <v>15</v>
      </c>
      <c r="H378">
        <v>7</v>
      </c>
      <c r="I378">
        <v>7</v>
      </c>
      <c r="J378">
        <v>41.38</v>
      </c>
      <c r="K378">
        <v>233.38</v>
      </c>
      <c r="L378">
        <v>0.72</v>
      </c>
      <c r="M378">
        <v>43.49</v>
      </c>
      <c r="N378">
        <v>0.73</v>
      </c>
      <c r="O378" t="s">
        <v>20</v>
      </c>
      <c r="P378" t="s">
        <v>21</v>
      </c>
      <c r="Q378">
        <f t="shared" si="25"/>
        <v>15</v>
      </c>
      <c r="R378" s="4">
        <f>RANK(N378,$N$2:N$2800,0)</f>
        <v>2642</v>
      </c>
      <c r="S378">
        <f t="shared" si="26"/>
        <v>2.1428571428571428</v>
      </c>
      <c r="T378" t="str">
        <f t="shared" si="27"/>
        <v>Good</v>
      </c>
      <c r="U378" t="str" cm="1">
        <f t="array" ref="U378">_xlfn.LET(_xlpm.roles,_xlfn.UNIQUE(D378:D3176),_xlpm.kills, SUMIF(D378:D3176,_xlpm.roles,G378:G3176),INDEX(_xlpm.roles,MATCH(MAX(_xlpm.kills),_xlpm.kills,0)))</f>
        <v>Entry Fragger</v>
      </c>
      <c r="V378" t="str">
        <f t="shared" si="28"/>
        <v>Medium Accuracy</v>
      </c>
      <c r="W378" t="str" cm="1">
        <f t="array" ref="W378">_xlfn.LET(_xlpm.roles,_xlfn.UNIQUE(D378:D3176), _xlpm.counts,COUNTIF(D378:D3176,_xlpm.roles), INDEX(_xlpm.roles,MATCH(MAX(_xlpm.counts),_xlpm.counts,0)))</f>
        <v>Entry Fragger</v>
      </c>
      <c r="X378" s="2">
        <f t="shared" si="29"/>
        <v>13.135802469135802</v>
      </c>
    </row>
    <row r="379" spans="1:24" x14ac:dyDescent="0.3">
      <c r="A379">
        <v>2164</v>
      </c>
      <c r="B379">
        <v>64</v>
      </c>
      <c r="C379" t="s">
        <v>35</v>
      </c>
      <c r="D379" t="s">
        <v>22</v>
      </c>
      <c r="E379" t="s">
        <v>29</v>
      </c>
      <c r="F379" t="s">
        <v>26</v>
      </c>
      <c r="G379">
        <v>13</v>
      </c>
      <c r="H379">
        <v>6</v>
      </c>
      <c r="I379">
        <v>4</v>
      </c>
      <c r="J379">
        <v>47.32</v>
      </c>
      <c r="K379">
        <v>187.32</v>
      </c>
      <c r="L379">
        <v>0.51</v>
      </c>
      <c r="M379">
        <v>46.56</v>
      </c>
      <c r="N379">
        <v>0.88</v>
      </c>
      <c r="O379" t="s">
        <v>20</v>
      </c>
      <c r="P379" t="s">
        <v>21</v>
      </c>
      <c r="Q379">
        <f t="shared" si="25"/>
        <v>15</v>
      </c>
      <c r="R379" s="4">
        <f>RANK(N379,$N$2:N$2800,0)</f>
        <v>1894</v>
      </c>
      <c r="S379">
        <f t="shared" si="26"/>
        <v>3.25</v>
      </c>
      <c r="T379" t="str">
        <f t="shared" si="27"/>
        <v>Good</v>
      </c>
      <c r="U379" t="str" cm="1">
        <f t="array" ref="U379">_xlfn.LET(_xlpm.roles,_xlfn.UNIQUE(D379:D3177),_xlpm.kills, SUMIF(D379:D3177,_xlpm.roles,G379:G3177),INDEX(_xlpm.roles,MATCH(MAX(_xlpm.kills),_xlpm.kills,0)))</f>
        <v>Entry Fragger</v>
      </c>
      <c r="V379" t="str">
        <f t="shared" si="28"/>
        <v>Medium Accuracy</v>
      </c>
      <c r="W379" t="str" cm="1">
        <f t="array" ref="W379">_xlfn.LET(_xlpm.roles,_xlfn.UNIQUE(D379:D3177), _xlpm.counts,COUNTIF(D379:D3177,_xlpm.roles), INDEX(_xlpm.roles,MATCH(MAX(_xlpm.counts),_xlpm.counts,0)))</f>
        <v>Entry Fragger</v>
      </c>
      <c r="X379" s="2">
        <f t="shared" si="29"/>
        <v>12.599585062240664</v>
      </c>
    </row>
    <row r="380" spans="1:24" x14ac:dyDescent="0.3">
      <c r="A380">
        <v>61</v>
      </c>
      <c r="B380">
        <v>65</v>
      </c>
      <c r="C380" t="s">
        <v>35</v>
      </c>
      <c r="D380" t="s">
        <v>22</v>
      </c>
      <c r="E380" t="s">
        <v>32</v>
      </c>
      <c r="F380" t="s">
        <v>24</v>
      </c>
      <c r="G380">
        <v>19</v>
      </c>
      <c r="H380">
        <v>5</v>
      </c>
      <c r="I380">
        <v>11</v>
      </c>
      <c r="J380">
        <v>42.54</v>
      </c>
      <c r="K380">
        <v>226.57</v>
      </c>
      <c r="L380">
        <v>0.76</v>
      </c>
      <c r="M380">
        <v>45.67</v>
      </c>
      <c r="N380">
        <v>1</v>
      </c>
      <c r="O380" t="s">
        <v>20</v>
      </c>
      <c r="P380" t="s">
        <v>21</v>
      </c>
      <c r="Q380">
        <f t="shared" si="25"/>
        <v>13</v>
      </c>
      <c r="R380" s="4">
        <f>RANK(N380,$N$2:N$2800,0)</f>
        <v>1</v>
      </c>
      <c r="S380">
        <f t="shared" si="26"/>
        <v>1.7272727272727273</v>
      </c>
      <c r="T380" t="str">
        <f t="shared" si="27"/>
        <v>Low</v>
      </c>
      <c r="U380" t="str" cm="1">
        <f t="array" ref="U380">_xlfn.LET(_xlpm.roles,_xlfn.UNIQUE(D380:D3178),_xlpm.kills, SUMIF(D380:D3178,_xlpm.roles,G380:G3178),INDEX(_xlpm.roles,MATCH(MAX(_xlpm.kills),_xlpm.kills,0)))</f>
        <v>Entry Fragger</v>
      </c>
      <c r="V380" t="str">
        <f t="shared" si="28"/>
        <v>Medium Accuracy</v>
      </c>
      <c r="W380" t="str" cm="1">
        <f t="array" ref="W380">_xlfn.LET(_xlpm.roles,_xlfn.UNIQUE(D380:D3178), _xlpm.counts,COUNTIF(D380:D3178,_xlpm.roles), INDEX(_xlpm.roles,MATCH(MAX(_xlpm.counts),_xlpm.counts,0)))</f>
        <v>Entry Fragger</v>
      </c>
      <c r="X380" s="2">
        <f t="shared" si="29"/>
        <v>12.599585062240664</v>
      </c>
    </row>
    <row r="381" spans="1:24" x14ac:dyDescent="0.3">
      <c r="A381">
        <v>819</v>
      </c>
      <c r="B381">
        <v>65</v>
      </c>
      <c r="C381" t="s">
        <v>30</v>
      </c>
      <c r="D381" t="s">
        <v>22</v>
      </c>
      <c r="E381" t="s">
        <v>32</v>
      </c>
      <c r="F381" t="s">
        <v>34</v>
      </c>
      <c r="G381">
        <v>16</v>
      </c>
      <c r="H381">
        <v>9</v>
      </c>
      <c r="I381">
        <v>10</v>
      </c>
      <c r="J381">
        <v>34.94</v>
      </c>
      <c r="K381">
        <v>225.48</v>
      </c>
      <c r="L381">
        <v>0.82</v>
      </c>
      <c r="M381">
        <v>40.270000000000003</v>
      </c>
      <c r="N381">
        <v>0.76</v>
      </c>
      <c r="O381" t="s">
        <v>20</v>
      </c>
      <c r="P381" t="s">
        <v>21</v>
      </c>
      <c r="Q381">
        <f t="shared" si="25"/>
        <v>15</v>
      </c>
      <c r="R381" s="4">
        <f>RANK(N381,$N$2:N$2800,0)</f>
        <v>2547</v>
      </c>
      <c r="S381">
        <f t="shared" si="26"/>
        <v>1.6</v>
      </c>
      <c r="T381" t="str">
        <f t="shared" si="27"/>
        <v>Good</v>
      </c>
      <c r="U381" t="str" cm="1">
        <f t="array" ref="U381">_xlfn.LET(_xlpm.roles,_xlfn.UNIQUE(D381:D3179),_xlpm.kills, SUMIF(D381:D3179,_xlpm.roles,G381:G3179),INDEX(_xlpm.roles,MATCH(MAX(_xlpm.kills),_xlpm.kills,0)))</f>
        <v>Entry Fragger</v>
      </c>
      <c r="V381" t="str">
        <f t="shared" si="28"/>
        <v>Medium Accuracy</v>
      </c>
      <c r="W381" t="str" cm="1">
        <f t="array" ref="W381">_xlfn.LET(_xlpm.roles,_xlfn.UNIQUE(D381:D3179), _xlpm.counts,COUNTIF(D381:D3179,_xlpm.roles), INDEX(_xlpm.roles,MATCH(MAX(_xlpm.counts),_xlpm.counts,0)))</f>
        <v>Entry Fragger</v>
      </c>
      <c r="X381" s="2">
        <f t="shared" si="29"/>
        <v>13.135802469135802</v>
      </c>
    </row>
    <row r="382" spans="1:24" x14ac:dyDescent="0.3">
      <c r="A382">
        <v>300</v>
      </c>
      <c r="B382">
        <v>66</v>
      </c>
      <c r="C382" t="s">
        <v>39</v>
      </c>
      <c r="D382" t="s">
        <v>31</v>
      </c>
      <c r="E382" t="s">
        <v>18</v>
      </c>
      <c r="F382" t="s">
        <v>26</v>
      </c>
      <c r="G382">
        <v>11</v>
      </c>
      <c r="H382">
        <v>4</v>
      </c>
      <c r="I382">
        <v>13</v>
      </c>
      <c r="J382">
        <v>56.97</v>
      </c>
      <c r="K382">
        <v>252.84</v>
      </c>
      <c r="L382">
        <v>0.27</v>
      </c>
      <c r="M382">
        <v>38.78</v>
      </c>
      <c r="N382">
        <v>0.72</v>
      </c>
      <c r="O382" t="s">
        <v>20</v>
      </c>
      <c r="P382" t="s">
        <v>21</v>
      </c>
      <c r="Q382">
        <f t="shared" si="25"/>
        <v>2</v>
      </c>
      <c r="R382" s="4">
        <f>RANK(N382,$N$2:N$2800,0)</f>
        <v>2663</v>
      </c>
      <c r="S382">
        <f t="shared" si="26"/>
        <v>0.84615384615384615</v>
      </c>
      <c r="T382" t="str">
        <f t="shared" si="27"/>
        <v>Low</v>
      </c>
      <c r="U382" t="str" cm="1">
        <f t="array" ref="U382">_xlfn.LET(_xlpm.roles,_xlfn.UNIQUE(D382:D3180),_xlpm.kills, SUMIF(D382:D3180,_xlpm.roles,G382:G3180),INDEX(_xlpm.roles,MATCH(MAX(_xlpm.kills),_xlpm.kills,0)))</f>
        <v>Entry Fragger</v>
      </c>
      <c r="V382" t="str">
        <f t="shared" si="28"/>
        <v>High Accuracy</v>
      </c>
      <c r="W382" t="str" cm="1">
        <f t="array" ref="W382">_xlfn.LET(_xlpm.roles,_xlfn.UNIQUE(D382:D3180), _xlpm.counts,COUNTIF(D382:D3180,_xlpm.roles), INDEX(_xlpm.roles,MATCH(MAX(_xlpm.counts),_xlpm.counts,0)))</f>
        <v>Entry Fragger</v>
      </c>
      <c r="X382" s="2">
        <f t="shared" si="29"/>
        <v>13.103594080338267</v>
      </c>
    </row>
    <row r="383" spans="1:24" x14ac:dyDescent="0.3">
      <c r="A383">
        <v>2310</v>
      </c>
      <c r="B383">
        <v>66</v>
      </c>
      <c r="C383" t="s">
        <v>16</v>
      </c>
      <c r="D383" t="s">
        <v>36</v>
      </c>
      <c r="E383" t="s">
        <v>18</v>
      </c>
      <c r="F383" t="s">
        <v>19</v>
      </c>
      <c r="G383">
        <v>15</v>
      </c>
      <c r="H383">
        <v>11</v>
      </c>
      <c r="I383">
        <v>15</v>
      </c>
      <c r="J383">
        <v>39.65</v>
      </c>
      <c r="K383">
        <v>240.24</v>
      </c>
      <c r="L383">
        <v>0.99</v>
      </c>
      <c r="M383">
        <v>35.93</v>
      </c>
      <c r="N383">
        <v>0.88</v>
      </c>
      <c r="O383" t="s">
        <v>20</v>
      </c>
      <c r="P383" t="s">
        <v>21</v>
      </c>
      <c r="Q383">
        <f t="shared" si="25"/>
        <v>11</v>
      </c>
      <c r="R383" s="4">
        <f>RANK(N383,$N$2:N$2800,0)</f>
        <v>1894</v>
      </c>
      <c r="S383">
        <f t="shared" si="26"/>
        <v>1</v>
      </c>
      <c r="T383" t="str">
        <f t="shared" si="27"/>
        <v>Low</v>
      </c>
      <c r="U383" t="str" cm="1">
        <f t="array" ref="U383">_xlfn.LET(_xlpm.roles,_xlfn.UNIQUE(D383:D3181),_xlpm.kills, SUMIF(D383:D3181,_xlpm.roles,G383:G3181),INDEX(_xlpm.roles,MATCH(MAX(_xlpm.kills),_xlpm.kills,0)))</f>
        <v>Entry Fragger</v>
      </c>
      <c r="V383" t="str">
        <f t="shared" si="28"/>
        <v>Medium Accuracy</v>
      </c>
      <c r="W383" t="str" cm="1">
        <f t="array" ref="W383">_xlfn.LET(_xlpm.roles,_xlfn.UNIQUE(D383:D3181), _xlpm.counts,COUNTIF(D383:D3181,_xlpm.roles), INDEX(_xlpm.roles,MATCH(MAX(_xlpm.counts),_xlpm.counts,0)))</f>
        <v>Entry Fragger</v>
      </c>
      <c r="X383" s="2">
        <f t="shared" si="29"/>
        <v>12.520971302428256</v>
      </c>
    </row>
    <row r="384" spans="1:24" x14ac:dyDescent="0.3">
      <c r="A384">
        <v>2326</v>
      </c>
      <c r="B384">
        <v>66</v>
      </c>
      <c r="C384" t="s">
        <v>39</v>
      </c>
      <c r="D384" t="s">
        <v>22</v>
      </c>
      <c r="E384" t="s">
        <v>32</v>
      </c>
      <c r="F384" t="s">
        <v>26</v>
      </c>
      <c r="G384">
        <v>19</v>
      </c>
      <c r="H384">
        <v>7</v>
      </c>
      <c r="I384">
        <v>10</v>
      </c>
      <c r="J384">
        <v>44.82</v>
      </c>
      <c r="K384">
        <v>145.38</v>
      </c>
      <c r="L384">
        <v>0.97</v>
      </c>
      <c r="M384">
        <v>47.71</v>
      </c>
      <c r="N384">
        <v>0.93</v>
      </c>
      <c r="O384" t="s">
        <v>20</v>
      </c>
      <c r="P384" t="s">
        <v>21</v>
      </c>
      <c r="Q384">
        <f t="shared" si="25"/>
        <v>16</v>
      </c>
      <c r="R384" s="4">
        <f>RANK(N384,$N$2:N$2800,0)</f>
        <v>1505</v>
      </c>
      <c r="S384">
        <f t="shared" si="26"/>
        <v>1.9</v>
      </c>
      <c r="T384" t="str">
        <f t="shared" si="27"/>
        <v>Good</v>
      </c>
      <c r="U384" t="str" cm="1">
        <f t="array" ref="U384">_xlfn.LET(_xlpm.roles,_xlfn.UNIQUE(D384:D3182),_xlpm.kills, SUMIF(D384:D3182,_xlpm.roles,G384:G3182),INDEX(_xlpm.roles,MATCH(MAX(_xlpm.kills),_xlpm.kills,0)))</f>
        <v>Entry Fragger</v>
      </c>
      <c r="V384" t="str">
        <f t="shared" si="28"/>
        <v>Medium Accuracy</v>
      </c>
      <c r="W384" t="str" cm="1">
        <f t="array" ref="W384">_xlfn.LET(_xlpm.roles,_xlfn.UNIQUE(D384:D3182), _xlpm.counts,COUNTIF(D384:D3182,_xlpm.roles), INDEX(_xlpm.roles,MATCH(MAX(_xlpm.counts),_xlpm.counts,0)))</f>
        <v>Entry Fragger</v>
      </c>
      <c r="X384" s="2">
        <f t="shared" si="29"/>
        <v>13.103594080338267</v>
      </c>
    </row>
    <row r="385" spans="1:24" x14ac:dyDescent="0.3">
      <c r="A385">
        <v>2496</v>
      </c>
      <c r="B385">
        <v>66</v>
      </c>
      <c r="C385" t="s">
        <v>35</v>
      </c>
      <c r="D385" t="s">
        <v>36</v>
      </c>
      <c r="E385" t="s">
        <v>18</v>
      </c>
      <c r="F385" t="s">
        <v>26</v>
      </c>
      <c r="G385">
        <v>16</v>
      </c>
      <c r="H385">
        <v>12</v>
      </c>
      <c r="I385">
        <v>10</v>
      </c>
      <c r="J385">
        <v>52.4</v>
      </c>
      <c r="K385">
        <v>233.07</v>
      </c>
      <c r="L385">
        <v>0.9</v>
      </c>
      <c r="M385">
        <v>51.2</v>
      </c>
      <c r="N385">
        <v>0.99</v>
      </c>
      <c r="O385" t="s">
        <v>20</v>
      </c>
      <c r="P385" t="s">
        <v>21</v>
      </c>
      <c r="Q385">
        <f t="shared" si="25"/>
        <v>18</v>
      </c>
      <c r="R385" s="4">
        <f>RANK(N385,$N$2:N$2800,0)</f>
        <v>1080</v>
      </c>
      <c r="S385">
        <f t="shared" si="26"/>
        <v>1.6</v>
      </c>
      <c r="T385" t="str">
        <f t="shared" si="27"/>
        <v>Good</v>
      </c>
      <c r="U385" t="str" cm="1">
        <f t="array" ref="U385">_xlfn.LET(_xlpm.roles,_xlfn.UNIQUE(D385:D3183),_xlpm.kills, SUMIF(D385:D3183,_xlpm.roles,G385:G3183),INDEX(_xlpm.roles,MATCH(MAX(_xlpm.kills),_xlpm.kills,0)))</f>
        <v>Entry Fragger</v>
      </c>
      <c r="V385" t="str">
        <f t="shared" si="28"/>
        <v>High Accuracy</v>
      </c>
      <c r="W385" t="str" cm="1">
        <f t="array" ref="W385">_xlfn.LET(_xlpm.roles,_xlfn.UNIQUE(D385:D3183), _xlpm.counts,COUNTIF(D385:D3183,_xlpm.roles), INDEX(_xlpm.roles,MATCH(MAX(_xlpm.counts),_xlpm.counts,0)))</f>
        <v>Entry Fragger</v>
      </c>
      <c r="X385" s="2">
        <f t="shared" si="29"/>
        <v>12.599585062240664</v>
      </c>
    </row>
    <row r="386" spans="1:24" x14ac:dyDescent="0.3">
      <c r="A386">
        <v>2639</v>
      </c>
      <c r="B386">
        <v>66</v>
      </c>
      <c r="C386" t="s">
        <v>30</v>
      </c>
      <c r="D386" t="s">
        <v>31</v>
      </c>
      <c r="E386" t="s">
        <v>32</v>
      </c>
      <c r="F386" t="s">
        <v>37</v>
      </c>
      <c r="G386">
        <v>17</v>
      </c>
      <c r="H386">
        <v>6</v>
      </c>
      <c r="I386">
        <v>11</v>
      </c>
      <c r="J386">
        <v>46.18</v>
      </c>
      <c r="K386">
        <v>249.38</v>
      </c>
      <c r="L386">
        <v>0.62</v>
      </c>
      <c r="M386">
        <v>45.89</v>
      </c>
      <c r="N386">
        <v>1</v>
      </c>
      <c r="O386" t="s">
        <v>20</v>
      </c>
      <c r="P386" t="s">
        <v>21</v>
      </c>
      <c r="Q386">
        <f t="shared" si="25"/>
        <v>12</v>
      </c>
      <c r="R386" s="4">
        <f>RANK(N386,$N$2:N$2800,0)</f>
        <v>1</v>
      </c>
      <c r="S386">
        <f t="shared" si="26"/>
        <v>1.5454545454545454</v>
      </c>
      <c r="T386" t="str">
        <f t="shared" si="27"/>
        <v>Low</v>
      </c>
      <c r="U386" t="str" cm="1">
        <f t="array" ref="U386">_xlfn.LET(_xlpm.roles,_xlfn.UNIQUE(D386:D3184),_xlpm.kills, SUMIF(D386:D3184,_xlpm.roles,G386:G3184),INDEX(_xlpm.roles,MATCH(MAX(_xlpm.kills),_xlpm.kills,0)))</f>
        <v>Entry Fragger</v>
      </c>
      <c r="V386" t="str">
        <f t="shared" si="28"/>
        <v>Medium Accuracy</v>
      </c>
      <c r="W386" t="str" cm="1">
        <f t="array" ref="W386">_xlfn.LET(_xlpm.roles,_xlfn.UNIQUE(D386:D3184), _xlpm.counts,COUNTIF(D386:D3184,_xlpm.roles), INDEX(_xlpm.roles,MATCH(MAX(_xlpm.counts),_xlpm.counts,0)))</f>
        <v>Entry Fragger</v>
      </c>
      <c r="X386" s="2">
        <f t="shared" si="29"/>
        <v>13.135802469135802</v>
      </c>
    </row>
    <row r="387" spans="1:24" x14ac:dyDescent="0.3">
      <c r="A387">
        <v>2745</v>
      </c>
      <c r="B387">
        <v>66</v>
      </c>
      <c r="C387" t="s">
        <v>16</v>
      </c>
      <c r="D387" t="s">
        <v>17</v>
      </c>
      <c r="E387" t="s">
        <v>33</v>
      </c>
      <c r="F387" t="s">
        <v>37</v>
      </c>
      <c r="G387">
        <v>16</v>
      </c>
      <c r="H387">
        <v>5</v>
      </c>
      <c r="I387">
        <v>10</v>
      </c>
      <c r="J387">
        <v>36.54</v>
      </c>
      <c r="K387">
        <v>236.93</v>
      </c>
      <c r="L387">
        <v>0.46</v>
      </c>
      <c r="M387">
        <v>40.67</v>
      </c>
      <c r="N387">
        <v>0.72</v>
      </c>
      <c r="O387" t="s">
        <v>20</v>
      </c>
      <c r="P387" t="s">
        <v>21</v>
      </c>
      <c r="Q387">
        <f t="shared" ref="Q387:Q450" si="30">G387+H387-I387</f>
        <v>11</v>
      </c>
      <c r="R387" s="4">
        <f>RANK(N387,$N$2:N$2800,0)</f>
        <v>2663</v>
      </c>
      <c r="S387">
        <f t="shared" ref="S387:S450" si="31">G387/I387</f>
        <v>1.6</v>
      </c>
      <c r="T387" t="str">
        <f t="shared" ref="T387:T450" si="32">IF(Q387&lt;15,"Low",IF(Q387&lt;25,"Good","Excellent"))</f>
        <v>Low</v>
      </c>
      <c r="U387" t="str" cm="1">
        <f t="array" ref="U387">_xlfn.LET(_xlpm.roles,_xlfn.UNIQUE(D387:D3185),_xlpm.kills, SUMIF(D387:D3185,_xlpm.roles,G387:G3185),INDEX(_xlpm.roles,MATCH(MAX(_xlpm.kills),_xlpm.kills,0)))</f>
        <v>Entry Fragger</v>
      </c>
      <c r="V387" t="str">
        <f t="shared" ref="V387:V450" si="33">IF(J387&gt;=50,"High Accuracy",IF(J387&gt;=30,"Medium Accuracy","Low Accuracy"))</f>
        <v>Medium Accuracy</v>
      </c>
      <c r="W387" t="str" cm="1">
        <f t="array" ref="W387">_xlfn.LET(_xlpm.roles,_xlfn.UNIQUE(D387:D3185), _xlpm.counts,COUNTIF(D387:D3185,_xlpm.roles), INDEX(_xlpm.roles,MATCH(MAX(_xlpm.counts),_xlpm.counts,0)))</f>
        <v>Entry Fragger</v>
      </c>
      <c r="X387" s="2">
        <f t="shared" ref="X387:X450" si="34">AVERAGEIF($C$2:$C$2800,C387,$Q$2:$Q$2800)</f>
        <v>12.520971302428256</v>
      </c>
    </row>
    <row r="388" spans="1:24" x14ac:dyDescent="0.3">
      <c r="A388">
        <v>329</v>
      </c>
      <c r="B388">
        <v>67</v>
      </c>
      <c r="C388" t="s">
        <v>27</v>
      </c>
      <c r="D388" t="s">
        <v>22</v>
      </c>
      <c r="E388" t="s">
        <v>33</v>
      </c>
      <c r="F388" t="s">
        <v>24</v>
      </c>
      <c r="G388">
        <v>19</v>
      </c>
      <c r="H388">
        <v>7</v>
      </c>
      <c r="I388">
        <v>6</v>
      </c>
      <c r="J388">
        <v>40.729999999999997</v>
      </c>
      <c r="K388">
        <v>224.53</v>
      </c>
      <c r="L388">
        <v>0.84</v>
      </c>
      <c r="M388">
        <v>50.96</v>
      </c>
      <c r="N388">
        <v>1</v>
      </c>
      <c r="O388" t="s">
        <v>20</v>
      </c>
      <c r="P388" t="s">
        <v>21</v>
      </c>
      <c r="Q388">
        <f t="shared" si="30"/>
        <v>20</v>
      </c>
      <c r="R388" s="4">
        <f>RANK(N388,$N$2:N$2800,0)</f>
        <v>1</v>
      </c>
      <c r="S388">
        <f t="shared" si="31"/>
        <v>3.1666666666666665</v>
      </c>
      <c r="T388" t="str">
        <f t="shared" si="32"/>
        <v>Good</v>
      </c>
      <c r="U388" t="str" cm="1">
        <f t="array" ref="U388">_xlfn.LET(_xlpm.roles,_xlfn.UNIQUE(D388:D3186),_xlpm.kills, SUMIF(D388:D3186,_xlpm.roles,G388:G3186),INDEX(_xlpm.roles,MATCH(MAX(_xlpm.kills),_xlpm.kills,0)))</f>
        <v>Entry Fragger</v>
      </c>
      <c r="V388" t="str">
        <f t="shared" si="33"/>
        <v>Medium Accuracy</v>
      </c>
      <c r="W388" t="str" cm="1">
        <f t="array" ref="W388">_xlfn.LET(_xlpm.roles,_xlfn.UNIQUE(D388:D3186), _xlpm.counts,COUNTIF(D388:D3186,_xlpm.roles), INDEX(_xlpm.roles,MATCH(MAX(_xlpm.counts),_xlpm.counts,0)))</f>
        <v>Entry Fragger</v>
      </c>
      <c r="X388" s="2">
        <f t="shared" si="34"/>
        <v>13.057077625570777</v>
      </c>
    </row>
    <row r="389" spans="1:24" x14ac:dyDescent="0.3">
      <c r="A389">
        <v>1344</v>
      </c>
      <c r="B389">
        <v>67</v>
      </c>
      <c r="C389" t="s">
        <v>25</v>
      </c>
      <c r="D389" t="s">
        <v>22</v>
      </c>
      <c r="E389" t="s">
        <v>32</v>
      </c>
      <c r="F389" t="s">
        <v>34</v>
      </c>
      <c r="G389">
        <v>17</v>
      </c>
      <c r="H389">
        <v>9</v>
      </c>
      <c r="I389">
        <v>15</v>
      </c>
      <c r="J389">
        <v>37.880000000000003</v>
      </c>
      <c r="K389">
        <v>171.64</v>
      </c>
      <c r="L389">
        <v>0.11</v>
      </c>
      <c r="M389">
        <v>45.84</v>
      </c>
      <c r="N389">
        <v>0.99</v>
      </c>
      <c r="O389" t="s">
        <v>20</v>
      </c>
      <c r="P389" t="s">
        <v>21</v>
      </c>
      <c r="Q389">
        <f t="shared" si="30"/>
        <v>11</v>
      </c>
      <c r="R389" s="4">
        <f>RANK(N389,$N$2:N$2800,0)</f>
        <v>1080</v>
      </c>
      <c r="S389">
        <f t="shared" si="31"/>
        <v>1.1333333333333333</v>
      </c>
      <c r="T389" t="str">
        <f t="shared" si="32"/>
        <v>Low</v>
      </c>
      <c r="U389" t="str" cm="1">
        <f t="array" ref="U389">_xlfn.LET(_xlpm.roles,_xlfn.UNIQUE(D389:D3187),_xlpm.kills, SUMIF(D389:D3187,_xlpm.roles,G389:G3187),INDEX(_xlpm.roles,MATCH(MAX(_xlpm.kills),_xlpm.kills,0)))</f>
        <v>Entry Fragger</v>
      </c>
      <c r="V389" t="str">
        <f t="shared" si="33"/>
        <v>Medium Accuracy</v>
      </c>
      <c r="W389" t="str" cm="1">
        <f t="array" ref="W389">_xlfn.LET(_xlpm.roles,_xlfn.UNIQUE(D389:D3187), _xlpm.counts,COUNTIF(D389:D3187,_xlpm.roles), INDEX(_xlpm.roles,MATCH(MAX(_xlpm.counts),_xlpm.counts,0)))</f>
        <v>Entry Fragger</v>
      </c>
      <c r="X389" s="2">
        <f t="shared" si="34"/>
        <v>12.809421841541756</v>
      </c>
    </row>
    <row r="390" spans="1:24" x14ac:dyDescent="0.3">
      <c r="A390">
        <v>1356</v>
      </c>
      <c r="B390">
        <v>67</v>
      </c>
      <c r="C390" t="s">
        <v>25</v>
      </c>
      <c r="D390" t="s">
        <v>36</v>
      </c>
      <c r="E390" t="s">
        <v>29</v>
      </c>
      <c r="F390" t="s">
        <v>37</v>
      </c>
      <c r="G390">
        <v>16</v>
      </c>
      <c r="H390">
        <v>7</v>
      </c>
      <c r="I390">
        <v>15</v>
      </c>
      <c r="J390">
        <v>41.1</v>
      </c>
      <c r="K390">
        <v>245.99</v>
      </c>
      <c r="L390">
        <v>0.03</v>
      </c>
      <c r="M390">
        <v>44.25</v>
      </c>
      <c r="N390">
        <v>0.97</v>
      </c>
      <c r="O390" t="s">
        <v>20</v>
      </c>
      <c r="P390" t="s">
        <v>21</v>
      </c>
      <c r="Q390">
        <f t="shared" si="30"/>
        <v>8</v>
      </c>
      <c r="R390" s="4">
        <f>RANK(N390,$N$2:N$2800,0)</f>
        <v>1243</v>
      </c>
      <c r="S390">
        <f t="shared" si="31"/>
        <v>1.0666666666666667</v>
      </c>
      <c r="T390" t="str">
        <f t="shared" si="32"/>
        <v>Low</v>
      </c>
      <c r="U390" t="str" cm="1">
        <f t="array" ref="U390">_xlfn.LET(_xlpm.roles,_xlfn.UNIQUE(D390:D3188),_xlpm.kills, SUMIF(D390:D3188,_xlpm.roles,G390:G3188),INDEX(_xlpm.roles,MATCH(MAX(_xlpm.kills),_xlpm.kills,0)))</f>
        <v>Entry Fragger</v>
      </c>
      <c r="V390" t="str">
        <f t="shared" si="33"/>
        <v>Medium Accuracy</v>
      </c>
      <c r="W390" t="str" cm="1">
        <f t="array" ref="W390">_xlfn.LET(_xlpm.roles,_xlfn.UNIQUE(D390:D3188), _xlpm.counts,COUNTIF(D390:D3188,_xlpm.roles), INDEX(_xlpm.roles,MATCH(MAX(_xlpm.counts),_xlpm.counts,0)))</f>
        <v>Entry Fragger</v>
      </c>
      <c r="X390" s="2">
        <f t="shared" si="34"/>
        <v>12.809421841541756</v>
      </c>
    </row>
    <row r="391" spans="1:24" x14ac:dyDescent="0.3">
      <c r="A391">
        <v>2419</v>
      </c>
      <c r="B391">
        <v>67</v>
      </c>
      <c r="C391" t="s">
        <v>27</v>
      </c>
      <c r="D391" t="s">
        <v>31</v>
      </c>
      <c r="E391" t="s">
        <v>33</v>
      </c>
      <c r="F391" t="s">
        <v>26</v>
      </c>
      <c r="G391">
        <v>13</v>
      </c>
      <c r="H391">
        <v>6</v>
      </c>
      <c r="I391">
        <v>9</v>
      </c>
      <c r="J391">
        <v>48.37</v>
      </c>
      <c r="K391">
        <v>217.42</v>
      </c>
      <c r="L391">
        <v>0.69</v>
      </c>
      <c r="M391">
        <v>40.29</v>
      </c>
      <c r="N391">
        <v>0.89</v>
      </c>
      <c r="O391" t="s">
        <v>20</v>
      </c>
      <c r="P391" t="s">
        <v>21</v>
      </c>
      <c r="Q391">
        <f t="shared" si="30"/>
        <v>10</v>
      </c>
      <c r="R391" s="4">
        <f>RANK(N391,$N$2:N$2800,0)</f>
        <v>1815</v>
      </c>
      <c r="S391">
        <f t="shared" si="31"/>
        <v>1.4444444444444444</v>
      </c>
      <c r="T391" t="str">
        <f t="shared" si="32"/>
        <v>Low</v>
      </c>
      <c r="U391" t="str" cm="1">
        <f t="array" ref="U391">_xlfn.LET(_xlpm.roles,_xlfn.UNIQUE(D391:D3189),_xlpm.kills, SUMIF(D391:D3189,_xlpm.roles,G391:G3189),INDEX(_xlpm.roles,MATCH(MAX(_xlpm.kills),_xlpm.kills,0)))</f>
        <v>Entry Fragger</v>
      </c>
      <c r="V391" t="str">
        <f t="shared" si="33"/>
        <v>Medium Accuracy</v>
      </c>
      <c r="W391" t="str" cm="1">
        <f t="array" ref="W391">_xlfn.LET(_xlpm.roles,_xlfn.UNIQUE(D391:D3189), _xlpm.counts,COUNTIF(D391:D3189,_xlpm.roles), INDEX(_xlpm.roles,MATCH(MAX(_xlpm.counts),_xlpm.counts,0)))</f>
        <v>Entry Fragger</v>
      </c>
      <c r="X391" s="2">
        <f t="shared" si="34"/>
        <v>13.057077625570777</v>
      </c>
    </row>
    <row r="392" spans="1:24" x14ac:dyDescent="0.3">
      <c r="A392">
        <v>2453</v>
      </c>
      <c r="B392">
        <v>67</v>
      </c>
      <c r="C392" t="s">
        <v>16</v>
      </c>
      <c r="D392" t="s">
        <v>36</v>
      </c>
      <c r="E392" t="s">
        <v>32</v>
      </c>
      <c r="F392" t="s">
        <v>37</v>
      </c>
      <c r="G392">
        <v>15</v>
      </c>
      <c r="H392">
        <v>8</v>
      </c>
      <c r="I392">
        <v>16</v>
      </c>
      <c r="J392">
        <v>56.19</v>
      </c>
      <c r="K392">
        <v>228.48</v>
      </c>
      <c r="L392">
        <v>0.64</v>
      </c>
      <c r="M392">
        <v>43.7</v>
      </c>
      <c r="N392">
        <v>0.87</v>
      </c>
      <c r="O392" t="s">
        <v>20</v>
      </c>
      <c r="P392" t="s">
        <v>21</v>
      </c>
      <c r="Q392">
        <f t="shared" si="30"/>
        <v>7</v>
      </c>
      <c r="R392" s="4">
        <f>RANK(N392,$N$2:N$2800,0)</f>
        <v>1965</v>
      </c>
      <c r="S392">
        <f t="shared" si="31"/>
        <v>0.9375</v>
      </c>
      <c r="T392" t="str">
        <f t="shared" si="32"/>
        <v>Low</v>
      </c>
      <c r="U392" t="str" cm="1">
        <f t="array" ref="U392">_xlfn.LET(_xlpm.roles,_xlfn.UNIQUE(D392:D3190),_xlpm.kills, SUMIF(D392:D3190,_xlpm.roles,G392:G3190),INDEX(_xlpm.roles,MATCH(MAX(_xlpm.kills),_xlpm.kills,0)))</f>
        <v>Entry Fragger</v>
      </c>
      <c r="V392" t="str">
        <f t="shared" si="33"/>
        <v>High Accuracy</v>
      </c>
      <c r="W392" t="str" cm="1">
        <f t="array" ref="W392">_xlfn.LET(_xlpm.roles,_xlfn.UNIQUE(D392:D3190), _xlpm.counts,COUNTIF(D392:D3190,_xlpm.roles), INDEX(_xlpm.roles,MATCH(MAX(_xlpm.counts),_xlpm.counts,0)))</f>
        <v>Entry Fragger</v>
      </c>
      <c r="X392" s="2">
        <f t="shared" si="34"/>
        <v>12.520971302428256</v>
      </c>
    </row>
    <row r="393" spans="1:24" x14ac:dyDescent="0.3">
      <c r="A393">
        <v>2557</v>
      </c>
      <c r="B393">
        <v>67</v>
      </c>
      <c r="C393" t="s">
        <v>16</v>
      </c>
      <c r="D393" t="s">
        <v>17</v>
      </c>
      <c r="E393" t="s">
        <v>29</v>
      </c>
      <c r="F393" t="s">
        <v>26</v>
      </c>
      <c r="G393">
        <v>12</v>
      </c>
      <c r="H393">
        <v>6</v>
      </c>
      <c r="I393">
        <v>10</v>
      </c>
      <c r="J393">
        <v>37.520000000000003</v>
      </c>
      <c r="K393">
        <v>246.1</v>
      </c>
      <c r="L393">
        <v>0.39</v>
      </c>
      <c r="M393">
        <v>34.86</v>
      </c>
      <c r="N393">
        <v>0.9</v>
      </c>
      <c r="O393" t="s">
        <v>20</v>
      </c>
      <c r="P393" t="s">
        <v>21</v>
      </c>
      <c r="Q393">
        <f t="shared" si="30"/>
        <v>8</v>
      </c>
      <c r="R393" s="4">
        <f>RANK(N393,$N$2:N$2800,0)</f>
        <v>1738</v>
      </c>
      <c r="S393">
        <f t="shared" si="31"/>
        <v>1.2</v>
      </c>
      <c r="T393" t="str">
        <f t="shared" si="32"/>
        <v>Low</v>
      </c>
      <c r="U393" t="str" cm="1">
        <f t="array" ref="U393">_xlfn.LET(_xlpm.roles,_xlfn.UNIQUE(D393:D3191),_xlpm.kills, SUMIF(D393:D3191,_xlpm.roles,G393:G3191),INDEX(_xlpm.roles,MATCH(MAX(_xlpm.kills),_xlpm.kills,0)))</f>
        <v>Entry Fragger</v>
      </c>
      <c r="V393" t="str">
        <f t="shared" si="33"/>
        <v>Medium Accuracy</v>
      </c>
      <c r="W393" t="str" cm="1">
        <f t="array" ref="W393">_xlfn.LET(_xlpm.roles,_xlfn.UNIQUE(D393:D3191), _xlpm.counts,COUNTIF(D393:D3191,_xlpm.roles), INDEX(_xlpm.roles,MATCH(MAX(_xlpm.counts),_xlpm.counts,0)))</f>
        <v>Entry Fragger</v>
      </c>
      <c r="X393" s="2">
        <f t="shared" si="34"/>
        <v>12.520971302428256</v>
      </c>
    </row>
    <row r="394" spans="1:24" x14ac:dyDescent="0.3">
      <c r="A394">
        <v>2741</v>
      </c>
      <c r="B394">
        <v>67</v>
      </c>
      <c r="C394" t="s">
        <v>39</v>
      </c>
      <c r="D394" t="s">
        <v>22</v>
      </c>
      <c r="E394" t="s">
        <v>18</v>
      </c>
      <c r="F394" t="s">
        <v>24</v>
      </c>
      <c r="G394">
        <v>12</v>
      </c>
      <c r="H394">
        <v>8</v>
      </c>
      <c r="I394">
        <v>6</v>
      </c>
      <c r="J394">
        <v>42.17</v>
      </c>
      <c r="K394">
        <v>231.13</v>
      </c>
      <c r="L394">
        <v>0.34</v>
      </c>
      <c r="M394">
        <v>43.69</v>
      </c>
      <c r="N394">
        <v>0.85</v>
      </c>
      <c r="O394" t="s">
        <v>20</v>
      </c>
      <c r="P394" t="s">
        <v>21</v>
      </c>
      <c r="Q394">
        <f t="shared" si="30"/>
        <v>14</v>
      </c>
      <c r="R394" s="4">
        <f>RANK(N394,$N$2:N$2800,0)</f>
        <v>2105</v>
      </c>
      <c r="S394">
        <f t="shared" si="31"/>
        <v>2</v>
      </c>
      <c r="T394" t="str">
        <f t="shared" si="32"/>
        <v>Low</v>
      </c>
      <c r="U394" t="str" cm="1">
        <f t="array" ref="U394">_xlfn.LET(_xlpm.roles,_xlfn.UNIQUE(D394:D3192),_xlpm.kills, SUMIF(D394:D3192,_xlpm.roles,G394:G3192),INDEX(_xlpm.roles,MATCH(MAX(_xlpm.kills),_xlpm.kills,0)))</f>
        <v>Entry Fragger</v>
      </c>
      <c r="V394" t="str">
        <f t="shared" si="33"/>
        <v>Medium Accuracy</v>
      </c>
      <c r="W394" t="str" cm="1">
        <f t="array" ref="W394">_xlfn.LET(_xlpm.roles,_xlfn.UNIQUE(D394:D3192), _xlpm.counts,COUNTIF(D394:D3192,_xlpm.roles), INDEX(_xlpm.roles,MATCH(MAX(_xlpm.counts),_xlpm.counts,0)))</f>
        <v>Entry Fragger</v>
      </c>
      <c r="X394" s="2">
        <f t="shared" si="34"/>
        <v>13.103594080338267</v>
      </c>
    </row>
    <row r="395" spans="1:24" x14ac:dyDescent="0.3">
      <c r="A395">
        <v>546</v>
      </c>
      <c r="B395">
        <v>68</v>
      </c>
      <c r="C395" t="s">
        <v>25</v>
      </c>
      <c r="D395" t="s">
        <v>36</v>
      </c>
      <c r="E395" t="s">
        <v>33</v>
      </c>
      <c r="F395" t="s">
        <v>26</v>
      </c>
      <c r="G395">
        <v>20</v>
      </c>
      <c r="H395">
        <v>10</v>
      </c>
      <c r="I395">
        <v>19</v>
      </c>
      <c r="J395">
        <v>46.23</v>
      </c>
      <c r="K395">
        <v>239.81</v>
      </c>
      <c r="L395">
        <v>0.01</v>
      </c>
      <c r="M395">
        <v>54.01</v>
      </c>
      <c r="N395">
        <v>1</v>
      </c>
      <c r="O395" t="s">
        <v>20</v>
      </c>
      <c r="P395" t="s">
        <v>21</v>
      </c>
      <c r="Q395">
        <f t="shared" si="30"/>
        <v>11</v>
      </c>
      <c r="R395" s="4">
        <f>RANK(N395,$N$2:N$2800,0)</f>
        <v>1</v>
      </c>
      <c r="S395">
        <f t="shared" si="31"/>
        <v>1.0526315789473684</v>
      </c>
      <c r="T395" t="str">
        <f t="shared" si="32"/>
        <v>Low</v>
      </c>
      <c r="U395" t="str" cm="1">
        <f t="array" ref="U395">_xlfn.LET(_xlpm.roles,_xlfn.UNIQUE(D395:D3193),_xlpm.kills, SUMIF(D395:D3193,_xlpm.roles,G395:G3193),INDEX(_xlpm.roles,MATCH(MAX(_xlpm.kills),_xlpm.kills,0)))</f>
        <v>Entry Fragger</v>
      </c>
      <c r="V395" t="str">
        <f t="shared" si="33"/>
        <v>Medium Accuracy</v>
      </c>
      <c r="W395" t="str" cm="1">
        <f t="array" ref="W395">_xlfn.LET(_xlpm.roles,_xlfn.UNIQUE(D395:D3193), _xlpm.counts,COUNTIF(D395:D3193,_xlpm.roles), INDEX(_xlpm.roles,MATCH(MAX(_xlpm.counts),_xlpm.counts,0)))</f>
        <v>Entry Fragger</v>
      </c>
      <c r="X395" s="2">
        <f t="shared" si="34"/>
        <v>12.809421841541756</v>
      </c>
    </row>
    <row r="396" spans="1:24" x14ac:dyDescent="0.3">
      <c r="A396">
        <v>1034</v>
      </c>
      <c r="B396">
        <v>68</v>
      </c>
      <c r="C396" t="s">
        <v>25</v>
      </c>
      <c r="D396" t="s">
        <v>28</v>
      </c>
      <c r="E396" t="s">
        <v>29</v>
      </c>
      <c r="F396" t="s">
        <v>34</v>
      </c>
      <c r="G396">
        <v>13</v>
      </c>
      <c r="H396">
        <v>5</v>
      </c>
      <c r="I396">
        <v>9</v>
      </c>
      <c r="J396">
        <v>39.51</v>
      </c>
      <c r="K396">
        <v>231.3</v>
      </c>
      <c r="L396">
        <v>0.28999999999999998</v>
      </c>
      <c r="M396">
        <v>38.85</v>
      </c>
      <c r="N396">
        <v>0.77</v>
      </c>
      <c r="O396" t="s">
        <v>20</v>
      </c>
      <c r="P396" t="s">
        <v>21</v>
      </c>
      <c r="Q396">
        <f t="shared" si="30"/>
        <v>9</v>
      </c>
      <c r="R396" s="4">
        <f>RANK(N396,$N$2:N$2800,0)</f>
        <v>2511</v>
      </c>
      <c r="S396">
        <f t="shared" si="31"/>
        <v>1.4444444444444444</v>
      </c>
      <c r="T396" t="str">
        <f t="shared" si="32"/>
        <v>Low</v>
      </c>
      <c r="U396" t="str" cm="1">
        <f t="array" ref="U396">_xlfn.LET(_xlpm.roles,_xlfn.UNIQUE(D396:D3194),_xlpm.kills, SUMIF(D396:D3194,_xlpm.roles,G396:G3194),INDEX(_xlpm.roles,MATCH(MAX(_xlpm.kills),_xlpm.kills,0)))</f>
        <v>Entry Fragger</v>
      </c>
      <c r="V396" t="str">
        <f t="shared" si="33"/>
        <v>Medium Accuracy</v>
      </c>
      <c r="W396" t="str" cm="1">
        <f t="array" ref="W396">_xlfn.LET(_xlpm.roles,_xlfn.UNIQUE(D396:D3194), _xlpm.counts,COUNTIF(D396:D3194,_xlpm.roles), INDEX(_xlpm.roles,MATCH(MAX(_xlpm.counts),_xlpm.counts,0)))</f>
        <v>Entry Fragger</v>
      </c>
      <c r="X396" s="2">
        <f t="shared" si="34"/>
        <v>12.809421841541756</v>
      </c>
    </row>
    <row r="397" spans="1:24" x14ac:dyDescent="0.3">
      <c r="A397">
        <v>1647</v>
      </c>
      <c r="B397">
        <v>68</v>
      </c>
      <c r="C397" t="s">
        <v>39</v>
      </c>
      <c r="D397" t="s">
        <v>28</v>
      </c>
      <c r="E397" t="s">
        <v>29</v>
      </c>
      <c r="F397" t="s">
        <v>24</v>
      </c>
      <c r="G397">
        <v>14</v>
      </c>
      <c r="H397">
        <v>5</v>
      </c>
      <c r="I397">
        <v>4</v>
      </c>
      <c r="J397">
        <v>32.58</v>
      </c>
      <c r="K397">
        <v>186.26</v>
      </c>
      <c r="L397">
        <v>0.11</v>
      </c>
      <c r="M397">
        <v>44.19</v>
      </c>
      <c r="N397">
        <v>0.97</v>
      </c>
      <c r="O397" t="s">
        <v>20</v>
      </c>
      <c r="P397" t="s">
        <v>21</v>
      </c>
      <c r="Q397">
        <f t="shared" si="30"/>
        <v>15</v>
      </c>
      <c r="R397" s="4">
        <f>RANK(N397,$N$2:N$2800,0)</f>
        <v>1243</v>
      </c>
      <c r="S397">
        <f t="shared" si="31"/>
        <v>3.5</v>
      </c>
      <c r="T397" t="str">
        <f t="shared" si="32"/>
        <v>Good</v>
      </c>
      <c r="U397" t="str" cm="1">
        <f t="array" ref="U397">_xlfn.LET(_xlpm.roles,_xlfn.UNIQUE(D397:D3195),_xlpm.kills, SUMIF(D397:D3195,_xlpm.roles,G397:G3195),INDEX(_xlpm.roles,MATCH(MAX(_xlpm.kills),_xlpm.kills,0)))</f>
        <v>Entry Fragger</v>
      </c>
      <c r="V397" t="str">
        <f t="shared" si="33"/>
        <v>Medium Accuracy</v>
      </c>
      <c r="W397" t="str" cm="1">
        <f t="array" ref="W397">_xlfn.LET(_xlpm.roles,_xlfn.UNIQUE(D397:D3195), _xlpm.counts,COUNTIF(D397:D3195,_xlpm.roles), INDEX(_xlpm.roles,MATCH(MAX(_xlpm.counts),_xlpm.counts,0)))</f>
        <v>Entry Fragger</v>
      </c>
      <c r="X397" s="2">
        <f t="shared" si="34"/>
        <v>13.103594080338267</v>
      </c>
    </row>
    <row r="398" spans="1:24" x14ac:dyDescent="0.3">
      <c r="A398">
        <v>2695</v>
      </c>
      <c r="B398">
        <v>68</v>
      </c>
      <c r="C398" t="s">
        <v>27</v>
      </c>
      <c r="D398" t="s">
        <v>36</v>
      </c>
      <c r="E398" t="s">
        <v>33</v>
      </c>
      <c r="F398" t="s">
        <v>19</v>
      </c>
      <c r="G398">
        <v>17</v>
      </c>
      <c r="H398">
        <v>6</v>
      </c>
      <c r="I398">
        <v>10</v>
      </c>
      <c r="J398">
        <v>46.63</v>
      </c>
      <c r="K398">
        <v>233.1</v>
      </c>
      <c r="L398">
        <v>0.96</v>
      </c>
      <c r="M398">
        <v>43.71</v>
      </c>
      <c r="N398">
        <v>1</v>
      </c>
      <c r="O398" t="s">
        <v>20</v>
      </c>
      <c r="P398" t="s">
        <v>21</v>
      </c>
      <c r="Q398">
        <f t="shared" si="30"/>
        <v>13</v>
      </c>
      <c r="R398" s="4">
        <f>RANK(N398,$N$2:N$2800,0)</f>
        <v>1</v>
      </c>
      <c r="S398">
        <f t="shared" si="31"/>
        <v>1.7</v>
      </c>
      <c r="T398" t="str">
        <f t="shared" si="32"/>
        <v>Low</v>
      </c>
      <c r="U398" t="str" cm="1">
        <f t="array" ref="U398">_xlfn.LET(_xlpm.roles,_xlfn.UNIQUE(D398:D3196),_xlpm.kills, SUMIF(D398:D3196,_xlpm.roles,G398:G3196),INDEX(_xlpm.roles,MATCH(MAX(_xlpm.kills),_xlpm.kills,0)))</f>
        <v>Entry Fragger</v>
      </c>
      <c r="V398" t="str">
        <f t="shared" si="33"/>
        <v>Medium Accuracy</v>
      </c>
      <c r="W398" t="str" cm="1">
        <f t="array" ref="W398">_xlfn.LET(_xlpm.roles,_xlfn.UNIQUE(D398:D3196), _xlpm.counts,COUNTIF(D398:D3196,_xlpm.roles), INDEX(_xlpm.roles,MATCH(MAX(_xlpm.counts),_xlpm.counts,0)))</f>
        <v>Entry Fragger</v>
      </c>
      <c r="X398" s="2">
        <f t="shared" si="34"/>
        <v>13.057077625570777</v>
      </c>
    </row>
    <row r="399" spans="1:24" x14ac:dyDescent="0.3">
      <c r="A399">
        <v>454</v>
      </c>
      <c r="B399">
        <v>69</v>
      </c>
      <c r="C399" t="s">
        <v>30</v>
      </c>
      <c r="D399" t="s">
        <v>17</v>
      </c>
      <c r="E399" t="s">
        <v>23</v>
      </c>
      <c r="F399" t="s">
        <v>26</v>
      </c>
      <c r="G399">
        <v>19</v>
      </c>
      <c r="H399">
        <v>9</v>
      </c>
      <c r="I399">
        <v>6</v>
      </c>
      <c r="J399">
        <v>40.6</v>
      </c>
      <c r="K399">
        <v>212.87</v>
      </c>
      <c r="L399">
        <v>0.19</v>
      </c>
      <c r="M399">
        <v>59.4</v>
      </c>
      <c r="N399">
        <v>1</v>
      </c>
      <c r="O399" t="s">
        <v>20</v>
      </c>
      <c r="P399" t="s">
        <v>21</v>
      </c>
      <c r="Q399">
        <f t="shared" si="30"/>
        <v>22</v>
      </c>
      <c r="R399" s="4">
        <f>RANK(N399,$N$2:N$2800,0)</f>
        <v>1</v>
      </c>
      <c r="S399">
        <f t="shared" si="31"/>
        <v>3.1666666666666665</v>
      </c>
      <c r="T399" t="str">
        <f t="shared" si="32"/>
        <v>Good</v>
      </c>
      <c r="U399" t="str" cm="1">
        <f t="array" ref="U399">_xlfn.LET(_xlpm.roles,_xlfn.UNIQUE(D399:D3197),_xlpm.kills, SUMIF(D399:D3197,_xlpm.roles,G399:G3197),INDEX(_xlpm.roles,MATCH(MAX(_xlpm.kills),_xlpm.kills,0)))</f>
        <v>Entry Fragger</v>
      </c>
      <c r="V399" t="str">
        <f t="shared" si="33"/>
        <v>Medium Accuracy</v>
      </c>
      <c r="W399" t="str" cm="1">
        <f t="array" ref="W399">_xlfn.LET(_xlpm.roles,_xlfn.UNIQUE(D399:D3197), _xlpm.counts,COUNTIF(D399:D3197,_xlpm.roles), INDEX(_xlpm.roles,MATCH(MAX(_xlpm.counts),_xlpm.counts,0)))</f>
        <v>Entry Fragger</v>
      </c>
      <c r="X399" s="2">
        <f t="shared" si="34"/>
        <v>13.135802469135802</v>
      </c>
    </row>
    <row r="400" spans="1:24" x14ac:dyDescent="0.3">
      <c r="A400">
        <v>948</v>
      </c>
      <c r="B400">
        <v>69</v>
      </c>
      <c r="C400" t="s">
        <v>27</v>
      </c>
      <c r="D400" t="s">
        <v>28</v>
      </c>
      <c r="E400" t="s">
        <v>23</v>
      </c>
      <c r="F400" t="s">
        <v>26</v>
      </c>
      <c r="G400">
        <v>17</v>
      </c>
      <c r="H400">
        <v>8</v>
      </c>
      <c r="I400">
        <v>11</v>
      </c>
      <c r="J400">
        <v>50.4</v>
      </c>
      <c r="K400">
        <v>181.15</v>
      </c>
      <c r="L400">
        <v>0.62</v>
      </c>
      <c r="M400">
        <v>50</v>
      </c>
      <c r="N400">
        <v>1</v>
      </c>
      <c r="O400" t="s">
        <v>20</v>
      </c>
      <c r="P400" t="s">
        <v>21</v>
      </c>
      <c r="Q400">
        <f t="shared" si="30"/>
        <v>14</v>
      </c>
      <c r="R400" s="4">
        <f>RANK(N400,$N$2:N$2800,0)</f>
        <v>1</v>
      </c>
      <c r="S400">
        <f t="shared" si="31"/>
        <v>1.5454545454545454</v>
      </c>
      <c r="T400" t="str">
        <f t="shared" si="32"/>
        <v>Low</v>
      </c>
      <c r="U400" t="str" cm="1">
        <f t="array" ref="U400">_xlfn.LET(_xlpm.roles,_xlfn.UNIQUE(D400:D3198),_xlpm.kills, SUMIF(D400:D3198,_xlpm.roles,G400:G3198),INDEX(_xlpm.roles,MATCH(MAX(_xlpm.kills),_xlpm.kills,0)))</f>
        <v>Entry Fragger</v>
      </c>
      <c r="V400" t="str">
        <f t="shared" si="33"/>
        <v>High Accuracy</v>
      </c>
      <c r="W400" t="str" cm="1">
        <f t="array" ref="W400">_xlfn.LET(_xlpm.roles,_xlfn.UNIQUE(D400:D3198), _xlpm.counts,COUNTIF(D400:D3198,_xlpm.roles), INDEX(_xlpm.roles,MATCH(MAX(_xlpm.counts),_xlpm.counts,0)))</f>
        <v>Entry Fragger</v>
      </c>
      <c r="X400" s="2">
        <f t="shared" si="34"/>
        <v>13.057077625570777</v>
      </c>
    </row>
    <row r="401" spans="1:24" x14ac:dyDescent="0.3">
      <c r="A401">
        <v>1189</v>
      </c>
      <c r="B401">
        <v>69</v>
      </c>
      <c r="C401" t="s">
        <v>16</v>
      </c>
      <c r="D401" t="s">
        <v>31</v>
      </c>
      <c r="E401" t="s">
        <v>18</v>
      </c>
      <c r="F401" t="s">
        <v>37</v>
      </c>
      <c r="G401">
        <v>15</v>
      </c>
      <c r="H401">
        <v>7</v>
      </c>
      <c r="I401">
        <v>4</v>
      </c>
      <c r="J401">
        <v>33.9</v>
      </c>
      <c r="K401">
        <v>254.16</v>
      </c>
      <c r="L401">
        <v>0.69</v>
      </c>
      <c r="M401">
        <v>43.05</v>
      </c>
      <c r="N401">
        <v>0.91</v>
      </c>
      <c r="O401" t="s">
        <v>20</v>
      </c>
      <c r="P401" t="s">
        <v>21</v>
      </c>
      <c r="Q401">
        <f t="shared" si="30"/>
        <v>18</v>
      </c>
      <c r="R401" s="4">
        <f>RANK(N401,$N$2:N$2800,0)</f>
        <v>1665</v>
      </c>
      <c r="S401">
        <f t="shared" si="31"/>
        <v>3.75</v>
      </c>
      <c r="T401" t="str">
        <f t="shared" si="32"/>
        <v>Good</v>
      </c>
      <c r="U401" t="str" cm="1">
        <f t="array" ref="U401">_xlfn.LET(_xlpm.roles,_xlfn.UNIQUE(D401:D3199),_xlpm.kills, SUMIF(D401:D3199,_xlpm.roles,G401:G3199),INDEX(_xlpm.roles,MATCH(MAX(_xlpm.kills),_xlpm.kills,0)))</f>
        <v>Entry Fragger</v>
      </c>
      <c r="V401" t="str">
        <f t="shared" si="33"/>
        <v>Medium Accuracy</v>
      </c>
      <c r="W401" t="str" cm="1">
        <f t="array" ref="W401">_xlfn.LET(_xlpm.roles,_xlfn.UNIQUE(D401:D3199), _xlpm.counts,COUNTIF(D401:D3199,_xlpm.roles), INDEX(_xlpm.roles,MATCH(MAX(_xlpm.counts),_xlpm.counts,0)))</f>
        <v>Entry Fragger</v>
      </c>
      <c r="X401" s="2">
        <f t="shared" si="34"/>
        <v>12.520971302428256</v>
      </c>
    </row>
    <row r="402" spans="1:24" x14ac:dyDescent="0.3">
      <c r="A402">
        <v>1454</v>
      </c>
      <c r="B402">
        <v>69</v>
      </c>
      <c r="C402" t="s">
        <v>39</v>
      </c>
      <c r="D402" t="s">
        <v>17</v>
      </c>
      <c r="E402" t="s">
        <v>32</v>
      </c>
      <c r="F402" t="s">
        <v>37</v>
      </c>
      <c r="G402">
        <v>18</v>
      </c>
      <c r="H402">
        <v>6</v>
      </c>
      <c r="I402">
        <v>6</v>
      </c>
      <c r="J402">
        <v>49.23</v>
      </c>
      <c r="K402">
        <v>214.82</v>
      </c>
      <c r="L402">
        <v>0.04</v>
      </c>
      <c r="M402">
        <v>60.21</v>
      </c>
      <c r="N402">
        <v>1</v>
      </c>
      <c r="O402" t="s">
        <v>20</v>
      </c>
      <c r="P402" t="s">
        <v>38</v>
      </c>
      <c r="Q402">
        <f t="shared" si="30"/>
        <v>18</v>
      </c>
      <c r="R402" s="4">
        <f>RANK(N402,$N$2:N$2800,0)</f>
        <v>1</v>
      </c>
      <c r="S402">
        <f t="shared" si="31"/>
        <v>3</v>
      </c>
      <c r="T402" t="str">
        <f t="shared" si="32"/>
        <v>Good</v>
      </c>
      <c r="U402" t="str" cm="1">
        <f t="array" ref="U402">_xlfn.LET(_xlpm.roles,_xlfn.UNIQUE(D402:D3200),_xlpm.kills, SUMIF(D402:D3200,_xlpm.roles,G402:G3200),INDEX(_xlpm.roles,MATCH(MAX(_xlpm.kills),_xlpm.kills,0)))</f>
        <v>Entry Fragger</v>
      </c>
      <c r="V402" t="str">
        <f t="shared" si="33"/>
        <v>Medium Accuracy</v>
      </c>
      <c r="W402" t="str" cm="1">
        <f t="array" ref="W402">_xlfn.LET(_xlpm.roles,_xlfn.UNIQUE(D402:D3200), _xlpm.counts,COUNTIF(D402:D3200,_xlpm.roles), INDEX(_xlpm.roles,MATCH(MAX(_xlpm.counts),_xlpm.counts,0)))</f>
        <v>Entry Fragger</v>
      </c>
      <c r="X402" s="2">
        <f t="shared" si="34"/>
        <v>13.103594080338267</v>
      </c>
    </row>
    <row r="403" spans="1:24" x14ac:dyDescent="0.3">
      <c r="A403">
        <v>1688</v>
      </c>
      <c r="B403">
        <v>69</v>
      </c>
      <c r="C403" t="s">
        <v>39</v>
      </c>
      <c r="D403" t="s">
        <v>17</v>
      </c>
      <c r="E403" t="s">
        <v>29</v>
      </c>
      <c r="F403" t="s">
        <v>34</v>
      </c>
      <c r="G403">
        <v>17</v>
      </c>
      <c r="H403">
        <v>8</v>
      </c>
      <c r="I403">
        <v>12</v>
      </c>
      <c r="J403">
        <v>45.64</v>
      </c>
      <c r="K403">
        <v>166.8</v>
      </c>
      <c r="L403">
        <v>0.6</v>
      </c>
      <c r="M403">
        <v>46.82</v>
      </c>
      <c r="N403">
        <v>0.86</v>
      </c>
      <c r="O403" t="s">
        <v>20</v>
      </c>
      <c r="P403" t="s">
        <v>21</v>
      </c>
      <c r="Q403">
        <f t="shared" si="30"/>
        <v>13</v>
      </c>
      <c r="R403" s="4">
        <f>RANK(N403,$N$2:N$2800,0)</f>
        <v>2040</v>
      </c>
      <c r="S403">
        <f t="shared" si="31"/>
        <v>1.4166666666666667</v>
      </c>
      <c r="T403" t="str">
        <f t="shared" si="32"/>
        <v>Low</v>
      </c>
      <c r="U403" t="str" cm="1">
        <f t="array" ref="U403">_xlfn.LET(_xlpm.roles,_xlfn.UNIQUE(D403:D3201),_xlpm.kills, SUMIF(D403:D3201,_xlpm.roles,G403:G3201),INDEX(_xlpm.roles,MATCH(MAX(_xlpm.kills),_xlpm.kills,0)))</f>
        <v>Entry Fragger</v>
      </c>
      <c r="V403" t="str">
        <f t="shared" si="33"/>
        <v>Medium Accuracy</v>
      </c>
      <c r="W403" t="str" cm="1">
        <f t="array" ref="W403">_xlfn.LET(_xlpm.roles,_xlfn.UNIQUE(D403:D3201), _xlpm.counts,COUNTIF(D403:D3201,_xlpm.roles), INDEX(_xlpm.roles,MATCH(MAX(_xlpm.counts),_xlpm.counts,0)))</f>
        <v>Entry Fragger</v>
      </c>
      <c r="X403" s="2">
        <f t="shared" si="34"/>
        <v>13.103594080338267</v>
      </c>
    </row>
    <row r="404" spans="1:24" x14ac:dyDescent="0.3">
      <c r="A404">
        <v>2262</v>
      </c>
      <c r="B404">
        <v>69</v>
      </c>
      <c r="C404" t="s">
        <v>27</v>
      </c>
      <c r="D404" t="s">
        <v>22</v>
      </c>
      <c r="E404" t="s">
        <v>33</v>
      </c>
      <c r="F404" t="s">
        <v>26</v>
      </c>
      <c r="G404">
        <v>14</v>
      </c>
      <c r="H404">
        <v>8</v>
      </c>
      <c r="I404">
        <v>7</v>
      </c>
      <c r="J404">
        <v>52.09</v>
      </c>
      <c r="K404">
        <v>225.9</v>
      </c>
      <c r="L404">
        <v>0.03</v>
      </c>
      <c r="M404">
        <v>54.75</v>
      </c>
      <c r="N404">
        <v>1</v>
      </c>
      <c r="O404" t="s">
        <v>20</v>
      </c>
      <c r="P404" t="s">
        <v>21</v>
      </c>
      <c r="Q404">
        <f t="shared" si="30"/>
        <v>15</v>
      </c>
      <c r="R404" s="4">
        <f>RANK(N404,$N$2:N$2800,0)</f>
        <v>1</v>
      </c>
      <c r="S404">
        <f t="shared" si="31"/>
        <v>2</v>
      </c>
      <c r="T404" t="str">
        <f t="shared" si="32"/>
        <v>Good</v>
      </c>
      <c r="U404" t="str" cm="1">
        <f t="array" ref="U404">_xlfn.LET(_xlpm.roles,_xlfn.UNIQUE(D404:D3202),_xlpm.kills, SUMIF(D404:D3202,_xlpm.roles,G404:G3202),INDEX(_xlpm.roles,MATCH(MAX(_xlpm.kills),_xlpm.kills,0)))</f>
        <v>Entry Fragger</v>
      </c>
      <c r="V404" t="str">
        <f t="shared" si="33"/>
        <v>High Accuracy</v>
      </c>
      <c r="W404" t="str" cm="1">
        <f t="array" ref="W404">_xlfn.LET(_xlpm.roles,_xlfn.UNIQUE(D404:D3202), _xlpm.counts,COUNTIF(D404:D3202,_xlpm.roles), INDEX(_xlpm.roles,MATCH(MAX(_xlpm.counts),_xlpm.counts,0)))</f>
        <v>Entry Fragger</v>
      </c>
      <c r="X404" s="2">
        <f t="shared" si="34"/>
        <v>13.057077625570777</v>
      </c>
    </row>
    <row r="405" spans="1:24" x14ac:dyDescent="0.3">
      <c r="A405">
        <v>2314</v>
      </c>
      <c r="B405">
        <v>69</v>
      </c>
      <c r="C405" t="s">
        <v>25</v>
      </c>
      <c r="D405" t="s">
        <v>17</v>
      </c>
      <c r="E405" t="s">
        <v>33</v>
      </c>
      <c r="F405" t="s">
        <v>26</v>
      </c>
      <c r="G405">
        <v>13</v>
      </c>
      <c r="H405">
        <v>11</v>
      </c>
      <c r="I405">
        <v>5</v>
      </c>
      <c r="J405">
        <v>44.48</v>
      </c>
      <c r="K405">
        <v>199.99</v>
      </c>
      <c r="L405">
        <v>0.84</v>
      </c>
      <c r="M405">
        <v>45.84</v>
      </c>
      <c r="N405">
        <v>0.81</v>
      </c>
      <c r="O405" t="s">
        <v>20</v>
      </c>
      <c r="P405" t="s">
        <v>21</v>
      </c>
      <c r="Q405">
        <f t="shared" si="30"/>
        <v>19</v>
      </c>
      <c r="R405" s="4">
        <f>RANK(N405,$N$2:N$2800,0)</f>
        <v>2341</v>
      </c>
      <c r="S405">
        <f t="shared" si="31"/>
        <v>2.6</v>
      </c>
      <c r="T405" t="str">
        <f t="shared" si="32"/>
        <v>Good</v>
      </c>
      <c r="U405" t="str" cm="1">
        <f t="array" ref="U405">_xlfn.LET(_xlpm.roles,_xlfn.UNIQUE(D405:D3203),_xlpm.kills, SUMIF(D405:D3203,_xlpm.roles,G405:G3203),INDEX(_xlpm.roles,MATCH(MAX(_xlpm.kills),_xlpm.kills,0)))</f>
        <v>Entry Fragger</v>
      </c>
      <c r="V405" t="str">
        <f t="shared" si="33"/>
        <v>Medium Accuracy</v>
      </c>
      <c r="W405" t="str" cm="1">
        <f t="array" ref="W405">_xlfn.LET(_xlpm.roles,_xlfn.UNIQUE(D405:D3203), _xlpm.counts,COUNTIF(D405:D3203,_xlpm.roles), INDEX(_xlpm.roles,MATCH(MAX(_xlpm.counts),_xlpm.counts,0)))</f>
        <v>Entry Fragger</v>
      </c>
      <c r="X405" s="2">
        <f t="shared" si="34"/>
        <v>12.809421841541756</v>
      </c>
    </row>
    <row r="406" spans="1:24" x14ac:dyDescent="0.3">
      <c r="A406">
        <v>2386</v>
      </c>
      <c r="B406">
        <v>69</v>
      </c>
      <c r="C406" t="s">
        <v>25</v>
      </c>
      <c r="D406" t="s">
        <v>31</v>
      </c>
      <c r="E406" t="s">
        <v>23</v>
      </c>
      <c r="F406" t="s">
        <v>19</v>
      </c>
      <c r="G406">
        <v>10</v>
      </c>
      <c r="H406">
        <v>5</v>
      </c>
      <c r="I406">
        <v>9</v>
      </c>
      <c r="J406">
        <v>54.08</v>
      </c>
      <c r="K406">
        <v>234.41</v>
      </c>
      <c r="L406">
        <v>0.79</v>
      </c>
      <c r="M406">
        <v>35.14</v>
      </c>
      <c r="N406">
        <v>1</v>
      </c>
      <c r="O406" t="s">
        <v>20</v>
      </c>
      <c r="P406" t="s">
        <v>21</v>
      </c>
      <c r="Q406">
        <f t="shared" si="30"/>
        <v>6</v>
      </c>
      <c r="R406" s="4">
        <f>RANK(N406,$N$2:N$2800,0)</f>
        <v>1</v>
      </c>
      <c r="S406">
        <f t="shared" si="31"/>
        <v>1.1111111111111112</v>
      </c>
      <c r="T406" t="str">
        <f t="shared" si="32"/>
        <v>Low</v>
      </c>
      <c r="U406" t="str" cm="1">
        <f t="array" ref="U406">_xlfn.LET(_xlpm.roles,_xlfn.UNIQUE(D406:D3204),_xlpm.kills, SUMIF(D406:D3204,_xlpm.roles,G406:G3204),INDEX(_xlpm.roles,MATCH(MAX(_xlpm.kills),_xlpm.kills,0)))</f>
        <v>Entry Fragger</v>
      </c>
      <c r="V406" t="str">
        <f t="shared" si="33"/>
        <v>High Accuracy</v>
      </c>
      <c r="W406" t="str" cm="1">
        <f t="array" ref="W406">_xlfn.LET(_xlpm.roles,_xlfn.UNIQUE(D406:D3204), _xlpm.counts,COUNTIF(D406:D3204,_xlpm.roles), INDEX(_xlpm.roles,MATCH(MAX(_xlpm.counts),_xlpm.counts,0)))</f>
        <v>Entry Fragger</v>
      </c>
      <c r="X406" s="2">
        <f t="shared" si="34"/>
        <v>12.809421841541756</v>
      </c>
    </row>
    <row r="407" spans="1:24" x14ac:dyDescent="0.3">
      <c r="A407">
        <v>2411</v>
      </c>
      <c r="B407">
        <v>69</v>
      </c>
      <c r="C407" t="s">
        <v>39</v>
      </c>
      <c r="D407" t="s">
        <v>28</v>
      </c>
      <c r="E407" t="s">
        <v>32</v>
      </c>
      <c r="F407" t="s">
        <v>24</v>
      </c>
      <c r="G407">
        <v>8</v>
      </c>
      <c r="H407">
        <v>9</v>
      </c>
      <c r="I407">
        <v>6</v>
      </c>
      <c r="J407">
        <v>62.74</v>
      </c>
      <c r="K407">
        <v>240.26</v>
      </c>
      <c r="L407">
        <v>0.45</v>
      </c>
      <c r="M407">
        <v>45.87</v>
      </c>
      <c r="N407">
        <v>0.92</v>
      </c>
      <c r="O407" t="s">
        <v>20</v>
      </c>
      <c r="P407" t="s">
        <v>21</v>
      </c>
      <c r="Q407">
        <f t="shared" si="30"/>
        <v>11</v>
      </c>
      <c r="R407" s="4">
        <f>RANK(N407,$N$2:N$2800,0)</f>
        <v>1585</v>
      </c>
      <c r="S407">
        <f t="shared" si="31"/>
        <v>1.3333333333333333</v>
      </c>
      <c r="T407" t="str">
        <f t="shared" si="32"/>
        <v>Low</v>
      </c>
      <c r="U407" t="str" cm="1">
        <f t="array" ref="U407">_xlfn.LET(_xlpm.roles,_xlfn.UNIQUE(D407:D3205),_xlpm.kills, SUMIF(D407:D3205,_xlpm.roles,G407:G3205),INDEX(_xlpm.roles,MATCH(MAX(_xlpm.kills),_xlpm.kills,0)))</f>
        <v>Entry Fragger</v>
      </c>
      <c r="V407" t="str">
        <f t="shared" si="33"/>
        <v>High Accuracy</v>
      </c>
      <c r="W407" t="str" cm="1">
        <f t="array" ref="W407">_xlfn.LET(_xlpm.roles,_xlfn.UNIQUE(D407:D3205), _xlpm.counts,COUNTIF(D407:D3205,_xlpm.roles), INDEX(_xlpm.roles,MATCH(MAX(_xlpm.counts),_xlpm.counts,0)))</f>
        <v>Entry Fragger</v>
      </c>
      <c r="X407" s="2">
        <f t="shared" si="34"/>
        <v>13.103594080338267</v>
      </c>
    </row>
    <row r="408" spans="1:24" x14ac:dyDescent="0.3">
      <c r="A408">
        <v>2637</v>
      </c>
      <c r="B408">
        <v>69</v>
      </c>
      <c r="C408" t="s">
        <v>39</v>
      </c>
      <c r="D408" t="s">
        <v>17</v>
      </c>
      <c r="E408" t="s">
        <v>18</v>
      </c>
      <c r="F408" t="s">
        <v>19</v>
      </c>
      <c r="G408">
        <v>23</v>
      </c>
      <c r="H408">
        <v>5</v>
      </c>
      <c r="I408">
        <v>7</v>
      </c>
      <c r="J408">
        <v>49.51</v>
      </c>
      <c r="K408">
        <v>226.26</v>
      </c>
      <c r="L408">
        <v>0.76</v>
      </c>
      <c r="M408">
        <v>61.15</v>
      </c>
      <c r="N408">
        <v>0.86</v>
      </c>
      <c r="O408" t="s">
        <v>20</v>
      </c>
      <c r="P408" t="s">
        <v>38</v>
      </c>
      <c r="Q408">
        <f t="shared" si="30"/>
        <v>21</v>
      </c>
      <c r="R408" s="4">
        <f>RANK(N408,$N$2:N$2800,0)</f>
        <v>2040</v>
      </c>
      <c r="S408">
        <f t="shared" si="31"/>
        <v>3.2857142857142856</v>
      </c>
      <c r="T408" t="str">
        <f t="shared" si="32"/>
        <v>Good</v>
      </c>
      <c r="U408" t="str" cm="1">
        <f t="array" ref="U408">_xlfn.LET(_xlpm.roles,_xlfn.UNIQUE(D408:D3206),_xlpm.kills, SUMIF(D408:D3206,_xlpm.roles,G408:G3206),INDEX(_xlpm.roles,MATCH(MAX(_xlpm.kills),_xlpm.kills,0)))</f>
        <v>Entry Fragger</v>
      </c>
      <c r="V408" t="str">
        <f t="shared" si="33"/>
        <v>Medium Accuracy</v>
      </c>
      <c r="W408" t="str" cm="1">
        <f t="array" ref="W408">_xlfn.LET(_xlpm.roles,_xlfn.UNIQUE(D408:D3206), _xlpm.counts,COUNTIF(D408:D3206,_xlpm.roles), INDEX(_xlpm.roles,MATCH(MAX(_xlpm.counts),_xlpm.counts,0)))</f>
        <v>Entry Fragger</v>
      </c>
      <c r="X408" s="2">
        <f t="shared" si="34"/>
        <v>13.103594080338267</v>
      </c>
    </row>
    <row r="409" spans="1:24" x14ac:dyDescent="0.3">
      <c r="A409">
        <v>2688</v>
      </c>
      <c r="B409">
        <v>69</v>
      </c>
      <c r="C409" t="s">
        <v>27</v>
      </c>
      <c r="D409" t="s">
        <v>31</v>
      </c>
      <c r="E409" t="s">
        <v>33</v>
      </c>
      <c r="F409" t="s">
        <v>19</v>
      </c>
      <c r="G409">
        <v>15</v>
      </c>
      <c r="H409">
        <v>10</v>
      </c>
      <c r="I409">
        <v>10</v>
      </c>
      <c r="J409">
        <v>42.3</v>
      </c>
      <c r="K409">
        <v>250.63</v>
      </c>
      <c r="L409">
        <v>0.56000000000000005</v>
      </c>
      <c r="M409">
        <v>45.55</v>
      </c>
      <c r="N409">
        <v>1</v>
      </c>
      <c r="O409" t="s">
        <v>20</v>
      </c>
      <c r="P409" t="s">
        <v>21</v>
      </c>
      <c r="Q409">
        <f t="shared" si="30"/>
        <v>15</v>
      </c>
      <c r="R409" s="4">
        <f>RANK(N409,$N$2:N$2800,0)</f>
        <v>1</v>
      </c>
      <c r="S409">
        <f t="shared" si="31"/>
        <v>1.5</v>
      </c>
      <c r="T409" t="str">
        <f t="shared" si="32"/>
        <v>Good</v>
      </c>
      <c r="U409" t="str" cm="1">
        <f t="array" ref="U409">_xlfn.LET(_xlpm.roles,_xlfn.UNIQUE(D409:D3207),_xlpm.kills, SUMIF(D409:D3207,_xlpm.roles,G409:G3207),INDEX(_xlpm.roles,MATCH(MAX(_xlpm.kills),_xlpm.kills,0)))</f>
        <v>Entry Fragger</v>
      </c>
      <c r="V409" t="str">
        <f t="shared" si="33"/>
        <v>Medium Accuracy</v>
      </c>
      <c r="W409" t="str" cm="1">
        <f t="array" ref="W409">_xlfn.LET(_xlpm.roles,_xlfn.UNIQUE(D409:D3207), _xlpm.counts,COUNTIF(D409:D3207,_xlpm.roles), INDEX(_xlpm.roles,MATCH(MAX(_xlpm.counts),_xlpm.counts,0)))</f>
        <v>Entry Fragger</v>
      </c>
      <c r="X409" s="2">
        <f t="shared" si="34"/>
        <v>13.057077625570777</v>
      </c>
    </row>
    <row r="410" spans="1:24" x14ac:dyDescent="0.3">
      <c r="A410">
        <v>2767</v>
      </c>
      <c r="B410">
        <v>69</v>
      </c>
      <c r="C410" t="s">
        <v>25</v>
      </c>
      <c r="D410" t="s">
        <v>28</v>
      </c>
      <c r="E410" t="s">
        <v>32</v>
      </c>
      <c r="F410" t="s">
        <v>37</v>
      </c>
      <c r="G410">
        <v>8</v>
      </c>
      <c r="H410">
        <v>7</v>
      </c>
      <c r="I410">
        <v>7</v>
      </c>
      <c r="J410">
        <v>53.72</v>
      </c>
      <c r="K410">
        <v>219.51</v>
      </c>
      <c r="L410">
        <v>0.89</v>
      </c>
      <c r="M410">
        <v>33.96</v>
      </c>
      <c r="N410">
        <v>0.68</v>
      </c>
      <c r="O410" t="s">
        <v>20</v>
      </c>
      <c r="P410" t="s">
        <v>21</v>
      </c>
      <c r="Q410">
        <f t="shared" si="30"/>
        <v>8</v>
      </c>
      <c r="R410" s="4">
        <f>RANK(N410,$N$2:N$2800,0)</f>
        <v>2719</v>
      </c>
      <c r="S410">
        <f t="shared" si="31"/>
        <v>1.1428571428571428</v>
      </c>
      <c r="T410" t="str">
        <f t="shared" si="32"/>
        <v>Low</v>
      </c>
      <c r="U410" t="str" cm="1">
        <f t="array" ref="U410">_xlfn.LET(_xlpm.roles,_xlfn.UNIQUE(D410:D3208),_xlpm.kills, SUMIF(D410:D3208,_xlpm.roles,G410:G3208),INDEX(_xlpm.roles,MATCH(MAX(_xlpm.kills),_xlpm.kills,0)))</f>
        <v>Entry Fragger</v>
      </c>
      <c r="V410" t="str">
        <f t="shared" si="33"/>
        <v>High Accuracy</v>
      </c>
      <c r="W410" t="str" cm="1">
        <f t="array" ref="W410">_xlfn.LET(_xlpm.roles,_xlfn.UNIQUE(D410:D3208), _xlpm.counts,COUNTIF(D410:D3208,_xlpm.roles), INDEX(_xlpm.roles,MATCH(MAX(_xlpm.counts),_xlpm.counts,0)))</f>
        <v>Entry Fragger</v>
      </c>
      <c r="X410" s="2">
        <f t="shared" si="34"/>
        <v>12.809421841541756</v>
      </c>
    </row>
    <row r="411" spans="1:24" x14ac:dyDescent="0.3">
      <c r="A411">
        <v>93</v>
      </c>
      <c r="B411">
        <v>70</v>
      </c>
      <c r="C411" t="s">
        <v>25</v>
      </c>
      <c r="D411" t="s">
        <v>31</v>
      </c>
      <c r="E411" t="s">
        <v>33</v>
      </c>
      <c r="F411" t="s">
        <v>19</v>
      </c>
      <c r="G411">
        <v>11</v>
      </c>
      <c r="H411">
        <v>9</v>
      </c>
      <c r="I411">
        <v>10</v>
      </c>
      <c r="J411">
        <v>54.35</v>
      </c>
      <c r="K411">
        <v>194.11</v>
      </c>
      <c r="L411">
        <v>0.48</v>
      </c>
      <c r="M411">
        <v>43.38</v>
      </c>
      <c r="N411">
        <v>0.8</v>
      </c>
      <c r="O411" t="s">
        <v>20</v>
      </c>
      <c r="P411" t="s">
        <v>21</v>
      </c>
      <c r="Q411">
        <f t="shared" si="30"/>
        <v>10</v>
      </c>
      <c r="R411" s="4">
        <f>RANK(N411,$N$2:N$2800,0)</f>
        <v>2393</v>
      </c>
      <c r="S411">
        <f t="shared" si="31"/>
        <v>1.1000000000000001</v>
      </c>
      <c r="T411" t="str">
        <f t="shared" si="32"/>
        <v>Low</v>
      </c>
      <c r="U411" t="str" cm="1">
        <f t="array" ref="U411">_xlfn.LET(_xlpm.roles,_xlfn.UNIQUE(D411:D3209),_xlpm.kills, SUMIF(D411:D3209,_xlpm.roles,G411:G3209),INDEX(_xlpm.roles,MATCH(MAX(_xlpm.kills),_xlpm.kills,0)))</f>
        <v>Entry Fragger</v>
      </c>
      <c r="V411" t="str">
        <f t="shared" si="33"/>
        <v>High Accuracy</v>
      </c>
      <c r="W411" t="str" cm="1">
        <f t="array" ref="W411">_xlfn.LET(_xlpm.roles,_xlfn.UNIQUE(D411:D3209), _xlpm.counts,COUNTIF(D411:D3209,_xlpm.roles), INDEX(_xlpm.roles,MATCH(MAX(_xlpm.counts),_xlpm.counts,0)))</f>
        <v>Entry Fragger</v>
      </c>
      <c r="X411" s="2">
        <f t="shared" si="34"/>
        <v>12.809421841541756</v>
      </c>
    </row>
    <row r="412" spans="1:24" x14ac:dyDescent="0.3">
      <c r="A412">
        <v>423</v>
      </c>
      <c r="B412">
        <v>70</v>
      </c>
      <c r="C412" t="s">
        <v>39</v>
      </c>
      <c r="D412" t="s">
        <v>17</v>
      </c>
      <c r="E412" t="s">
        <v>29</v>
      </c>
      <c r="F412" t="s">
        <v>34</v>
      </c>
      <c r="G412">
        <v>15</v>
      </c>
      <c r="H412">
        <v>3</v>
      </c>
      <c r="I412">
        <v>5</v>
      </c>
      <c r="J412">
        <v>55.66</v>
      </c>
      <c r="K412">
        <v>247.87</v>
      </c>
      <c r="L412">
        <v>0.18</v>
      </c>
      <c r="M412">
        <v>54.03</v>
      </c>
      <c r="N412">
        <v>1</v>
      </c>
      <c r="O412" t="s">
        <v>20</v>
      </c>
      <c r="P412" t="s">
        <v>21</v>
      </c>
      <c r="Q412">
        <f t="shared" si="30"/>
        <v>13</v>
      </c>
      <c r="R412" s="4">
        <f>RANK(N412,$N$2:N$2800,0)</f>
        <v>1</v>
      </c>
      <c r="S412">
        <f t="shared" si="31"/>
        <v>3</v>
      </c>
      <c r="T412" t="str">
        <f t="shared" si="32"/>
        <v>Low</v>
      </c>
      <c r="U412" t="str" cm="1">
        <f t="array" ref="U412">_xlfn.LET(_xlpm.roles,_xlfn.UNIQUE(D412:D3210),_xlpm.kills, SUMIF(D412:D3210,_xlpm.roles,G412:G3210),INDEX(_xlpm.roles,MATCH(MAX(_xlpm.kills),_xlpm.kills,0)))</f>
        <v>Entry Fragger</v>
      </c>
      <c r="V412" t="str">
        <f t="shared" si="33"/>
        <v>High Accuracy</v>
      </c>
      <c r="W412" t="str" cm="1">
        <f t="array" ref="W412">_xlfn.LET(_xlpm.roles,_xlfn.UNIQUE(D412:D3210), _xlpm.counts,COUNTIF(D412:D3210,_xlpm.roles), INDEX(_xlpm.roles,MATCH(MAX(_xlpm.counts),_xlpm.counts,0)))</f>
        <v>Entry Fragger</v>
      </c>
      <c r="X412" s="2">
        <f t="shared" si="34"/>
        <v>13.103594080338267</v>
      </c>
    </row>
    <row r="413" spans="1:24" x14ac:dyDescent="0.3">
      <c r="A413">
        <v>616</v>
      </c>
      <c r="B413">
        <v>70</v>
      </c>
      <c r="C413" t="s">
        <v>27</v>
      </c>
      <c r="D413" t="s">
        <v>28</v>
      </c>
      <c r="E413" t="s">
        <v>23</v>
      </c>
      <c r="F413" t="s">
        <v>19</v>
      </c>
      <c r="G413">
        <v>9</v>
      </c>
      <c r="H413">
        <v>11</v>
      </c>
      <c r="I413">
        <v>9</v>
      </c>
      <c r="J413">
        <v>31.36</v>
      </c>
      <c r="K413">
        <v>240.13</v>
      </c>
      <c r="L413">
        <v>0.47</v>
      </c>
      <c r="M413">
        <v>30.98</v>
      </c>
      <c r="N413">
        <v>0.92</v>
      </c>
      <c r="O413" t="s">
        <v>20</v>
      </c>
      <c r="P413" t="s">
        <v>21</v>
      </c>
      <c r="Q413">
        <f t="shared" si="30"/>
        <v>11</v>
      </c>
      <c r="R413" s="4">
        <f>RANK(N413,$N$2:N$2800,0)</f>
        <v>1585</v>
      </c>
      <c r="S413">
        <f t="shared" si="31"/>
        <v>1</v>
      </c>
      <c r="T413" t="str">
        <f t="shared" si="32"/>
        <v>Low</v>
      </c>
      <c r="U413" t="str" cm="1">
        <f t="array" ref="U413">_xlfn.LET(_xlpm.roles,_xlfn.UNIQUE(D413:D3211),_xlpm.kills, SUMIF(D413:D3211,_xlpm.roles,G413:G3211),INDEX(_xlpm.roles,MATCH(MAX(_xlpm.kills),_xlpm.kills,0)))</f>
        <v>Entry Fragger</v>
      </c>
      <c r="V413" t="str">
        <f t="shared" si="33"/>
        <v>Medium Accuracy</v>
      </c>
      <c r="W413" t="str" cm="1">
        <f t="array" ref="W413">_xlfn.LET(_xlpm.roles,_xlfn.UNIQUE(D413:D3211), _xlpm.counts,COUNTIF(D413:D3211,_xlpm.roles), INDEX(_xlpm.roles,MATCH(MAX(_xlpm.counts),_xlpm.counts,0)))</f>
        <v>Entry Fragger</v>
      </c>
      <c r="X413" s="2">
        <f t="shared" si="34"/>
        <v>13.057077625570777</v>
      </c>
    </row>
    <row r="414" spans="1:24" x14ac:dyDescent="0.3">
      <c r="A414">
        <v>1178</v>
      </c>
      <c r="B414">
        <v>70</v>
      </c>
      <c r="C414" t="s">
        <v>35</v>
      </c>
      <c r="D414" t="s">
        <v>28</v>
      </c>
      <c r="E414" t="s">
        <v>33</v>
      </c>
      <c r="F414" t="s">
        <v>19</v>
      </c>
      <c r="G414">
        <v>12</v>
      </c>
      <c r="H414">
        <v>6</v>
      </c>
      <c r="I414">
        <v>15</v>
      </c>
      <c r="J414">
        <v>47.96</v>
      </c>
      <c r="K414">
        <v>238.63</v>
      </c>
      <c r="L414">
        <v>0.02</v>
      </c>
      <c r="M414">
        <v>38.78</v>
      </c>
      <c r="N414">
        <v>1</v>
      </c>
      <c r="O414" t="s">
        <v>20</v>
      </c>
      <c r="P414" t="s">
        <v>21</v>
      </c>
      <c r="Q414">
        <f t="shared" si="30"/>
        <v>3</v>
      </c>
      <c r="R414" s="4">
        <f>RANK(N414,$N$2:N$2800,0)</f>
        <v>1</v>
      </c>
      <c r="S414">
        <f t="shared" si="31"/>
        <v>0.8</v>
      </c>
      <c r="T414" t="str">
        <f t="shared" si="32"/>
        <v>Low</v>
      </c>
      <c r="U414" t="str" cm="1">
        <f t="array" ref="U414">_xlfn.LET(_xlpm.roles,_xlfn.UNIQUE(D414:D3212),_xlpm.kills, SUMIF(D414:D3212,_xlpm.roles,G414:G3212),INDEX(_xlpm.roles,MATCH(MAX(_xlpm.kills),_xlpm.kills,0)))</f>
        <v>Entry Fragger</v>
      </c>
      <c r="V414" t="str">
        <f t="shared" si="33"/>
        <v>Medium Accuracy</v>
      </c>
      <c r="W414" t="str" cm="1">
        <f t="array" ref="W414">_xlfn.LET(_xlpm.roles,_xlfn.UNIQUE(D414:D3212), _xlpm.counts,COUNTIF(D414:D3212,_xlpm.roles), INDEX(_xlpm.roles,MATCH(MAX(_xlpm.counts),_xlpm.counts,0)))</f>
        <v>Entry Fragger</v>
      </c>
      <c r="X414" s="2">
        <f t="shared" si="34"/>
        <v>12.599585062240664</v>
      </c>
    </row>
    <row r="415" spans="1:24" x14ac:dyDescent="0.3">
      <c r="A415">
        <v>1725</v>
      </c>
      <c r="B415">
        <v>70</v>
      </c>
      <c r="C415" t="s">
        <v>27</v>
      </c>
      <c r="D415" t="s">
        <v>36</v>
      </c>
      <c r="E415" t="s">
        <v>29</v>
      </c>
      <c r="F415" t="s">
        <v>24</v>
      </c>
      <c r="G415">
        <v>20</v>
      </c>
      <c r="H415">
        <v>9</v>
      </c>
      <c r="I415">
        <v>12</v>
      </c>
      <c r="J415">
        <v>47.69</v>
      </c>
      <c r="K415">
        <v>235.51</v>
      </c>
      <c r="L415">
        <v>0.93</v>
      </c>
      <c r="M415">
        <v>51.55</v>
      </c>
      <c r="N415">
        <v>0.82</v>
      </c>
      <c r="O415" t="s">
        <v>20</v>
      </c>
      <c r="P415" t="s">
        <v>21</v>
      </c>
      <c r="Q415">
        <f t="shared" si="30"/>
        <v>17</v>
      </c>
      <c r="R415" s="4">
        <f>RANK(N415,$N$2:N$2800,0)</f>
        <v>2275</v>
      </c>
      <c r="S415">
        <f t="shared" si="31"/>
        <v>1.6666666666666667</v>
      </c>
      <c r="T415" t="str">
        <f t="shared" si="32"/>
        <v>Good</v>
      </c>
      <c r="U415" t="str" cm="1">
        <f t="array" ref="U415">_xlfn.LET(_xlpm.roles,_xlfn.UNIQUE(D415:D3213),_xlpm.kills, SUMIF(D415:D3213,_xlpm.roles,G415:G3213),INDEX(_xlpm.roles,MATCH(MAX(_xlpm.kills),_xlpm.kills,0)))</f>
        <v>Entry Fragger</v>
      </c>
      <c r="V415" t="str">
        <f t="shared" si="33"/>
        <v>Medium Accuracy</v>
      </c>
      <c r="W415" t="str" cm="1">
        <f t="array" ref="W415">_xlfn.LET(_xlpm.roles,_xlfn.UNIQUE(D415:D3213), _xlpm.counts,COUNTIF(D415:D3213,_xlpm.roles), INDEX(_xlpm.roles,MATCH(MAX(_xlpm.counts),_xlpm.counts,0)))</f>
        <v>Entry Fragger</v>
      </c>
      <c r="X415" s="2">
        <f t="shared" si="34"/>
        <v>13.057077625570777</v>
      </c>
    </row>
    <row r="416" spans="1:24" x14ac:dyDescent="0.3">
      <c r="A416">
        <v>2433</v>
      </c>
      <c r="B416">
        <v>70</v>
      </c>
      <c r="C416" t="s">
        <v>16</v>
      </c>
      <c r="D416" t="s">
        <v>36</v>
      </c>
      <c r="E416" t="s">
        <v>18</v>
      </c>
      <c r="F416" t="s">
        <v>37</v>
      </c>
      <c r="G416">
        <v>16</v>
      </c>
      <c r="H416">
        <v>11</v>
      </c>
      <c r="I416">
        <v>11</v>
      </c>
      <c r="J416">
        <v>35.19</v>
      </c>
      <c r="K416">
        <v>217.09</v>
      </c>
      <c r="L416">
        <v>0.98</v>
      </c>
      <c r="M416">
        <v>39.799999999999997</v>
      </c>
      <c r="N416">
        <v>0.83</v>
      </c>
      <c r="O416" t="s">
        <v>20</v>
      </c>
      <c r="P416" t="s">
        <v>21</v>
      </c>
      <c r="Q416">
        <f t="shared" si="30"/>
        <v>16</v>
      </c>
      <c r="R416" s="4">
        <f>RANK(N416,$N$2:N$2800,0)</f>
        <v>2218</v>
      </c>
      <c r="S416">
        <f t="shared" si="31"/>
        <v>1.4545454545454546</v>
      </c>
      <c r="T416" t="str">
        <f t="shared" si="32"/>
        <v>Good</v>
      </c>
      <c r="U416" t="str" cm="1">
        <f t="array" ref="U416">_xlfn.LET(_xlpm.roles,_xlfn.UNIQUE(D416:D3214),_xlpm.kills, SUMIF(D416:D3214,_xlpm.roles,G416:G3214),INDEX(_xlpm.roles,MATCH(MAX(_xlpm.kills),_xlpm.kills,0)))</f>
        <v>Entry Fragger</v>
      </c>
      <c r="V416" t="str">
        <f t="shared" si="33"/>
        <v>Medium Accuracy</v>
      </c>
      <c r="W416" t="str" cm="1">
        <f t="array" ref="W416">_xlfn.LET(_xlpm.roles,_xlfn.UNIQUE(D416:D3214), _xlpm.counts,COUNTIF(D416:D3214,_xlpm.roles), INDEX(_xlpm.roles,MATCH(MAX(_xlpm.counts),_xlpm.counts,0)))</f>
        <v>Entry Fragger</v>
      </c>
      <c r="X416" s="2">
        <f t="shared" si="34"/>
        <v>12.520971302428256</v>
      </c>
    </row>
    <row r="417" spans="1:24" x14ac:dyDescent="0.3">
      <c r="A417">
        <v>293</v>
      </c>
      <c r="B417">
        <v>71</v>
      </c>
      <c r="C417" t="s">
        <v>35</v>
      </c>
      <c r="D417" t="s">
        <v>31</v>
      </c>
      <c r="E417" t="s">
        <v>29</v>
      </c>
      <c r="F417" t="s">
        <v>24</v>
      </c>
      <c r="G417">
        <v>15</v>
      </c>
      <c r="H417">
        <v>8</v>
      </c>
      <c r="I417">
        <v>14</v>
      </c>
      <c r="J417">
        <v>40.229999999999997</v>
      </c>
      <c r="K417">
        <v>282.94</v>
      </c>
      <c r="L417">
        <v>0.53</v>
      </c>
      <c r="M417">
        <v>38.81</v>
      </c>
      <c r="N417">
        <v>0.9</v>
      </c>
      <c r="O417" t="s">
        <v>20</v>
      </c>
      <c r="P417" t="s">
        <v>21</v>
      </c>
      <c r="Q417">
        <f t="shared" si="30"/>
        <v>9</v>
      </c>
      <c r="R417" s="4">
        <f>RANK(N417,$N$2:N$2800,0)</f>
        <v>1738</v>
      </c>
      <c r="S417">
        <f t="shared" si="31"/>
        <v>1.0714285714285714</v>
      </c>
      <c r="T417" t="str">
        <f t="shared" si="32"/>
        <v>Low</v>
      </c>
      <c r="U417" t="str" cm="1">
        <f t="array" ref="U417">_xlfn.LET(_xlpm.roles,_xlfn.UNIQUE(D417:D3215),_xlpm.kills, SUMIF(D417:D3215,_xlpm.roles,G417:G3215),INDEX(_xlpm.roles,MATCH(MAX(_xlpm.kills),_xlpm.kills,0)))</f>
        <v>Entry Fragger</v>
      </c>
      <c r="V417" t="str">
        <f t="shared" si="33"/>
        <v>Medium Accuracy</v>
      </c>
      <c r="W417" t="str" cm="1">
        <f t="array" ref="W417">_xlfn.LET(_xlpm.roles,_xlfn.UNIQUE(D417:D3215), _xlpm.counts,COUNTIF(D417:D3215,_xlpm.roles), INDEX(_xlpm.roles,MATCH(MAX(_xlpm.counts),_xlpm.counts,0)))</f>
        <v>Entry Fragger</v>
      </c>
      <c r="X417" s="2">
        <f t="shared" si="34"/>
        <v>12.599585062240664</v>
      </c>
    </row>
    <row r="418" spans="1:24" x14ac:dyDescent="0.3">
      <c r="A418">
        <v>789</v>
      </c>
      <c r="B418">
        <v>71</v>
      </c>
      <c r="C418" t="s">
        <v>16</v>
      </c>
      <c r="D418" t="s">
        <v>36</v>
      </c>
      <c r="E418" t="s">
        <v>32</v>
      </c>
      <c r="F418" t="s">
        <v>19</v>
      </c>
      <c r="G418">
        <v>10</v>
      </c>
      <c r="H418">
        <v>6</v>
      </c>
      <c r="I418">
        <v>16</v>
      </c>
      <c r="J418">
        <v>47.83</v>
      </c>
      <c r="K418">
        <v>179.9</v>
      </c>
      <c r="L418">
        <v>0.47</v>
      </c>
      <c r="M418">
        <v>29.21</v>
      </c>
      <c r="N418">
        <v>0.89</v>
      </c>
      <c r="O418" t="s">
        <v>20</v>
      </c>
      <c r="P418" t="s">
        <v>21</v>
      </c>
      <c r="Q418">
        <f t="shared" si="30"/>
        <v>0</v>
      </c>
      <c r="R418" s="4">
        <f>RANK(N418,$N$2:N$2800,0)</f>
        <v>1815</v>
      </c>
      <c r="S418">
        <f t="shared" si="31"/>
        <v>0.625</v>
      </c>
      <c r="T418" t="str">
        <f t="shared" si="32"/>
        <v>Low</v>
      </c>
      <c r="U418" t="str" cm="1">
        <f t="array" ref="U418">_xlfn.LET(_xlpm.roles,_xlfn.UNIQUE(D418:D3216),_xlpm.kills, SUMIF(D418:D3216,_xlpm.roles,G418:G3216),INDEX(_xlpm.roles,MATCH(MAX(_xlpm.kills),_xlpm.kills,0)))</f>
        <v>Entry Fragger</v>
      </c>
      <c r="V418" t="str">
        <f t="shared" si="33"/>
        <v>Medium Accuracy</v>
      </c>
      <c r="W418" t="str" cm="1">
        <f t="array" ref="W418">_xlfn.LET(_xlpm.roles,_xlfn.UNIQUE(D418:D3216), _xlpm.counts,COUNTIF(D418:D3216,_xlpm.roles), INDEX(_xlpm.roles,MATCH(MAX(_xlpm.counts),_xlpm.counts,0)))</f>
        <v>Entry Fragger</v>
      </c>
      <c r="X418" s="2">
        <f t="shared" si="34"/>
        <v>12.520971302428256</v>
      </c>
    </row>
    <row r="419" spans="1:24" x14ac:dyDescent="0.3">
      <c r="A419">
        <v>1566</v>
      </c>
      <c r="B419">
        <v>71</v>
      </c>
      <c r="C419" t="s">
        <v>35</v>
      </c>
      <c r="D419" t="s">
        <v>22</v>
      </c>
      <c r="E419" t="s">
        <v>18</v>
      </c>
      <c r="F419" t="s">
        <v>19</v>
      </c>
      <c r="G419">
        <v>13</v>
      </c>
      <c r="H419">
        <v>13</v>
      </c>
      <c r="I419">
        <v>13</v>
      </c>
      <c r="J419">
        <v>40.119999999999997</v>
      </c>
      <c r="K419">
        <v>224.8</v>
      </c>
      <c r="L419">
        <v>0.77</v>
      </c>
      <c r="M419">
        <v>38.36</v>
      </c>
      <c r="N419">
        <v>0.96</v>
      </c>
      <c r="O419" t="s">
        <v>20</v>
      </c>
      <c r="P419" t="s">
        <v>21</v>
      </c>
      <c r="Q419">
        <f t="shared" si="30"/>
        <v>13</v>
      </c>
      <c r="R419" s="4">
        <f>RANK(N419,$N$2:N$2800,0)</f>
        <v>1301</v>
      </c>
      <c r="S419">
        <f t="shared" si="31"/>
        <v>1</v>
      </c>
      <c r="T419" t="str">
        <f t="shared" si="32"/>
        <v>Low</v>
      </c>
      <c r="U419" t="str" cm="1">
        <f t="array" ref="U419">_xlfn.LET(_xlpm.roles,_xlfn.UNIQUE(D419:D3217),_xlpm.kills, SUMIF(D419:D3217,_xlpm.roles,G419:G3217),INDEX(_xlpm.roles,MATCH(MAX(_xlpm.kills),_xlpm.kills,0)))</f>
        <v>Entry Fragger</v>
      </c>
      <c r="V419" t="str">
        <f t="shared" si="33"/>
        <v>Medium Accuracy</v>
      </c>
      <c r="W419" t="str" cm="1">
        <f t="array" ref="W419">_xlfn.LET(_xlpm.roles,_xlfn.UNIQUE(D419:D3217), _xlpm.counts,COUNTIF(D419:D3217,_xlpm.roles), INDEX(_xlpm.roles,MATCH(MAX(_xlpm.counts),_xlpm.counts,0)))</f>
        <v>Entry Fragger</v>
      </c>
      <c r="X419" s="2">
        <f t="shared" si="34"/>
        <v>12.599585062240664</v>
      </c>
    </row>
    <row r="420" spans="1:24" x14ac:dyDescent="0.3">
      <c r="A420">
        <v>2761</v>
      </c>
      <c r="B420">
        <v>71</v>
      </c>
      <c r="C420" t="s">
        <v>16</v>
      </c>
      <c r="D420" t="s">
        <v>31</v>
      </c>
      <c r="E420" t="s">
        <v>18</v>
      </c>
      <c r="F420" t="s">
        <v>24</v>
      </c>
      <c r="G420">
        <v>16</v>
      </c>
      <c r="H420">
        <v>10</v>
      </c>
      <c r="I420">
        <v>6</v>
      </c>
      <c r="J420">
        <v>42.26</v>
      </c>
      <c r="K420">
        <v>229.75</v>
      </c>
      <c r="L420">
        <v>0.71</v>
      </c>
      <c r="M420">
        <v>50.03</v>
      </c>
      <c r="N420">
        <v>1</v>
      </c>
      <c r="O420" t="s">
        <v>20</v>
      </c>
      <c r="P420" t="s">
        <v>21</v>
      </c>
      <c r="Q420">
        <f t="shared" si="30"/>
        <v>20</v>
      </c>
      <c r="R420" s="4">
        <f>RANK(N420,$N$2:N$2800,0)</f>
        <v>1</v>
      </c>
      <c r="S420">
        <f t="shared" si="31"/>
        <v>2.6666666666666665</v>
      </c>
      <c r="T420" t="str">
        <f t="shared" si="32"/>
        <v>Good</v>
      </c>
      <c r="U420" t="str" cm="1">
        <f t="array" ref="U420">_xlfn.LET(_xlpm.roles,_xlfn.UNIQUE(D420:D3218),_xlpm.kills, SUMIF(D420:D3218,_xlpm.roles,G420:G3218),INDEX(_xlpm.roles,MATCH(MAX(_xlpm.kills),_xlpm.kills,0)))</f>
        <v>Entry Fragger</v>
      </c>
      <c r="V420" t="str">
        <f t="shared" si="33"/>
        <v>Medium Accuracy</v>
      </c>
      <c r="W420" t="str" cm="1">
        <f t="array" ref="W420">_xlfn.LET(_xlpm.roles,_xlfn.UNIQUE(D420:D3218), _xlpm.counts,COUNTIF(D420:D3218,_xlpm.roles), INDEX(_xlpm.roles,MATCH(MAX(_xlpm.counts),_xlpm.counts,0)))</f>
        <v>Entry Fragger</v>
      </c>
      <c r="X420" s="2">
        <f t="shared" si="34"/>
        <v>12.520971302428256</v>
      </c>
    </row>
    <row r="421" spans="1:24" x14ac:dyDescent="0.3">
      <c r="A421">
        <v>48</v>
      </c>
      <c r="B421">
        <v>72</v>
      </c>
      <c r="C421" t="s">
        <v>30</v>
      </c>
      <c r="D421" t="s">
        <v>36</v>
      </c>
      <c r="E421" t="s">
        <v>33</v>
      </c>
      <c r="F421" t="s">
        <v>37</v>
      </c>
      <c r="G421">
        <v>19</v>
      </c>
      <c r="H421">
        <v>9</v>
      </c>
      <c r="I421">
        <v>8</v>
      </c>
      <c r="J421">
        <v>35.97</v>
      </c>
      <c r="K421">
        <v>229.78</v>
      </c>
      <c r="L421">
        <v>0.42</v>
      </c>
      <c r="M421">
        <v>52.78</v>
      </c>
      <c r="N421">
        <v>0.9</v>
      </c>
      <c r="O421" t="s">
        <v>20</v>
      </c>
      <c r="P421" t="s">
        <v>21</v>
      </c>
      <c r="Q421">
        <f t="shared" si="30"/>
        <v>20</v>
      </c>
      <c r="R421" s="4">
        <f>RANK(N421,$N$2:N$2800,0)</f>
        <v>1738</v>
      </c>
      <c r="S421">
        <f t="shared" si="31"/>
        <v>2.375</v>
      </c>
      <c r="T421" t="str">
        <f t="shared" si="32"/>
        <v>Good</v>
      </c>
      <c r="U421" t="str" cm="1">
        <f t="array" ref="U421">_xlfn.LET(_xlpm.roles,_xlfn.UNIQUE(D421:D3219),_xlpm.kills, SUMIF(D421:D3219,_xlpm.roles,G421:G3219),INDEX(_xlpm.roles,MATCH(MAX(_xlpm.kills),_xlpm.kills,0)))</f>
        <v>Entry Fragger</v>
      </c>
      <c r="V421" t="str">
        <f t="shared" si="33"/>
        <v>Medium Accuracy</v>
      </c>
      <c r="W421" t="str" cm="1">
        <f t="array" ref="W421">_xlfn.LET(_xlpm.roles,_xlfn.UNIQUE(D421:D3219), _xlpm.counts,COUNTIF(D421:D3219,_xlpm.roles), INDEX(_xlpm.roles,MATCH(MAX(_xlpm.counts),_xlpm.counts,0)))</f>
        <v>Entry Fragger</v>
      </c>
      <c r="X421" s="2">
        <f t="shared" si="34"/>
        <v>13.135802469135802</v>
      </c>
    </row>
    <row r="422" spans="1:24" x14ac:dyDescent="0.3">
      <c r="A422">
        <v>442</v>
      </c>
      <c r="B422">
        <v>72</v>
      </c>
      <c r="C422" t="s">
        <v>35</v>
      </c>
      <c r="D422" t="s">
        <v>22</v>
      </c>
      <c r="E422" t="s">
        <v>23</v>
      </c>
      <c r="F422" t="s">
        <v>24</v>
      </c>
      <c r="G422">
        <v>9</v>
      </c>
      <c r="H422">
        <v>7</v>
      </c>
      <c r="I422">
        <v>8</v>
      </c>
      <c r="J422">
        <v>55.34</v>
      </c>
      <c r="K422">
        <v>214.08</v>
      </c>
      <c r="L422">
        <v>0.02</v>
      </c>
      <c r="M422">
        <v>44.47</v>
      </c>
      <c r="N422">
        <v>1</v>
      </c>
      <c r="O422" t="s">
        <v>20</v>
      </c>
      <c r="P422" t="s">
        <v>21</v>
      </c>
      <c r="Q422">
        <f t="shared" si="30"/>
        <v>8</v>
      </c>
      <c r="R422" s="4">
        <f>RANK(N422,$N$2:N$2800,0)</f>
        <v>1</v>
      </c>
      <c r="S422">
        <f t="shared" si="31"/>
        <v>1.125</v>
      </c>
      <c r="T422" t="str">
        <f t="shared" si="32"/>
        <v>Low</v>
      </c>
      <c r="U422" t="str" cm="1">
        <f t="array" ref="U422">_xlfn.LET(_xlpm.roles,_xlfn.UNIQUE(D422:D3220),_xlpm.kills, SUMIF(D422:D3220,_xlpm.roles,G422:G3220),INDEX(_xlpm.roles,MATCH(MAX(_xlpm.kills),_xlpm.kills,0)))</f>
        <v>Entry Fragger</v>
      </c>
      <c r="V422" t="str">
        <f t="shared" si="33"/>
        <v>High Accuracy</v>
      </c>
      <c r="W422" t="str" cm="1">
        <f t="array" ref="W422">_xlfn.LET(_xlpm.roles,_xlfn.UNIQUE(D422:D3220), _xlpm.counts,COUNTIF(D422:D3220,_xlpm.roles), INDEX(_xlpm.roles,MATCH(MAX(_xlpm.counts),_xlpm.counts,0)))</f>
        <v>Entry Fragger</v>
      </c>
      <c r="X422" s="2">
        <f t="shared" si="34"/>
        <v>12.599585062240664</v>
      </c>
    </row>
    <row r="423" spans="1:24" x14ac:dyDescent="0.3">
      <c r="A423">
        <v>629</v>
      </c>
      <c r="B423">
        <v>72</v>
      </c>
      <c r="C423" t="s">
        <v>39</v>
      </c>
      <c r="D423" t="s">
        <v>28</v>
      </c>
      <c r="E423" t="s">
        <v>23</v>
      </c>
      <c r="F423" t="s">
        <v>37</v>
      </c>
      <c r="G423">
        <v>9</v>
      </c>
      <c r="H423">
        <v>3</v>
      </c>
      <c r="I423">
        <v>13</v>
      </c>
      <c r="J423">
        <v>48.05</v>
      </c>
      <c r="K423">
        <v>266.37</v>
      </c>
      <c r="L423">
        <v>0.12</v>
      </c>
      <c r="M423">
        <v>30.82</v>
      </c>
      <c r="N423">
        <v>0.59</v>
      </c>
      <c r="O423" t="s">
        <v>20</v>
      </c>
      <c r="P423" t="s">
        <v>21</v>
      </c>
      <c r="Q423">
        <f t="shared" si="30"/>
        <v>-1</v>
      </c>
      <c r="R423" s="4">
        <f>RANK(N423,$N$2:N$2800,0)</f>
        <v>2783</v>
      </c>
      <c r="S423">
        <f t="shared" si="31"/>
        <v>0.69230769230769229</v>
      </c>
      <c r="T423" t="str">
        <f t="shared" si="32"/>
        <v>Low</v>
      </c>
      <c r="U423" t="str" cm="1">
        <f t="array" ref="U423">_xlfn.LET(_xlpm.roles,_xlfn.UNIQUE(D423:D3221),_xlpm.kills, SUMIF(D423:D3221,_xlpm.roles,G423:G3221),INDEX(_xlpm.roles,MATCH(MAX(_xlpm.kills),_xlpm.kills,0)))</f>
        <v>Entry Fragger</v>
      </c>
      <c r="V423" t="str">
        <f t="shared" si="33"/>
        <v>Medium Accuracy</v>
      </c>
      <c r="W423" t="str" cm="1">
        <f t="array" ref="W423">_xlfn.LET(_xlpm.roles,_xlfn.UNIQUE(D423:D3221), _xlpm.counts,COUNTIF(D423:D3221,_xlpm.roles), INDEX(_xlpm.roles,MATCH(MAX(_xlpm.counts),_xlpm.counts,0)))</f>
        <v>Entry Fragger</v>
      </c>
      <c r="X423" s="2">
        <f t="shared" si="34"/>
        <v>13.103594080338267</v>
      </c>
    </row>
    <row r="424" spans="1:24" x14ac:dyDescent="0.3">
      <c r="A424">
        <v>1352</v>
      </c>
      <c r="B424">
        <v>72</v>
      </c>
      <c r="C424" t="s">
        <v>27</v>
      </c>
      <c r="D424" t="s">
        <v>36</v>
      </c>
      <c r="E424" t="s">
        <v>32</v>
      </c>
      <c r="F424" t="s">
        <v>24</v>
      </c>
      <c r="G424">
        <v>20</v>
      </c>
      <c r="H424">
        <v>9</v>
      </c>
      <c r="I424">
        <v>13</v>
      </c>
      <c r="J424">
        <v>51.99</v>
      </c>
      <c r="K424">
        <v>243.84</v>
      </c>
      <c r="L424">
        <v>0.61</v>
      </c>
      <c r="M424">
        <v>55.9</v>
      </c>
      <c r="N424">
        <v>0.83</v>
      </c>
      <c r="O424" t="s">
        <v>20</v>
      </c>
      <c r="P424" t="s">
        <v>21</v>
      </c>
      <c r="Q424">
        <f t="shared" si="30"/>
        <v>16</v>
      </c>
      <c r="R424" s="4">
        <f>RANK(N424,$N$2:N$2800,0)</f>
        <v>2218</v>
      </c>
      <c r="S424">
        <f t="shared" si="31"/>
        <v>1.5384615384615385</v>
      </c>
      <c r="T424" t="str">
        <f t="shared" si="32"/>
        <v>Good</v>
      </c>
      <c r="U424" t="str" cm="1">
        <f t="array" ref="U424">_xlfn.LET(_xlpm.roles,_xlfn.UNIQUE(D424:D3222),_xlpm.kills, SUMIF(D424:D3222,_xlpm.roles,G424:G3222),INDEX(_xlpm.roles,MATCH(MAX(_xlpm.kills),_xlpm.kills,0)))</f>
        <v>Entry Fragger</v>
      </c>
      <c r="V424" t="str">
        <f t="shared" si="33"/>
        <v>High Accuracy</v>
      </c>
      <c r="W424" t="str" cm="1">
        <f t="array" ref="W424">_xlfn.LET(_xlpm.roles,_xlfn.UNIQUE(D424:D3222), _xlpm.counts,COUNTIF(D424:D3222,_xlpm.roles), INDEX(_xlpm.roles,MATCH(MAX(_xlpm.counts),_xlpm.counts,0)))</f>
        <v>Entry Fragger</v>
      </c>
      <c r="X424" s="2">
        <f t="shared" si="34"/>
        <v>13.057077625570777</v>
      </c>
    </row>
    <row r="425" spans="1:24" x14ac:dyDescent="0.3">
      <c r="A425">
        <v>2021</v>
      </c>
      <c r="B425">
        <v>72</v>
      </c>
      <c r="C425" t="s">
        <v>25</v>
      </c>
      <c r="D425" t="s">
        <v>28</v>
      </c>
      <c r="E425" t="s">
        <v>23</v>
      </c>
      <c r="F425" t="s">
        <v>34</v>
      </c>
      <c r="G425">
        <v>13</v>
      </c>
      <c r="H425">
        <v>2</v>
      </c>
      <c r="I425">
        <v>18</v>
      </c>
      <c r="J425">
        <v>40.26</v>
      </c>
      <c r="K425">
        <v>214.9</v>
      </c>
      <c r="L425">
        <v>0.04</v>
      </c>
      <c r="M425">
        <v>29.73</v>
      </c>
      <c r="N425">
        <v>0.86</v>
      </c>
      <c r="O425" t="s">
        <v>20</v>
      </c>
      <c r="P425" t="s">
        <v>21</v>
      </c>
      <c r="Q425">
        <f t="shared" si="30"/>
        <v>-3</v>
      </c>
      <c r="R425" s="4">
        <f>RANK(N425,$N$2:N$2800,0)</f>
        <v>2040</v>
      </c>
      <c r="S425">
        <f t="shared" si="31"/>
        <v>0.72222222222222221</v>
      </c>
      <c r="T425" t="str">
        <f t="shared" si="32"/>
        <v>Low</v>
      </c>
      <c r="U425" t="str" cm="1">
        <f t="array" ref="U425">_xlfn.LET(_xlpm.roles,_xlfn.UNIQUE(D425:D3223),_xlpm.kills, SUMIF(D425:D3223,_xlpm.roles,G425:G3223),INDEX(_xlpm.roles,MATCH(MAX(_xlpm.kills),_xlpm.kills,0)))</f>
        <v>Entry Fragger</v>
      </c>
      <c r="V425" t="str">
        <f t="shared" si="33"/>
        <v>Medium Accuracy</v>
      </c>
      <c r="W425" t="str" cm="1">
        <f t="array" ref="W425">_xlfn.LET(_xlpm.roles,_xlfn.UNIQUE(D425:D3223), _xlpm.counts,COUNTIF(D425:D3223,_xlpm.roles), INDEX(_xlpm.roles,MATCH(MAX(_xlpm.counts),_xlpm.counts,0)))</f>
        <v>Entry Fragger</v>
      </c>
      <c r="X425" s="2">
        <f t="shared" si="34"/>
        <v>12.809421841541756</v>
      </c>
    </row>
    <row r="426" spans="1:24" x14ac:dyDescent="0.3">
      <c r="A426">
        <v>2038</v>
      </c>
      <c r="B426">
        <v>72</v>
      </c>
      <c r="C426" t="s">
        <v>25</v>
      </c>
      <c r="D426" t="s">
        <v>17</v>
      </c>
      <c r="E426" t="s">
        <v>18</v>
      </c>
      <c r="F426" t="s">
        <v>24</v>
      </c>
      <c r="G426">
        <v>15</v>
      </c>
      <c r="H426">
        <v>11</v>
      </c>
      <c r="I426">
        <v>9</v>
      </c>
      <c r="J426">
        <v>40.119999999999997</v>
      </c>
      <c r="K426">
        <v>246.58</v>
      </c>
      <c r="L426">
        <v>0.12</v>
      </c>
      <c r="M426">
        <v>50.86</v>
      </c>
      <c r="N426">
        <v>1</v>
      </c>
      <c r="O426" t="s">
        <v>20</v>
      </c>
      <c r="P426" t="s">
        <v>21</v>
      </c>
      <c r="Q426">
        <f t="shared" si="30"/>
        <v>17</v>
      </c>
      <c r="R426" s="4">
        <f>RANK(N426,$N$2:N$2800,0)</f>
        <v>1</v>
      </c>
      <c r="S426">
        <f t="shared" si="31"/>
        <v>1.6666666666666667</v>
      </c>
      <c r="T426" t="str">
        <f t="shared" si="32"/>
        <v>Good</v>
      </c>
      <c r="U426" t="str" cm="1">
        <f t="array" ref="U426">_xlfn.LET(_xlpm.roles,_xlfn.UNIQUE(D426:D3224),_xlpm.kills, SUMIF(D426:D3224,_xlpm.roles,G426:G3224),INDEX(_xlpm.roles,MATCH(MAX(_xlpm.kills),_xlpm.kills,0)))</f>
        <v>Entry Fragger</v>
      </c>
      <c r="V426" t="str">
        <f t="shared" si="33"/>
        <v>Medium Accuracy</v>
      </c>
      <c r="W426" t="str" cm="1">
        <f t="array" ref="W426">_xlfn.LET(_xlpm.roles,_xlfn.UNIQUE(D426:D3224), _xlpm.counts,COUNTIF(D426:D3224,_xlpm.roles), INDEX(_xlpm.roles,MATCH(MAX(_xlpm.counts),_xlpm.counts,0)))</f>
        <v>Entry Fragger</v>
      </c>
      <c r="X426" s="2">
        <f t="shared" si="34"/>
        <v>12.809421841541756</v>
      </c>
    </row>
    <row r="427" spans="1:24" x14ac:dyDescent="0.3">
      <c r="A427">
        <v>2096</v>
      </c>
      <c r="B427">
        <v>72</v>
      </c>
      <c r="C427" t="s">
        <v>35</v>
      </c>
      <c r="D427" t="s">
        <v>28</v>
      </c>
      <c r="E427" t="s">
        <v>18</v>
      </c>
      <c r="F427" t="s">
        <v>24</v>
      </c>
      <c r="G427">
        <v>12</v>
      </c>
      <c r="H427">
        <v>8</v>
      </c>
      <c r="I427">
        <v>15</v>
      </c>
      <c r="J427">
        <v>53.43</v>
      </c>
      <c r="K427">
        <v>216.38</v>
      </c>
      <c r="L427">
        <v>0.02</v>
      </c>
      <c r="M427">
        <v>43.52</v>
      </c>
      <c r="N427">
        <v>0.75</v>
      </c>
      <c r="O427" t="s">
        <v>20</v>
      </c>
      <c r="P427" t="s">
        <v>21</v>
      </c>
      <c r="Q427">
        <f t="shared" si="30"/>
        <v>5</v>
      </c>
      <c r="R427" s="4">
        <f>RANK(N427,$N$2:N$2800,0)</f>
        <v>2586</v>
      </c>
      <c r="S427">
        <f t="shared" si="31"/>
        <v>0.8</v>
      </c>
      <c r="T427" t="str">
        <f t="shared" si="32"/>
        <v>Low</v>
      </c>
      <c r="U427" t="str" cm="1">
        <f t="array" ref="U427">_xlfn.LET(_xlpm.roles,_xlfn.UNIQUE(D427:D3225),_xlpm.kills, SUMIF(D427:D3225,_xlpm.roles,G427:G3225),INDEX(_xlpm.roles,MATCH(MAX(_xlpm.kills),_xlpm.kills,0)))</f>
        <v>Entry Fragger</v>
      </c>
      <c r="V427" t="str">
        <f t="shared" si="33"/>
        <v>High Accuracy</v>
      </c>
      <c r="W427" t="str" cm="1">
        <f t="array" ref="W427">_xlfn.LET(_xlpm.roles,_xlfn.UNIQUE(D427:D3225), _xlpm.counts,COUNTIF(D427:D3225,_xlpm.roles), INDEX(_xlpm.roles,MATCH(MAX(_xlpm.counts),_xlpm.counts,0)))</f>
        <v>Entry Fragger</v>
      </c>
      <c r="X427" s="2">
        <f t="shared" si="34"/>
        <v>12.599585062240664</v>
      </c>
    </row>
    <row r="428" spans="1:24" x14ac:dyDescent="0.3">
      <c r="A428">
        <v>2147</v>
      </c>
      <c r="B428">
        <v>72</v>
      </c>
      <c r="C428" t="s">
        <v>25</v>
      </c>
      <c r="D428" t="s">
        <v>28</v>
      </c>
      <c r="E428" t="s">
        <v>32</v>
      </c>
      <c r="F428" t="s">
        <v>24</v>
      </c>
      <c r="G428">
        <v>7</v>
      </c>
      <c r="H428">
        <v>6</v>
      </c>
      <c r="I428">
        <v>6</v>
      </c>
      <c r="J428">
        <v>36.07</v>
      </c>
      <c r="K428">
        <v>226.96</v>
      </c>
      <c r="L428">
        <v>0.76</v>
      </c>
      <c r="M428">
        <v>24.43</v>
      </c>
      <c r="N428">
        <v>0.81</v>
      </c>
      <c r="O428" t="s">
        <v>20</v>
      </c>
      <c r="P428" t="s">
        <v>21</v>
      </c>
      <c r="Q428">
        <f t="shared" si="30"/>
        <v>7</v>
      </c>
      <c r="R428" s="4">
        <f>RANK(N428,$N$2:N$2800,0)</f>
        <v>2341</v>
      </c>
      <c r="S428">
        <f t="shared" si="31"/>
        <v>1.1666666666666667</v>
      </c>
      <c r="T428" t="str">
        <f t="shared" si="32"/>
        <v>Low</v>
      </c>
      <c r="U428" t="str" cm="1">
        <f t="array" ref="U428">_xlfn.LET(_xlpm.roles,_xlfn.UNIQUE(D428:D3226),_xlpm.kills, SUMIF(D428:D3226,_xlpm.roles,G428:G3226),INDEX(_xlpm.roles,MATCH(MAX(_xlpm.kills),_xlpm.kills,0)))</f>
        <v>Entry Fragger</v>
      </c>
      <c r="V428" t="str">
        <f t="shared" si="33"/>
        <v>Medium Accuracy</v>
      </c>
      <c r="W428" t="str" cm="1">
        <f t="array" ref="W428">_xlfn.LET(_xlpm.roles,_xlfn.UNIQUE(D428:D3226), _xlpm.counts,COUNTIF(D428:D3226,_xlpm.roles), INDEX(_xlpm.roles,MATCH(MAX(_xlpm.counts),_xlpm.counts,0)))</f>
        <v>Entry Fragger</v>
      </c>
      <c r="X428" s="2">
        <f t="shared" si="34"/>
        <v>12.809421841541756</v>
      </c>
    </row>
    <row r="429" spans="1:24" x14ac:dyDescent="0.3">
      <c r="A429">
        <v>256</v>
      </c>
      <c r="B429">
        <v>73</v>
      </c>
      <c r="C429" t="s">
        <v>30</v>
      </c>
      <c r="D429" t="s">
        <v>17</v>
      </c>
      <c r="E429" t="s">
        <v>29</v>
      </c>
      <c r="F429" t="s">
        <v>34</v>
      </c>
      <c r="G429">
        <v>11</v>
      </c>
      <c r="H429">
        <v>7</v>
      </c>
      <c r="I429">
        <v>10</v>
      </c>
      <c r="J429">
        <v>47.56</v>
      </c>
      <c r="K429">
        <v>200.82</v>
      </c>
      <c r="L429">
        <v>0.28999999999999998</v>
      </c>
      <c r="M429">
        <v>39.880000000000003</v>
      </c>
      <c r="N429">
        <v>0.81</v>
      </c>
      <c r="O429" t="s">
        <v>20</v>
      </c>
      <c r="P429" t="s">
        <v>21</v>
      </c>
      <c r="Q429">
        <f t="shared" si="30"/>
        <v>8</v>
      </c>
      <c r="R429" s="4">
        <f>RANK(N429,$N$2:N$2800,0)</f>
        <v>2341</v>
      </c>
      <c r="S429">
        <f t="shared" si="31"/>
        <v>1.1000000000000001</v>
      </c>
      <c r="T429" t="str">
        <f t="shared" si="32"/>
        <v>Low</v>
      </c>
      <c r="U429" t="str" cm="1">
        <f t="array" ref="U429">_xlfn.LET(_xlpm.roles,_xlfn.UNIQUE(D429:D3227),_xlpm.kills, SUMIF(D429:D3227,_xlpm.roles,G429:G3227),INDEX(_xlpm.roles,MATCH(MAX(_xlpm.kills),_xlpm.kills,0)))</f>
        <v>Entry Fragger</v>
      </c>
      <c r="V429" t="str">
        <f t="shared" si="33"/>
        <v>Medium Accuracy</v>
      </c>
      <c r="W429" t="str" cm="1">
        <f t="array" ref="W429">_xlfn.LET(_xlpm.roles,_xlfn.UNIQUE(D429:D3227), _xlpm.counts,COUNTIF(D429:D3227,_xlpm.roles), INDEX(_xlpm.roles,MATCH(MAX(_xlpm.counts),_xlpm.counts,0)))</f>
        <v>Entry Fragger</v>
      </c>
      <c r="X429" s="2">
        <f t="shared" si="34"/>
        <v>13.135802469135802</v>
      </c>
    </row>
    <row r="430" spans="1:24" x14ac:dyDescent="0.3">
      <c r="A430">
        <v>666</v>
      </c>
      <c r="B430">
        <v>73</v>
      </c>
      <c r="C430" t="s">
        <v>35</v>
      </c>
      <c r="D430" t="s">
        <v>36</v>
      </c>
      <c r="E430" t="s">
        <v>32</v>
      </c>
      <c r="F430" t="s">
        <v>37</v>
      </c>
      <c r="G430">
        <v>15</v>
      </c>
      <c r="H430">
        <v>15</v>
      </c>
      <c r="I430">
        <v>11</v>
      </c>
      <c r="J430">
        <v>47.96</v>
      </c>
      <c r="K430">
        <v>168.43</v>
      </c>
      <c r="L430">
        <v>0.03</v>
      </c>
      <c r="M430">
        <v>57.68</v>
      </c>
      <c r="N430">
        <v>1</v>
      </c>
      <c r="O430" t="s">
        <v>20</v>
      </c>
      <c r="P430" t="s">
        <v>21</v>
      </c>
      <c r="Q430">
        <f t="shared" si="30"/>
        <v>19</v>
      </c>
      <c r="R430" s="4">
        <f>RANK(N430,$N$2:N$2800,0)</f>
        <v>1</v>
      </c>
      <c r="S430">
        <f t="shared" si="31"/>
        <v>1.3636363636363635</v>
      </c>
      <c r="T430" t="str">
        <f t="shared" si="32"/>
        <v>Good</v>
      </c>
      <c r="U430" t="str" cm="1">
        <f t="array" ref="U430">_xlfn.LET(_xlpm.roles,_xlfn.UNIQUE(D430:D3228),_xlpm.kills, SUMIF(D430:D3228,_xlpm.roles,G430:G3228),INDEX(_xlpm.roles,MATCH(MAX(_xlpm.kills),_xlpm.kills,0)))</f>
        <v>Entry Fragger</v>
      </c>
      <c r="V430" t="str">
        <f t="shared" si="33"/>
        <v>Medium Accuracy</v>
      </c>
      <c r="W430" t="str" cm="1">
        <f t="array" ref="W430">_xlfn.LET(_xlpm.roles,_xlfn.UNIQUE(D430:D3228), _xlpm.counts,COUNTIF(D430:D3228,_xlpm.roles), INDEX(_xlpm.roles,MATCH(MAX(_xlpm.counts),_xlpm.counts,0)))</f>
        <v>Entry Fragger</v>
      </c>
      <c r="X430" s="2">
        <f t="shared" si="34"/>
        <v>12.599585062240664</v>
      </c>
    </row>
    <row r="431" spans="1:24" x14ac:dyDescent="0.3">
      <c r="A431">
        <v>670</v>
      </c>
      <c r="B431">
        <v>73</v>
      </c>
      <c r="C431" t="s">
        <v>27</v>
      </c>
      <c r="D431" t="s">
        <v>31</v>
      </c>
      <c r="E431" t="s">
        <v>33</v>
      </c>
      <c r="F431" t="s">
        <v>34</v>
      </c>
      <c r="G431">
        <v>18</v>
      </c>
      <c r="H431">
        <v>10</v>
      </c>
      <c r="I431">
        <v>8</v>
      </c>
      <c r="J431">
        <v>55.18</v>
      </c>
      <c r="K431">
        <v>190.57</v>
      </c>
      <c r="L431">
        <v>0.74</v>
      </c>
      <c r="M431">
        <v>58.19</v>
      </c>
      <c r="N431">
        <v>1</v>
      </c>
      <c r="O431" t="s">
        <v>20</v>
      </c>
      <c r="P431" t="s">
        <v>21</v>
      </c>
      <c r="Q431">
        <f t="shared" si="30"/>
        <v>20</v>
      </c>
      <c r="R431" s="4">
        <f>RANK(N431,$N$2:N$2800,0)</f>
        <v>1</v>
      </c>
      <c r="S431">
        <f t="shared" si="31"/>
        <v>2.25</v>
      </c>
      <c r="T431" t="str">
        <f t="shared" si="32"/>
        <v>Good</v>
      </c>
      <c r="U431" t="str" cm="1">
        <f t="array" ref="U431">_xlfn.LET(_xlpm.roles,_xlfn.UNIQUE(D431:D3229),_xlpm.kills, SUMIF(D431:D3229,_xlpm.roles,G431:G3229),INDEX(_xlpm.roles,MATCH(MAX(_xlpm.kills),_xlpm.kills,0)))</f>
        <v>Entry Fragger</v>
      </c>
      <c r="V431" t="str">
        <f t="shared" si="33"/>
        <v>High Accuracy</v>
      </c>
      <c r="W431" t="str" cm="1">
        <f t="array" ref="W431">_xlfn.LET(_xlpm.roles,_xlfn.UNIQUE(D431:D3229), _xlpm.counts,COUNTIF(D431:D3229,_xlpm.roles), INDEX(_xlpm.roles,MATCH(MAX(_xlpm.counts),_xlpm.counts,0)))</f>
        <v>Entry Fragger</v>
      </c>
      <c r="X431" s="2">
        <f t="shared" si="34"/>
        <v>13.057077625570777</v>
      </c>
    </row>
    <row r="432" spans="1:24" x14ac:dyDescent="0.3">
      <c r="A432">
        <v>1216</v>
      </c>
      <c r="B432">
        <v>73</v>
      </c>
      <c r="C432" t="s">
        <v>39</v>
      </c>
      <c r="D432" t="s">
        <v>17</v>
      </c>
      <c r="E432" t="s">
        <v>18</v>
      </c>
      <c r="F432" t="s">
        <v>19</v>
      </c>
      <c r="G432">
        <v>9</v>
      </c>
      <c r="H432">
        <v>8</v>
      </c>
      <c r="I432">
        <v>14</v>
      </c>
      <c r="J432">
        <v>40.64</v>
      </c>
      <c r="K432">
        <v>211.75</v>
      </c>
      <c r="L432">
        <v>0.39</v>
      </c>
      <c r="M432">
        <v>28.42</v>
      </c>
      <c r="N432">
        <v>0.83</v>
      </c>
      <c r="O432" t="s">
        <v>20</v>
      </c>
      <c r="P432" t="s">
        <v>21</v>
      </c>
      <c r="Q432">
        <f t="shared" si="30"/>
        <v>3</v>
      </c>
      <c r="R432" s="4">
        <f>RANK(N432,$N$2:N$2800,0)</f>
        <v>2218</v>
      </c>
      <c r="S432">
        <f t="shared" si="31"/>
        <v>0.6428571428571429</v>
      </c>
      <c r="T432" t="str">
        <f t="shared" si="32"/>
        <v>Low</v>
      </c>
      <c r="U432" t="str" cm="1">
        <f t="array" ref="U432">_xlfn.LET(_xlpm.roles,_xlfn.UNIQUE(D432:D3230),_xlpm.kills, SUMIF(D432:D3230,_xlpm.roles,G432:G3230),INDEX(_xlpm.roles,MATCH(MAX(_xlpm.kills),_xlpm.kills,0)))</f>
        <v>Entry Fragger</v>
      </c>
      <c r="V432" t="str">
        <f t="shared" si="33"/>
        <v>Medium Accuracy</v>
      </c>
      <c r="W432" t="str" cm="1">
        <f t="array" ref="W432">_xlfn.LET(_xlpm.roles,_xlfn.UNIQUE(D432:D3230), _xlpm.counts,COUNTIF(D432:D3230,_xlpm.roles), INDEX(_xlpm.roles,MATCH(MAX(_xlpm.counts),_xlpm.counts,0)))</f>
        <v>Entry Fragger</v>
      </c>
      <c r="X432" s="2">
        <f t="shared" si="34"/>
        <v>13.103594080338267</v>
      </c>
    </row>
    <row r="433" spans="1:24" x14ac:dyDescent="0.3">
      <c r="A433">
        <v>2455</v>
      </c>
      <c r="B433">
        <v>73</v>
      </c>
      <c r="C433" t="s">
        <v>30</v>
      </c>
      <c r="D433" t="s">
        <v>31</v>
      </c>
      <c r="E433" t="s">
        <v>29</v>
      </c>
      <c r="F433" t="s">
        <v>26</v>
      </c>
      <c r="G433">
        <v>16</v>
      </c>
      <c r="H433">
        <v>12</v>
      </c>
      <c r="I433">
        <v>7</v>
      </c>
      <c r="J433">
        <v>42.29</v>
      </c>
      <c r="K433">
        <v>206.33</v>
      </c>
      <c r="L433">
        <v>0.08</v>
      </c>
      <c r="M433">
        <v>57.34</v>
      </c>
      <c r="N433">
        <v>0.97</v>
      </c>
      <c r="O433" t="s">
        <v>20</v>
      </c>
      <c r="P433" t="s">
        <v>21</v>
      </c>
      <c r="Q433">
        <f t="shared" si="30"/>
        <v>21</v>
      </c>
      <c r="R433" s="4">
        <f>RANK(N433,$N$2:N$2800,0)</f>
        <v>1243</v>
      </c>
      <c r="S433">
        <f t="shared" si="31"/>
        <v>2.2857142857142856</v>
      </c>
      <c r="T433" t="str">
        <f t="shared" si="32"/>
        <v>Good</v>
      </c>
      <c r="U433" t="str" cm="1">
        <f t="array" ref="U433">_xlfn.LET(_xlpm.roles,_xlfn.UNIQUE(D433:D3231),_xlpm.kills, SUMIF(D433:D3231,_xlpm.roles,G433:G3231),INDEX(_xlpm.roles,MATCH(MAX(_xlpm.kills),_xlpm.kills,0)))</f>
        <v>Entry Fragger</v>
      </c>
      <c r="V433" t="str">
        <f t="shared" si="33"/>
        <v>Medium Accuracy</v>
      </c>
      <c r="W433" t="str" cm="1">
        <f t="array" ref="W433">_xlfn.LET(_xlpm.roles,_xlfn.UNIQUE(D433:D3231), _xlpm.counts,COUNTIF(D433:D3231,_xlpm.roles), INDEX(_xlpm.roles,MATCH(MAX(_xlpm.counts),_xlpm.counts,0)))</f>
        <v>Entry Fragger</v>
      </c>
      <c r="X433" s="2">
        <f t="shared" si="34"/>
        <v>13.135802469135802</v>
      </c>
    </row>
    <row r="434" spans="1:24" x14ac:dyDescent="0.3">
      <c r="A434">
        <v>308</v>
      </c>
      <c r="B434">
        <v>74</v>
      </c>
      <c r="C434" t="s">
        <v>35</v>
      </c>
      <c r="D434" t="s">
        <v>36</v>
      </c>
      <c r="E434" t="s">
        <v>32</v>
      </c>
      <c r="F434" t="s">
        <v>24</v>
      </c>
      <c r="G434">
        <v>17</v>
      </c>
      <c r="H434">
        <v>4</v>
      </c>
      <c r="I434">
        <v>7</v>
      </c>
      <c r="J434">
        <v>50.24</v>
      </c>
      <c r="K434">
        <v>226.67</v>
      </c>
      <c r="L434">
        <v>0.92</v>
      </c>
      <c r="M434">
        <v>46.92</v>
      </c>
      <c r="N434">
        <v>0.98</v>
      </c>
      <c r="O434" t="s">
        <v>20</v>
      </c>
      <c r="P434" t="s">
        <v>21</v>
      </c>
      <c r="Q434">
        <f t="shared" si="30"/>
        <v>14</v>
      </c>
      <c r="R434" s="4">
        <f>RANK(N434,$N$2:N$2800,0)</f>
        <v>1157</v>
      </c>
      <c r="S434">
        <f t="shared" si="31"/>
        <v>2.4285714285714284</v>
      </c>
      <c r="T434" t="str">
        <f t="shared" si="32"/>
        <v>Low</v>
      </c>
      <c r="U434" t="str" cm="1">
        <f t="array" ref="U434">_xlfn.LET(_xlpm.roles,_xlfn.UNIQUE(D434:D3232),_xlpm.kills, SUMIF(D434:D3232,_xlpm.roles,G434:G3232),INDEX(_xlpm.roles,MATCH(MAX(_xlpm.kills),_xlpm.kills,0)))</f>
        <v>Entry Fragger</v>
      </c>
      <c r="V434" t="str">
        <f t="shared" si="33"/>
        <v>High Accuracy</v>
      </c>
      <c r="W434" t="str" cm="1">
        <f t="array" ref="W434">_xlfn.LET(_xlpm.roles,_xlfn.UNIQUE(D434:D3232), _xlpm.counts,COUNTIF(D434:D3232,_xlpm.roles), INDEX(_xlpm.roles,MATCH(MAX(_xlpm.counts),_xlpm.counts,0)))</f>
        <v>Entry Fragger</v>
      </c>
      <c r="X434" s="2">
        <f t="shared" si="34"/>
        <v>12.599585062240664</v>
      </c>
    </row>
    <row r="435" spans="1:24" x14ac:dyDescent="0.3">
      <c r="A435">
        <v>817</v>
      </c>
      <c r="B435">
        <v>74</v>
      </c>
      <c r="C435" t="s">
        <v>27</v>
      </c>
      <c r="D435" t="s">
        <v>28</v>
      </c>
      <c r="E435" t="s">
        <v>18</v>
      </c>
      <c r="F435" t="s">
        <v>19</v>
      </c>
      <c r="G435">
        <v>12</v>
      </c>
      <c r="H435">
        <v>9</v>
      </c>
      <c r="I435">
        <v>9</v>
      </c>
      <c r="J435">
        <v>34.020000000000003</v>
      </c>
      <c r="K435">
        <v>186.6</v>
      </c>
      <c r="L435">
        <v>0.69</v>
      </c>
      <c r="M435">
        <v>34.11</v>
      </c>
      <c r="N435">
        <v>0.91</v>
      </c>
      <c r="O435" t="s">
        <v>20</v>
      </c>
      <c r="P435" t="s">
        <v>21</v>
      </c>
      <c r="Q435">
        <f t="shared" si="30"/>
        <v>12</v>
      </c>
      <c r="R435" s="4">
        <f>RANK(N435,$N$2:N$2800,0)</f>
        <v>1665</v>
      </c>
      <c r="S435">
        <f t="shared" si="31"/>
        <v>1.3333333333333333</v>
      </c>
      <c r="T435" t="str">
        <f t="shared" si="32"/>
        <v>Low</v>
      </c>
      <c r="U435" t="str" cm="1">
        <f t="array" ref="U435">_xlfn.LET(_xlpm.roles,_xlfn.UNIQUE(D435:D3233),_xlpm.kills, SUMIF(D435:D3233,_xlpm.roles,G435:G3233),INDEX(_xlpm.roles,MATCH(MAX(_xlpm.kills),_xlpm.kills,0)))</f>
        <v>Entry Fragger</v>
      </c>
      <c r="V435" t="str">
        <f t="shared" si="33"/>
        <v>Medium Accuracy</v>
      </c>
      <c r="W435" t="str" cm="1">
        <f t="array" ref="W435">_xlfn.LET(_xlpm.roles,_xlfn.UNIQUE(D435:D3233), _xlpm.counts,COUNTIF(D435:D3233,_xlpm.roles), INDEX(_xlpm.roles,MATCH(MAX(_xlpm.counts),_xlpm.counts,0)))</f>
        <v>Entry Fragger</v>
      </c>
      <c r="X435" s="2">
        <f t="shared" si="34"/>
        <v>13.057077625570777</v>
      </c>
    </row>
    <row r="436" spans="1:24" x14ac:dyDescent="0.3">
      <c r="A436">
        <v>880</v>
      </c>
      <c r="B436">
        <v>74</v>
      </c>
      <c r="C436" t="s">
        <v>16</v>
      </c>
      <c r="D436" t="s">
        <v>22</v>
      </c>
      <c r="E436" t="s">
        <v>29</v>
      </c>
      <c r="F436" t="s">
        <v>19</v>
      </c>
      <c r="G436">
        <v>18</v>
      </c>
      <c r="H436">
        <v>11</v>
      </c>
      <c r="I436">
        <v>8</v>
      </c>
      <c r="J436">
        <v>55.52</v>
      </c>
      <c r="K436">
        <v>209.89</v>
      </c>
      <c r="L436">
        <v>0.95</v>
      </c>
      <c r="M436">
        <v>57.26</v>
      </c>
      <c r="N436">
        <v>1</v>
      </c>
      <c r="O436" t="s">
        <v>20</v>
      </c>
      <c r="P436" t="s">
        <v>21</v>
      </c>
      <c r="Q436">
        <f t="shared" si="30"/>
        <v>21</v>
      </c>
      <c r="R436" s="4">
        <f>RANK(N436,$N$2:N$2800,0)</f>
        <v>1</v>
      </c>
      <c r="S436">
        <f t="shared" si="31"/>
        <v>2.25</v>
      </c>
      <c r="T436" t="str">
        <f t="shared" si="32"/>
        <v>Good</v>
      </c>
      <c r="U436" t="str" cm="1">
        <f t="array" ref="U436">_xlfn.LET(_xlpm.roles,_xlfn.UNIQUE(D436:D3234),_xlpm.kills, SUMIF(D436:D3234,_xlpm.roles,G436:G3234),INDEX(_xlpm.roles,MATCH(MAX(_xlpm.kills),_xlpm.kills,0)))</f>
        <v>Entry Fragger</v>
      </c>
      <c r="V436" t="str">
        <f t="shared" si="33"/>
        <v>High Accuracy</v>
      </c>
      <c r="W436" t="str" cm="1">
        <f t="array" ref="W436">_xlfn.LET(_xlpm.roles,_xlfn.UNIQUE(D436:D3234), _xlpm.counts,COUNTIF(D436:D3234,_xlpm.roles), INDEX(_xlpm.roles,MATCH(MAX(_xlpm.counts),_xlpm.counts,0)))</f>
        <v>Entry Fragger</v>
      </c>
      <c r="X436" s="2">
        <f t="shared" si="34"/>
        <v>12.520971302428256</v>
      </c>
    </row>
    <row r="437" spans="1:24" x14ac:dyDescent="0.3">
      <c r="A437">
        <v>1924</v>
      </c>
      <c r="B437">
        <v>74</v>
      </c>
      <c r="C437" t="s">
        <v>27</v>
      </c>
      <c r="D437" t="s">
        <v>22</v>
      </c>
      <c r="E437" t="s">
        <v>23</v>
      </c>
      <c r="F437" t="s">
        <v>34</v>
      </c>
      <c r="G437">
        <v>13</v>
      </c>
      <c r="H437">
        <v>13</v>
      </c>
      <c r="I437">
        <v>11</v>
      </c>
      <c r="J437">
        <v>39.6</v>
      </c>
      <c r="K437">
        <v>191.05</v>
      </c>
      <c r="L437">
        <v>0.24</v>
      </c>
      <c r="M437">
        <v>45.4</v>
      </c>
      <c r="N437">
        <v>0.95</v>
      </c>
      <c r="O437" t="s">
        <v>20</v>
      </c>
      <c r="P437" t="s">
        <v>21</v>
      </c>
      <c r="Q437">
        <f t="shared" si="30"/>
        <v>15</v>
      </c>
      <c r="R437" s="4">
        <f>RANK(N437,$N$2:N$2800,0)</f>
        <v>1367</v>
      </c>
      <c r="S437">
        <f t="shared" si="31"/>
        <v>1.1818181818181819</v>
      </c>
      <c r="T437" t="str">
        <f t="shared" si="32"/>
        <v>Good</v>
      </c>
      <c r="U437" t="str" cm="1">
        <f t="array" ref="U437">_xlfn.LET(_xlpm.roles,_xlfn.UNIQUE(D437:D3235),_xlpm.kills, SUMIF(D437:D3235,_xlpm.roles,G437:G3235),INDEX(_xlpm.roles,MATCH(MAX(_xlpm.kills),_xlpm.kills,0)))</f>
        <v>Entry Fragger</v>
      </c>
      <c r="V437" t="str">
        <f t="shared" si="33"/>
        <v>Medium Accuracy</v>
      </c>
      <c r="W437" t="str" cm="1">
        <f t="array" ref="W437">_xlfn.LET(_xlpm.roles,_xlfn.UNIQUE(D437:D3235), _xlpm.counts,COUNTIF(D437:D3235,_xlpm.roles), INDEX(_xlpm.roles,MATCH(MAX(_xlpm.counts),_xlpm.counts,0)))</f>
        <v>Entry Fragger</v>
      </c>
      <c r="X437" s="2">
        <f t="shared" si="34"/>
        <v>13.057077625570777</v>
      </c>
    </row>
    <row r="438" spans="1:24" x14ac:dyDescent="0.3">
      <c r="A438">
        <v>94</v>
      </c>
      <c r="B438">
        <v>75</v>
      </c>
      <c r="C438" t="s">
        <v>27</v>
      </c>
      <c r="D438" t="s">
        <v>17</v>
      </c>
      <c r="E438" t="s">
        <v>18</v>
      </c>
      <c r="F438" t="s">
        <v>26</v>
      </c>
      <c r="G438">
        <v>14</v>
      </c>
      <c r="H438">
        <v>10</v>
      </c>
      <c r="I438">
        <v>11</v>
      </c>
      <c r="J438">
        <v>32.090000000000003</v>
      </c>
      <c r="K438">
        <v>228.3</v>
      </c>
      <c r="L438">
        <v>0.61</v>
      </c>
      <c r="M438">
        <v>36.950000000000003</v>
      </c>
      <c r="N438">
        <v>0.95</v>
      </c>
      <c r="O438" t="s">
        <v>20</v>
      </c>
      <c r="P438" t="s">
        <v>21</v>
      </c>
      <c r="Q438">
        <f t="shared" si="30"/>
        <v>13</v>
      </c>
      <c r="R438" s="4">
        <f>RANK(N438,$N$2:N$2800,0)</f>
        <v>1367</v>
      </c>
      <c r="S438">
        <f t="shared" si="31"/>
        <v>1.2727272727272727</v>
      </c>
      <c r="T438" t="str">
        <f t="shared" si="32"/>
        <v>Low</v>
      </c>
      <c r="U438" t="str" cm="1">
        <f t="array" ref="U438">_xlfn.LET(_xlpm.roles,_xlfn.UNIQUE(D438:D3236),_xlpm.kills, SUMIF(D438:D3236,_xlpm.roles,G438:G3236),INDEX(_xlpm.roles,MATCH(MAX(_xlpm.kills),_xlpm.kills,0)))</f>
        <v>Entry Fragger</v>
      </c>
      <c r="V438" t="str">
        <f t="shared" si="33"/>
        <v>Medium Accuracy</v>
      </c>
      <c r="W438" t="str" cm="1">
        <f t="array" ref="W438">_xlfn.LET(_xlpm.roles,_xlfn.UNIQUE(D438:D3236), _xlpm.counts,COUNTIF(D438:D3236,_xlpm.roles), INDEX(_xlpm.roles,MATCH(MAX(_xlpm.counts),_xlpm.counts,0)))</f>
        <v>Entry Fragger</v>
      </c>
      <c r="X438" s="2">
        <f t="shared" si="34"/>
        <v>13.057077625570777</v>
      </c>
    </row>
    <row r="439" spans="1:24" x14ac:dyDescent="0.3">
      <c r="A439">
        <v>600</v>
      </c>
      <c r="B439">
        <v>75</v>
      </c>
      <c r="C439" t="s">
        <v>35</v>
      </c>
      <c r="D439" t="s">
        <v>31</v>
      </c>
      <c r="E439" t="s">
        <v>23</v>
      </c>
      <c r="F439" t="s">
        <v>34</v>
      </c>
      <c r="G439">
        <v>22</v>
      </c>
      <c r="H439">
        <v>4</v>
      </c>
      <c r="I439">
        <v>8</v>
      </c>
      <c r="J439">
        <v>49.99</v>
      </c>
      <c r="K439">
        <v>256.27</v>
      </c>
      <c r="L439">
        <v>0.76</v>
      </c>
      <c r="M439">
        <v>57.4</v>
      </c>
      <c r="N439">
        <v>1</v>
      </c>
      <c r="O439" t="s">
        <v>20</v>
      </c>
      <c r="P439" t="s">
        <v>21</v>
      </c>
      <c r="Q439">
        <f t="shared" si="30"/>
        <v>18</v>
      </c>
      <c r="R439" s="4">
        <f>RANK(N439,$N$2:N$2800,0)</f>
        <v>1</v>
      </c>
      <c r="S439">
        <f t="shared" si="31"/>
        <v>2.75</v>
      </c>
      <c r="T439" t="str">
        <f t="shared" si="32"/>
        <v>Good</v>
      </c>
      <c r="U439" t="str" cm="1">
        <f t="array" ref="U439">_xlfn.LET(_xlpm.roles,_xlfn.UNIQUE(D439:D3237),_xlpm.kills, SUMIF(D439:D3237,_xlpm.roles,G439:G3237),INDEX(_xlpm.roles,MATCH(MAX(_xlpm.kills),_xlpm.kills,0)))</f>
        <v>Entry Fragger</v>
      </c>
      <c r="V439" t="str">
        <f t="shared" si="33"/>
        <v>Medium Accuracy</v>
      </c>
      <c r="W439" t="str" cm="1">
        <f t="array" ref="W439">_xlfn.LET(_xlpm.roles,_xlfn.UNIQUE(D439:D3237), _xlpm.counts,COUNTIF(D439:D3237,_xlpm.roles), INDEX(_xlpm.roles,MATCH(MAX(_xlpm.counts),_xlpm.counts,0)))</f>
        <v>Entry Fragger</v>
      </c>
      <c r="X439" s="2">
        <f t="shared" si="34"/>
        <v>12.599585062240664</v>
      </c>
    </row>
    <row r="440" spans="1:24" x14ac:dyDescent="0.3">
      <c r="A440">
        <v>715</v>
      </c>
      <c r="B440">
        <v>75</v>
      </c>
      <c r="C440" t="s">
        <v>39</v>
      </c>
      <c r="D440" t="s">
        <v>36</v>
      </c>
      <c r="E440" t="s">
        <v>23</v>
      </c>
      <c r="F440" t="s">
        <v>19</v>
      </c>
      <c r="G440">
        <v>11</v>
      </c>
      <c r="H440">
        <v>9</v>
      </c>
      <c r="I440">
        <v>8</v>
      </c>
      <c r="J440">
        <v>39.520000000000003</v>
      </c>
      <c r="K440">
        <v>273.79000000000002</v>
      </c>
      <c r="L440">
        <v>0.86</v>
      </c>
      <c r="M440">
        <v>34.159999999999997</v>
      </c>
      <c r="N440">
        <v>0.76</v>
      </c>
      <c r="O440" t="s">
        <v>20</v>
      </c>
      <c r="P440" t="s">
        <v>21</v>
      </c>
      <c r="Q440">
        <f t="shared" si="30"/>
        <v>12</v>
      </c>
      <c r="R440" s="4">
        <f>RANK(N440,$N$2:N$2800,0)</f>
        <v>2547</v>
      </c>
      <c r="S440">
        <f t="shared" si="31"/>
        <v>1.375</v>
      </c>
      <c r="T440" t="str">
        <f t="shared" si="32"/>
        <v>Low</v>
      </c>
      <c r="U440" t="str" cm="1">
        <f t="array" ref="U440">_xlfn.LET(_xlpm.roles,_xlfn.UNIQUE(D440:D3238),_xlpm.kills, SUMIF(D440:D3238,_xlpm.roles,G440:G3238),INDEX(_xlpm.roles,MATCH(MAX(_xlpm.kills),_xlpm.kills,0)))</f>
        <v>Entry Fragger</v>
      </c>
      <c r="V440" t="str">
        <f t="shared" si="33"/>
        <v>Medium Accuracy</v>
      </c>
      <c r="W440" t="str" cm="1">
        <f t="array" ref="W440">_xlfn.LET(_xlpm.roles,_xlfn.UNIQUE(D440:D3238), _xlpm.counts,COUNTIF(D440:D3238,_xlpm.roles), INDEX(_xlpm.roles,MATCH(MAX(_xlpm.counts),_xlpm.counts,0)))</f>
        <v>Entry Fragger</v>
      </c>
      <c r="X440" s="2">
        <f t="shared" si="34"/>
        <v>13.103594080338267</v>
      </c>
    </row>
    <row r="441" spans="1:24" x14ac:dyDescent="0.3">
      <c r="A441">
        <v>742</v>
      </c>
      <c r="B441">
        <v>75</v>
      </c>
      <c r="C441" t="s">
        <v>16</v>
      </c>
      <c r="D441" t="s">
        <v>17</v>
      </c>
      <c r="E441" t="s">
        <v>23</v>
      </c>
      <c r="F441" t="s">
        <v>26</v>
      </c>
      <c r="G441">
        <v>17</v>
      </c>
      <c r="H441">
        <v>10</v>
      </c>
      <c r="I441">
        <v>10</v>
      </c>
      <c r="J441">
        <v>39.020000000000003</v>
      </c>
      <c r="K441">
        <v>224.94</v>
      </c>
      <c r="L441">
        <v>0.2</v>
      </c>
      <c r="M441">
        <v>51.51</v>
      </c>
      <c r="N441">
        <v>1</v>
      </c>
      <c r="O441" t="s">
        <v>20</v>
      </c>
      <c r="P441" t="s">
        <v>21</v>
      </c>
      <c r="Q441">
        <f t="shared" si="30"/>
        <v>17</v>
      </c>
      <c r="R441" s="4">
        <f>RANK(N441,$N$2:N$2800,0)</f>
        <v>1</v>
      </c>
      <c r="S441">
        <f t="shared" si="31"/>
        <v>1.7</v>
      </c>
      <c r="T441" t="str">
        <f t="shared" si="32"/>
        <v>Good</v>
      </c>
      <c r="U441" t="str" cm="1">
        <f t="array" ref="U441">_xlfn.LET(_xlpm.roles,_xlfn.UNIQUE(D441:D3239),_xlpm.kills, SUMIF(D441:D3239,_xlpm.roles,G441:G3239),INDEX(_xlpm.roles,MATCH(MAX(_xlpm.kills),_xlpm.kills,0)))</f>
        <v>Entry Fragger</v>
      </c>
      <c r="V441" t="str">
        <f t="shared" si="33"/>
        <v>Medium Accuracy</v>
      </c>
      <c r="W441" t="str" cm="1">
        <f t="array" ref="W441">_xlfn.LET(_xlpm.roles,_xlfn.UNIQUE(D441:D3239), _xlpm.counts,COUNTIF(D441:D3239,_xlpm.roles), INDEX(_xlpm.roles,MATCH(MAX(_xlpm.counts),_xlpm.counts,0)))</f>
        <v>Entry Fragger</v>
      </c>
      <c r="X441" s="2">
        <f t="shared" si="34"/>
        <v>12.520971302428256</v>
      </c>
    </row>
    <row r="442" spans="1:24" x14ac:dyDescent="0.3">
      <c r="A442">
        <v>759</v>
      </c>
      <c r="B442">
        <v>75</v>
      </c>
      <c r="C442" t="s">
        <v>35</v>
      </c>
      <c r="D442" t="s">
        <v>31</v>
      </c>
      <c r="E442" t="s">
        <v>29</v>
      </c>
      <c r="F442" t="s">
        <v>24</v>
      </c>
      <c r="G442">
        <v>11</v>
      </c>
      <c r="H442">
        <v>12</v>
      </c>
      <c r="I442">
        <v>12</v>
      </c>
      <c r="J442">
        <v>39.72</v>
      </c>
      <c r="K442">
        <v>227.14</v>
      </c>
      <c r="L442">
        <v>0.18</v>
      </c>
      <c r="M442">
        <v>40.06</v>
      </c>
      <c r="N442">
        <v>1</v>
      </c>
      <c r="O442" t="s">
        <v>20</v>
      </c>
      <c r="P442" t="s">
        <v>21</v>
      </c>
      <c r="Q442">
        <f t="shared" si="30"/>
        <v>11</v>
      </c>
      <c r="R442" s="4">
        <f>RANK(N442,$N$2:N$2800,0)</f>
        <v>1</v>
      </c>
      <c r="S442">
        <f t="shared" si="31"/>
        <v>0.91666666666666663</v>
      </c>
      <c r="T442" t="str">
        <f t="shared" si="32"/>
        <v>Low</v>
      </c>
      <c r="U442" t="str" cm="1">
        <f t="array" ref="U442">_xlfn.LET(_xlpm.roles,_xlfn.UNIQUE(D442:D3240),_xlpm.kills, SUMIF(D442:D3240,_xlpm.roles,G442:G3240),INDEX(_xlpm.roles,MATCH(MAX(_xlpm.kills),_xlpm.kills,0)))</f>
        <v>Entry Fragger</v>
      </c>
      <c r="V442" t="str">
        <f t="shared" si="33"/>
        <v>Medium Accuracy</v>
      </c>
      <c r="W442" t="str" cm="1">
        <f t="array" ref="W442">_xlfn.LET(_xlpm.roles,_xlfn.UNIQUE(D442:D3240), _xlpm.counts,COUNTIF(D442:D3240,_xlpm.roles), INDEX(_xlpm.roles,MATCH(MAX(_xlpm.counts),_xlpm.counts,0)))</f>
        <v>Entry Fragger</v>
      </c>
      <c r="X442" s="2">
        <f t="shared" si="34"/>
        <v>12.599585062240664</v>
      </c>
    </row>
    <row r="443" spans="1:24" x14ac:dyDescent="0.3">
      <c r="A443">
        <v>1281</v>
      </c>
      <c r="B443">
        <v>75</v>
      </c>
      <c r="C443" t="s">
        <v>39</v>
      </c>
      <c r="D443" t="s">
        <v>36</v>
      </c>
      <c r="E443" t="s">
        <v>29</v>
      </c>
      <c r="F443" t="s">
        <v>34</v>
      </c>
      <c r="G443">
        <v>14</v>
      </c>
      <c r="H443">
        <v>7</v>
      </c>
      <c r="I443">
        <v>6</v>
      </c>
      <c r="J443">
        <v>49.36</v>
      </c>
      <c r="K443">
        <v>175.16</v>
      </c>
      <c r="L443">
        <v>0.53</v>
      </c>
      <c r="M443">
        <v>48.38</v>
      </c>
      <c r="N443">
        <v>1</v>
      </c>
      <c r="O443" t="s">
        <v>20</v>
      </c>
      <c r="P443" t="s">
        <v>21</v>
      </c>
      <c r="Q443">
        <f t="shared" si="30"/>
        <v>15</v>
      </c>
      <c r="R443" s="4">
        <f>RANK(N443,$N$2:N$2800,0)</f>
        <v>1</v>
      </c>
      <c r="S443">
        <f t="shared" si="31"/>
        <v>2.3333333333333335</v>
      </c>
      <c r="T443" t="str">
        <f t="shared" si="32"/>
        <v>Good</v>
      </c>
      <c r="U443" t="str" cm="1">
        <f t="array" ref="U443">_xlfn.LET(_xlpm.roles,_xlfn.UNIQUE(D443:D3241),_xlpm.kills, SUMIF(D443:D3241,_xlpm.roles,G443:G3241),INDEX(_xlpm.roles,MATCH(MAX(_xlpm.kills),_xlpm.kills,0)))</f>
        <v>Entry Fragger</v>
      </c>
      <c r="V443" t="str">
        <f t="shared" si="33"/>
        <v>Medium Accuracy</v>
      </c>
      <c r="W443" t="str" cm="1">
        <f t="array" ref="W443">_xlfn.LET(_xlpm.roles,_xlfn.UNIQUE(D443:D3241), _xlpm.counts,COUNTIF(D443:D3241,_xlpm.roles), INDEX(_xlpm.roles,MATCH(MAX(_xlpm.counts),_xlpm.counts,0)))</f>
        <v>Entry Fragger</v>
      </c>
      <c r="X443" s="2">
        <f t="shared" si="34"/>
        <v>13.103594080338267</v>
      </c>
    </row>
    <row r="444" spans="1:24" x14ac:dyDescent="0.3">
      <c r="A444">
        <v>1440</v>
      </c>
      <c r="B444">
        <v>75</v>
      </c>
      <c r="C444" t="s">
        <v>39</v>
      </c>
      <c r="D444" t="s">
        <v>36</v>
      </c>
      <c r="E444" t="s">
        <v>32</v>
      </c>
      <c r="F444" t="s">
        <v>19</v>
      </c>
      <c r="G444">
        <v>10</v>
      </c>
      <c r="H444">
        <v>7</v>
      </c>
      <c r="I444">
        <v>8</v>
      </c>
      <c r="J444">
        <v>57.09</v>
      </c>
      <c r="K444">
        <v>232.14</v>
      </c>
      <c r="L444">
        <v>0.06</v>
      </c>
      <c r="M444">
        <v>46.95</v>
      </c>
      <c r="N444">
        <v>0.89</v>
      </c>
      <c r="O444" t="s">
        <v>20</v>
      </c>
      <c r="P444" t="s">
        <v>21</v>
      </c>
      <c r="Q444">
        <f t="shared" si="30"/>
        <v>9</v>
      </c>
      <c r="R444" s="4">
        <f>RANK(N444,$N$2:N$2800,0)</f>
        <v>1815</v>
      </c>
      <c r="S444">
        <f t="shared" si="31"/>
        <v>1.25</v>
      </c>
      <c r="T444" t="str">
        <f t="shared" si="32"/>
        <v>Low</v>
      </c>
      <c r="U444" t="str" cm="1">
        <f t="array" ref="U444">_xlfn.LET(_xlpm.roles,_xlfn.UNIQUE(D444:D3242),_xlpm.kills, SUMIF(D444:D3242,_xlpm.roles,G444:G3242),INDEX(_xlpm.roles,MATCH(MAX(_xlpm.kills),_xlpm.kills,0)))</f>
        <v>Entry Fragger</v>
      </c>
      <c r="V444" t="str">
        <f t="shared" si="33"/>
        <v>High Accuracy</v>
      </c>
      <c r="W444" t="str" cm="1">
        <f t="array" ref="W444">_xlfn.LET(_xlpm.roles,_xlfn.UNIQUE(D444:D3242), _xlpm.counts,COUNTIF(D444:D3242,_xlpm.roles), INDEX(_xlpm.roles,MATCH(MAX(_xlpm.counts),_xlpm.counts,0)))</f>
        <v>Entry Fragger</v>
      </c>
      <c r="X444" s="2">
        <f t="shared" si="34"/>
        <v>13.103594080338267</v>
      </c>
    </row>
    <row r="445" spans="1:24" x14ac:dyDescent="0.3">
      <c r="A445">
        <v>1670</v>
      </c>
      <c r="B445">
        <v>75</v>
      </c>
      <c r="C445" t="s">
        <v>25</v>
      </c>
      <c r="D445" t="s">
        <v>36</v>
      </c>
      <c r="E445" t="s">
        <v>29</v>
      </c>
      <c r="F445" t="s">
        <v>19</v>
      </c>
      <c r="G445">
        <v>19</v>
      </c>
      <c r="H445">
        <v>9</v>
      </c>
      <c r="I445">
        <v>10</v>
      </c>
      <c r="J445">
        <v>39.72</v>
      </c>
      <c r="K445">
        <v>201.92</v>
      </c>
      <c r="L445">
        <v>0.19</v>
      </c>
      <c r="M445">
        <v>54.96</v>
      </c>
      <c r="N445">
        <v>1</v>
      </c>
      <c r="O445" t="s">
        <v>20</v>
      </c>
      <c r="P445" t="s">
        <v>21</v>
      </c>
      <c r="Q445">
        <f t="shared" si="30"/>
        <v>18</v>
      </c>
      <c r="R445" s="4">
        <f>RANK(N445,$N$2:N$2800,0)</f>
        <v>1</v>
      </c>
      <c r="S445">
        <f t="shared" si="31"/>
        <v>1.9</v>
      </c>
      <c r="T445" t="str">
        <f t="shared" si="32"/>
        <v>Good</v>
      </c>
      <c r="U445" t="str" cm="1">
        <f t="array" ref="U445">_xlfn.LET(_xlpm.roles,_xlfn.UNIQUE(D445:D3243),_xlpm.kills, SUMIF(D445:D3243,_xlpm.roles,G445:G3243),INDEX(_xlpm.roles,MATCH(MAX(_xlpm.kills),_xlpm.kills,0)))</f>
        <v>Entry Fragger</v>
      </c>
      <c r="V445" t="str">
        <f t="shared" si="33"/>
        <v>Medium Accuracy</v>
      </c>
      <c r="W445" t="str" cm="1">
        <f t="array" ref="W445">_xlfn.LET(_xlpm.roles,_xlfn.UNIQUE(D445:D3243), _xlpm.counts,COUNTIF(D445:D3243,_xlpm.roles), INDEX(_xlpm.roles,MATCH(MAX(_xlpm.counts),_xlpm.counts,0)))</f>
        <v>Entry Fragger</v>
      </c>
      <c r="X445" s="2">
        <f t="shared" si="34"/>
        <v>12.809421841541756</v>
      </c>
    </row>
    <row r="446" spans="1:24" x14ac:dyDescent="0.3">
      <c r="A446">
        <v>2539</v>
      </c>
      <c r="B446">
        <v>75</v>
      </c>
      <c r="C446" t="s">
        <v>30</v>
      </c>
      <c r="D446" t="s">
        <v>17</v>
      </c>
      <c r="E446" t="s">
        <v>29</v>
      </c>
      <c r="F446" t="s">
        <v>19</v>
      </c>
      <c r="G446">
        <v>15</v>
      </c>
      <c r="H446">
        <v>8</v>
      </c>
      <c r="I446">
        <v>8</v>
      </c>
      <c r="J446">
        <v>20.46</v>
      </c>
      <c r="K446">
        <v>200.34</v>
      </c>
      <c r="L446">
        <v>0.16</v>
      </c>
      <c r="M446">
        <v>38.630000000000003</v>
      </c>
      <c r="N446">
        <v>0.89</v>
      </c>
      <c r="O446" t="s">
        <v>20</v>
      </c>
      <c r="P446" t="s">
        <v>21</v>
      </c>
      <c r="Q446">
        <f t="shared" si="30"/>
        <v>15</v>
      </c>
      <c r="R446" s="4">
        <f>RANK(N446,$N$2:N$2800,0)</f>
        <v>1815</v>
      </c>
      <c r="S446">
        <f t="shared" si="31"/>
        <v>1.875</v>
      </c>
      <c r="T446" t="str">
        <f t="shared" si="32"/>
        <v>Good</v>
      </c>
      <c r="U446" t="str" cm="1">
        <f t="array" ref="U446">_xlfn.LET(_xlpm.roles,_xlfn.UNIQUE(D446:D3244),_xlpm.kills, SUMIF(D446:D3244,_xlpm.roles,G446:G3244),INDEX(_xlpm.roles,MATCH(MAX(_xlpm.kills),_xlpm.kills,0)))</f>
        <v>Entry Fragger</v>
      </c>
      <c r="V446" t="str">
        <f t="shared" si="33"/>
        <v>Low Accuracy</v>
      </c>
      <c r="W446" t="str" cm="1">
        <f t="array" ref="W446">_xlfn.LET(_xlpm.roles,_xlfn.UNIQUE(D446:D3244), _xlpm.counts,COUNTIF(D446:D3244,_xlpm.roles), INDEX(_xlpm.roles,MATCH(MAX(_xlpm.counts),_xlpm.counts,0)))</f>
        <v>Entry Fragger</v>
      </c>
      <c r="X446" s="2">
        <f t="shared" si="34"/>
        <v>13.135802469135802</v>
      </c>
    </row>
    <row r="447" spans="1:24" x14ac:dyDescent="0.3">
      <c r="A447">
        <v>1728</v>
      </c>
      <c r="B447">
        <v>76</v>
      </c>
      <c r="C447" t="s">
        <v>16</v>
      </c>
      <c r="D447" t="s">
        <v>22</v>
      </c>
      <c r="E447" t="s">
        <v>29</v>
      </c>
      <c r="F447" t="s">
        <v>34</v>
      </c>
      <c r="G447">
        <v>16</v>
      </c>
      <c r="H447">
        <v>6</v>
      </c>
      <c r="I447">
        <v>6</v>
      </c>
      <c r="J447">
        <v>39.270000000000003</v>
      </c>
      <c r="K447">
        <v>237.88</v>
      </c>
      <c r="L447">
        <v>0.56999999999999995</v>
      </c>
      <c r="M447">
        <v>45.94</v>
      </c>
      <c r="N447">
        <v>0.9</v>
      </c>
      <c r="O447" t="s">
        <v>20</v>
      </c>
      <c r="P447" t="s">
        <v>21</v>
      </c>
      <c r="Q447">
        <f t="shared" si="30"/>
        <v>16</v>
      </c>
      <c r="R447" s="4">
        <f>RANK(N447,$N$2:N$2800,0)</f>
        <v>1738</v>
      </c>
      <c r="S447">
        <f t="shared" si="31"/>
        <v>2.6666666666666665</v>
      </c>
      <c r="T447" t="str">
        <f t="shared" si="32"/>
        <v>Good</v>
      </c>
      <c r="U447" t="str" cm="1">
        <f t="array" ref="U447">_xlfn.LET(_xlpm.roles,_xlfn.UNIQUE(D447:D3245),_xlpm.kills, SUMIF(D447:D3245,_xlpm.roles,G447:G3245),INDEX(_xlpm.roles,MATCH(MAX(_xlpm.kills),_xlpm.kills,0)))</f>
        <v>Entry Fragger</v>
      </c>
      <c r="V447" t="str">
        <f t="shared" si="33"/>
        <v>Medium Accuracy</v>
      </c>
      <c r="W447" t="str" cm="1">
        <f t="array" ref="W447">_xlfn.LET(_xlpm.roles,_xlfn.UNIQUE(D447:D3245), _xlpm.counts,COUNTIF(D447:D3245,_xlpm.roles), INDEX(_xlpm.roles,MATCH(MAX(_xlpm.counts),_xlpm.counts,0)))</f>
        <v>Entry Fragger</v>
      </c>
      <c r="X447" s="2">
        <f t="shared" si="34"/>
        <v>12.520971302428256</v>
      </c>
    </row>
    <row r="448" spans="1:24" x14ac:dyDescent="0.3">
      <c r="A448">
        <v>2246</v>
      </c>
      <c r="B448">
        <v>76</v>
      </c>
      <c r="C448" t="s">
        <v>30</v>
      </c>
      <c r="D448" t="s">
        <v>36</v>
      </c>
      <c r="E448" t="s">
        <v>23</v>
      </c>
      <c r="F448" t="s">
        <v>19</v>
      </c>
      <c r="G448">
        <v>15</v>
      </c>
      <c r="H448">
        <v>9</v>
      </c>
      <c r="I448">
        <v>9</v>
      </c>
      <c r="J448">
        <v>43.04</v>
      </c>
      <c r="K448">
        <v>215.45</v>
      </c>
      <c r="L448">
        <v>0.51</v>
      </c>
      <c r="M448">
        <v>46.42</v>
      </c>
      <c r="N448">
        <v>0.95</v>
      </c>
      <c r="O448" t="s">
        <v>20</v>
      </c>
      <c r="P448" t="s">
        <v>21</v>
      </c>
      <c r="Q448">
        <f t="shared" si="30"/>
        <v>15</v>
      </c>
      <c r="R448" s="4">
        <f>RANK(N448,$N$2:N$2800,0)</f>
        <v>1367</v>
      </c>
      <c r="S448">
        <f t="shared" si="31"/>
        <v>1.6666666666666667</v>
      </c>
      <c r="T448" t="str">
        <f t="shared" si="32"/>
        <v>Good</v>
      </c>
      <c r="U448" t="str" cm="1">
        <f t="array" ref="U448">_xlfn.LET(_xlpm.roles,_xlfn.UNIQUE(D448:D3246),_xlpm.kills, SUMIF(D448:D3246,_xlpm.roles,G448:G3246),INDEX(_xlpm.roles,MATCH(MAX(_xlpm.kills),_xlpm.kills,0)))</f>
        <v>Entry Fragger</v>
      </c>
      <c r="V448" t="str">
        <f t="shared" si="33"/>
        <v>Medium Accuracy</v>
      </c>
      <c r="W448" t="str" cm="1">
        <f t="array" ref="W448">_xlfn.LET(_xlpm.roles,_xlfn.UNIQUE(D448:D3246), _xlpm.counts,COUNTIF(D448:D3246,_xlpm.roles), INDEX(_xlpm.roles,MATCH(MAX(_xlpm.counts),_xlpm.counts,0)))</f>
        <v>Entry Fragger</v>
      </c>
      <c r="X448" s="2">
        <f t="shared" si="34"/>
        <v>13.135802469135802</v>
      </c>
    </row>
    <row r="449" spans="1:24" x14ac:dyDescent="0.3">
      <c r="A449">
        <v>499</v>
      </c>
      <c r="B449">
        <v>77</v>
      </c>
      <c r="C449" t="s">
        <v>39</v>
      </c>
      <c r="D449" t="s">
        <v>17</v>
      </c>
      <c r="E449" t="s">
        <v>29</v>
      </c>
      <c r="F449" t="s">
        <v>37</v>
      </c>
      <c r="G449">
        <v>19</v>
      </c>
      <c r="H449">
        <v>13</v>
      </c>
      <c r="I449">
        <v>4</v>
      </c>
      <c r="J449">
        <v>38.82</v>
      </c>
      <c r="K449">
        <v>269.97000000000003</v>
      </c>
      <c r="L449">
        <v>0.88</v>
      </c>
      <c r="M449">
        <v>57.61</v>
      </c>
      <c r="N449">
        <v>1</v>
      </c>
      <c r="O449" t="s">
        <v>20</v>
      </c>
      <c r="P449" t="s">
        <v>21</v>
      </c>
      <c r="Q449">
        <f t="shared" si="30"/>
        <v>28</v>
      </c>
      <c r="R449" s="4">
        <f>RANK(N449,$N$2:N$2800,0)</f>
        <v>1</v>
      </c>
      <c r="S449">
        <f t="shared" si="31"/>
        <v>4.75</v>
      </c>
      <c r="T449" t="str">
        <f t="shared" si="32"/>
        <v>Excellent</v>
      </c>
      <c r="U449" t="str" cm="1">
        <f t="array" ref="U449">_xlfn.LET(_xlpm.roles,_xlfn.UNIQUE(D449:D3247),_xlpm.kills, SUMIF(D449:D3247,_xlpm.roles,G449:G3247),INDEX(_xlpm.roles,MATCH(MAX(_xlpm.kills),_xlpm.kills,0)))</f>
        <v>Entry Fragger</v>
      </c>
      <c r="V449" t="str">
        <f t="shared" si="33"/>
        <v>Medium Accuracy</v>
      </c>
      <c r="W449" t="str" cm="1">
        <f t="array" ref="W449">_xlfn.LET(_xlpm.roles,_xlfn.UNIQUE(D449:D3247), _xlpm.counts,COUNTIF(D449:D3247,_xlpm.roles), INDEX(_xlpm.roles,MATCH(MAX(_xlpm.counts),_xlpm.counts,0)))</f>
        <v>Entry Fragger</v>
      </c>
      <c r="X449" s="2">
        <f t="shared" si="34"/>
        <v>13.103594080338267</v>
      </c>
    </row>
    <row r="450" spans="1:24" x14ac:dyDescent="0.3">
      <c r="A450">
        <v>601</v>
      </c>
      <c r="B450">
        <v>77</v>
      </c>
      <c r="C450" t="s">
        <v>35</v>
      </c>
      <c r="D450" t="s">
        <v>22</v>
      </c>
      <c r="E450" t="s">
        <v>29</v>
      </c>
      <c r="F450" t="s">
        <v>34</v>
      </c>
      <c r="G450">
        <v>12</v>
      </c>
      <c r="H450">
        <v>6</v>
      </c>
      <c r="I450">
        <v>12</v>
      </c>
      <c r="J450">
        <v>49.46</v>
      </c>
      <c r="K450">
        <v>163.38</v>
      </c>
      <c r="L450">
        <v>0.73</v>
      </c>
      <c r="M450">
        <v>35.43</v>
      </c>
      <c r="N450">
        <v>0.75</v>
      </c>
      <c r="O450" t="s">
        <v>20</v>
      </c>
      <c r="P450" t="s">
        <v>21</v>
      </c>
      <c r="Q450">
        <f t="shared" si="30"/>
        <v>6</v>
      </c>
      <c r="R450" s="4">
        <f>RANK(N450,$N$2:N$2800,0)</f>
        <v>2586</v>
      </c>
      <c r="S450">
        <f t="shared" si="31"/>
        <v>1</v>
      </c>
      <c r="T450" t="str">
        <f t="shared" si="32"/>
        <v>Low</v>
      </c>
      <c r="U450" t="str" cm="1">
        <f t="array" ref="U450">_xlfn.LET(_xlpm.roles,_xlfn.UNIQUE(D450:D3248),_xlpm.kills, SUMIF(D450:D3248,_xlpm.roles,G450:G3248),INDEX(_xlpm.roles,MATCH(MAX(_xlpm.kills),_xlpm.kills,0)))</f>
        <v>Entry Fragger</v>
      </c>
      <c r="V450" t="str">
        <f t="shared" si="33"/>
        <v>Medium Accuracy</v>
      </c>
      <c r="W450" t="str" cm="1">
        <f t="array" ref="W450">_xlfn.LET(_xlpm.roles,_xlfn.UNIQUE(D450:D3248), _xlpm.counts,COUNTIF(D450:D3248,_xlpm.roles), INDEX(_xlpm.roles,MATCH(MAX(_xlpm.counts),_xlpm.counts,0)))</f>
        <v>Entry Fragger</v>
      </c>
      <c r="X450" s="2">
        <f t="shared" si="34"/>
        <v>12.599585062240664</v>
      </c>
    </row>
    <row r="451" spans="1:24" x14ac:dyDescent="0.3">
      <c r="A451">
        <v>766</v>
      </c>
      <c r="B451">
        <v>77</v>
      </c>
      <c r="C451" t="s">
        <v>39</v>
      </c>
      <c r="D451" t="s">
        <v>28</v>
      </c>
      <c r="E451" t="s">
        <v>32</v>
      </c>
      <c r="F451" t="s">
        <v>26</v>
      </c>
      <c r="G451">
        <v>16</v>
      </c>
      <c r="H451">
        <v>10</v>
      </c>
      <c r="I451">
        <v>10</v>
      </c>
      <c r="J451">
        <v>34.340000000000003</v>
      </c>
      <c r="K451">
        <v>213.2</v>
      </c>
      <c r="L451">
        <v>0.72</v>
      </c>
      <c r="M451">
        <v>41.97</v>
      </c>
      <c r="N451">
        <v>0.98</v>
      </c>
      <c r="O451" t="s">
        <v>20</v>
      </c>
      <c r="P451" t="s">
        <v>21</v>
      </c>
      <c r="Q451">
        <f t="shared" ref="Q451:Q514" si="35">G451+H451-I451</f>
        <v>16</v>
      </c>
      <c r="R451" s="4">
        <f>RANK(N451,$N$2:N$2800,0)</f>
        <v>1157</v>
      </c>
      <c r="S451">
        <f t="shared" ref="S451:S514" si="36">G451/I451</f>
        <v>1.6</v>
      </c>
      <c r="T451" t="str">
        <f t="shared" ref="T451:T514" si="37">IF(Q451&lt;15,"Low",IF(Q451&lt;25,"Good","Excellent"))</f>
        <v>Good</v>
      </c>
      <c r="U451" t="str" cm="1">
        <f t="array" ref="U451">_xlfn.LET(_xlpm.roles,_xlfn.UNIQUE(D451:D3249),_xlpm.kills, SUMIF(D451:D3249,_xlpm.roles,G451:G3249),INDEX(_xlpm.roles,MATCH(MAX(_xlpm.kills),_xlpm.kills,0)))</f>
        <v>Entry Fragger</v>
      </c>
      <c r="V451" t="str">
        <f t="shared" ref="V451:V514" si="38">IF(J451&gt;=50,"High Accuracy",IF(J451&gt;=30,"Medium Accuracy","Low Accuracy"))</f>
        <v>Medium Accuracy</v>
      </c>
      <c r="W451" t="str" cm="1">
        <f t="array" ref="W451">_xlfn.LET(_xlpm.roles,_xlfn.UNIQUE(D451:D3249), _xlpm.counts,COUNTIF(D451:D3249,_xlpm.roles), INDEX(_xlpm.roles,MATCH(MAX(_xlpm.counts),_xlpm.counts,0)))</f>
        <v>Entry Fragger</v>
      </c>
      <c r="X451" s="2">
        <f t="shared" ref="X451:X514" si="39">AVERAGEIF($C$2:$C$2800,C451,$Q$2:$Q$2800)</f>
        <v>13.103594080338267</v>
      </c>
    </row>
    <row r="452" spans="1:24" x14ac:dyDescent="0.3">
      <c r="A452">
        <v>1404</v>
      </c>
      <c r="B452">
        <v>77</v>
      </c>
      <c r="C452" t="s">
        <v>25</v>
      </c>
      <c r="D452" t="s">
        <v>36</v>
      </c>
      <c r="E452" t="s">
        <v>18</v>
      </c>
      <c r="F452" t="s">
        <v>24</v>
      </c>
      <c r="G452">
        <v>11</v>
      </c>
      <c r="H452">
        <v>10</v>
      </c>
      <c r="I452">
        <v>6</v>
      </c>
      <c r="J452">
        <v>38.270000000000003</v>
      </c>
      <c r="K452">
        <v>274.79000000000002</v>
      </c>
      <c r="L452">
        <v>0.92</v>
      </c>
      <c r="M452">
        <v>35.94</v>
      </c>
      <c r="N452">
        <v>0.77</v>
      </c>
      <c r="O452" t="s">
        <v>20</v>
      </c>
      <c r="P452" t="s">
        <v>21</v>
      </c>
      <c r="Q452">
        <f t="shared" si="35"/>
        <v>15</v>
      </c>
      <c r="R452" s="4">
        <f>RANK(N452,$N$2:N$2800,0)</f>
        <v>2511</v>
      </c>
      <c r="S452">
        <f t="shared" si="36"/>
        <v>1.8333333333333333</v>
      </c>
      <c r="T452" t="str">
        <f t="shared" si="37"/>
        <v>Good</v>
      </c>
      <c r="U452" t="str" cm="1">
        <f t="array" ref="U452">_xlfn.LET(_xlpm.roles,_xlfn.UNIQUE(D452:D3250),_xlpm.kills, SUMIF(D452:D3250,_xlpm.roles,G452:G3250),INDEX(_xlpm.roles,MATCH(MAX(_xlpm.kills),_xlpm.kills,0)))</f>
        <v>Entry Fragger</v>
      </c>
      <c r="V452" t="str">
        <f t="shared" si="38"/>
        <v>Medium Accuracy</v>
      </c>
      <c r="W452" t="str" cm="1">
        <f t="array" ref="W452">_xlfn.LET(_xlpm.roles,_xlfn.UNIQUE(D452:D3250), _xlpm.counts,COUNTIF(D452:D3250,_xlpm.roles), INDEX(_xlpm.roles,MATCH(MAX(_xlpm.counts),_xlpm.counts,0)))</f>
        <v>Entry Fragger</v>
      </c>
      <c r="X452" s="2">
        <f t="shared" si="39"/>
        <v>12.809421841541756</v>
      </c>
    </row>
    <row r="453" spans="1:24" x14ac:dyDescent="0.3">
      <c r="A453">
        <v>1241</v>
      </c>
      <c r="B453">
        <v>78</v>
      </c>
      <c r="C453" t="s">
        <v>27</v>
      </c>
      <c r="D453" t="s">
        <v>22</v>
      </c>
      <c r="E453" t="s">
        <v>32</v>
      </c>
      <c r="F453" t="s">
        <v>37</v>
      </c>
      <c r="G453">
        <v>12</v>
      </c>
      <c r="H453">
        <v>6</v>
      </c>
      <c r="I453">
        <v>11</v>
      </c>
      <c r="J453">
        <v>44.23</v>
      </c>
      <c r="K453">
        <v>190.45</v>
      </c>
      <c r="L453">
        <v>0.92</v>
      </c>
      <c r="M453">
        <v>31.91</v>
      </c>
      <c r="N453">
        <v>0.8</v>
      </c>
      <c r="O453" t="s">
        <v>20</v>
      </c>
      <c r="P453" t="s">
        <v>21</v>
      </c>
      <c r="Q453">
        <f t="shared" si="35"/>
        <v>7</v>
      </c>
      <c r="R453" s="4">
        <f>RANK(N453,$N$2:N$2800,0)</f>
        <v>2393</v>
      </c>
      <c r="S453">
        <f t="shared" si="36"/>
        <v>1.0909090909090908</v>
      </c>
      <c r="T453" t="str">
        <f t="shared" si="37"/>
        <v>Low</v>
      </c>
      <c r="U453" t="str" cm="1">
        <f t="array" ref="U453">_xlfn.LET(_xlpm.roles,_xlfn.UNIQUE(D453:D3251),_xlpm.kills, SUMIF(D453:D3251,_xlpm.roles,G453:G3251),INDEX(_xlpm.roles,MATCH(MAX(_xlpm.kills),_xlpm.kills,0)))</f>
        <v>Entry Fragger</v>
      </c>
      <c r="V453" t="str">
        <f t="shared" si="38"/>
        <v>Medium Accuracy</v>
      </c>
      <c r="W453" t="str" cm="1">
        <f t="array" ref="W453">_xlfn.LET(_xlpm.roles,_xlfn.UNIQUE(D453:D3251), _xlpm.counts,COUNTIF(D453:D3251,_xlpm.roles), INDEX(_xlpm.roles,MATCH(MAX(_xlpm.counts),_xlpm.counts,0)))</f>
        <v>Entry Fragger</v>
      </c>
      <c r="X453" s="2">
        <f t="shared" si="39"/>
        <v>13.057077625570777</v>
      </c>
    </row>
    <row r="454" spans="1:24" x14ac:dyDescent="0.3">
      <c r="A454">
        <v>1522</v>
      </c>
      <c r="B454">
        <v>78</v>
      </c>
      <c r="C454" t="s">
        <v>27</v>
      </c>
      <c r="D454" t="s">
        <v>31</v>
      </c>
      <c r="E454" t="s">
        <v>18</v>
      </c>
      <c r="F454" t="s">
        <v>19</v>
      </c>
      <c r="G454">
        <v>14</v>
      </c>
      <c r="H454">
        <v>6</v>
      </c>
      <c r="I454">
        <v>11</v>
      </c>
      <c r="J454">
        <v>59.5</v>
      </c>
      <c r="K454">
        <v>249.36</v>
      </c>
      <c r="L454">
        <v>0.8</v>
      </c>
      <c r="M454">
        <v>44.75</v>
      </c>
      <c r="N454">
        <v>1</v>
      </c>
      <c r="O454" t="s">
        <v>20</v>
      </c>
      <c r="P454" t="s">
        <v>21</v>
      </c>
      <c r="Q454">
        <f t="shared" si="35"/>
        <v>9</v>
      </c>
      <c r="R454" s="4">
        <f>RANK(N454,$N$2:N$2800,0)</f>
        <v>1</v>
      </c>
      <c r="S454">
        <f t="shared" si="36"/>
        <v>1.2727272727272727</v>
      </c>
      <c r="T454" t="str">
        <f t="shared" si="37"/>
        <v>Low</v>
      </c>
      <c r="U454" t="str" cm="1">
        <f t="array" ref="U454">_xlfn.LET(_xlpm.roles,_xlfn.UNIQUE(D454:D3252),_xlpm.kills, SUMIF(D454:D3252,_xlpm.roles,G454:G3252),INDEX(_xlpm.roles,MATCH(MAX(_xlpm.kills),_xlpm.kills,0)))</f>
        <v>Entry Fragger</v>
      </c>
      <c r="V454" t="str">
        <f t="shared" si="38"/>
        <v>High Accuracy</v>
      </c>
      <c r="W454" t="str" cm="1">
        <f t="array" ref="W454">_xlfn.LET(_xlpm.roles,_xlfn.UNIQUE(D454:D3252), _xlpm.counts,COUNTIF(D454:D3252,_xlpm.roles), INDEX(_xlpm.roles,MATCH(MAX(_xlpm.counts),_xlpm.counts,0)))</f>
        <v>Entry Fragger</v>
      </c>
      <c r="X454" s="2">
        <f t="shared" si="39"/>
        <v>13.057077625570777</v>
      </c>
    </row>
    <row r="455" spans="1:24" x14ac:dyDescent="0.3">
      <c r="A455">
        <v>1709</v>
      </c>
      <c r="B455">
        <v>78</v>
      </c>
      <c r="C455" t="s">
        <v>39</v>
      </c>
      <c r="D455" t="s">
        <v>22</v>
      </c>
      <c r="E455" t="s">
        <v>33</v>
      </c>
      <c r="F455" t="s">
        <v>37</v>
      </c>
      <c r="G455">
        <v>19</v>
      </c>
      <c r="H455">
        <v>5</v>
      </c>
      <c r="I455">
        <v>10</v>
      </c>
      <c r="J455">
        <v>58.12</v>
      </c>
      <c r="K455">
        <v>199.44</v>
      </c>
      <c r="L455">
        <v>0.52</v>
      </c>
      <c r="M455">
        <v>56.86</v>
      </c>
      <c r="N455">
        <v>1</v>
      </c>
      <c r="O455" t="s">
        <v>20</v>
      </c>
      <c r="P455" t="s">
        <v>21</v>
      </c>
      <c r="Q455">
        <f t="shared" si="35"/>
        <v>14</v>
      </c>
      <c r="R455" s="4">
        <f>RANK(N455,$N$2:N$2800,0)</f>
        <v>1</v>
      </c>
      <c r="S455">
        <f t="shared" si="36"/>
        <v>1.9</v>
      </c>
      <c r="T455" t="str">
        <f t="shared" si="37"/>
        <v>Low</v>
      </c>
      <c r="U455" t="str" cm="1">
        <f t="array" ref="U455">_xlfn.LET(_xlpm.roles,_xlfn.UNIQUE(D455:D3253),_xlpm.kills, SUMIF(D455:D3253,_xlpm.roles,G455:G3253),INDEX(_xlpm.roles,MATCH(MAX(_xlpm.kills),_xlpm.kills,0)))</f>
        <v>Entry Fragger</v>
      </c>
      <c r="V455" t="str">
        <f t="shared" si="38"/>
        <v>High Accuracy</v>
      </c>
      <c r="W455" t="str" cm="1">
        <f t="array" ref="W455">_xlfn.LET(_xlpm.roles,_xlfn.UNIQUE(D455:D3253), _xlpm.counts,COUNTIF(D455:D3253,_xlpm.roles), INDEX(_xlpm.roles,MATCH(MAX(_xlpm.counts),_xlpm.counts,0)))</f>
        <v>Entry Fragger</v>
      </c>
      <c r="X455" s="2">
        <f t="shared" si="39"/>
        <v>13.103594080338267</v>
      </c>
    </row>
    <row r="456" spans="1:24" x14ac:dyDescent="0.3">
      <c r="A456">
        <v>1777</v>
      </c>
      <c r="B456">
        <v>78</v>
      </c>
      <c r="C456" t="s">
        <v>30</v>
      </c>
      <c r="D456" t="s">
        <v>28</v>
      </c>
      <c r="E456" t="s">
        <v>18</v>
      </c>
      <c r="F456" t="s">
        <v>24</v>
      </c>
      <c r="G456">
        <v>20</v>
      </c>
      <c r="H456">
        <v>7</v>
      </c>
      <c r="I456">
        <v>6</v>
      </c>
      <c r="J456">
        <v>57.61</v>
      </c>
      <c r="K456">
        <v>234.84</v>
      </c>
      <c r="L456">
        <v>0.06</v>
      </c>
      <c r="M456">
        <v>69.209999999999994</v>
      </c>
      <c r="N456">
        <v>1</v>
      </c>
      <c r="O456" t="s">
        <v>20</v>
      </c>
      <c r="P456" t="s">
        <v>38</v>
      </c>
      <c r="Q456">
        <f t="shared" si="35"/>
        <v>21</v>
      </c>
      <c r="R456" s="4">
        <f>RANK(N456,$N$2:N$2800,0)</f>
        <v>1</v>
      </c>
      <c r="S456">
        <f t="shared" si="36"/>
        <v>3.3333333333333335</v>
      </c>
      <c r="T456" t="str">
        <f t="shared" si="37"/>
        <v>Good</v>
      </c>
      <c r="U456" t="str" cm="1">
        <f t="array" ref="U456">_xlfn.LET(_xlpm.roles,_xlfn.UNIQUE(D456:D3254),_xlpm.kills, SUMIF(D456:D3254,_xlpm.roles,G456:G3254),INDEX(_xlpm.roles,MATCH(MAX(_xlpm.kills),_xlpm.kills,0)))</f>
        <v>Entry Fragger</v>
      </c>
      <c r="V456" t="str">
        <f t="shared" si="38"/>
        <v>High Accuracy</v>
      </c>
      <c r="W456" t="str" cm="1">
        <f t="array" ref="W456">_xlfn.LET(_xlpm.roles,_xlfn.UNIQUE(D456:D3254), _xlpm.counts,COUNTIF(D456:D3254,_xlpm.roles), INDEX(_xlpm.roles,MATCH(MAX(_xlpm.counts),_xlpm.counts,0)))</f>
        <v>Entry Fragger</v>
      </c>
      <c r="X456" s="2">
        <f t="shared" si="39"/>
        <v>13.135802469135802</v>
      </c>
    </row>
    <row r="457" spans="1:24" x14ac:dyDescent="0.3">
      <c r="A457">
        <v>2334</v>
      </c>
      <c r="B457">
        <v>78</v>
      </c>
      <c r="C457" t="s">
        <v>16</v>
      </c>
      <c r="D457" t="s">
        <v>22</v>
      </c>
      <c r="E457" t="s">
        <v>23</v>
      </c>
      <c r="F457" t="s">
        <v>19</v>
      </c>
      <c r="G457">
        <v>22</v>
      </c>
      <c r="H457">
        <v>7</v>
      </c>
      <c r="I457">
        <v>18</v>
      </c>
      <c r="J457">
        <v>35.94</v>
      </c>
      <c r="K457">
        <v>235.29</v>
      </c>
      <c r="L457">
        <v>0.1</v>
      </c>
      <c r="M457">
        <v>49.97</v>
      </c>
      <c r="N457">
        <v>1</v>
      </c>
      <c r="O457" t="s">
        <v>20</v>
      </c>
      <c r="P457" t="s">
        <v>21</v>
      </c>
      <c r="Q457">
        <f t="shared" si="35"/>
        <v>11</v>
      </c>
      <c r="R457" s="4">
        <f>RANK(N457,$N$2:N$2800,0)</f>
        <v>1</v>
      </c>
      <c r="S457">
        <f t="shared" si="36"/>
        <v>1.2222222222222223</v>
      </c>
      <c r="T457" t="str">
        <f t="shared" si="37"/>
        <v>Low</v>
      </c>
      <c r="U457" t="str" cm="1">
        <f t="array" ref="U457">_xlfn.LET(_xlpm.roles,_xlfn.UNIQUE(D457:D3255),_xlpm.kills, SUMIF(D457:D3255,_xlpm.roles,G457:G3255),INDEX(_xlpm.roles,MATCH(MAX(_xlpm.kills),_xlpm.kills,0)))</f>
        <v>Entry Fragger</v>
      </c>
      <c r="V457" t="str">
        <f t="shared" si="38"/>
        <v>Medium Accuracy</v>
      </c>
      <c r="W457" t="str" cm="1">
        <f t="array" ref="W457">_xlfn.LET(_xlpm.roles,_xlfn.UNIQUE(D457:D3255), _xlpm.counts,COUNTIF(D457:D3255,_xlpm.roles), INDEX(_xlpm.roles,MATCH(MAX(_xlpm.counts),_xlpm.counts,0)))</f>
        <v>Entry Fragger</v>
      </c>
      <c r="X457" s="2">
        <f t="shared" si="39"/>
        <v>12.520971302428256</v>
      </c>
    </row>
    <row r="458" spans="1:24" x14ac:dyDescent="0.3">
      <c r="A458">
        <v>102</v>
      </c>
      <c r="B458">
        <v>79</v>
      </c>
      <c r="C458" t="s">
        <v>25</v>
      </c>
      <c r="D458" t="s">
        <v>28</v>
      </c>
      <c r="E458" t="s">
        <v>32</v>
      </c>
      <c r="F458" t="s">
        <v>34</v>
      </c>
      <c r="G458">
        <v>16</v>
      </c>
      <c r="H458">
        <v>7</v>
      </c>
      <c r="I458">
        <v>8</v>
      </c>
      <c r="J458">
        <v>39.5</v>
      </c>
      <c r="K458">
        <v>248.43</v>
      </c>
      <c r="L458">
        <v>0.52</v>
      </c>
      <c r="M458">
        <v>45.55</v>
      </c>
      <c r="N458">
        <v>1</v>
      </c>
      <c r="O458" t="s">
        <v>20</v>
      </c>
      <c r="P458" t="s">
        <v>21</v>
      </c>
      <c r="Q458">
        <f t="shared" si="35"/>
        <v>15</v>
      </c>
      <c r="R458" s="4">
        <f>RANK(N458,$N$2:N$2800,0)</f>
        <v>1</v>
      </c>
      <c r="S458">
        <f t="shared" si="36"/>
        <v>2</v>
      </c>
      <c r="T458" t="str">
        <f t="shared" si="37"/>
        <v>Good</v>
      </c>
      <c r="U458" t="str" cm="1">
        <f t="array" ref="U458">_xlfn.LET(_xlpm.roles,_xlfn.UNIQUE(D458:D3256),_xlpm.kills, SUMIF(D458:D3256,_xlpm.roles,G458:G3256),INDEX(_xlpm.roles,MATCH(MAX(_xlpm.kills),_xlpm.kills,0)))</f>
        <v>Entry Fragger</v>
      </c>
      <c r="V458" t="str">
        <f t="shared" si="38"/>
        <v>Medium Accuracy</v>
      </c>
      <c r="W458" t="str" cm="1">
        <f t="array" ref="W458">_xlfn.LET(_xlpm.roles,_xlfn.UNIQUE(D458:D3256), _xlpm.counts,COUNTIF(D458:D3256,_xlpm.roles), INDEX(_xlpm.roles,MATCH(MAX(_xlpm.counts),_xlpm.counts,0)))</f>
        <v>Entry Fragger</v>
      </c>
      <c r="X458" s="2">
        <f t="shared" si="39"/>
        <v>12.809421841541756</v>
      </c>
    </row>
    <row r="459" spans="1:24" x14ac:dyDescent="0.3">
      <c r="A459">
        <v>150</v>
      </c>
      <c r="B459">
        <v>79</v>
      </c>
      <c r="C459" t="s">
        <v>25</v>
      </c>
      <c r="D459" t="s">
        <v>22</v>
      </c>
      <c r="E459" t="s">
        <v>29</v>
      </c>
      <c r="F459" t="s">
        <v>24</v>
      </c>
      <c r="G459">
        <v>12</v>
      </c>
      <c r="H459">
        <v>6</v>
      </c>
      <c r="I459">
        <v>10</v>
      </c>
      <c r="J459">
        <v>43.34</v>
      </c>
      <c r="K459">
        <v>209.25</v>
      </c>
      <c r="L459">
        <v>0.4</v>
      </c>
      <c r="M459">
        <v>37.67</v>
      </c>
      <c r="N459">
        <v>0.81</v>
      </c>
      <c r="O459" t="s">
        <v>20</v>
      </c>
      <c r="P459" t="s">
        <v>21</v>
      </c>
      <c r="Q459">
        <f t="shared" si="35"/>
        <v>8</v>
      </c>
      <c r="R459" s="4">
        <f>RANK(N459,$N$2:N$2800,0)</f>
        <v>2341</v>
      </c>
      <c r="S459">
        <f t="shared" si="36"/>
        <v>1.2</v>
      </c>
      <c r="T459" t="str">
        <f t="shared" si="37"/>
        <v>Low</v>
      </c>
      <c r="U459" t="str" cm="1">
        <f t="array" ref="U459">_xlfn.LET(_xlpm.roles,_xlfn.UNIQUE(D459:D3257),_xlpm.kills, SUMIF(D459:D3257,_xlpm.roles,G459:G3257),INDEX(_xlpm.roles,MATCH(MAX(_xlpm.kills),_xlpm.kills,0)))</f>
        <v>Entry Fragger</v>
      </c>
      <c r="V459" t="str">
        <f t="shared" si="38"/>
        <v>Medium Accuracy</v>
      </c>
      <c r="W459" t="str" cm="1">
        <f t="array" ref="W459">_xlfn.LET(_xlpm.roles,_xlfn.UNIQUE(D459:D3257), _xlpm.counts,COUNTIF(D459:D3257,_xlpm.roles), INDEX(_xlpm.roles,MATCH(MAX(_xlpm.counts),_xlpm.counts,0)))</f>
        <v>Entry Fragger</v>
      </c>
      <c r="X459" s="2">
        <f t="shared" si="39"/>
        <v>12.809421841541756</v>
      </c>
    </row>
    <row r="460" spans="1:24" x14ac:dyDescent="0.3">
      <c r="A460">
        <v>353</v>
      </c>
      <c r="B460">
        <v>79</v>
      </c>
      <c r="C460" t="s">
        <v>16</v>
      </c>
      <c r="D460" t="s">
        <v>36</v>
      </c>
      <c r="E460" t="s">
        <v>29</v>
      </c>
      <c r="F460" t="s">
        <v>24</v>
      </c>
      <c r="G460">
        <v>16</v>
      </c>
      <c r="H460">
        <v>8</v>
      </c>
      <c r="I460">
        <v>7</v>
      </c>
      <c r="J460">
        <v>47.33</v>
      </c>
      <c r="K460">
        <v>204.79</v>
      </c>
      <c r="L460">
        <v>0.2</v>
      </c>
      <c r="M460">
        <v>54.66</v>
      </c>
      <c r="N460">
        <v>1</v>
      </c>
      <c r="O460" t="s">
        <v>20</v>
      </c>
      <c r="P460" t="s">
        <v>21</v>
      </c>
      <c r="Q460">
        <f t="shared" si="35"/>
        <v>17</v>
      </c>
      <c r="R460" s="4">
        <f>RANK(N460,$N$2:N$2800,0)</f>
        <v>1</v>
      </c>
      <c r="S460">
        <f t="shared" si="36"/>
        <v>2.2857142857142856</v>
      </c>
      <c r="T460" t="str">
        <f t="shared" si="37"/>
        <v>Good</v>
      </c>
      <c r="U460" t="str" cm="1">
        <f t="array" ref="U460">_xlfn.LET(_xlpm.roles,_xlfn.UNIQUE(D460:D3258),_xlpm.kills, SUMIF(D460:D3258,_xlpm.roles,G460:G3258),INDEX(_xlpm.roles,MATCH(MAX(_xlpm.kills),_xlpm.kills,0)))</f>
        <v>Entry Fragger</v>
      </c>
      <c r="V460" t="str">
        <f t="shared" si="38"/>
        <v>Medium Accuracy</v>
      </c>
      <c r="W460" t="str" cm="1">
        <f t="array" ref="W460">_xlfn.LET(_xlpm.roles,_xlfn.UNIQUE(D460:D3258), _xlpm.counts,COUNTIF(D460:D3258,_xlpm.roles), INDEX(_xlpm.roles,MATCH(MAX(_xlpm.counts),_xlpm.counts,0)))</f>
        <v>Entry Fragger</v>
      </c>
      <c r="X460" s="2">
        <f t="shared" si="39"/>
        <v>12.520971302428256</v>
      </c>
    </row>
    <row r="461" spans="1:24" x14ac:dyDescent="0.3">
      <c r="A461">
        <v>669</v>
      </c>
      <c r="B461">
        <v>79</v>
      </c>
      <c r="C461" t="s">
        <v>27</v>
      </c>
      <c r="D461" t="s">
        <v>17</v>
      </c>
      <c r="E461" t="s">
        <v>29</v>
      </c>
      <c r="F461" t="s">
        <v>37</v>
      </c>
      <c r="G461">
        <v>10</v>
      </c>
      <c r="H461">
        <v>12</v>
      </c>
      <c r="I461">
        <v>4</v>
      </c>
      <c r="J461">
        <v>37.700000000000003</v>
      </c>
      <c r="K461">
        <v>241.04</v>
      </c>
      <c r="L461">
        <v>0.72</v>
      </c>
      <c r="M461">
        <v>39.65</v>
      </c>
      <c r="N461">
        <v>0.86</v>
      </c>
      <c r="O461" t="s">
        <v>20</v>
      </c>
      <c r="P461" t="s">
        <v>21</v>
      </c>
      <c r="Q461">
        <f t="shared" si="35"/>
        <v>18</v>
      </c>
      <c r="R461" s="4">
        <f>RANK(N461,$N$2:N$2800,0)</f>
        <v>2040</v>
      </c>
      <c r="S461">
        <f t="shared" si="36"/>
        <v>2.5</v>
      </c>
      <c r="T461" t="str">
        <f t="shared" si="37"/>
        <v>Good</v>
      </c>
      <c r="U461" t="str" cm="1">
        <f t="array" ref="U461">_xlfn.LET(_xlpm.roles,_xlfn.UNIQUE(D461:D3259),_xlpm.kills, SUMIF(D461:D3259,_xlpm.roles,G461:G3259),INDEX(_xlpm.roles,MATCH(MAX(_xlpm.kills),_xlpm.kills,0)))</f>
        <v>Entry Fragger</v>
      </c>
      <c r="V461" t="str">
        <f t="shared" si="38"/>
        <v>Medium Accuracy</v>
      </c>
      <c r="W461" t="str" cm="1">
        <f t="array" ref="W461">_xlfn.LET(_xlpm.roles,_xlfn.UNIQUE(D461:D3259), _xlpm.counts,COUNTIF(D461:D3259,_xlpm.roles), INDEX(_xlpm.roles,MATCH(MAX(_xlpm.counts),_xlpm.counts,0)))</f>
        <v>Entry Fragger</v>
      </c>
      <c r="X461" s="2">
        <f t="shared" si="39"/>
        <v>13.057077625570777</v>
      </c>
    </row>
    <row r="462" spans="1:24" x14ac:dyDescent="0.3">
      <c r="A462">
        <v>1432</v>
      </c>
      <c r="B462">
        <v>79</v>
      </c>
      <c r="C462" t="s">
        <v>25</v>
      </c>
      <c r="D462" t="s">
        <v>36</v>
      </c>
      <c r="E462" t="s">
        <v>32</v>
      </c>
      <c r="F462" t="s">
        <v>26</v>
      </c>
      <c r="G462">
        <v>11</v>
      </c>
      <c r="H462">
        <v>7</v>
      </c>
      <c r="I462">
        <v>11</v>
      </c>
      <c r="J462">
        <v>43.71</v>
      </c>
      <c r="K462">
        <v>240.14</v>
      </c>
      <c r="L462">
        <v>0.99</v>
      </c>
      <c r="M462">
        <v>29.96</v>
      </c>
      <c r="N462">
        <v>0.69</v>
      </c>
      <c r="O462" t="s">
        <v>20</v>
      </c>
      <c r="P462" t="s">
        <v>21</v>
      </c>
      <c r="Q462">
        <f t="shared" si="35"/>
        <v>7</v>
      </c>
      <c r="R462" s="4">
        <f>RANK(N462,$N$2:N$2800,0)</f>
        <v>2713</v>
      </c>
      <c r="S462">
        <f t="shared" si="36"/>
        <v>1</v>
      </c>
      <c r="T462" t="str">
        <f t="shared" si="37"/>
        <v>Low</v>
      </c>
      <c r="U462" t="str" cm="1">
        <f t="array" ref="U462">_xlfn.LET(_xlpm.roles,_xlfn.UNIQUE(D462:D3260),_xlpm.kills, SUMIF(D462:D3260,_xlpm.roles,G462:G3260),INDEX(_xlpm.roles,MATCH(MAX(_xlpm.kills),_xlpm.kills,0)))</f>
        <v>Entry Fragger</v>
      </c>
      <c r="V462" t="str">
        <f t="shared" si="38"/>
        <v>Medium Accuracy</v>
      </c>
      <c r="W462" t="str" cm="1">
        <f t="array" ref="W462">_xlfn.LET(_xlpm.roles,_xlfn.UNIQUE(D462:D3260), _xlpm.counts,COUNTIF(D462:D3260,_xlpm.roles), INDEX(_xlpm.roles,MATCH(MAX(_xlpm.counts),_xlpm.counts,0)))</f>
        <v>Entry Fragger</v>
      </c>
      <c r="X462" s="2">
        <f t="shared" si="39"/>
        <v>12.809421841541756</v>
      </c>
    </row>
    <row r="463" spans="1:24" x14ac:dyDescent="0.3">
      <c r="A463">
        <v>924</v>
      </c>
      <c r="B463">
        <v>80</v>
      </c>
      <c r="C463" t="s">
        <v>35</v>
      </c>
      <c r="D463" t="s">
        <v>17</v>
      </c>
      <c r="E463" t="s">
        <v>23</v>
      </c>
      <c r="F463" t="s">
        <v>26</v>
      </c>
      <c r="G463">
        <v>13</v>
      </c>
      <c r="H463">
        <v>5</v>
      </c>
      <c r="I463">
        <v>6</v>
      </c>
      <c r="J463">
        <v>59.92</v>
      </c>
      <c r="K463">
        <v>229.72</v>
      </c>
      <c r="L463">
        <v>0.15</v>
      </c>
      <c r="M463">
        <v>53.46</v>
      </c>
      <c r="N463">
        <v>1</v>
      </c>
      <c r="O463" t="s">
        <v>20</v>
      </c>
      <c r="P463" t="s">
        <v>21</v>
      </c>
      <c r="Q463">
        <f t="shared" si="35"/>
        <v>12</v>
      </c>
      <c r="R463" s="4">
        <f>RANK(N463,$N$2:N$2800,0)</f>
        <v>1</v>
      </c>
      <c r="S463">
        <f t="shared" si="36"/>
        <v>2.1666666666666665</v>
      </c>
      <c r="T463" t="str">
        <f t="shared" si="37"/>
        <v>Low</v>
      </c>
      <c r="U463" t="str" cm="1">
        <f t="array" ref="U463">_xlfn.LET(_xlpm.roles,_xlfn.UNIQUE(D463:D3261),_xlpm.kills, SUMIF(D463:D3261,_xlpm.roles,G463:G3261),INDEX(_xlpm.roles,MATCH(MAX(_xlpm.kills),_xlpm.kills,0)))</f>
        <v>Entry Fragger</v>
      </c>
      <c r="V463" t="str">
        <f t="shared" si="38"/>
        <v>High Accuracy</v>
      </c>
      <c r="W463" t="str" cm="1">
        <f t="array" ref="W463">_xlfn.LET(_xlpm.roles,_xlfn.UNIQUE(D463:D3261), _xlpm.counts,COUNTIF(D463:D3261,_xlpm.roles), INDEX(_xlpm.roles,MATCH(MAX(_xlpm.counts),_xlpm.counts,0)))</f>
        <v>Entry Fragger</v>
      </c>
      <c r="X463" s="2">
        <f t="shared" si="39"/>
        <v>12.599585062240664</v>
      </c>
    </row>
    <row r="464" spans="1:24" x14ac:dyDescent="0.3">
      <c r="A464">
        <v>1557</v>
      </c>
      <c r="B464">
        <v>80</v>
      </c>
      <c r="C464" t="s">
        <v>39</v>
      </c>
      <c r="D464" t="s">
        <v>36</v>
      </c>
      <c r="E464" t="s">
        <v>29</v>
      </c>
      <c r="F464" t="s">
        <v>37</v>
      </c>
      <c r="G464">
        <v>14</v>
      </c>
      <c r="H464">
        <v>10</v>
      </c>
      <c r="I464">
        <v>9</v>
      </c>
      <c r="J464">
        <v>43.14</v>
      </c>
      <c r="K464">
        <v>195.59</v>
      </c>
      <c r="L464">
        <v>0.99</v>
      </c>
      <c r="M464">
        <v>40.67</v>
      </c>
      <c r="N464">
        <v>1</v>
      </c>
      <c r="O464" t="s">
        <v>20</v>
      </c>
      <c r="P464" t="s">
        <v>21</v>
      </c>
      <c r="Q464">
        <f t="shared" si="35"/>
        <v>15</v>
      </c>
      <c r="R464" s="4">
        <f>RANK(N464,$N$2:N$2800,0)</f>
        <v>1</v>
      </c>
      <c r="S464">
        <f t="shared" si="36"/>
        <v>1.5555555555555556</v>
      </c>
      <c r="T464" t="str">
        <f t="shared" si="37"/>
        <v>Good</v>
      </c>
      <c r="U464" t="str" cm="1">
        <f t="array" ref="U464">_xlfn.LET(_xlpm.roles,_xlfn.UNIQUE(D464:D3262),_xlpm.kills, SUMIF(D464:D3262,_xlpm.roles,G464:G3262),INDEX(_xlpm.roles,MATCH(MAX(_xlpm.kills),_xlpm.kills,0)))</f>
        <v>Entry Fragger</v>
      </c>
      <c r="V464" t="str">
        <f t="shared" si="38"/>
        <v>Medium Accuracy</v>
      </c>
      <c r="W464" t="str" cm="1">
        <f t="array" ref="W464">_xlfn.LET(_xlpm.roles,_xlfn.UNIQUE(D464:D3262), _xlpm.counts,COUNTIF(D464:D3262,_xlpm.roles), INDEX(_xlpm.roles,MATCH(MAX(_xlpm.counts),_xlpm.counts,0)))</f>
        <v>Entry Fragger</v>
      </c>
      <c r="X464" s="2">
        <f t="shared" si="39"/>
        <v>13.103594080338267</v>
      </c>
    </row>
    <row r="465" spans="1:24" x14ac:dyDescent="0.3">
      <c r="A465">
        <v>2322</v>
      </c>
      <c r="B465">
        <v>80</v>
      </c>
      <c r="C465" t="s">
        <v>30</v>
      </c>
      <c r="D465" t="s">
        <v>31</v>
      </c>
      <c r="E465" t="s">
        <v>29</v>
      </c>
      <c r="F465" t="s">
        <v>34</v>
      </c>
      <c r="G465">
        <v>15</v>
      </c>
      <c r="H465">
        <v>5</v>
      </c>
      <c r="I465">
        <v>9</v>
      </c>
      <c r="J465">
        <v>44.84</v>
      </c>
      <c r="K465">
        <v>191.77</v>
      </c>
      <c r="L465">
        <v>0.86</v>
      </c>
      <c r="M465">
        <v>39.82</v>
      </c>
      <c r="N465">
        <v>0.89</v>
      </c>
      <c r="O465" t="s">
        <v>20</v>
      </c>
      <c r="P465" t="s">
        <v>21</v>
      </c>
      <c r="Q465">
        <f t="shared" si="35"/>
        <v>11</v>
      </c>
      <c r="R465" s="4">
        <f>RANK(N465,$N$2:N$2800,0)</f>
        <v>1815</v>
      </c>
      <c r="S465">
        <f t="shared" si="36"/>
        <v>1.6666666666666667</v>
      </c>
      <c r="T465" t="str">
        <f t="shared" si="37"/>
        <v>Low</v>
      </c>
      <c r="U465" t="str" cm="1">
        <f t="array" ref="U465">_xlfn.LET(_xlpm.roles,_xlfn.UNIQUE(D465:D3263),_xlpm.kills, SUMIF(D465:D3263,_xlpm.roles,G465:G3263),INDEX(_xlpm.roles,MATCH(MAX(_xlpm.kills),_xlpm.kills,0)))</f>
        <v>Entry Fragger</v>
      </c>
      <c r="V465" t="str">
        <f t="shared" si="38"/>
        <v>Medium Accuracy</v>
      </c>
      <c r="W465" t="str" cm="1">
        <f t="array" ref="W465">_xlfn.LET(_xlpm.roles,_xlfn.UNIQUE(D465:D3263), _xlpm.counts,COUNTIF(D465:D3263,_xlpm.roles), INDEX(_xlpm.roles,MATCH(MAX(_xlpm.counts),_xlpm.counts,0)))</f>
        <v>Entry Fragger</v>
      </c>
      <c r="X465" s="2">
        <f t="shared" si="39"/>
        <v>13.135802469135802</v>
      </c>
    </row>
    <row r="466" spans="1:24" x14ac:dyDescent="0.3">
      <c r="A466">
        <v>2675</v>
      </c>
      <c r="B466">
        <v>80</v>
      </c>
      <c r="C466" t="s">
        <v>39</v>
      </c>
      <c r="D466" t="s">
        <v>17</v>
      </c>
      <c r="E466" t="s">
        <v>29</v>
      </c>
      <c r="F466" t="s">
        <v>34</v>
      </c>
      <c r="G466">
        <v>13</v>
      </c>
      <c r="H466">
        <v>3</v>
      </c>
      <c r="I466">
        <v>13</v>
      </c>
      <c r="J466">
        <v>46.01</v>
      </c>
      <c r="K466">
        <v>270.01</v>
      </c>
      <c r="L466">
        <v>0.56999999999999995</v>
      </c>
      <c r="M466">
        <v>33.299999999999997</v>
      </c>
      <c r="N466">
        <v>1</v>
      </c>
      <c r="O466" t="s">
        <v>20</v>
      </c>
      <c r="P466" t="s">
        <v>21</v>
      </c>
      <c r="Q466">
        <f t="shared" si="35"/>
        <v>3</v>
      </c>
      <c r="R466" s="4">
        <f>RANK(N466,$N$2:N$2800,0)</f>
        <v>1</v>
      </c>
      <c r="S466">
        <f t="shared" si="36"/>
        <v>1</v>
      </c>
      <c r="T466" t="str">
        <f t="shared" si="37"/>
        <v>Low</v>
      </c>
      <c r="U466" t="str" cm="1">
        <f t="array" ref="U466">_xlfn.LET(_xlpm.roles,_xlfn.UNIQUE(D466:D3264),_xlpm.kills, SUMIF(D466:D3264,_xlpm.roles,G466:G3264),INDEX(_xlpm.roles,MATCH(MAX(_xlpm.kills),_xlpm.kills,0)))</f>
        <v>Entry Fragger</v>
      </c>
      <c r="V466" t="str">
        <f t="shared" si="38"/>
        <v>Medium Accuracy</v>
      </c>
      <c r="W466" t="str" cm="1">
        <f t="array" ref="W466">_xlfn.LET(_xlpm.roles,_xlfn.UNIQUE(D466:D3264), _xlpm.counts,COUNTIF(D466:D3264,_xlpm.roles), INDEX(_xlpm.roles,MATCH(MAX(_xlpm.counts),_xlpm.counts,0)))</f>
        <v>Entry Fragger</v>
      </c>
      <c r="X466" s="2">
        <f t="shared" si="39"/>
        <v>13.103594080338267</v>
      </c>
    </row>
    <row r="467" spans="1:24" x14ac:dyDescent="0.3">
      <c r="A467">
        <v>117</v>
      </c>
      <c r="B467">
        <v>81</v>
      </c>
      <c r="C467" t="s">
        <v>35</v>
      </c>
      <c r="D467" t="s">
        <v>28</v>
      </c>
      <c r="E467" t="s">
        <v>29</v>
      </c>
      <c r="F467" t="s">
        <v>19</v>
      </c>
      <c r="G467">
        <v>22</v>
      </c>
      <c r="H467">
        <v>10</v>
      </c>
      <c r="I467">
        <v>14</v>
      </c>
      <c r="J467">
        <v>47.94</v>
      </c>
      <c r="K467">
        <v>275.14999999999998</v>
      </c>
      <c r="L467">
        <v>0.1</v>
      </c>
      <c r="M467">
        <v>62.97</v>
      </c>
      <c r="N467">
        <v>0.94</v>
      </c>
      <c r="O467" t="s">
        <v>20</v>
      </c>
      <c r="P467" t="s">
        <v>38</v>
      </c>
      <c r="Q467">
        <f t="shared" si="35"/>
        <v>18</v>
      </c>
      <c r="R467" s="4">
        <f>RANK(N467,$N$2:N$2800,0)</f>
        <v>1431</v>
      </c>
      <c r="S467">
        <f t="shared" si="36"/>
        <v>1.5714285714285714</v>
      </c>
      <c r="T467" t="str">
        <f t="shared" si="37"/>
        <v>Good</v>
      </c>
      <c r="U467" t="str" cm="1">
        <f t="array" ref="U467">_xlfn.LET(_xlpm.roles,_xlfn.UNIQUE(D467:D3265),_xlpm.kills, SUMIF(D467:D3265,_xlpm.roles,G467:G3265),INDEX(_xlpm.roles,MATCH(MAX(_xlpm.kills),_xlpm.kills,0)))</f>
        <v>Entry Fragger</v>
      </c>
      <c r="V467" t="str">
        <f t="shared" si="38"/>
        <v>Medium Accuracy</v>
      </c>
      <c r="W467" t="str" cm="1">
        <f t="array" ref="W467">_xlfn.LET(_xlpm.roles,_xlfn.UNIQUE(D467:D3265), _xlpm.counts,COUNTIF(D467:D3265,_xlpm.roles), INDEX(_xlpm.roles,MATCH(MAX(_xlpm.counts),_xlpm.counts,0)))</f>
        <v>Entry Fragger</v>
      </c>
      <c r="X467" s="2">
        <f t="shared" si="39"/>
        <v>12.599585062240664</v>
      </c>
    </row>
    <row r="468" spans="1:24" x14ac:dyDescent="0.3">
      <c r="A468">
        <v>190</v>
      </c>
      <c r="B468">
        <v>81</v>
      </c>
      <c r="C468" t="s">
        <v>30</v>
      </c>
      <c r="D468" t="s">
        <v>17</v>
      </c>
      <c r="E468" t="s">
        <v>23</v>
      </c>
      <c r="F468" t="s">
        <v>26</v>
      </c>
      <c r="G468">
        <v>24</v>
      </c>
      <c r="H468">
        <v>9</v>
      </c>
      <c r="I468">
        <v>7</v>
      </c>
      <c r="J468">
        <v>42.6</v>
      </c>
      <c r="K468">
        <v>201.76</v>
      </c>
      <c r="L468">
        <v>0.83</v>
      </c>
      <c r="M468">
        <v>63</v>
      </c>
      <c r="N468">
        <v>1</v>
      </c>
      <c r="O468" t="s">
        <v>20</v>
      </c>
      <c r="P468" t="s">
        <v>38</v>
      </c>
      <c r="Q468">
        <f t="shared" si="35"/>
        <v>26</v>
      </c>
      <c r="R468" s="4">
        <f>RANK(N468,$N$2:N$2800,0)</f>
        <v>1</v>
      </c>
      <c r="S468">
        <f t="shared" si="36"/>
        <v>3.4285714285714284</v>
      </c>
      <c r="T468" t="str">
        <f t="shared" si="37"/>
        <v>Excellent</v>
      </c>
      <c r="U468" t="str" cm="1">
        <f t="array" ref="U468">_xlfn.LET(_xlpm.roles,_xlfn.UNIQUE(D468:D3266),_xlpm.kills, SUMIF(D468:D3266,_xlpm.roles,G468:G3266),INDEX(_xlpm.roles,MATCH(MAX(_xlpm.kills),_xlpm.kills,0)))</f>
        <v>Entry Fragger</v>
      </c>
      <c r="V468" t="str">
        <f t="shared" si="38"/>
        <v>Medium Accuracy</v>
      </c>
      <c r="W468" t="str" cm="1">
        <f t="array" ref="W468">_xlfn.LET(_xlpm.roles,_xlfn.UNIQUE(D468:D3266), _xlpm.counts,COUNTIF(D468:D3266,_xlpm.roles), INDEX(_xlpm.roles,MATCH(MAX(_xlpm.counts),_xlpm.counts,0)))</f>
        <v>Entry Fragger</v>
      </c>
      <c r="X468" s="2">
        <f t="shared" si="39"/>
        <v>13.135802469135802</v>
      </c>
    </row>
    <row r="469" spans="1:24" x14ac:dyDescent="0.3">
      <c r="A469">
        <v>255</v>
      </c>
      <c r="B469">
        <v>81</v>
      </c>
      <c r="C469" t="s">
        <v>25</v>
      </c>
      <c r="D469" t="s">
        <v>17</v>
      </c>
      <c r="E469" t="s">
        <v>23</v>
      </c>
      <c r="F469" t="s">
        <v>19</v>
      </c>
      <c r="G469">
        <v>13</v>
      </c>
      <c r="H469">
        <v>6</v>
      </c>
      <c r="I469">
        <v>8</v>
      </c>
      <c r="J469">
        <v>48.71</v>
      </c>
      <c r="K469">
        <v>203.48</v>
      </c>
      <c r="L469">
        <v>0.12</v>
      </c>
      <c r="M469">
        <v>47.16</v>
      </c>
      <c r="N469">
        <v>0.88</v>
      </c>
      <c r="O469" t="s">
        <v>20</v>
      </c>
      <c r="P469" t="s">
        <v>21</v>
      </c>
      <c r="Q469">
        <f t="shared" si="35"/>
        <v>11</v>
      </c>
      <c r="R469" s="4">
        <f>RANK(N469,$N$2:N$2800,0)</f>
        <v>1894</v>
      </c>
      <c r="S469">
        <f t="shared" si="36"/>
        <v>1.625</v>
      </c>
      <c r="T469" t="str">
        <f t="shared" si="37"/>
        <v>Low</v>
      </c>
      <c r="U469" t="str" cm="1">
        <f t="array" ref="U469">_xlfn.LET(_xlpm.roles,_xlfn.UNIQUE(D469:D3267),_xlpm.kills, SUMIF(D469:D3267,_xlpm.roles,G469:G3267),INDEX(_xlpm.roles,MATCH(MAX(_xlpm.kills),_xlpm.kills,0)))</f>
        <v>Entry Fragger</v>
      </c>
      <c r="V469" t="str">
        <f t="shared" si="38"/>
        <v>Medium Accuracy</v>
      </c>
      <c r="W469" t="str" cm="1">
        <f t="array" ref="W469">_xlfn.LET(_xlpm.roles,_xlfn.UNIQUE(D469:D3267), _xlpm.counts,COUNTIF(D469:D3267,_xlpm.roles), INDEX(_xlpm.roles,MATCH(MAX(_xlpm.counts),_xlpm.counts,0)))</f>
        <v>Entry Fragger</v>
      </c>
      <c r="X469" s="2">
        <f t="shared" si="39"/>
        <v>12.809421841541756</v>
      </c>
    </row>
    <row r="470" spans="1:24" x14ac:dyDescent="0.3">
      <c r="A470">
        <v>474</v>
      </c>
      <c r="B470">
        <v>81</v>
      </c>
      <c r="C470" t="s">
        <v>16</v>
      </c>
      <c r="D470" t="s">
        <v>31</v>
      </c>
      <c r="E470" t="s">
        <v>29</v>
      </c>
      <c r="F470" t="s">
        <v>26</v>
      </c>
      <c r="G470">
        <v>17</v>
      </c>
      <c r="H470">
        <v>4</v>
      </c>
      <c r="I470">
        <v>5</v>
      </c>
      <c r="J470">
        <v>29.39</v>
      </c>
      <c r="K470">
        <v>186.22</v>
      </c>
      <c r="L470">
        <v>0.21</v>
      </c>
      <c r="M470">
        <v>45.59</v>
      </c>
      <c r="N470">
        <v>0.81</v>
      </c>
      <c r="O470" t="s">
        <v>20</v>
      </c>
      <c r="P470" t="s">
        <v>21</v>
      </c>
      <c r="Q470">
        <f t="shared" si="35"/>
        <v>16</v>
      </c>
      <c r="R470" s="4">
        <f>RANK(N470,$N$2:N$2800,0)</f>
        <v>2341</v>
      </c>
      <c r="S470">
        <f t="shared" si="36"/>
        <v>3.4</v>
      </c>
      <c r="T470" t="str">
        <f t="shared" si="37"/>
        <v>Good</v>
      </c>
      <c r="U470" t="str" cm="1">
        <f t="array" ref="U470">_xlfn.LET(_xlpm.roles,_xlfn.UNIQUE(D470:D3268),_xlpm.kills, SUMIF(D470:D3268,_xlpm.roles,G470:G3268),INDEX(_xlpm.roles,MATCH(MAX(_xlpm.kills),_xlpm.kills,0)))</f>
        <v>Entry Fragger</v>
      </c>
      <c r="V470" t="str">
        <f t="shared" si="38"/>
        <v>Low Accuracy</v>
      </c>
      <c r="W470" t="str" cm="1">
        <f t="array" ref="W470">_xlfn.LET(_xlpm.roles,_xlfn.UNIQUE(D470:D3268), _xlpm.counts,COUNTIF(D470:D3268,_xlpm.roles), INDEX(_xlpm.roles,MATCH(MAX(_xlpm.counts),_xlpm.counts,0)))</f>
        <v>Entry Fragger</v>
      </c>
      <c r="X470" s="2">
        <f t="shared" si="39"/>
        <v>12.520971302428256</v>
      </c>
    </row>
    <row r="471" spans="1:24" x14ac:dyDescent="0.3">
      <c r="A471">
        <v>594</v>
      </c>
      <c r="B471">
        <v>81</v>
      </c>
      <c r="C471" t="s">
        <v>25</v>
      </c>
      <c r="D471" t="s">
        <v>28</v>
      </c>
      <c r="E471" t="s">
        <v>33</v>
      </c>
      <c r="F471" t="s">
        <v>34</v>
      </c>
      <c r="G471">
        <v>13</v>
      </c>
      <c r="H471">
        <v>10</v>
      </c>
      <c r="I471">
        <v>10</v>
      </c>
      <c r="J471">
        <v>42.79</v>
      </c>
      <c r="K471">
        <v>217.86</v>
      </c>
      <c r="L471">
        <v>0.09</v>
      </c>
      <c r="M471">
        <v>46.49</v>
      </c>
      <c r="N471">
        <v>0.82</v>
      </c>
      <c r="O471" t="s">
        <v>20</v>
      </c>
      <c r="P471" t="s">
        <v>21</v>
      </c>
      <c r="Q471">
        <f t="shared" si="35"/>
        <v>13</v>
      </c>
      <c r="R471" s="4">
        <f>RANK(N471,$N$2:N$2800,0)</f>
        <v>2275</v>
      </c>
      <c r="S471">
        <f t="shared" si="36"/>
        <v>1.3</v>
      </c>
      <c r="T471" t="str">
        <f t="shared" si="37"/>
        <v>Low</v>
      </c>
      <c r="U471" t="str" cm="1">
        <f t="array" ref="U471">_xlfn.LET(_xlpm.roles,_xlfn.UNIQUE(D471:D3269),_xlpm.kills, SUMIF(D471:D3269,_xlpm.roles,G471:G3269),INDEX(_xlpm.roles,MATCH(MAX(_xlpm.kills),_xlpm.kills,0)))</f>
        <v>Entry Fragger</v>
      </c>
      <c r="V471" t="str">
        <f t="shared" si="38"/>
        <v>Medium Accuracy</v>
      </c>
      <c r="W471" t="str" cm="1">
        <f t="array" ref="W471">_xlfn.LET(_xlpm.roles,_xlfn.UNIQUE(D471:D3269), _xlpm.counts,COUNTIF(D471:D3269,_xlpm.roles), INDEX(_xlpm.roles,MATCH(MAX(_xlpm.counts),_xlpm.counts,0)))</f>
        <v>Entry Fragger</v>
      </c>
      <c r="X471" s="2">
        <f t="shared" si="39"/>
        <v>12.809421841541756</v>
      </c>
    </row>
    <row r="472" spans="1:24" x14ac:dyDescent="0.3">
      <c r="A472">
        <v>648</v>
      </c>
      <c r="B472">
        <v>81</v>
      </c>
      <c r="C472" t="s">
        <v>39</v>
      </c>
      <c r="D472" t="s">
        <v>28</v>
      </c>
      <c r="E472" t="s">
        <v>18</v>
      </c>
      <c r="F472" t="s">
        <v>37</v>
      </c>
      <c r="G472">
        <v>10</v>
      </c>
      <c r="H472">
        <v>6</v>
      </c>
      <c r="I472">
        <v>15</v>
      </c>
      <c r="J472">
        <v>43.2</v>
      </c>
      <c r="K472">
        <v>183.19</v>
      </c>
      <c r="L472">
        <v>0.62</v>
      </c>
      <c r="M472">
        <v>26.4</v>
      </c>
      <c r="N472">
        <v>0.7</v>
      </c>
      <c r="O472" t="s">
        <v>20</v>
      </c>
      <c r="P472" t="s">
        <v>21</v>
      </c>
      <c r="Q472">
        <f t="shared" si="35"/>
        <v>1</v>
      </c>
      <c r="R472" s="4">
        <f>RANK(N472,$N$2:N$2800,0)</f>
        <v>2702</v>
      </c>
      <c r="S472">
        <f t="shared" si="36"/>
        <v>0.66666666666666663</v>
      </c>
      <c r="T472" t="str">
        <f t="shared" si="37"/>
        <v>Low</v>
      </c>
      <c r="U472" t="str" cm="1">
        <f t="array" ref="U472">_xlfn.LET(_xlpm.roles,_xlfn.UNIQUE(D472:D3270),_xlpm.kills, SUMIF(D472:D3270,_xlpm.roles,G472:G3270),INDEX(_xlpm.roles,MATCH(MAX(_xlpm.kills),_xlpm.kills,0)))</f>
        <v>Entry Fragger</v>
      </c>
      <c r="V472" t="str">
        <f t="shared" si="38"/>
        <v>Medium Accuracy</v>
      </c>
      <c r="W472" t="str" cm="1">
        <f t="array" ref="W472">_xlfn.LET(_xlpm.roles,_xlfn.UNIQUE(D472:D3270), _xlpm.counts,COUNTIF(D472:D3270,_xlpm.roles), INDEX(_xlpm.roles,MATCH(MAX(_xlpm.counts),_xlpm.counts,0)))</f>
        <v>Entry Fragger</v>
      </c>
      <c r="X472" s="2">
        <f t="shared" si="39"/>
        <v>13.103594080338267</v>
      </c>
    </row>
    <row r="473" spans="1:24" x14ac:dyDescent="0.3">
      <c r="A473">
        <v>1181</v>
      </c>
      <c r="B473">
        <v>81</v>
      </c>
      <c r="C473" t="s">
        <v>16</v>
      </c>
      <c r="D473" t="s">
        <v>17</v>
      </c>
      <c r="E473" t="s">
        <v>32</v>
      </c>
      <c r="F473" t="s">
        <v>26</v>
      </c>
      <c r="G473">
        <v>18</v>
      </c>
      <c r="H473">
        <v>11</v>
      </c>
      <c r="I473">
        <v>8</v>
      </c>
      <c r="J473">
        <v>57.26</v>
      </c>
      <c r="K473">
        <v>230.94</v>
      </c>
      <c r="L473">
        <v>0.87</v>
      </c>
      <c r="M473">
        <v>58.93</v>
      </c>
      <c r="N473">
        <v>1</v>
      </c>
      <c r="O473" t="s">
        <v>20</v>
      </c>
      <c r="P473" t="s">
        <v>21</v>
      </c>
      <c r="Q473">
        <f t="shared" si="35"/>
        <v>21</v>
      </c>
      <c r="R473" s="4">
        <f>RANK(N473,$N$2:N$2800,0)</f>
        <v>1</v>
      </c>
      <c r="S473">
        <f t="shared" si="36"/>
        <v>2.25</v>
      </c>
      <c r="T473" t="str">
        <f t="shared" si="37"/>
        <v>Good</v>
      </c>
      <c r="U473" t="str" cm="1">
        <f t="array" ref="U473">_xlfn.LET(_xlpm.roles,_xlfn.UNIQUE(D473:D3271),_xlpm.kills, SUMIF(D473:D3271,_xlpm.roles,G473:G3271),INDEX(_xlpm.roles,MATCH(MAX(_xlpm.kills),_xlpm.kills,0)))</f>
        <v>Entry Fragger</v>
      </c>
      <c r="V473" t="str">
        <f t="shared" si="38"/>
        <v>High Accuracy</v>
      </c>
      <c r="W473" t="str" cm="1">
        <f t="array" ref="W473">_xlfn.LET(_xlpm.roles,_xlfn.UNIQUE(D473:D3271), _xlpm.counts,COUNTIF(D473:D3271,_xlpm.roles), INDEX(_xlpm.roles,MATCH(MAX(_xlpm.counts),_xlpm.counts,0)))</f>
        <v>Entry Fragger</v>
      </c>
      <c r="X473" s="2">
        <f t="shared" si="39"/>
        <v>12.520971302428256</v>
      </c>
    </row>
    <row r="474" spans="1:24" x14ac:dyDescent="0.3">
      <c r="A474">
        <v>2601</v>
      </c>
      <c r="B474">
        <v>81</v>
      </c>
      <c r="C474" t="s">
        <v>35</v>
      </c>
      <c r="D474" t="s">
        <v>22</v>
      </c>
      <c r="E474" t="s">
        <v>29</v>
      </c>
      <c r="F474" t="s">
        <v>37</v>
      </c>
      <c r="G474">
        <v>16</v>
      </c>
      <c r="H474">
        <v>10</v>
      </c>
      <c r="I474">
        <v>17</v>
      </c>
      <c r="J474">
        <v>40.799999999999997</v>
      </c>
      <c r="K474">
        <v>192.94</v>
      </c>
      <c r="L474">
        <v>0.51</v>
      </c>
      <c r="M474">
        <v>40.299999999999997</v>
      </c>
      <c r="N474">
        <v>0.9</v>
      </c>
      <c r="O474" t="s">
        <v>20</v>
      </c>
      <c r="P474" t="s">
        <v>21</v>
      </c>
      <c r="Q474">
        <f t="shared" si="35"/>
        <v>9</v>
      </c>
      <c r="R474" s="4">
        <f>RANK(N474,$N$2:N$2800,0)</f>
        <v>1738</v>
      </c>
      <c r="S474">
        <f t="shared" si="36"/>
        <v>0.94117647058823528</v>
      </c>
      <c r="T474" t="str">
        <f t="shared" si="37"/>
        <v>Low</v>
      </c>
      <c r="U474" t="str" cm="1">
        <f t="array" ref="U474">_xlfn.LET(_xlpm.roles,_xlfn.UNIQUE(D474:D3272),_xlpm.kills, SUMIF(D474:D3272,_xlpm.roles,G474:G3272),INDEX(_xlpm.roles,MATCH(MAX(_xlpm.kills),_xlpm.kills,0)))</f>
        <v>Entry Fragger</v>
      </c>
      <c r="V474" t="str">
        <f t="shared" si="38"/>
        <v>Medium Accuracy</v>
      </c>
      <c r="W474" t="str" cm="1">
        <f t="array" ref="W474">_xlfn.LET(_xlpm.roles,_xlfn.UNIQUE(D474:D3272), _xlpm.counts,COUNTIF(D474:D3272,_xlpm.roles), INDEX(_xlpm.roles,MATCH(MAX(_xlpm.counts),_xlpm.counts,0)))</f>
        <v>Entry Fragger</v>
      </c>
      <c r="X474" s="2">
        <f t="shared" si="39"/>
        <v>12.599585062240664</v>
      </c>
    </row>
    <row r="475" spans="1:24" x14ac:dyDescent="0.3">
      <c r="A475">
        <v>286</v>
      </c>
      <c r="B475">
        <v>82</v>
      </c>
      <c r="C475" t="s">
        <v>39</v>
      </c>
      <c r="D475" t="s">
        <v>22</v>
      </c>
      <c r="E475" t="s">
        <v>32</v>
      </c>
      <c r="F475" t="s">
        <v>24</v>
      </c>
      <c r="G475">
        <v>20</v>
      </c>
      <c r="H475">
        <v>9</v>
      </c>
      <c r="I475">
        <v>7</v>
      </c>
      <c r="J475">
        <v>48.77</v>
      </c>
      <c r="K475">
        <v>163.37</v>
      </c>
      <c r="L475">
        <v>0.53</v>
      </c>
      <c r="M475">
        <v>61.09</v>
      </c>
      <c r="N475">
        <v>1</v>
      </c>
      <c r="O475" t="s">
        <v>20</v>
      </c>
      <c r="P475" t="s">
        <v>38</v>
      </c>
      <c r="Q475">
        <f t="shared" si="35"/>
        <v>22</v>
      </c>
      <c r="R475" s="4">
        <f>RANK(N475,$N$2:N$2800,0)</f>
        <v>1</v>
      </c>
      <c r="S475">
        <f t="shared" si="36"/>
        <v>2.8571428571428572</v>
      </c>
      <c r="T475" t="str">
        <f t="shared" si="37"/>
        <v>Good</v>
      </c>
      <c r="U475" t="str" cm="1">
        <f t="array" ref="U475">_xlfn.LET(_xlpm.roles,_xlfn.UNIQUE(D475:D3273),_xlpm.kills, SUMIF(D475:D3273,_xlpm.roles,G475:G3273),INDEX(_xlpm.roles,MATCH(MAX(_xlpm.kills),_xlpm.kills,0)))</f>
        <v>Entry Fragger</v>
      </c>
      <c r="V475" t="str">
        <f t="shared" si="38"/>
        <v>Medium Accuracy</v>
      </c>
      <c r="W475" t="str" cm="1">
        <f t="array" ref="W475">_xlfn.LET(_xlpm.roles,_xlfn.UNIQUE(D475:D3273), _xlpm.counts,COUNTIF(D475:D3273,_xlpm.roles), INDEX(_xlpm.roles,MATCH(MAX(_xlpm.counts),_xlpm.counts,0)))</f>
        <v>Entry Fragger</v>
      </c>
      <c r="X475" s="2">
        <f t="shared" si="39"/>
        <v>13.103594080338267</v>
      </c>
    </row>
    <row r="476" spans="1:24" x14ac:dyDescent="0.3">
      <c r="A476">
        <v>1154</v>
      </c>
      <c r="B476">
        <v>82</v>
      </c>
      <c r="C476" t="s">
        <v>39</v>
      </c>
      <c r="D476" t="s">
        <v>36</v>
      </c>
      <c r="E476" t="s">
        <v>23</v>
      </c>
      <c r="F476" t="s">
        <v>37</v>
      </c>
      <c r="G476">
        <v>8</v>
      </c>
      <c r="H476">
        <v>6</v>
      </c>
      <c r="I476">
        <v>11</v>
      </c>
      <c r="J476">
        <v>51.77</v>
      </c>
      <c r="K476">
        <v>197.67</v>
      </c>
      <c r="L476">
        <v>0.8</v>
      </c>
      <c r="M476">
        <v>28.89</v>
      </c>
      <c r="N476">
        <v>0.67</v>
      </c>
      <c r="O476" t="s">
        <v>20</v>
      </c>
      <c r="P476" t="s">
        <v>21</v>
      </c>
      <c r="Q476">
        <f t="shared" si="35"/>
        <v>3</v>
      </c>
      <c r="R476" s="4">
        <f>RANK(N476,$N$2:N$2800,0)</f>
        <v>2731</v>
      </c>
      <c r="S476">
        <f t="shared" si="36"/>
        <v>0.72727272727272729</v>
      </c>
      <c r="T476" t="str">
        <f t="shared" si="37"/>
        <v>Low</v>
      </c>
      <c r="U476" t="str" cm="1">
        <f t="array" ref="U476">_xlfn.LET(_xlpm.roles,_xlfn.UNIQUE(D476:D3274),_xlpm.kills, SUMIF(D476:D3274,_xlpm.roles,G476:G3274),INDEX(_xlpm.roles,MATCH(MAX(_xlpm.kills),_xlpm.kills,0)))</f>
        <v>Entry Fragger</v>
      </c>
      <c r="V476" t="str">
        <f t="shared" si="38"/>
        <v>High Accuracy</v>
      </c>
      <c r="W476" t="str" cm="1">
        <f t="array" ref="W476">_xlfn.LET(_xlpm.roles,_xlfn.UNIQUE(D476:D3274), _xlpm.counts,COUNTIF(D476:D3274,_xlpm.roles), INDEX(_xlpm.roles,MATCH(MAX(_xlpm.counts),_xlpm.counts,0)))</f>
        <v>Entry Fragger</v>
      </c>
      <c r="X476" s="2">
        <f t="shared" si="39"/>
        <v>13.103594080338267</v>
      </c>
    </row>
    <row r="477" spans="1:24" x14ac:dyDescent="0.3">
      <c r="A477">
        <v>1400</v>
      </c>
      <c r="B477">
        <v>82</v>
      </c>
      <c r="C477" t="s">
        <v>39</v>
      </c>
      <c r="D477" t="s">
        <v>36</v>
      </c>
      <c r="E477" t="s">
        <v>18</v>
      </c>
      <c r="F477" t="s">
        <v>26</v>
      </c>
      <c r="G477">
        <v>9</v>
      </c>
      <c r="H477">
        <v>4</v>
      </c>
      <c r="I477">
        <v>8</v>
      </c>
      <c r="J477">
        <v>47.21</v>
      </c>
      <c r="K477">
        <v>263.82</v>
      </c>
      <c r="L477">
        <v>0.94</v>
      </c>
      <c r="M477">
        <v>28.21</v>
      </c>
      <c r="N477">
        <v>0.9</v>
      </c>
      <c r="O477" t="s">
        <v>20</v>
      </c>
      <c r="P477" t="s">
        <v>21</v>
      </c>
      <c r="Q477">
        <f t="shared" si="35"/>
        <v>5</v>
      </c>
      <c r="R477" s="4">
        <f>RANK(N477,$N$2:N$2800,0)</f>
        <v>1738</v>
      </c>
      <c r="S477">
        <f t="shared" si="36"/>
        <v>1.125</v>
      </c>
      <c r="T477" t="str">
        <f t="shared" si="37"/>
        <v>Low</v>
      </c>
      <c r="U477" t="str" cm="1">
        <f t="array" ref="U477">_xlfn.LET(_xlpm.roles,_xlfn.UNIQUE(D477:D3275),_xlpm.kills, SUMIF(D477:D3275,_xlpm.roles,G477:G3275),INDEX(_xlpm.roles,MATCH(MAX(_xlpm.kills),_xlpm.kills,0)))</f>
        <v>Entry Fragger</v>
      </c>
      <c r="V477" t="str">
        <f t="shared" si="38"/>
        <v>Medium Accuracy</v>
      </c>
      <c r="W477" t="str" cm="1">
        <f t="array" ref="W477">_xlfn.LET(_xlpm.roles,_xlfn.UNIQUE(D477:D3275), _xlpm.counts,COUNTIF(D477:D3275,_xlpm.roles), INDEX(_xlpm.roles,MATCH(MAX(_xlpm.counts),_xlpm.counts,0)))</f>
        <v>Entry Fragger</v>
      </c>
      <c r="X477" s="2">
        <f t="shared" si="39"/>
        <v>13.103594080338267</v>
      </c>
    </row>
    <row r="478" spans="1:24" x14ac:dyDescent="0.3">
      <c r="A478">
        <v>1477</v>
      </c>
      <c r="B478">
        <v>82</v>
      </c>
      <c r="C478" t="s">
        <v>30</v>
      </c>
      <c r="D478" t="s">
        <v>17</v>
      </c>
      <c r="E478" t="s">
        <v>23</v>
      </c>
      <c r="F478" t="s">
        <v>37</v>
      </c>
      <c r="G478">
        <v>10</v>
      </c>
      <c r="H478">
        <v>7</v>
      </c>
      <c r="I478">
        <v>14</v>
      </c>
      <c r="J478">
        <v>47.77</v>
      </c>
      <c r="K478">
        <v>224.21</v>
      </c>
      <c r="L478">
        <v>0.56000000000000005</v>
      </c>
      <c r="M478">
        <v>31.29</v>
      </c>
      <c r="N478">
        <v>0.66</v>
      </c>
      <c r="O478" t="s">
        <v>20</v>
      </c>
      <c r="P478" t="s">
        <v>21</v>
      </c>
      <c r="Q478">
        <f t="shared" si="35"/>
        <v>3</v>
      </c>
      <c r="R478" s="4">
        <f>RANK(N478,$N$2:N$2800,0)</f>
        <v>2746</v>
      </c>
      <c r="S478">
        <f t="shared" si="36"/>
        <v>0.7142857142857143</v>
      </c>
      <c r="T478" t="str">
        <f t="shared" si="37"/>
        <v>Low</v>
      </c>
      <c r="U478" t="str" cm="1">
        <f t="array" ref="U478">_xlfn.LET(_xlpm.roles,_xlfn.UNIQUE(D478:D3276),_xlpm.kills, SUMIF(D478:D3276,_xlpm.roles,G478:G3276),INDEX(_xlpm.roles,MATCH(MAX(_xlpm.kills),_xlpm.kills,0)))</f>
        <v>Entry Fragger</v>
      </c>
      <c r="V478" t="str">
        <f t="shared" si="38"/>
        <v>Medium Accuracy</v>
      </c>
      <c r="W478" t="str" cm="1">
        <f t="array" ref="W478">_xlfn.LET(_xlpm.roles,_xlfn.UNIQUE(D478:D3276), _xlpm.counts,COUNTIF(D478:D3276,_xlpm.roles), INDEX(_xlpm.roles,MATCH(MAX(_xlpm.counts),_xlpm.counts,0)))</f>
        <v>Entry Fragger</v>
      </c>
      <c r="X478" s="2">
        <f t="shared" si="39"/>
        <v>13.135802469135802</v>
      </c>
    </row>
    <row r="479" spans="1:24" x14ac:dyDescent="0.3">
      <c r="A479">
        <v>151</v>
      </c>
      <c r="B479">
        <v>83</v>
      </c>
      <c r="C479" t="s">
        <v>39</v>
      </c>
      <c r="D479" t="s">
        <v>28</v>
      </c>
      <c r="E479" t="s">
        <v>23</v>
      </c>
      <c r="F479" t="s">
        <v>37</v>
      </c>
      <c r="G479">
        <v>13</v>
      </c>
      <c r="H479">
        <v>11</v>
      </c>
      <c r="I479">
        <v>15</v>
      </c>
      <c r="J479">
        <v>32.79</v>
      </c>
      <c r="K479">
        <v>220.98</v>
      </c>
      <c r="L479">
        <v>0.04</v>
      </c>
      <c r="M479">
        <v>37.99</v>
      </c>
      <c r="N479">
        <v>0.84</v>
      </c>
      <c r="O479" t="s">
        <v>20</v>
      </c>
      <c r="P479" t="s">
        <v>21</v>
      </c>
      <c r="Q479">
        <f t="shared" si="35"/>
        <v>9</v>
      </c>
      <c r="R479" s="4">
        <f>RANK(N479,$N$2:N$2800,0)</f>
        <v>2156</v>
      </c>
      <c r="S479">
        <f t="shared" si="36"/>
        <v>0.8666666666666667</v>
      </c>
      <c r="T479" t="str">
        <f t="shared" si="37"/>
        <v>Low</v>
      </c>
      <c r="U479" t="str" cm="1">
        <f t="array" ref="U479">_xlfn.LET(_xlpm.roles,_xlfn.UNIQUE(D479:D3277),_xlpm.kills, SUMIF(D479:D3277,_xlpm.roles,G479:G3277),INDEX(_xlpm.roles,MATCH(MAX(_xlpm.kills),_xlpm.kills,0)))</f>
        <v>Entry Fragger</v>
      </c>
      <c r="V479" t="str">
        <f t="shared" si="38"/>
        <v>Medium Accuracy</v>
      </c>
      <c r="W479" t="str" cm="1">
        <f t="array" ref="W479">_xlfn.LET(_xlpm.roles,_xlfn.UNIQUE(D479:D3277), _xlpm.counts,COUNTIF(D479:D3277,_xlpm.roles), INDEX(_xlpm.roles,MATCH(MAX(_xlpm.counts),_xlpm.counts,0)))</f>
        <v>Entry Fragger</v>
      </c>
      <c r="X479" s="2">
        <f t="shared" si="39"/>
        <v>13.103594080338267</v>
      </c>
    </row>
    <row r="480" spans="1:24" x14ac:dyDescent="0.3">
      <c r="A480">
        <v>561</v>
      </c>
      <c r="B480">
        <v>83</v>
      </c>
      <c r="C480" t="s">
        <v>30</v>
      </c>
      <c r="D480" t="s">
        <v>36</v>
      </c>
      <c r="E480" t="s">
        <v>32</v>
      </c>
      <c r="F480" t="s">
        <v>26</v>
      </c>
      <c r="G480">
        <v>9</v>
      </c>
      <c r="H480">
        <v>10</v>
      </c>
      <c r="I480">
        <v>9</v>
      </c>
      <c r="J480">
        <v>59.46</v>
      </c>
      <c r="K480">
        <v>269.24</v>
      </c>
      <c r="L480">
        <v>0.75</v>
      </c>
      <c r="M480">
        <v>41.23</v>
      </c>
      <c r="N480">
        <v>0.82</v>
      </c>
      <c r="O480" t="s">
        <v>20</v>
      </c>
      <c r="P480" t="s">
        <v>21</v>
      </c>
      <c r="Q480">
        <f t="shared" si="35"/>
        <v>10</v>
      </c>
      <c r="R480" s="4">
        <f>RANK(N480,$N$2:N$2800,0)</f>
        <v>2275</v>
      </c>
      <c r="S480">
        <f t="shared" si="36"/>
        <v>1</v>
      </c>
      <c r="T480" t="str">
        <f t="shared" si="37"/>
        <v>Low</v>
      </c>
      <c r="U480" t="str" cm="1">
        <f t="array" ref="U480">_xlfn.LET(_xlpm.roles,_xlfn.UNIQUE(D480:D3278),_xlpm.kills, SUMIF(D480:D3278,_xlpm.roles,G480:G3278),INDEX(_xlpm.roles,MATCH(MAX(_xlpm.kills),_xlpm.kills,0)))</f>
        <v>Entry Fragger</v>
      </c>
      <c r="V480" t="str">
        <f t="shared" si="38"/>
        <v>High Accuracy</v>
      </c>
      <c r="W480" t="str" cm="1">
        <f t="array" ref="W480">_xlfn.LET(_xlpm.roles,_xlfn.UNIQUE(D480:D3278), _xlpm.counts,COUNTIF(D480:D3278,_xlpm.roles), INDEX(_xlpm.roles,MATCH(MAX(_xlpm.counts),_xlpm.counts,0)))</f>
        <v>Entry Fragger</v>
      </c>
      <c r="X480" s="2">
        <f t="shared" si="39"/>
        <v>13.135802469135802</v>
      </c>
    </row>
    <row r="481" spans="1:24" x14ac:dyDescent="0.3">
      <c r="A481">
        <v>903</v>
      </c>
      <c r="B481">
        <v>83</v>
      </c>
      <c r="C481" t="s">
        <v>35</v>
      </c>
      <c r="D481" t="s">
        <v>28</v>
      </c>
      <c r="E481" t="s">
        <v>23</v>
      </c>
      <c r="F481" t="s">
        <v>26</v>
      </c>
      <c r="G481">
        <v>16</v>
      </c>
      <c r="H481">
        <v>6</v>
      </c>
      <c r="I481">
        <v>10</v>
      </c>
      <c r="J481">
        <v>51</v>
      </c>
      <c r="K481">
        <v>218.41</v>
      </c>
      <c r="L481">
        <v>0.72</v>
      </c>
      <c r="M481">
        <v>46.3</v>
      </c>
      <c r="N481">
        <v>1</v>
      </c>
      <c r="O481" t="s">
        <v>20</v>
      </c>
      <c r="P481" t="s">
        <v>21</v>
      </c>
      <c r="Q481">
        <f t="shared" si="35"/>
        <v>12</v>
      </c>
      <c r="R481" s="4">
        <f>RANK(N481,$N$2:N$2800,0)</f>
        <v>1</v>
      </c>
      <c r="S481">
        <f t="shared" si="36"/>
        <v>1.6</v>
      </c>
      <c r="T481" t="str">
        <f t="shared" si="37"/>
        <v>Low</v>
      </c>
      <c r="U481" t="str" cm="1">
        <f t="array" ref="U481">_xlfn.LET(_xlpm.roles,_xlfn.UNIQUE(D481:D3279),_xlpm.kills, SUMIF(D481:D3279,_xlpm.roles,G481:G3279),INDEX(_xlpm.roles,MATCH(MAX(_xlpm.kills),_xlpm.kills,0)))</f>
        <v>Entry Fragger</v>
      </c>
      <c r="V481" t="str">
        <f t="shared" si="38"/>
        <v>High Accuracy</v>
      </c>
      <c r="W481" t="str" cm="1">
        <f t="array" ref="W481">_xlfn.LET(_xlpm.roles,_xlfn.UNIQUE(D481:D3279), _xlpm.counts,COUNTIF(D481:D3279,_xlpm.roles), INDEX(_xlpm.roles,MATCH(MAX(_xlpm.counts),_xlpm.counts,0)))</f>
        <v>Entry Fragger</v>
      </c>
      <c r="X481" s="2">
        <f t="shared" si="39"/>
        <v>12.599585062240664</v>
      </c>
    </row>
    <row r="482" spans="1:24" x14ac:dyDescent="0.3">
      <c r="A482">
        <v>1504</v>
      </c>
      <c r="B482">
        <v>83</v>
      </c>
      <c r="C482" t="s">
        <v>25</v>
      </c>
      <c r="D482" t="s">
        <v>31</v>
      </c>
      <c r="E482" t="s">
        <v>18</v>
      </c>
      <c r="F482" t="s">
        <v>24</v>
      </c>
      <c r="G482">
        <v>9</v>
      </c>
      <c r="H482">
        <v>9</v>
      </c>
      <c r="I482">
        <v>13</v>
      </c>
      <c r="J482">
        <v>34.36</v>
      </c>
      <c r="K482">
        <v>284.01</v>
      </c>
      <c r="L482">
        <v>0.47</v>
      </c>
      <c r="M482">
        <v>26.48</v>
      </c>
      <c r="N482">
        <v>0.72</v>
      </c>
      <c r="O482" t="s">
        <v>20</v>
      </c>
      <c r="P482" t="s">
        <v>21</v>
      </c>
      <c r="Q482">
        <f t="shared" si="35"/>
        <v>5</v>
      </c>
      <c r="R482" s="4">
        <f>RANK(N482,$N$2:N$2800,0)</f>
        <v>2663</v>
      </c>
      <c r="S482">
        <f t="shared" si="36"/>
        <v>0.69230769230769229</v>
      </c>
      <c r="T482" t="str">
        <f t="shared" si="37"/>
        <v>Low</v>
      </c>
      <c r="U482" t="str" cm="1">
        <f t="array" ref="U482">_xlfn.LET(_xlpm.roles,_xlfn.UNIQUE(D482:D3280),_xlpm.kills, SUMIF(D482:D3280,_xlpm.roles,G482:G3280),INDEX(_xlpm.roles,MATCH(MAX(_xlpm.kills),_xlpm.kills,0)))</f>
        <v>Entry Fragger</v>
      </c>
      <c r="V482" t="str">
        <f t="shared" si="38"/>
        <v>Medium Accuracy</v>
      </c>
      <c r="W482" t="str" cm="1">
        <f t="array" ref="W482">_xlfn.LET(_xlpm.roles,_xlfn.UNIQUE(D482:D3280), _xlpm.counts,COUNTIF(D482:D3280,_xlpm.roles), INDEX(_xlpm.roles,MATCH(MAX(_xlpm.counts),_xlpm.counts,0)))</f>
        <v>Entry Fragger</v>
      </c>
      <c r="X482" s="2">
        <f t="shared" si="39"/>
        <v>12.809421841541756</v>
      </c>
    </row>
    <row r="483" spans="1:24" x14ac:dyDescent="0.3">
      <c r="A483">
        <v>2370</v>
      </c>
      <c r="B483">
        <v>83</v>
      </c>
      <c r="C483" t="s">
        <v>27</v>
      </c>
      <c r="D483" t="s">
        <v>28</v>
      </c>
      <c r="E483" t="s">
        <v>33</v>
      </c>
      <c r="F483" t="s">
        <v>24</v>
      </c>
      <c r="G483">
        <v>11</v>
      </c>
      <c r="H483">
        <v>6</v>
      </c>
      <c r="I483">
        <v>5</v>
      </c>
      <c r="J483">
        <v>42.46</v>
      </c>
      <c r="K483">
        <v>190.19</v>
      </c>
      <c r="L483">
        <v>0.1</v>
      </c>
      <c r="M483">
        <v>43.23</v>
      </c>
      <c r="N483">
        <v>0.81</v>
      </c>
      <c r="O483" t="s">
        <v>20</v>
      </c>
      <c r="P483" t="s">
        <v>21</v>
      </c>
      <c r="Q483">
        <f t="shared" si="35"/>
        <v>12</v>
      </c>
      <c r="R483" s="4">
        <f>RANK(N483,$N$2:N$2800,0)</f>
        <v>2341</v>
      </c>
      <c r="S483">
        <f t="shared" si="36"/>
        <v>2.2000000000000002</v>
      </c>
      <c r="T483" t="str">
        <f t="shared" si="37"/>
        <v>Low</v>
      </c>
      <c r="U483" t="str" cm="1">
        <f t="array" ref="U483">_xlfn.LET(_xlpm.roles,_xlfn.UNIQUE(D483:D3281),_xlpm.kills, SUMIF(D483:D3281,_xlpm.roles,G483:G3281),INDEX(_xlpm.roles,MATCH(MAX(_xlpm.kills),_xlpm.kills,0)))</f>
        <v>Entry Fragger</v>
      </c>
      <c r="V483" t="str">
        <f t="shared" si="38"/>
        <v>Medium Accuracy</v>
      </c>
      <c r="W483" t="str" cm="1">
        <f t="array" ref="W483">_xlfn.LET(_xlpm.roles,_xlfn.UNIQUE(D483:D3281), _xlpm.counts,COUNTIF(D483:D3281,_xlpm.roles), INDEX(_xlpm.roles,MATCH(MAX(_xlpm.counts),_xlpm.counts,0)))</f>
        <v>Entry Fragger</v>
      </c>
      <c r="X483" s="2">
        <f t="shared" si="39"/>
        <v>13.057077625570777</v>
      </c>
    </row>
    <row r="484" spans="1:24" x14ac:dyDescent="0.3">
      <c r="A484">
        <v>2536</v>
      </c>
      <c r="B484">
        <v>83</v>
      </c>
      <c r="C484" t="s">
        <v>30</v>
      </c>
      <c r="D484" t="s">
        <v>22</v>
      </c>
      <c r="E484" t="s">
        <v>23</v>
      </c>
      <c r="F484" t="s">
        <v>19</v>
      </c>
      <c r="G484">
        <v>14</v>
      </c>
      <c r="H484">
        <v>6</v>
      </c>
      <c r="I484">
        <v>11</v>
      </c>
      <c r="J484">
        <v>38.56</v>
      </c>
      <c r="K484">
        <v>182.67</v>
      </c>
      <c r="L484">
        <v>0.57999999999999996</v>
      </c>
      <c r="M484">
        <v>36.479999999999997</v>
      </c>
      <c r="N484">
        <v>0.83</v>
      </c>
      <c r="O484" t="s">
        <v>20</v>
      </c>
      <c r="P484" t="s">
        <v>21</v>
      </c>
      <c r="Q484">
        <f t="shared" si="35"/>
        <v>9</v>
      </c>
      <c r="R484" s="4">
        <f>RANK(N484,$N$2:N$2800,0)</f>
        <v>2218</v>
      </c>
      <c r="S484">
        <f t="shared" si="36"/>
        <v>1.2727272727272727</v>
      </c>
      <c r="T484" t="str">
        <f t="shared" si="37"/>
        <v>Low</v>
      </c>
      <c r="U484" t="str" cm="1">
        <f t="array" ref="U484">_xlfn.LET(_xlpm.roles,_xlfn.UNIQUE(D484:D3282),_xlpm.kills, SUMIF(D484:D3282,_xlpm.roles,G484:G3282),INDEX(_xlpm.roles,MATCH(MAX(_xlpm.kills),_xlpm.kills,0)))</f>
        <v>Entry Fragger</v>
      </c>
      <c r="V484" t="str">
        <f t="shared" si="38"/>
        <v>Medium Accuracy</v>
      </c>
      <c r="W484" t="str" cm="1">
        <f t="array" ref="W484">_xlfn.LET(_xlpm.roles,_xlfn.UNIQUE(D484:D3282), _xlpm.counts,COUNTIF(D484:D3282,_xlpm.roles), INDEX(_xlpm.roles,MATCH(MAX(_xlpm.counts),_xlpm.counts,0)))</f>
        <v>Entry Fragger</v>
      </c>
      <c r="X484" s="2">
        <f t="shared" si="39"/>
        <v>13.135802469135802</v>
      </c>
    </row>
    <row r="485" spans="1:24" x14ac:dyDescent="0.3">
      <c r="A485">
        <v>2589</v>
      </c>
      <c r="B485">
        <v>83</v>
      </c>
      <c r="C485" t="s">
        <v>35</v>
      </c>
      <c r="D485" t="s">
        <v>31</v>
      </c>
      <c r="E485" t="s">
        <v>29</v>
      </c>
      <c r="F485" t="s">
        <v>37</v>
      </c>
      <c r="G485">
        <v>16</v>
      </c>
      <c r="H485">
        <v>4</v>
      </c>
      <c r="I485">
        <v>10</v>
      </c>
      <c r="J485">
        <v>26.18</v>
      </c>
      <c r="K485">
        <v>215.2</v>
      </c>
      <c r="L485">
        <v>0.91</v>
      </c>
      <c r="M485">
        <v>29.99</v>
      </c>
      <c r="N485">
        <v>0.92</v>
      </c>
      <c r="O485" t="s">
        <v>20</v>
      </c>
      <c r="P485" t="s">
        <v>21</v>
      </c>
      <c r="Q485">
        <f t="shared" si="35"/>
        <v>10</v>
      </c>
      <c r="R485" s="4">
        <f>RANK(N485,$N$2:N$2800,0)</f>
        <v>1585</v>
      </c>
      <c r="S485">
        <f t="shared" si="36"/>
        <v>1.6</v>
      </c>
      <c r="T485" t="str">
        <f t="shared" si="37"/>
        <v>Low</v>
      </c>
      <c r="U485" t="str" cm="1">
        <f t="array" ref="U485">_xlfn.LET(_xlpm.roles,_xlfn.UNIQUE(D485:D3283),_xlpm.kills, SUMIF(D485:D3283,_xlpm.roles,G485:G3283),INDEX(_xlpm.roles,MATCH(MAX(_xlpm.kills),_xlpm.kills,0)))</f>
        <v>Entry Fragger</v>
      </c>
      <c r="V485" t="str">
        <f t="shared" si="38"/>
        <v>Low Accuracy</v>
      </c>
      <c r="W485" t="str" cm="1">
        <f t="array" ref="W485">_xlfn.LET(_xlpm.roles,_xlfn.UNIQUE(D485:D3283), _xlpm.counts,COUNTIF(D485:D3283,_xlpm.roles), INDEX(_xlpm.roles,MATCH(MAX(_xlpm.counts),_xlpm.counts,0)))</f>
        <v>Entry Fragger</v>
      </c>
      <c r="X485" s="2">
        <f t="shared" si="39"/>
        <v>12.599585062240664</v>
      </c>
    </row>
    <row r="486" spans="1:24" x14ac:dyDescent="0.3">
      <c r="A486">
        <v>2687</v>
      </c>
      <c r="B486">
        <v>83</v>
      </c>
      <c r="C486" t="s">
        <v>30</v>
      </c>
      <c r="D486" t="s">
        <v>17</v>
      </c>
      <c r="E486" t="s">
        <v>23</v>
      </c>
      <c r="F486" t="s">
        <v>34</v>
      </c>
      <c r="G486">
        <v>12</v>
      </c>
      <c r="H486">
        <v>9</v>
      </c>
      <c r="I486">
        <v>15</v>
      </c>
      <c r="J486">
        <v>47.18</v>
      </c>
      <c r="K486">
        <v>172.18</v>
      </c>
      <c r="L486">
        <v>0.06</v>
      </c>
      <c r="M486">
        <v>40.99</v>
      </c>
      <c r="N486">
        <v>0.99</v>
      </c>
      <c r="O486" t="s">
        <v>20</v>
      </c>
      <c r="P486" t="s">
        <v>21</v>
      </c>
      <c r="Q486">
        <f t="shared" si="35"/>
        <v>6</v>
      </c>
      <c r="R486" s="4">
        <f>RANK(N486,$N$2:N$2800,0)</f>
        <v>1080</v>
      </c>
      <c r="S486">
        <f t="shared" si="36"/>
        <v>0.8</v>
      </c>
      <c r="T486" t="str">
        <f t="shared" si="37"/>
        <v>Low</v>
      </c>
      <c r="U486" t="str" cm="1">
        <f t="array" ref="U486">_xlfn.LET(_xlpm.roles,_xlfn.UNIQUE(D486:D3284),_xlpm.kills, SUMIF(D486:D3284,_xlpm.roles,G486:G3284),INDEX(_xlpm.roles,MATCH(MAX(_xlpm.kills),_xlpm.kills,0)))</f>
        <v>Entry Fragger</v>
      </c>
      <c r="V486" t="str">
        <f t="shared" si="38"/>
        <v>Medium Accuracy</v>
      </c>
      <c r="W486" t="str" cm="1">
        <f t="array" ref="W486">_xlfn.LET(_xlpm.roles,_xlfn.UNIQUE(D486:D3284), _xlpm.counts,COUNTIF(D486:D3284,_xlpm.roles), INDEX(_xlpm.roles,MATCH(MAX(_xlpm.counts),_xlpm.counts,0)))</f>
        <v>Entry Fragger</v>
      </c>
      <c r="X486" s="2">
        <f t="shared" si="39"/>
        <v>13.135802469135802</v>
      </c>
    </row>
    <row r="487" spans="1:24" x14ac:dyDescent="0.3">
      <c r="A487">
        <v>18</v>
      </c>
      <c r="B487">
        <v>84</v>
      </c>
      <c r="C487" t="s">
        <v>16</v>
      </c>
      <c r="D487" t="s">
        <v>28</v>
      </c>
      <c r="E487" t="s">
        <v>32</v>
      </c>
      <c r="F487" t="s">
        <v>34</v>
      </c>
      <c r="G487">
        <v>16</v>
      </c>
      <c r="H487">
        <v>4</v>
      </c>
      <c r="I487">
        <v>3</v>
      </c>
      <c r="J487">
        <v>58.21</v>
      </c>
      <c r="K487">
        <v>233.31</v>
      </c>
      <c r="L487">
        <v>0.47</v>
      </c>
      <c r="M487">
        <v>57.41</v>
      </c>
      <c r="N487">
        <v>1</v>
      </c>
      <c r="O487" t="s">
        <v>20</v>
      </c>
      <c r="P487" t="s">
        <v>21</v>
      </c>
      <c r="Q487">
        <f t="shared" si="35"/>
        <v>17</v>
      </c>
      <c r="R487" s="4">
        <f>RANK(N487,$N$2:N$2800,0)</f>
        <v>1</v>
      </c>
      <c r="S487">
        <f t="shared" si="36"/>
        <v>5.333333333333333</v>
      </c>
      <c r="T487" t="str">
        <f t="shared" si="37"/>
        <v>Good</v>
      </c>
      <c r="U487" t="str" cm="1">
        <f t="array" ref="U487">_xlfn.LET(_xlpm.roles,_xlfn.UNIQUE(D487:D3285),_xlpm.kills, SUMIF(D487:D3285,_xlpm.roles,G487:G3285),INDEX(_xlpm.roles,MATCH(MAX(_xlpm.kills),_xlpm.kills,0)))</f>
        <v>Entry Fragger</v>
      </c>
      <c r="V487" t="str">
        <f t="shared" si="38"/>
        <v>High Accuracy</v>
      </c>
      <c r="W487" t="str" cm="1">
        <f t="array" ref="W487">_xlfn.LET(_xlpm.roles,_xlfn.UNIQUE(D487:D3285), _xlpm.counts,COUNTIF(D487:D3285,_xlpm.roles), INDEX(_xlpm.roles,MATCH(MAX(_xlpm.counts),_xlpm.counts,0)))</f>
        <v>Entry Fragger</v>
      </c>
      <c r="X487" s="2">
        <f t="shared" si="39"/>
        <v>12.520971302428256</v>
      </c>
    </row>
    <row r="488" spans="1:24" x14ac:dyDescent="0.3">
      <c r="A488">
        <v>769</v>
      </c>
      <c r="B488">
        <v>84</v>
      </c>
      <c r="C488" t="s">
        <v>16</v>
      </c>
      <c r="D488" t="s">
        <v>28</v>
      </c>
      <c r="E488" t="s">
        <v>33</v>
      </c>
      <c r="F488" t="s">
        <v>26</v>
      </c>
      <c r="G488">
        <v>12</v>
      </c>
      <c r="H488">
        <v>3</v>
      </c>
      <c r="I488">
        <v>4</v>
      </c>
      <c r="J488">
        <v>39.89</v>
      </c>
      <c r="K488">
        <v>187.59</v>
      </c>
      <c r="L488">
        <v>0.87</v>
      </c>
      <c r="M488">
        <v>34.25</v>
      </c>
      <c r="N488">
        <v>0.76</v>
      </c>
      <c r="O488" t="s">
        <v>20</v>
      </c>
      <c r="P488" t="s">
        <v>21</v>
      </c>
      <c r="Q488">
        <f t="shared" si="35"/>
        <v>11</v>
      </c>
      <c r="R488" s="4">
        <f>RANK(N488,$N$2:N$2800,0)</f>
        <v>2547</v>
      </c>
      <c r="S488">
        <f t="shared" si="36"/>
        <v>3</v>
      </c>
      <c r="T488" t="str">
        <f t="shared" si="37"/>
        <v>Low</v>
      </c>
      <c r="U488" t="str" cm="1">
        <f t="array" ref="U488">_xlfn.LET(_xlpm.roles,_xlfn.UNIQUE(D488:D3286),_xlpm.kills, SUMIF(D488:D3286,_xlpm.roles,G488:G3286),INDEX(_xlpm.roles,MATCH(MAX(_xlpm.kills),_xlpm.kills,0)))</f>
        <v>Entry Fragger</v>
      </c>
      <c r="V488" t="str">
        <f t="shared" si="38"/>
        <v>Medium Accuracy</v>
      </c>
      <c r="W488" t="str" cm="1">
        <f t="array" ref="W488">_xlfn.LET(_xlpm.roles,_xlfn.UNIQUE(D488:D3286), _xlpm.counts,COUNTIF(D488:D3286,_xlpm.roles), INDEX(_xlpm.roles,MATCH(MAX(_xlpm.counts),_xlpm.counts,0)))</f>
        <v>Entry Fragger</v>
      </c>
      <c r="X488" s="2">
        <f t="shared" si="39"/>
        <v>12.520971302428256</v>
      </c>
    </row>
    <row r="489" spans="1:24" x14ac:dyDescent="0.3">
      <c r="A489">
        <v>785</v>
      </c>
      <c r="B489">
        <v>84</v>
      </c>
      <c r="C489" t="s">
        <v>30</v>
      </c>
      <c r="D489" t="s">
        <v>17</v>
      </c>
      <c r="E489" t="s">
        <v>33</v>
      </c>
      <c r="F489" t="s">
        <v>26</v>
      </c>
      <c r="G489">
        <v>18</v>
      </c>
      <c r="H489">
        <v>8</v>
      </c>
      <c r="I489">
        <v>7</v>
      </c>
      <c r="J489">
        <v>30.93</v>
      </c>
      <c r="K489">
        <v>234.52</v>
      </c>
      <c r="L489">
        <v>0.83</v>
      </c>
      <c r="M489">
        <v>44.17</v>
      </c>
      <c r="N489">
        <v>0.93</v>
      </c>
      <c r="O489" t="s">
        <v>20</v>
      </c>
      <c r="P489" t="s">
        <v>21</v>
      </c>
      <c r="Q489">
        <f t="shared" si="35"/>
        <v>19</v>
      </c>
      <c r="R489" s="4">
        <f>RANK(N489,$N$2:N$2800,0)</f>
        <v>1505</v>
      </c>
      <c r="S489">
        <f t="shared" si="36"/>
        <v>2.5714285714285716</v>
      </c>
      <c r="T489" t="str">
        <f t="shared" si="37"/>
        <v>Good</v>
      </c>
      <c r="U489" t="str" cm="1">
        <f t="array" ref="U489">_xlfn.LET(_xlpm.roles,_xlfn.UNIQUE(D489:D3287),_xlpm.kills, SUMIF(D489:D3287,_xlpm.roles,G489:G3287),INDEX(_xlpm.roles,MATCH(MAX(_xlpm.kills),_xlpm.kills,0)))</f>
        <v>Entry Fragger</v>
      </c>
      <c r="V489" t="str">
        <f t="shared" si="38"/>
        <v>Medium Accuracy</v>
      </c>
      <c r="W489" t="str" cm="1">
        <f t="array" ref="W489">_xlfn.LET(_xlpm.roles,_xlfn.UNIQUE(D489:D3287), _xlpm.counts,COUNTIF(D489:D3287,_xlpm.roles), INDEX(_xlpm.roles,MATCH(MAX(_xlpm.counts),_xlpm.counts,0)))</f>
        <v>Entry Fragger</v>
      </c>
      <c r="X489" s="2">
        <f t="shared" si="39"/>
        <v>13.135802469135802</v>
      </c>
    </row>
    <row r="490" spans="1:24" x14ac:dyDescent="0.3">
      <c r="A490">
        <v>1750</v>
      </c>
      <c r="B490">
        <v>84</v>
      </c>
      <c r="C490" t="s">
        <v>27</v>
      </c>
      <c r="D490" t="s">
        <v>22</v>
      </c>
      <c r="E490" t="s">
        <v>32</v>
      </c>
      <c r="F490" t="s">
        <v>24</v>
      </c>
      <c r="G490">
        <v>15</v>
      </c>
      <c r="H490">
        <v>8</v>
      </c>
      <c r="I490">
        <v>7</v>
      </c>
      <c r="J490">
        <v>41.56</v>
      </c>
      <c r="K490">
        <v>273.33999999999997</v>
      </c>
      <c r="L490">
        <v>0.35</v>
      </c>
      <c r="M490">
        <v>48.28</v>
      </c>
      <c r="N490">
        <v>0.99</v>
      </c>
      <c r="O490" t="s">
        <v>20</v>
      </c>
      <c r="P490" t="s">
        <v>21</v>
      </c>
      <c r="Q490">
        <f t="shared" si="35"/>
        <v>16</v>
      </c>
      <c r="R490" s="4">
        <f>RANK(N490,$N$2:N$2800,0)</f>
        <v>1080</v>
      </c>
      <c r="S490">
        <f t="shared" si="36"/>
        <v>2.1428571428571428</v>
      </c>
      <c r="T490" t="str">
        <f t="shared" si="37"/>
        <v>Good</v>
      </c>
      <c r="U490" t="str" cm="1">
        <f t="array" ref="U490">_xlfn.LET(_xlpm.roles,_xlfn.UNIQUE(D490:D3288),_xlpm.kills, SUMIF(D490:D3288,_xlpm.roles,G490:G3288),INDEX(_xlpm.roles,MATCH(MAX(_xlpm.kills),_xlpm.kills,0)))</f>
        <v>Entry Fragger</v>
      </c>
      <c r="V490" t="str">
        <f t="shared" si="38"/>
        <v>Medium Accuracy</v>
      </c>
      <c r="W490" t="str" cm="1">
        <f t="array" ref="W490">_xlfn.LET(_xlpm.roles,_xlfn.UNIQUE(D490:D3288), _xlpm.counts,COUNTIF(D490:D3288,_xlpm.roles), INDEX(_xlpm.roles,MATCH(MAX(_xlpm.counts),_xlpm.counts,0)))</f>
        <v>Entry Fragger</v>
      </c>
      <c r="X490" s="2">
        <f t="shared" si="39"/>
        <v>13.057077625570777</v>
      </c>
    </row>
    <row r="491" spans="1:24" x14ac:dyDescent="0.3">
      <c r="A491">
        <v>2519</v>
      </c>
      <c r="B491">
        <v>85</v>
      </c>
      <c r="C491" t="s">
        <v>30</v>
      </c>
      <c r="D491" t="s">
        <v>17</v>
      </c>
      <c r="E491" t="s">
        <v>18</v>
      </c>
      <c r="F491" t="s">
        <v>26</v>
      </c>
      <c r="G491">
        <v>17</v>
      </c>
      <c r="H491">
        <v>5</v>
      </c>
      <c r="I491">
        <v>5</v>
      </c>
      <c r="J491">
        <v>38.61</v>
      </c>
      <c r="K491">
        <v>271.14</v>
      </c>
      <c r="L491">
        <v>0.28000000000000003</v>
      </c>
      <c r="M491">
        <v>50.51</v>
      </c>
      <c r="N491">
        <v>1</v>
      </c>
      <c r="O491" t="s">
        <v>20</v>
      </c>
      <c r="P491" t="s">
        <v>21</v>
      </c>
      <c r="Q491">
        <f t="shared" si="35"/>
        <v>17</v>
      </c>
      <c r="R491" s="4">
        <f>RANK(N491,$N$2:N$2800,0)</f>
        <v>1</v>
      </c>
      <c r="S491">
        <f t="shared" si="36"/>
        <v>3.4</v>
      </c>
      <c r="T491" t="str">
        <f t="shared" si="37"/>
        <v>Good</v>
      </c>
      <c r="U491" t="str" cm="1">
        <f t="array" ref="U491">_xlfn.LET(_xlpm.roles,_xlfn.UNIQUE(D491:D3289),_xlpm.kills, SUMIF(D491:D3289,_xlpm.roles,G491:G3289),INDEX(_xlpm.roles,MATCH(MAX(_xlpm.kills),_xlpm.kills,0)))</f>
        <v>Entry Fragger</v>
      </c>
      <c r="V491" t="str">
        <f t="shared" si="38"/>
        <v>Medium Accuracy</v>
      </c>
      <c r="W491" t="str" cm="1">
        <f t="array" ref="W491">_xlfn.LET(_xlpm.roles,_xlfn.UNIQUE(D491:D3289), _xlpm.counts,COUNTIF(D491:D3289,_xlpm.roles), INDEX(_xlpm.roles,MATCH(MAX(_xlpm.counts),_xlpm.counts,0)))</f>
        <v>Entry Fragger</v>
      </c>
      <c r="X491" s="2">
        <f t="shared" si="39"/>
        <v>13.135802469135802</v>
      </c>
    </row>
    <row r="492" spans="1:24" x14ac:dyDescent="0.3">
      <c r="A492">
        <v>66</v>
      </c>
      <c r="B492">
        <v>86</v>
      </c>
      <c r="C492" t="s">
        <v>25</v>
      </c>
      <c r="D492" t="s">
        <v>17</v>
      </c>
      <c r="E492" t="s">
        <v>29</v>
      </c>
      <c r="F492" t="s">
        <v>34</v>
      </c>
      <c r="G492">
        <v>16</v>
      </c>
      <c r="H492">
        <v>4</v>
      </c>
      <c r="I492">
        <v>9</v>
      </c>
      <c r="J492">
        <v>44.89</v>
      </c>
      <c r="K492">
        <v>172.48</v>
      </c>
      <c r="L492">
        <v>0.69</v>
      </c>
      <c r="M492">
        <v>42.55</v>
      </c>
      <c r="N492">
        <v>1</v>
      </c>
      <c r="O492" t="s">
        <v>20</v>
      </c>
      <c r="P492" t="s">
        <v>21</v>
      </c>
      <c r="Q492">
        <f t="shared" si="35"/>
        <v>11</v>
      </c>
      <c r="R492" s="4">
        <f>RANK(N492,$N$2:N$2800,0)</f>
        <v>1</v>
      </c>
      <c r="S492">
        <f t="shared" si="36"/>
        <v>1.7777777777777777</v>
      </c>
      <c r="T492" t="str">
        <f t="shared" si="37"/>
        <v>Low</v>
      </c>
      <c r="U492" t="str" cm="1">
        <f t="array" ref="U492">_xlfn.LET(_xlpm.roles,_xlfn.UNIQUE(D492:D3290),_xlpm.kills, SUMIF(D492:D3290,_xlpm.roles,G492:G3290),INDEX(_xlpm.roles,MATCH(MAX(_xlpm.kills),_xlpm.kills,0)))</f>
        <v>Entry Fragger</v>
      </c>
      <c r="V492" t="str">
        <f t="shared" si="38"/>
        <v>Medium Accuracy</v>
      </c>
      <c r="W492" t="str" cm="1">
        <f t="array" ref="W492">_xlfn.LET(_xlpm.roles,_xlfn.UNIQUE(D492:D3290), _xlpm.counts,COUNTIF(D492:D3290,_xlpm.roles), INDEX(_xlpm.roles,MATCH(MAX(_xlpm.counts),_xlpm.counts,0)))</f>
        <v>Entry Fragger</v>
      </c>
      <c r="X492" s="2">
        <f t="shared" si="39"/>
        <v>12.809421841541756</v>
      </c>
    </row>
    <row r="493" spans="1:24" x14ac:dyDescent="0.3">
      <c r="A493">
        <v>274</v>
      </c>
      <c r="B493">
        <v>86</v>
      </c>
      <c r="C493" t="s">
        <v>35</v>
      </c>
      <c r="D493" t="s">
        <v>28</v>
      </c>
      <c r="E493" t="s">
        <v>18</v>
      </c>
      <c r="F493" t="s">
        <v>34</v>
      </c>
      <c r="G493">
        <v>16</v>
      </c>
      <c r="H493">
        <v>11</v>
      </c>
      <c r="I493">
        <v>12</v>
      </c>
      <c r="J493">
        <v>46.56</v>
      </c>
      <c r="K493">
        <v>237.16</v>
      </c>
      <c r="L493">
        <v>0.47</v>
      </c>
      <c r="M493">
        <v>49.58</v>
      </c>
      <c r="N493">
        <v>0.93</v>
      </c>
      <c r="O493" t="s">
        <v>20</v>
      </c>
      <c r="P493" t="s">
        <v>21</v>
      </c>
      <c r="Q493">
        <f t="shared" si="35"/>
        <v>15</v>
      </c>
      <c r="R493" s="4">
        <f>RANK(N493,$N$2:N$2800,0)</f>
        <v>1505</v>
      </c>
      <c r="S493">
        <f t="shared" si="36"/>
        <v>1.3333333333333333</v>
      </c>
      <c r="T493" t="str">
        <f t="shared" si="37"/>
        <v>Good</v>
      </c>
      <c r="U493" t="str" cm="1">
        <f t="array" ref="U493">_xlfn.LET(_xlpm.roles,_xlfn.UNIQUE(D493:D3291),_xlpm.kills, SUMIF(D493:D3291,_xlpm.roles,G493:G3291),INDEX(_xlpm.roles,MATCH(MAX(_xlpm.kills),_xlpm.kills,0)))</f>
        <v>Entry Fragger</v>
      </c>
      <c r="V493" t="str">
        <f t="shared" si="38"/>
        <v>Medium Accuracy</v>
      </c>
      <c r="W493" t="str" cm="1">
        <f t="array" ref="W493">_xlfn.LET(_xlpm.roles,_xlfn.UNIQUE(D493:D3291), _xlpm.counts,COUNTIF(D493:D3291,_xlpm.roles), INDEX(_xlpm.roles,MATCH(MAX(_xlpm.counts),_xlpm.counts,0)))</f>
        <v>Entry Fragger</v>
      </c>
      <c r="X493" s="2">
        <f t="shared" si="39"/>
        <v>12.599585062240664</v>
      </c>
    </row>
    <row r="494" spans="1:24" x14ac:dyDescent="0.3">
      <c r="A494">
        <v>968</v>
      </c>
      <c r="B494">
        <v>86</v>
      </c>
      <c r="C494" t="s">
        <v>25</v>
      </c>
      <c r="D494" t="s">
        <v>17</v>
      </c>
      <c r="E494" t="s">
        <v>23</v>
      </c>
      <c r="F494" t="s">
        <v>19</v>
      </c>
      <c r="G494">
        <v>22</v>
      </c>
      <c r="H494">
        <v>7</v>
      </c>
      <c r="I494">
        <v>7</v>
      </c>
      <c r="J494">
        <v>43.68</v>
      </c>
      <c r="K494">
        <v>184.64</v>
      </c>
      <c r="L494">
        <v>0.1</v>
      </c>
      <c r="M494">
        <v>64.84</v>
      </c>
      <c r="N494">
        <v>1</v>
      </c>
      <c r="O494" t="s">
        <v>20</v>
      </c>
      <c r="P494" t="s">
        <v>38</v>
      </c>
      <c r="Q494">
        <f t="shared" si="35"/>
        <v>22</v>
      </c>
      <c r="R494" s="4">
        <f>RANK(N494,$N$2:N$2800,0)</f>
        <v>1</v>
      </c>
      <c r="S494">
        <f t="shared" si="36"/>
        <v>3.1428571428571428</v>
      </c>
      <c r="T494" t="str">
        <f t="shared" si="37"/>
        <v>Good</v>
      </c>
      <c r="U494" t="str" cm="1">
        <f t="array" ref="U494">_xlfn.LET(_xlpm.roles,_xlfn.UNIQUE(D494:D3292),_xlpm.kills, SUMIF(D494:D3292,_xlpm.roles,G494:G3292),INDEX(_xlpm.roles,MATCH(MAX(_xlpm.kills),_xlpm.kills,0)))</f>
        <v>Entry Fragger</v>
      </c>
      <c r="V494" t="str">
        <f t="shared" si="38"/>
        <v>Medium Accuracy</v>
      </c>
      <c r="W494" t="str" cm="1">
        <f t="array" ref="W494">_xlfn.LET(_xlpm.roles,_xlfn.UNIQUE(D494:D3292), _xlpm.counts,COUNTIF(D494:D3292,_xlpm.roles), INDEX(_xlpm.roles,MATCH(MAX(_xlpm.counts),_xlpm.counts,0)))</f>
        <v>Entry Fragger</v>
      </c>
      <c r="X494" s="2">
        <f t="shared" si="39"/>
        <v>12.809421841541756</v>
      </c>
    </row>
    <row r="495" spans="1:24" x14ac:dyDescent="0.3">
      <c r="A495">
        <v>1044</v>
      </c>
      <c r="B495">
        <v>86</v>
      </c>
      <c r="C495" t="s">
        <v>30</v>
      </c>
      <c r="D495" t="s">
        <v>22</v>
      </c>
      <c r="E495" t="s">
        <v>32</v>
      </c>
      <c r="F495" t="s">
        <v>26</v>
      </c>
      <c r="G495">
        <v>8</v>
      </c>
      <c r="H495">
        <v>7</v>
      </c>
      <c r="I495">
        <v>8</v>
      </c>
      <c r="J495">
        <v>51</v>
      </c>
      <c r="K495">
        <v>252.07</v>
      </c>
      <c r="L495">
        <v>0.93</v>
      </c>
      <c r="M495">
        <v>31.2</v>
      </c>
      <c r="N495">
        <v>0.74</v>
      </c>
      <c r="O495" t="s">
        <v>20</v>
      </c>
      <c r="P495" t="s">
        <v>21</v>
      </c>
      <c r="Q495">
        <f t="shared" si="35"/>
        <v>7</v>
      </c>
      <c r="R495" s="4">
        <f>RANK(N495,$N$2:N$2800,0)</f>
        <v>2613</v>
      </c>
      <c r="S495">
        <f t="shared" si="36"/>
        <v>1</v>
      </c>
      <c r="T495" t="str">
        <f t="shared" si="37"/>
        <v>Low</v>
      </c>
      <c r="U495" t="str" cm="1">
        <f t="array" ref="U495">_xlfn.LET(_xlpm.roles,_xlfn.UNIQUE(D495:D3293),_xlpm.kills, SUMIF(D495:D3293,_xlpm.roles,G495:G3293),INDEX(_xlpm.roles,MATCH(MAX(_xlpm.kills),_xlpm.kills,0)))</f>
        <v>Entry Fragger</v>
      </c>
      <c r="V495" t="str">
        <f t="shared" si="38"/>
        <v>High Accuracy</v>
      </c>
      <c r="W495" t="str" cm="1">
        <f t="array" ref="W495">_xlfn.LET(_xlpm.roles,_xlfn.UNIQUE(D495:D3293), _xlpm.counts,COUNTIF(D495:D3293,_xlpm.roles), INDEX(_xlpm.roles,MATCH(MAX(_xlpm.counts),_xlpm.counts,0)))</f>
        <v>Entry Fragger</v>
      </c>
      <c r="X495" s="2">
        <f t="shared" si="39"/>
        <v>13.135802469135802</v>
      </c>
    </row>
    <row r="496" spans="1:24" x14ac:dyDescent="0.3">
      <c r="A496">
        <v>2152</v>
      </c>
      <c r="B496">
        <v>86</v>
      </c>
      <c r="C496" t="s">
        <v>35</v>
      </c>
      <c r="D496" t="s">
        <v>22</v>
      </c>
      <c r="E496" t="s">
        <v>18</v>
      </c>
      <c r="F496" t="s">
        <v>34</v>
      </c>
      <c r="G496">
        <v>11</v>
      </c>
      <c r="H496">
        <v>9</v>
      </c>
      <c r="I496">
        <v>8</v>
      </c>
      <c r="J496">
        <v>44.62</v>
      </c>
      <c r="K496">
        <v>179.89</v>
      </c>
      <c r="L496">
        <v>0.49</v>
      </c>
      <c r="M496">
        <v>40.409999999999997</v>
      </c>
      <c r="N496">
        <v>0.85</v>
      </c>
      <c r="O496" t="s">
        <v>20</v>
      </c>
      <c r="P496" t="s">
        <v>21</v>
      </c>
      <c r="Q496">
        <f t="shared" si="35"/>
        <v>12</v>
      </c>
      <c r="R496" s="4">
        <f>RANK(N496,$N$2:N$2800,0)</f>
        <v>2105</v>
      </c>
      <c r="S496">
        <f t="shared" si="36"/>
        <v>1.375</v>
      </c>
      <c r="T496" t="str">
        <f t="shared" si="37"/>
        <v>Low</v>
      </c>
      <c r="U496" t="str" cm="1">
        <f t="array" ref="U496">_xlfn.LET(_xlpm.roles,_xlfn.UNIQUE(D496:D3294),_xlpm.kills, SUMIF(D496:D3294,_xlpm.roles,G496:G3294),INDEX(_xlpm.roles,MATCH(MAX(_xlpm.kills),_xlpm.kills,0)))</f>
        <v>Entry Fragger</v>
      </c>
      <c r="V496" t="str">
        <f t="shared" si="38"/>
        <v>Medium Accuracy</v>
      </c>
      <c r="W496" t="str" cm="1">
        <f t="array" ref="W496">_xlfn.LET(_xlpm.roles,_xlfn.UNIQUE(D496:D3294), _xlpm.counts,COUNTIF(D496:D3294,_xlpm.roles), INDEX(_xlpm.roles,MATCH(MAX(_xlpm.counts),_xlpm.counts,0)))</f>
        <v>Entry Fragger</v>
      </c>
      <c r="X496" s="2">
        <f t="shared" si="39"/>
        <v>12.599585062240664</v>
      </c>
    </row>
    <row r="497" spans="1:24" x14ac:dyDescent="0.3">
      <c r="A497">
        <v>2584</v>
      </c>
      <c r="B497">
        <v>86</v>
      </c>
      <c r="C497" t="s">
        <v>27</v>
      </c>
      <c r="D497" t="s">
        <v>28</v>
      </c>
      <c r="E497" t="s">
        <v>32</v>
      </c>
      <c r="F497" t="s">
        <v>34</v>
      </c>
      <c r="G497">
        <v>10</v>
      </c>
      <c r="H497">
        <v>7</v>
      </c>
      <c r="I497">
        <v>9</v>
      </c>
      <c r="J497">
        <v>49.61</v>
      </c>
      <c r="K497">
        <v>242.3</v>
      </c>
      <c r="L497">
        <v>0.48</v>
      </c>
      <c r="M497">
        <v>38.01</v>
      </c>
      <c r="N497">
        <v>0.78</v>
      </c>
      <c r="O497" t="s">
        <v>20</v>
      </c>
      <c r="P497" t="s">
        <v>21</v>
      </c>
      <c r="Q497">
        <f t="shared" si="35"/>
        <v>8</v>
      </c>
      <c r="R497" s="4">
        <f>RANK(N497,$N$2:N$2800,0)</f>
        <v>2469</v>
      </c>
      <c r="S497">
        <f t="shared" si="36"/>
        <v>1.1111111111111112</v>
      </c>
      <c r="T497" t="str">
        <f t="shared" si="37"/>
        <v>Low</v>
      </c>
      <c r="U497" t="str" cm="1">
        <f t="array" ref="U497">_xlfn.LET(_xlpm.roles,_xlfn.UNIQUE(D497:D3295),_xlpm.kills, SUMIF(D497:D3295,_xlpm.roles,G497:G3295),INDEX(_xlpm.roles,MATCH(MAX(_xlpm.kills),_xlpm.kills,0)))</f>
        <v>Entry Fragger</v>
      </c>
      <c r="V497" t="str">
        <f t="shared" si="38"/>
        <v>Medium Accuracy</v>
      </c>
      <c r="W497" t="str" cm="1">
        <f t="array" ref="W497">_xlfn.LET(_xlpm.roles,_xlfn.UNIQUE(D497:D3295), _xlpm.counts,COUNTIF(D497:D3295,_xlpm.roles), INDEX(_xlpm.roles,MATCH(MAX(_xlpm.counts),_xlpm.counts,0)))</f>
        <v>Entry Fragger</v>
      </c>
      <c r="X497" s="2">
        <f t="shared" si="39"/>
        <v>13.057077625570777</v>
      </c>
    </row>
    <row r="498" spans="1:24" x14ac:dyDescent="0.3">
      <c r="A498">
        <v>68</v>
      </c>
      <c r="B498">
        <v>87</v>
      </c>
      <c r="C498" t="s">
        <v>35</v>
      </c>
      <c r="D498" t="s">
        <v>22</v>
      </c>
      <c r="E498" t="s">
        <v>29</v>
      </c>
      <c r="F498" t="s">
        <v>24</v>
      </c>
      <c r="G498">
        <v>10</v>
      </c>
      <c r="H498">
        <v>7</v>
      </c>
      <c r="I498">
        <v>16</v>
      </c>
      <c r="J498">
        <v>39.14</v>
      </c>
      <c r="K498">
        <v>274.36</v>
      </c>
      <c r="L498">
        <v>0.87</v>
      </c>
      <c r="M498">
        <v>21.87</v>
      </c>
      <c r="N498">
        <v>0.75</v>
      </c>
      <c r="O498" t="s">
        <v>20</v>
      </c>
      <c r="P498" t="s">
        <v>21</v>
      </c>
      <c r="Q498">
        <f t="shared" si="35"/>
        <v>1</v>
      </c>
      <c r="R498" s="4">
        <f>RANK(N498,$N$2:N$2800,0)</f>
        <v>2586</v>
      </c>
      <c r="S498">
        <f t="shared" si="36"/>
        <v>0.625</v>
      </c>
      <c r="T498" t="str">
        <f t="shared" si="37"/>
        <v>Low</v>
      </c>
      <c r="U498" t="str" cm="1">
        <f t="array" ref="U498">_xlfn.LET(_xlpm.roles,_xlfn.UNIQUE(D498:D3296),_xlpm.kills, SUMIF(D498:D3296,_xlpm.roles,G498:G3296),INDEX(_xlpm.roles,MATCH(MAX(_xlpm.kills),_xlpm.kills,0)))</f>
        <v>Entry Fragger</v>
      </c>
      <c r="V498" t="str">
        <f t="shared" si="38"/>
        <v>Medium Accuracy</v>
      </c>
      <c r="W498" t="str" cm="1">
        <f t="array" ref="W498">_xlfn.LET(_xlpm.roles,_xlfn.UNIQUE(D498:D3296), _xlpm.counts,COUNTIF(D498:D3296,_xlpm.roles), INDEX(_xlpm.roles,MATCH(MAX(_xlpm.counts),_xlpm.counts,0)))</f>
        <v>Entry Fragger</v>
      </c>
      <c r="X498" s="2">
        <f t="shared" si="39"/>
        <v>12.599585062240664</v>
      </c>
    </row>
    <row r="499" spans="1:24" x14ac:dyDescent="0.3">
      <c r="A499">
        <v>143</v>
      </c>
      <c r="B499">
        <v>87</v>
      </c>
      <c r="C499" t="s">
        <v>27</v>
      </c>
      <c r="D499" t="s">
        <v>17</v>
      </c>
      <c r="E499" t="s">
        <v>32</v>
      </c>
      <c r="F499" t="s">
        <v>37</v>
      </c>
      <c r="G499">
        <v>15</v>
      </c>
      <c r="H499">
        <v>4</v>
      </c>
      <c r="I499">
        <v>6</v>
      </c>
      <c r="J499">
        <v>24.5</v>
      </c>
      <c r="K499">
        <v>214.27</v>
      </c>
      <c r="L499">
        <v>0.53</v>
      </c>
      <c r="M499">
        <v>34.950000000000003</v>
      </c>
      <c r="N499">
        <v>0.84</v>
      </c>
      <c r="O499" t="s">
        <v>20</v>
      </c>
      <c r="P499" t="s">
        <v>21</v>
      </c>
      <c r="Q499">
        <f t="shared" si="35"/>
        <v>13</v>
      </c>
      <c r="R499" s="4">
        <f>RANK(N499,$N$2:N$2800,0)</f>
        <v>2156</v>
      </c>
      <c r="S499">
        <f t="shared" si="36"/>
        <v>2.5</v>
      </c>
      <c r="T499" t="str">
        <f t="shared" si="37"/>
        <v>Low</v>
      </c>
      <c r="U499" t="str" cm="1">
        <f t="array" ref="U499">_xlfn.LET(_xlpm.roles,_xlfn.UNIQUE(D499:D3297),_xlpm.kills, SUMIF(D499:D3297,_xlpm.roles,G499:G3297),INDEX(_xlpm.roles,MATCH(MAX(_xlpm.kills),_xlpm.kills,0)))</f>
        <v>Entry Fragger</v>
      </c>
      <c r="V499" t="str">
        <f t="shared" si="38"/>
        <v>Low Accuracy</v>
      </c>
      <c r="W499" t="str" cm="1">
        <f t="array" ref="W499">_xlfn.LET(_xlpm.roles,_xlfn.UNIQUE(D499:D3297), _xlpm.counts,COUNTIF(D499:D3297,_xlpm.roles), INDEX(_xlpm.roles,MATCH(MAX(_xlpm.counts),_xlpm.counts,0)))</f>
        <v>Entry Fragger</v>
      </c>
      <c r="X499" s="2">
        <f t="shared" si="39"/>
        <v>13.057077625570777</v>
      </c>
    </row>
    <row r="500" spans="1:24" x14ac:dyDescent="0.3">
      <c r="A500">
        <v>524</v>
      </c>
      <c r="B500">
        <v>87</v>
      </c>
      <c r="C500" t="s">
        <v>25</v>
      </c>
      <c r="D500" t="s">
        <v>28</v>
      </c>
      <c r="E500" t="s">
        <v>32</v>
      </c>
      <c r="F500" t="s">
        <v>19</v>
      </c>
      <c r="G500">
        <v>9</v>
      </c>
      <c r="H500">
        <v>10</v>
      </c>
      <c r="I500">
        <v>11</v>
      </c>
      <c r="J500">
        <v>36.85</v>
      </c>
      <c r="K500">
        <v>225.81</v>
      </c>
      <c r="L500">
        <v>0.52</v>
      </c>
      <c r="M500">
        <v>30.22</v>
      </c>
      <c r="N500">
        <v>0.78</v>
      </c>
      <c r="O500" t="s">
        <v>20</v>
      </c>
      <c r="P500" t="s">
        <v>21</v>
      </c>
      <c r="Q500">
        <f t="shared" si="35"/>
        <v>8</v>
      </c>
      <c r="R500" s="4">
        <f>RANK(N500,$N$2:N$2800,0)</f>
        <v>2469</v>
      </c>
      <c r="S500">
        <f t="shared" si="36"/>
        <v>0.81818181818181823</v>
      </c>
      <c r="T500" t="str">
        <f t="shared" si="37"/>
        <v>Low</v>
      </c>
      <c r="U500" t="str" cm="1">
        <f t="array" ref="U500">_xlfn.LET(_xlpm.roles,_xlfn.UNIQUE(D500:D3298),_xlpm.kills, SUMIF(D500:D3298,_xlpm.roles,G500:G3298),INDEX(_xlpm.roles,MATCH(MAX(_xlpm.kills),_xlpm.kills,0)))</f>
        <v>Entry Fragger</v>
      </c>
      <c r="V500" t="str">
        <f t="shared" si="38"/>
        <v>Medium Accuracy</v>
      </c>
      <c r="W500" t="str" cm="1">
        <f t="array" ref="W500">_xlfn.LET(_xlpm.roles,_xlfn.UNIQUE(D500:D3298), _xlpm.counts,COUNTIF(D500:D3298,_xlpm.roles), INDEX(_xlpm.roles,MATCH(MAX(_xlpm.counts),_xlpm.counts,0)))</f>
        <v>Entry Fragger</v>
      </c>
      <c r="X500" s="2">
        <f t="shared" si="39"/>
        <v>12.809421841541756</v>
      </c>
    </row>
    <row r="501" spans="1:24" x14ac:dyDescent="0.3">
      <c r="A501">
        <v>844</v>
      </c>
      <c r="B501">
        <v>87</v>
      </c>
      <c r="C501" t="s">
        <v>35</v>
      </c>
      <c r="D501" t="s">
        <v>28</v>
      </c>
      <c r="E501" t="s">
        <v>23</v>
      </c>
      <c r="F501" t="s">
        <v>37</v>
      </c>
      <c r="G501">
        <v>11</v>
      </c>
      <c r="H501">
        <v>8</v>
      </c>
      <c r="I501">
        <v>9</v>
      </c>
      <c r="J501">
        <v>39.200000000000003</v>
      </c>
      <c r="K501">
        <v>257.52</v>
      </c>
      <c r="L501">
        <v>0.78</v>
      </c>
      <c r="M501">
        <v>32.799999999999997</v>
      </c>
      <c r="N501">
        <v>0.86</v>
      </c>
      <c r="O501" t="s">
        <v>20</v>
      </c>
      <c r="P501" t="s">
        <v>21</v>
      </c>
      <c r="Q501">
        <f t="shared" si="35"/>
        <v>10</v>
      </c>
      <c r="R501" s="4">
        <f>RANK(N501,$N$2:N$2800,0)</f>
        <v>2040</v>
      </c>
      <c r="S501">
        <f t="shared" si="36"/>
        <v>1.2222222222222223</v>
      </c>
      <c r="T501" t="str">
        <f t="shared" si="37"/>
        <v>Low</v>
      </c>
      <c r="U501" t="str" cm="1">
        <f t="array" ref="U501">_xlfn.LET(_xlpm.roles,_xlfn.UNIQUE(D501:D3299),_xlpm.kills, SUMIF(D501:D3299,_xlpm.roles,G501:G3299),INDEX(_xlpm.roles,MATCH(MAX(_xlpm.kills),_xlpm.kills,0)))</f>
        <v>Entry Fragger</v>
      </c>
      <c r="V501" t="str">
        <f t="shared" si="38"/>
        <v>Medium Accuracy</v>
      </c>
      <c r="W501" t="str" cm="1">
        <f t="array" ref="W501">_xlfn.LET(_xlpm.roles,_xlfn.UNIQUE(D501:D3299), _xlpm.counts,COUNTIF(D501:D3299,_xlpm.roles), INDEX(_xlpm.roles,MATCH(MAX(_xlpm.counts),_xlpm.counts,0)))</f>
        <v>Entry Fragger</v>
      </c>
      <c r="X501" s="2">
        <f t="shared" si="39"/>
        <v>12.599585062240664</v>
      </c>
    </row>
    <row r="502" spans="1:24" x14ac:dyDescent="0.3">
      <c r="A502">
        <v>1492</v>
      </c>
      <c r="B502">
        <v>87</v>
      </c>
      <c r="C502" t="s">
        <v>27</v>
      </c>
      <c r="D502" t="s">
        <v>31</v>
      </c>
      <c r="E502" t="s">
        <v>18</v>
      </c>
      <c r="F502" t="s">
        <v>19</v>
      </c>
      <c r="G502">
        <v>19</v>
      </c>
      <c r="H502">
        <v>8</v>
      </c>
      <c r="I502">
        <v>11</v>
      </c>
      <c r="J502">
        <v>46.26</v>
      </c>
      <c r="K502">
        <v>198.33</v>
      </c>
      <c r="L502">
        <v>0.45</v>
      </c>
      <c r="M502">
        <v>53.63</v>
      </c>
      <c r="N502">
        <v>1</v>
      </c>
      <c r="O502" t="s">
        <v>20</v>
      </c>
      <c r="P502" t="s">
        <v>21</v>
      </c>
      <c r="Q502">
        <f t="shared" si="35"/>
        <v>16</v>
      </c>
      <c r="R502" s="4">
        <f>RANK(N502,$N$2:N$2800,0)</f>
        <v>1</v>
      </c>
      <c r="S502">
        <f t="shared" si="36"/>
        <v>1.7272727272727273</v>
      </c>
      <c r="T502" t="str">
        <f t="shared" si="37"/>
        <v>Good</v>
      </c>
      <c r="U502" t="str" cm="1">
        <f t="array" ref="U502">_xlfn.LET(_xlpm.roles,_xlfn.UNIQUE(D502:D3300),_xlpm.kills, SUMIF(D502:D3300,_xlpm.roles,G502:G3300),INDEX(_xlpm.roles,MATCH(MAX(_xlpm.kills),_xlpm.kills,0)))</f>
        <v>Entry Fragger</v>
      </c>
      <c r="V502" t="str">
        <f t="shared" si="38"/>
        <v>Medium Accuracy</v>
      </c>
      <c r="W502" t="str" cm="1">
        <f t="array" ref="W502">_xlfn.LET(_xlpm.roles,_xlfn.UNIQUE(D502:D3300), _xlpm.counts,COUNTIF(D502:D3300,_xlpm.roles), INDEX(_xlpm.roles,MATCH(MAX(_xlpm.counts),_xlpm.counts,0)))</f>
        <v>Entry Fragger</v>
      </c>
      <c r="X502" s="2">
        <f t="shared" si="39"/>
        <v>13.057077625570777</v>
      </c>
    </row>
    <row r="503" spans="1:24" x14ac:dyDescent="0.3">
      <c r="A503">
        <v>1535</v>
      </c>
      <c r="B503">
        <v>87</v>
      </c>
      <c r="C503" t="s">
        <v>27</v>
      </c>
      <c r="D503" t="s">
        <v>36</v>
      </c>
      <c r="E503" t="s">
        <v>29</v>
      </c>
      <c r="F503" t="s">
        <v>24</v>
      </c>
      <c r="G503">
        <v>22</v>
      </c>
      <c r="H503">
        <v>7</v>
      </c>
      <c r="I503">
        <v>16</v>
      </c>
      <c r="J503">
        <v>50.21</v>
      </c>
      <c r="K503">
        <v>218.22</v>
      </c>
      <c r="L503">
        <v>0.9</v>
      </c>
      <c r="M503">
        <v>51.11</v>
      </c>
      <c r="N503">
        <v>1</v>
      </c>
      <c r="O503" t="s">
        <v>20</v>
      </c>
      <c r="P503" t="s">
        <v>21</v>
      </c>
      <c r="Q503">
        <f t="shared" si="35"/>
        <v>13</v>
      </c>
      <c r="R503" s="4">
        <f>RANK(N503,$N$2:N$2800,0)</f>
        <v>1</v>
      </c>
      <c r="S503">
        <f t="shared" si="36"/>
        <v>1.375</v>
      </c>
      <c r="T503" t="str">
        <f t="shared" si="37"/>
        <v>Low</v>
      </c>
      <c r="U503" t="str" cm="1">
        <f t="array" ref="U503">_xlfn.LET(_xlpm.roles,_xlfn.UNIQUE(D503:D3301),_xlpm.kills, SUMIF(D503:D3301,_xlpm.roles,G503:G3301),INDEX(_xlpm.roles,MATCH(MAX(_xlpm.kills),_xlpm.kills,0)))</f>
        <v>Entry Fragger</v>
      </c>
      <c r="V503" t="str">
        <f t="shared" si="38"/>
        <v>High Accuracy</v>
      </c>
      <c r="W503" t="str" cm="1">
        <f t="array" ref="W503">_xlfn.LET(_xlpm.roles,_xlfn.UNIQUE(D503:D3301), _xlpm.counts,COUNTIF(D503:D3301,_xlpm.roles), INDEX(_xlpm.roles,MATCH(MAX(_xlpm.counts),_xlpm.counts,0)))</f>
        <v>Entry Fragger</v>
      </c>
      <c r="X503" s="2">
        <f t="shared" si="39"/>
        <v>13.057077625570777</v>
      </c>
    </row>
    <row r="504" spans="1:24" x14ac:dyDescent="0.3">
      <c r="A504">
        <v>2248</v>
      </c>
      <c r="B504">
        <v>87</v>
      </c>
      <c r="C504" t="s">
        <v>16</v>
      </c>
      <c r="D504" t="s">
        <v>36</v>
      </c>
      <c r="E504" t="s">
        <v>29</v>
      </c>
      <c r="F504" t="s">
        <v>37</v>
      </c>
      <c r="G504">
        <v>19</v>
      </c>
      <c r="H504">
        <v>10</v>
      </c>
      <c r="I504">
        <v>11</v>
      </c>
      <c r="J504">
        <v>27.59</v>
      </c>
      <c r="K504">
        <v>248.3</v>
      </c>
      <c r="L504">
        <v>0.66</v>
      </c>
      <c r="M504">
        <v>44.2</v>
      </c>
      <c r="N504">
        <v>0.89</v>
      </c>
      <c r="O504" t="s">
        <v>20</v>
      </c>
      <c r="P504" t="s">
        <v>21</v>
      </c>
      <c r="Q504">
        <f t="shared" si="35"/>
        <v>18</v>
      </c>
      <c r="R504" s="4">
        <f>RANK(N504,$N$2:N$2800,0)</f>
        <v>1815</v>
      </c>
      <c r="S504">
        <f t="shared" si="36"/>
        <v>1.7272727272727273</v>
      </c>
      <c r="T504" t="str">
        <f t="shared" si="37"/>
        <v>Good</v>
      </c>
      <c r="U504" t="str" cm="1">
        <f t="array" ref="U504">_xlfn.LET(_xlpm.roles,_xlfn.UNIQUE(D504:D3302),_xlpm.kills, SUMIF(D504:D3302,_xlpm.roles,G504:G3302),INDEX(_xlpm.roles,MATCH(MAX(_xlpm.kills),_xlpm.kills,0)))</f>
        <v>Entry Fragger</v>
      </c>
      <c r="V504" t="str">
        <f t="shared" si="38"/>
        <v>Low Accuracy</v>
      </c>
      <c r="W504" t="str" cm="1">
        <f t="array" ref="W504">_xlfn.LET(_xlpm.roles,_xlfn.UNIQUE(D504:D3302), _xlpm.counts,COUNTIF(D504:D3302,_xlpm.roles), INDEX(_xlpm.roles,MATCH(MAX(_xlpm.counts),_xlpm.counts,0)))</f>
        <v>Entry Fragger</v>
      </c>
      <c r="X504" s="2">
        <f t="shared" si="39"/>
        <v>12.520971302428256</v>
      </c>
    </row>
    <row r="505" spans="1:24" x14ac:dyDescent="0.3">
      <c r="A505">
        <v>2265</v>
      </c>
      <c r="B505">
        <v>87</v>
      </c>
      <c r="C505" t="s">
        <v>16</v>
      </c>
      <c r="D505" t="s">
        <v>22</v>
      </c>
      <c r="E505" t="s">
        <v>23</v>
      </c>
      <c r="F505" t="s">
        <v>37</v>
      </c>
      <c r="G505">
        <v>16</v>
      </c>
      <c r="H505">
        <v>10</v>
      </c>
      <c r="I505">
        <v>6</v>
      </c>
      <c r="J505">
        <v>41.62</v>
      </c>
      <c r="K505">
        <v>170.74</v>
      </c>
      <c r="L505">
        <v>0.6</v>
      </c>
      <c r="M505">
        <v>50.81</v>
      </c>
      <c r="N505">
        <v>0.94</v>
      </c>
      <c r="O505" t="s">
        <v>20</v>
      </c>
      <c r="P505" t="s">
        <v>21</v>
      </c>
      <c r="Q505">
        <f t="shared" si="35"/>
        <v>20</v>
      </c>
      <c r="R505" s="4">
        <f>RANK(N505,$N$2:N$2800,0)</f>
        <v>1431</v>
      </c>
      <c r="S505">
        <f t="shared" si="36"/>
        <v>2.6666666666666665</v>
      </c>
      <c r="T505" t="str">
        <f t="shared" si="37"/>
        <v>Good</v>
      </c>
      <c r="U505" t="str" cm="1">
        <f t="array" ref="U505">_xlfn.LET(_xlpm.roles,_xlfn.UNIQUE(D505:D3303),_xlpm.kills, SUMIF(D505:D3303,_xlpm.roles,G505:G3303),INDEX(_xlpm.roles,MATCH(MAX(_xlpm.kills),_xlpm.kills,0)))</f>
        <v>Entry Fragger</v>
      </c>
      <c r="V505" t="str">
        <f t="shared" si="38"/>
        <v>Medium Accuracy</v>
      </c>
      <c r="W505" t="str" cm="1">
        <f t="array" ref="W505">_xlfn.LET(_xlpm.roles,_xlfn.UNIQUE(D505:D3303), _xlpm.counts,COUNTIF(D505:D3303,_xlpm.roles), INDEX(_xlpm.roles,MATCH(MAX(_xlpm.counts),_xlpm.counts,0)))</f>
        <v>Entry Fragger</v>
      </c>
      <c r="X505" s="2">
        <f t="shared" si="39"/>
        <v>12.520971302428256</v>
      </c>
    </row>
    <row r="506" spans="1:24" x14ac:dyDescent="0.3">
      <c r="A506">
        <v>2777</v>
      </c>
      <c r="B506">
        <v>87</v>
      </c>
      <c r="C506" t="s">
        <v>30</v>
      </c>
      <c r="D506" t="s">
        <v>22</v>
      </c>
      <c r="E506" t="s">
        <v>32</v>
      </c>
      <c r="F506" t="s">
        <v>34</v>
      </c>
      <c r="G506">
        <v>9</v>
      </c>
      <c r="H506">
        <v>7</v>
      </c>
      <c r="I506">
        <v>6</v>
      </c>
      <c r="J506">
        <v>39.729999999999997</v>
      </c>
      <c r="K506">
        <v>223.17</v>
      </c>
      <c r="L506">
        <v>0.03</v>
      </c>
      <c r="M506">
        <v>38.56</v>
      </c>
      <c r="N506">
        <v>1</v>
      </c>
      <c r="O506" t="s">
        <v>20</v>
      </c>
      <c r="P506" t="s">
        <v>21</v>
      </c>
      <c r="Q506">
        <f t="shared" si="35"/>
        <v>10</v>
      </c>
      <c r="R506" s="4">
        <f>RANK(N506,$N$2:N$2800,0)</f>
        <v>1</v>
      </c>
      <c r="S506">
        <f t="shared" si="36"/>
        <v>1.5</v>
      </c>
      <c r="T506" t="str">
        <f t="shared" si="37"/>
        <v>Low</v>
      </c>
      <c r="U506" t="str" cm="1">
        <f t="array" ref="U506">_xlfn.LET(_xlpm.roles,_xlfn.UNIQUE(D506:D3304),_xlpm.kills, SUMIF(D506:D3304,_xlpm.roles,G506:G3304),INDEX(_xlpm.roles,MATCH(MAX(_xlpm.kills),_xlpm.kills,0)))</f>
        <v>Entry Fragger</v>
      </c>
      <c r="V506" t="str">
        <f t="shared" si="38"/>
        <v>Medium Accuracy</v>
      </c>
      <c r="W506" t="str" cm="1">
        <f t="array" ref="W506">_xlfn.LET(_xlpm.roles,_xlfn.UNIQUE(D506:D3304), _xlpm.counts,COUNTIF(D506:D3304,_xlpm.roles), INDEX(_xlpm.roles,MATCH(MAX(_xlpm.counts),_xlpm.counts,0)))</f>
        <v>Entry Fragger</v>
      </c>
      <c r="X506" s="2">
        <f t="shared" si="39"/>
        <v>13.135802469135802</v>
      </c>
    </row>
    <row r="507" spans="1:24" x14ac:dyDescent="0.3">
      <c r="A507">
        <v>285</v>
      </c>
      <c r="B507">
        <v>88</v>
      </c>
      <c r="C507" t="s">
        <v>35</v>
      </c>
      <c r="D507" t="s">
        <v>28</v>
      </c>
      <c r="E507" t="s">
        <v>33</v>
      </c>
      <c r="F507" t="s">
        <v>24</v>
      </c>
      <c r="G507">
        <v>13</v>
      </c>
      <c r="H507">
        <v>10</v>
      </c>
      <c r="I507">
        <v>7</v>
      </c>
      <c r="J507">
        <v>46.31</v>
      </c>
      <c r="K507">
        <v>285.89</v>
      </c>
      <c r="L507">
        <v>0.45</v>
      </c>
      <c r="M507">
        <v>47.66</v>
      </c>
      <c r="N507">
        <v>0.98</v>
      </c>
      <c r="O507" t="s">
        <v>20</v>
      </c>
      <c r="P507" t="s">
        <v>21</v>
      </c>
      <c r="Q507">
        <f t="shared" si="35"/>
        <v>16</v>
      </c>
      <c r="R507" s="4">
        <f>RANK(N507,$N$2:N$2800,0)</f>
        <v>1157</v>
      </c>
      <c r="S507">
        <f t="shared" si="36"/>
        <v>1.8571428571428572</v>
      </c>
      <c r="T507" t="str">
        <f t="shared" si="37"/>
        <v>Good</v>
      </c>
      <c r="U507" t="str" cm="1">
        <f t="array" ref="U507">_xlfn.LET(_xlpm.roles,_xlfn.UNIQUE(D507:D3305),_xlpm.kills, SUMIF(D507:D3305,_xlpm.roles,G507:G3305),INDEX(_xlpm.roles,MATCH(MAX(_xlpm.kills),_xlpm.kills,0)))</f>
        <v>Entry Fragger</v>
      </c>
      <c r="V507" t="str">
        <f t="shared" si="38"/>
        <v>Medium Accuracy</v>
      </c>
      <c r="W507" t="str" cm="1">
        <f t="array" ref="W507">_xlfn.LET(_xlpm.roles,_xlfn.UNIQUE(D507:D3305), _xlpm.counts,COUNTIF(D507:D3305,_xlpm.roles), INDEX(_xlpm.roles,MATCH(MAX(_xlpm.counts),_xlpm.counts,0)))</f>
        <v>Entry Fragger</v>
      </c>
      <c r="X507" s="2">
        <f t="shared" si="39"/>
        <v>12.599585062240664</v>
      </c>
    </row>
    <row r="508" spans="1:24" x14ac:dyDescent="0.3">
      <c r="A508">
        <v>1051</v>
      </c>
      <c r="B508">
        <v>88</v>
      </c>
      <c r="C508" t="s">
        <v>39</v>
      </c>
      <c r="D508" t="s">
        <v>28</v>
      </c>
      <c r="E508" t="s">
        <v>23</v>
      </c>
      <c r="F508" t="s">
        <v>24</v>
      </c>
      <c r="G508">
        <v>24</v>
      </c>
      <c r="H508">
        <v>9</v>
      </c>
      <c r="I508">
        <v>13</v>
      </c>
      <c r="J508">
        <v>30.84</v>
      </c>
      <c r="K508">
        <v>228.82</v>
      </c>
      <c r="L508">
        <v>0.16</v>
      </c>
      <c r="M508">
        <v>57.82</v>
      </c>
      <c r="N508">
        <v>0.79</v>
      </c>
      <c r="O508" t="s">
        <v>20</v>
      </c>
      <c r="P508" t="s">
        <v>21</v>
      </c>
      <c r="Q508">
        <f t="shared" si="35"/>
        <v>20</v>
      </c>
      <c r="R508" s="4">
        <f>RANK(N508,$N$2:N$2800,0)</f>
        <v>2436</v>
      </c>
      <c r="S508">
        <f t="shared" si="36"/>
        <v>1.8461538461538463</v>
      </c>
      <c r="T508" t="str">
        <f t="shared" si="37"/>
        <v>Good</v>
      </c>
      <c r="U508" t="str" cm="1">
        <f t="array" ref="U508">_xlfn.LET(_xlpm.roles,_xlfn.UNIQUE(D508:D3306),_xlpm.kills, SUMIF(D508:D3306,_xlpm.roles,G508:G3306),INDEX(_xlpm.roles,MATCH(MAX(_xlpm.kills),_xlpm.kills,0)))</f>
        <v>Entry Fragger</v>
      </c>
      <c r="V508" t="str">
        <f t="shared" si="38"/>
        <v>Medium Accuracy</v>
      </c>
      <c r="W508" t="str" cm="1">
        <f t="array" ref="W508">_xlfn.LET(_xlpm.roles,_xlfn.UNIQUE(D508:D3306), _xlpm.counts,COUNTIF(D508:D3306,_xlpm.roles), INDEX(_xlpm.roles,MATCH(MAX(_xlpm.counts),_xlpm.counts,0)))</f>
        <v>Entry Fragger</v>
      </c>
      <c r="X508" s="2">
        <f t="shared" si="39"/>
        <v>13.103594080338267</v>
      </c>
    </row>
    <row r="509" spans="1:24" x14ac:dyDescent="0.3">
      <c r="A509">
        <v>1608</v>
      </c>
      <c r="B509">
        <v>88</v>
      </c>
      <c r="C509" t="s">
        <v>39</v>
      </c>
      <c r="D509" t="s">
        <v>17</v>
      </c>
      <c r="E509" t="s">
        <v>33</v>
      </c>
      <c r="F509" t="s">
        <v>34</v>
      </c>
      <c r="G509">
        <v>13</v>
      </c>
      <c r="H509">
        <v>6</v>
      </c>
      <c r="I509">
        <v>7</v>
      </c>
      <c r="J509">
        <v>36.64</v>
      </c>
      <c r="K509">
        <v>183.8</v>
      </c>
      <c r="L509">
        <v>0.93</v>
      </c>
      <c r="M509">
        <v>34.020000000000003</v>
      </c>
      <c r="N509">
        <v>0.9</v>
      </c>
      <c r="O509" t="s">
        <v>20</v>
      </c>
      <c r="P509" t="s">
        <v>21</v>
      </c>
      <c r="Q509">
        <f t="shared" si="35"/>
        <v>12</v>
      </c>
      <c r="R509" s="4">
        <f>RANK(N509,$N$2:N$2800,0)</f>
        <v>1738</v>
      </c>
      <c r="S509">
        <f t="shared" si="36"/>
        <v>1.8571428571428572</v>
      </c>
      <c r="T509" t="str">
        <f t="shared" si="37"/>
        <v>Low</v>
      </c>
      <c r="U509" t="str" cm="1">
        <f t="array" ref="U509">_xlfn.LET(_xlpm.roles,_xlfn.UNIQUE(D509:D3307),_xlpm.kills, SUMIF(D509:D3307,_xlpm.roles,G509:G3307),INDEX(_xlpm.roles,MATCH(MAX(_xlpm.kills),_xlpm.kills,0)))</f>
        <v>Entry Fragger</v>
      </c>
      <c r="V509" t="str">
        <f t="shared" si="38"/>
        <v>Medium Accuracy</v>
      </c>
      <c r="W509" t="str" cm="1">
        <f t="array" ref="W509">_xlfn.LET(_xlpm.roles,_xlfn.UNIQUE(D509:D3307), _xlpm.counts,COUNTIF(D509:D3307,_xlpm.roles), INDEX(_xlpm.roles,MATCH(MAX(_xlpm.counts),_xlpm.counts,0)))</f>
        <v>Entry Fragger</v>
      </c>
      <c r="X509" s="2">
        <f t="shared" si="39"/>
        <v>13.103594080338267</v>
      </c>
    </row>
    <row r="510" spans="1:24" x14ac:dyDescent="0.3">
      <c r="A510">
        <v>310</v>
      </c>
      <c r="B510">
        <v>89</v>
      </c>
      <c r="C510" t="s">
        <v>27</v>
      </c>
      <c r="D510" t="s">
        <v>17</v>
      </c>
      <c r="E510" t="s">
        <v>32</v>
      </c>
      <c r="F510" t="s">
        <v>26</v>
      </c>
      <c r="G510">
        <v>19</v>
      </c>
      <c r="H510">
        <v>3</v>
      </c>
      <c r="I510">
        <v>16</v>
      </c>
      <c r="J510">
        <v>59.56</v>
      </c>
      <c r="K510">
        <v>214.35</v>
      </c>
      <c r="L510">
        <v>0.71</v>
      </c>
      <c r="M510">
        <v>47.68</v>
      </c>
      <c r="N510">
        <v>1</v>
      </c>
      <c r="O510" t="s">
        <v>20</v>
      </c>
      <c r="P510" t="s">
        <v>21</v>
      </c>
      <c r="Q510">
        <f t="shared" si="35"/>
        <v>6</v>
      </c>
      <c r="R510" s="4">
        <f>RANK(N510,$N$2:N$2800,0)</f>
        <v>1</v>
      </c>
      <c r="S510">
        <f t="shared" si="36"/>
        <v>1.1875</v>
      </c>
      <c r="T510" t="str">
        <f t="shared" si="37"/>
        <v>Low</v>
      </c>
      <c r="U510" t="str" cm="1">
        <f t="array" ref="U510">_xlfn.LET(_xlpm.roles,_xlfn.UNIQUE(D510:D3308),_xlpm.kills, SUMIF(D510:D3308,_xlpm.roles,G510:G3308),INDEX(_xlpm.roles,MATCH(MAX(_xlpm.kills),_xlpm.kills,0)))</f>
        <v>Entry Fragger</v>
      </c>
      <c r="V510" t="str">
        <f t="shared" si="38"/>
        <v>High Accuracy</v>
      </c>
      <c r="W510" t="str" cm="1">
        <f t="array" ref="W510">_xlfn.LET(_xlpm.roles,_xlfn.UNIQUE(D510:D3308), _xlpm.counts,COUNTIF(D510:D3308,_xlpm.roles), INDEX(_xlpm.roles,MATCH(MAX(_xlpm.counts),_xlpm.counts,0)))</f>
        <v>Entry Fragger</v>
      </c>
      <c r="X510" s="2">
        <f t="shared" si="39"/>
        <v>13.057077625570777</v>
      </c>
    </row>
    <row r="511" spans="1:24" x14ac:dyDescent="0.3">
      <c r="A511">
        <v>1741</v>
      </c>
      <c r="B511">
        <v>89</v>
      </c>
      <c r="C511" t="s">
        <v>30</v>
      </c>
      <c r="D511" t="s">
        <v>22</v>
      </c>
      <c r="E511" t="s">
        <v>33</v>
      </c>
      <c r="F511" t="s">
        <v>34</v>
      </c>
      <c r="G511">
        <v>16</v>
      </c>
      <c r="H511">
        <v>9</v>
      </c>
      <c r="I511">
        <v>6</v>
      </c>
      <c r="J511">
        <v>68.22</v>
      </c>
      <c r="K511">
        <v>183.74</v>
      </c>
      <c r="L511">
        <v>0.43</v>
      </c>
      <c r="M511">
        <v>64.81</v>
      </c>
      <c r="N511">
        <v>1</v>
      </c>
      <c r="O511" t="s">
        <v>20</v>
      </c>
      <c r="P511" t="s">
        <v>38</v>
      </c>
      <c r="Q511">
        <f t="shared" si="35"/>
        <v>19</v>
      </c>
      <c r="R511" s="4">
        <f>RANK(N511,$N$2:N$2800,0)</f>
        <v>1</v>
      </c>
      <c r="S511">
        <f t="shared" si="36"/>
        <v>2.6666666666666665</v>
      </c>
      <c r="T511" t="str">
        <f t="shared" si="37"/>
        <v>Good</v>
      </c>
      <c r="U511" t="str" cm="1">
        <f t="array" ref="U511">_xlfn.LET(_xlpm.roles,_xlfn.UNIQUE(D511:D3309),_xlpm.kills, SUMIF(D511:D3309,_xlpm.roles,G511:G3309),INDEX(_xlpm.roles,MATCH(MAX(_xlpm.kills),_xlpm.kills,0)))</f>
        <v>Entry Fragger</v>
      </c>
      <c r="V511" t="str">
        <f t="shared" si="38"/>
        <v>High Accuracy</v>
      </c>
      <c r="W511" t="str" cm="1">
        <f t="array" ref="W511">_xlfn.LET(_xlpm.roles,_xlfn.UNIQUE(D511:D3309), _xlpm.counts,COUNTIF(D511:D3309,_xlpm.roles), INDEX(_xlpm.roles,MATCH(MAX(_xlpm.counts),_xlpm.counts,0)))</f>
        <v>Entry Fragger</v>
      </c>
      <c r="X511" s="2">
        <f t="shared" si="39"/>
        <v>13.135802469135802</v>
      </c>
    </row>
    <row r="512" spans="1:24" x14ac:dyDescent="0.3">
      <c r="A512">
        <v>1872</v>
      </c>
      <c r="B512">
        <v>89</v>
      </c>
      <c r="C512" t="s">
        <v>16</v>
      </c>
      <c r="D512" t="s">
        <v>28</v>
      </c>
      <c r="E512" t="s">
        <v>23</v>
      </c>
      <c r="F512" t="s">
        <v>34</v>
      </c>
      <c r="G512">
        <v>16</v>
      </c>
      <c r="H512">
        <v>8</v>
      </c>
      <c r="I512">
        <v>10</v>
      </c>
      <c r="J512">
        <v>39.479999999999997</v>
      </c>
      <c r="K512">
        <v>216.12</v>
      </c>
      <c r="L512">
        <v>0.45</v>
      </c>
      <c r="M512">
        <v>45.24</v>
      </c>
      <c r="N512">
        <v>1</v>
      </c>
      <c r="O512" t="s">
        <v>20</v>
      </c>
      <c r="P512" t="s">
        <v>21</v>
      </c>
      <c r="Q512">
        <f t="shared" si="35"/>
        <v>14</v>
      </c>
      <c r="R512" s="4">
        <f>RANK(N512,$N$2:N$2800,0)</f>
        <v>1</v>
      </c>
      <c r="S512">
        <f t="shared" si="36"/>
        <v>1.6</v>
      </c>
      <c r="T512" t="str">
        <f t="shared" si="37"/>
        <v>Low</v>
      </c>
      <c r="U512" t="str" cm="1">
        <f t="array" ref="U512">_xlfn.LET(_xlpm.roles,_xlfn.UNIQUE(D512:D3310),_xlpm.kills, SUMIF(D512:D3310,_xlpm.roles,G512:G3310),INDEX(_xlpm.roles,MATCH(MAX(_xlpm.kills),_xlpm.kills,0)))</f>
        <v>Entry Fragger</v>
      </c>
      <c r="V512" t="str">
        <f t="shared" si="38"/>
        <v>Medium Accuracy</v>
      </c>
      <c r="W512" t="str" cm="1">
        <f t="array" ref="W512">_xlfn.LET(_xlpm.roles,_xlfn.UNIQUE(D512:D3310), _xlpm.counts,COUNTIF(D512:D3310,_xlpm.roles), INDEX(_xlpm.roles,MATCH(MAX(_xlpm.counts),_xlpm.counts,0)))</f>
        <v>Entry Fragger</v>
      </c>
      <c r="X512" s="2">
        <f t="shared" si="39"/>
        <v>12.520971302428256</v>
      </c>
    </row>
    <row r="513" spans="1:24" x14ac:dyDescent="0.3">
      <c r="A513">
        <v>1927</v>
      </c>
      <c r="B513">
        <v>89</v>
      </c>
      <c r="C513" t="s">
        <v>30</v>
      </c>
      <c r="D513" t="s">
        <v>31</v>
      </c>
      <c r="E513" t="s">
        <v>18</v>
      </c>
      <c r="F513" t="s">
        <v>34</v>
      </c>
      <c r="G513">
        <v>14</v>
      </c>
      <c r="H513">
        <v>7</v>
      </c>
      <c r="I513">
        <v>4</v>
      </c>
      <c r="J513">
        <v>50.9</v>
      </c>
      <c r="K513">
        <v>243.2</v>
      </c>
      <c r="L513">
        <v>0.14000000000000001</v>
      </c>
      <c r="M513">
        <v>55.05</v>
      </c>
      <c r="N513">
        <v>1</v>
      </c>
      <c r="O513" t="s">
        <v>20</v>
      </c>
      <c r="P513" t="s">
        <v>21</v>
      </c>
      <c r="Q513">
        <f t="shared" si="35"/>
        <v>17</v>
      </c>
      <c r="R513" s="4">
        <f>RANK(N513,$N$2:N$2800,0)</f>
        <v>1</v>
      </c>
      <c r="S513">
        <f t="shared" si="36"/>
        <v>3.5</v>
      </c>
      <c r="T513" t="str">
        <f t="shared" si="37"/>
        <v>Good</v>
      </c>
      <c r="U513" t="str" cm="1">
        <f t="array" ref="U513">_xlfn.LET(_xlpm.roles,_xlfn.UNIQUE(D513:D3311),_xlpm.kills, SUMIF(D513:D3311,_xlpm.roles,G513:G3311),INDEX(_xlpm.roles,MATCH(MAX(_xlpm.kills),_xlpm.kills,0)))</f>
        <v>Entry Fragger</v>
      </c>
      <c r="V513" t="str">
        <f t="shared" si="38"/>
        <v>High Accuracy</v>
      </c>
      <c r="W513" t="str" cm="1">
        <f t="array" ref="W513">_xlfn.LET(_xlpm.roles,_xlfn.UNIQUE(D513:D3311), _xlpm.counts,COUNTIF(D513:D3311,_xlpm.roles), INDEX(_xlpm.roles,MATCH(MAX(_xlpm.counts),_xlpm.counts,0)))</f>
        <v>Entry Fragger</v>
      </c>
      <c r="X513" s="2">
        <f t="shared" si="39"/>
        <v>13.135802469135802</v>
      </c>
    </row>
    <row r="514" spans="1:24" x14ac:dyDescent="0.3">
      <c r="A514">
        <v>2117</v>
      </c>
      <c r="B514">
        <v>89</v>
      </c>
      <c r="C514" t="s">
        <v>27</v>
      </c>
      <c r="D514" t="s">
        <v>28</v>
      </c>
      <c r="E514" t="s">
        <v>23</v>
      </c>
      <c r="F514" t="s">
        <v>19</v>
      </c>
      <c r="G514">
        <v>14</v>
      </c>
      <c r="H514">
        <v>9</v>
      </c>
      <c r="I514">
        <v>12</v>
      </c>
      <c r="J514">
        <v>43.46</v>
      </c>
      <c r="K514">
        <v>249.72</v>
      </c>
      <c r="L514">
        <v>0.06</v>
      </c>
      <c r="M514">
        <v>46.13</v>
      </c>
      <c r="N514">
        <v>0.85</v>
      </c>
      <c r="O514" t="s">
        <v>20</v>
      </c>
      <c r="P514" t="s">
        <v>21</v>
      </c>
      <c r="Q514">
        <f t="shared" si="35"/>
        <v>11</v>
      </c>
      <c r="R514" s="4">
        <f>RANK(N514,$N$2:N$2800,0)</f>
        <v>2105</v>
      </c>
      <c r="S514">
        <f t="shared" si="36"/>
        <v>1.1666666666666667</v>
      </c>
      <c r="T514" t="str">
        <f t="shared" si="37"/>
        <v>Low</v>
      </c>
      <c r="U514" t="str" cm="1">
        <f t="array" ref="U514">_xlfn.LET(_xlpm.roles,_xlfn.UNIQUE(D514:D3312),_xlpm.kills, SUMIF(D514:D3312,_xlpm.roles,G514:G3312),INDEX(_xlpm.roles,MATCH(MAX(_xlpm.kills),_xlpm.kills,0)))</f>
        <v>Entry Fragger</v>
      </c>
      <c r="V514" t="str">
        <f t="shared" si="38"/>
        <v>Medium Accuracy</v>
      </c>
      <c r="W514" t="str" cm="1">
        <f t="array" ref="W514">_xlfn.LET(_xlpm.roles,_xlfn.UNIQUE(D514:D3312), _xlpm.counts,COUNTIF(D514:D3312,_xlpm.roles), INDEX(_xlpm.roles,MATCH(MAX(_xlpm.counts),_xlpm.counts,0)))</f>
        <v>Entry Fragger</v>
      </c>
      <c r="X514" s="2">
        <f t="shared" si="39"/>
        <v>13.057077625570777</v>
      </c>
    </row>
    <row r="515" spans="1:24" x14ac:dyDescent="0.3">
      <c r="A515">
        <v>2223</v>
      </c>
      <c r="B515">
        <v>89</v>
      </c>
      <c r="C515" t="s">
        <v>39</v>
      </c>
      <c r="D515" t="s">
        <v>22</v>
      </c>
      <c r="E515" t="s">
        <v>18</v>
      </c>
      <c r="F515" t="s">
        <v>26</v>
      </c>
      <c r="G515">
        <v>21</v>
      </c>
      <c r="H515">
        <v>8</v>
      </c>
      <c r="I515">
        <v>11</v>
      </c>
      <c r="J515">
        <v>55.6</v>
      </c>
      <c r="K515">
        <v>226.91</v>
      </c>
      <c r="L515">
        <v>0.62</v>
      </c>
      <c r="M515">
        <v>60.6</v>
      </c>
      <c r="N515">
        <v>1</v>
      </c>
      <c r="O515" t="s">
        <v>20</v>
      </c>
      <c r="P515" t="s">
        <v>38</v>
      </c>
      <c r="Q515">
        <f t="shared" ref="Q515:Q578" si="40">G515+H515-I515</f>
        <v>18</v>
      </c>
      <c r="R515" s="4">
        <f>RANK(N515,$N$2:N$2800,0)</f>
        <v>1</v>
      </c>
      <c r="S515">
        <f t="shared" ref="S515:S578" si="41">G515/I515</f>
        <v>1.9090909090909092</v>
      </c>
      <c r="T515" t="str">
        <f t="shared" ref="T515:T578" si="42">IF(Q515&lt;15,"Low",IF(Q515&lt;25,"Good","Excellent"))</f>
        <v>Good</v>
      </c>
      <c r="U515" t="str" cm="1">
        <f t="array" ref="U515">_xlfn.LET(_xlpm.roles,_xlfn.UNIQUE(D515:D3313),_xlpm.kills, SUMIF(D515:D3313,_xlpm.roles,G515:G3313),INDEX(_xlpm.roles,MATCH(MAX(_xlpm.kills),_xlpm.kills,0)))</f>
        <v>Entry Fragger</v>
      </c>
      <c r="V515" t="str">
        <f t="shared" ref="V515:V578" si="43">IF(J515&gt;=50,"High Accuracy",IF(J515&gt;=30,"Medium Accuracy","Low Accuracy"))</f>
        <v>High Accuracy</v>
      </c>
      <c r="W515" t="str" cm="1">
        <f t="array" ref="W515">_xlfn.LET(_xlpm.roles,_xlfn.UNIQUE(D515:D3313), _xlpm.counts,COUNTIF(D515:D3313,_xlpm.roles), INDEX(_xlpm.roles,MATCH(MAX(_xlpm.counts),_xlpm.counts,0)))</f>
        <v>Entry Fragger</v>
      </c>
      <c r="X515" s="2">
        <f t="shared" ref="X515:X578" si="44">AVERAGEIF($C$2:$C$2800,C515,$Q$2:$Q$2800)</f>
        <v>13.103594080338267</v>
      </c>
    </row>
    <row r="516" spans="1:24" x14ac:dyDescent="0.3">
      <c r="A516">
        <v>2485</v>
      </c>
      <c r="B516">
        <v>89</v>
      </c>
      <c r="C516" t="s">
        <v>30</v>
      </c>
      <c r="D516" t="s">
        <v>36</v>
      </c>
      <c r="E516" t="s">
        <v>18</v>
      </c>
      <c r="F516" t="s">
        <v>24</v>
      </c>
      <c r="G516">
        <v>15</v>
      </c>
      <c r="H516">
        <v>7</v>
      </c>
      <c r="I516">
        <v>11</v>
      </c>
      <c r="J516">
        <v>49.57</v>
      </c>
      <c r="K516">
        <v>232.47</v>
      </c>
      <c r="L516">
        <v>0.66</v>
      </c>
      <c r="M516">
        <v>44.18</v>
      </c>
      <c r="N516">
        <v>0.94</v>
      </c>
      <c r="O516" t="s">
        <v>20</v>
      </c>
      <c r="P516" t="s">
        <v>21</v>
      </c>
      <c r="Q516">
        <f t="shared" si="40"/>
        <v>11</v>
      </c>
      <c r="R516" s="4">
        <f>RANK(N516,$N$2:N$2800,0)</f>
        <v>1431</v>
      </c>
      <c r="S516">
        <f t="shared" si="41"/>
        <v>1.3636363636363635</v>
      </c>
      <c r="T516" t="str">
        <f t="shared" si="42"/>
        <v>Low</v>
      </c>
      <c r="U516" t="str" cm="1">
        <f t="array" ref="U516">_xlfn.LET(_xlpm.roles,_xlfn.UNIQUE(D516:D3314),_xlpm.kills, SUMIF(D516:D3314,_xlpm.roles,G516:G3314),INDEX(_xlpm.roles,MATCH(MAX(_xlpm.kills),_xlpm.kills,0)))</f>
        <v>Entry Fragger</v>
      </c>
      <c r="V516" t="str">
        <f t="shared" si="43"/>
        <v>Medium Accuracy</v>
      </c>
      <c r="W516" t="str" cm="1">
        <f t="array" ref="W516">_xlfn.LET(_xlpm.roles,_xlfn.UNIQUE(D516:D3314), _xlpm.counts,COUNTIF(D516:D3314,_xlpm.roles), INDEX(_xlpm.roles,MATCH(MAX(_xlpm.counts),_xlpm.counts,0)))</f>
        <v>Entry Fragger</v>
      </c>
      <c r="X516" s="2">
        <f t="shared" si="44"/>
        <v>13.135802469135802</v>
      </c>
    </row>
    <row r="517" spans="1:24" x14ac:dyDescent="0.3">
      <c r="A517">
        <v>314</v>
      </c>
      <c r="B517">
        <v>90</v>
      </c>
      <c r="C517" t="s">
        <v>25</v>
      </c>
      <c r="D517" t="s">
        <v>31</v>
      </c>
      <c r="E517" t="s">
        <v>18</v>
      </c>
      <c r="F517" t="s">
        <v>26</v>
      </c>
      <c r="G517">
        <v>15</v>
      </c>
      <c r="H517">
        <v>12</v>
      </c>
      <c r="I517">
        <v>11</v>
      </c>
      <c r="J517">
        <v>55.52</v>
      </c>
      <c r="K517">
        <v>210.54</v>
      </c>
      <c r="L517">
        <v>0.1</v>
      </c>
      <c r="M517">
        <v>57.76</v>
      </c>
      <c r="N517">
        <v>0.98</v>
      </c>
      <c r="O517" t="s">
        <v>20</v>
      </c>
      <c r="P517" t="s">
        <v>21</v>
      </c>
      <c r="Q517">
        <f t="shared" si="40"/>
        <v>16</v>
      </c>
      <c r="R517" s="4">
        <f>RANK(N517,$N$2:N$2800,0)</f>
        <v>1157</v>
      </c>
      <c r="S517">
        <f t="shared" si="41"/>
        <v>1.3636363636363635</v>
      </c>
      <c r="T517" t="str">
        <f t="shared" si="42"/>
        <v>Good</v>
      </c>
      <c r="U517" t="str" cm="1">
        <f t="array" ref="U517">_xlfn.LET(_xlpm.roles,_xlfn.UNIQUE(D517:D3315),_xlpm.kills, SUMIF(D517:D3315,_xlpm.roles,G517:G3315),INDEX(_xlpm.roles,MATCH(MAX(_xlpm.kills),_xlpm.kills,0)))</f>
        <v>Entry Fragger</v>
      </c>
      <c r="V517" t="str">
        <f t="shared" si="43"/>
        <v>High Accuracy</v>
      </c>
      <c r="W517" t="str" cm="1">
        <f t="array" ref="W517">_xlfn.LET(_xlpm.roles,_xlfn.UNIQUE(D517:D3315), _xlpm.counts,COUNTIF(D517:D3315,_xlpm.roles), INDEX(_xlpm.roles,MATCH(MAX(_xlpm.counts),_xlpm.counts,0)))</f>
        <v>Entry Fragger</v>
      </c>
      <c r="X517" s="2">
        <f t="shared" si="44"/>
        <v>12.809421841541756</v>
      </c>
    </row>
    <row r="518" spans="1:24" x14ac:dyDescent="0.3">
      <c r="A518">
        <v>860</v>
      </c>
      <c r="B518">
        <v>90</v>
      </c>
      <c r="C518" t="s">
        <v>25</v>
      </c>
      <c r="D518" t="s">
        <v>17</v>
      </c>
      <c r="E518" t="s">
        <v>33</v>
      </c>
      <c r="F518" t="s">
        <v>19</v>
      </c>
      <c r="G518">
        <v>9</v>
      </c>
      <c r="H518">
        <v>11</v>
      </c>
      <c r="I518">
        <v>17</v>
      </c>
      <c r="J518">
        <v>36.03</v>
      </c>
      <c r="K518">
        <v>209.95</v>
      </c>
      <c r="L518">
        <v>0.04</v>
      </c>
      <c r="M518">
        <v>29.62</v>
      </c>
      <c r="N518">
        <v>0.83</v>
      </c>
      <c r="O518" t="s">
        <v>20</v>
      </c>
      <c r="P518" t="s">
        <v>21</v>
      </c>
      <c r="Q518">
        <f t="shared" si="40"/>
        <v>3</v>
      </c>
      <c r="R518" s="4">
        <f>RANK(N518,$N$2:N$2800,0)</f>
        <v>2218</v>
      </c>
      <c r="S518">
        <f t="shared" si="41"/>
        <v>0.52941176470588236</v>
      </c>
      <c r="T518" t="str">
        <f t="shared" si="42"/>
        <v>Low</v>
      </c>
      <c r="U518" t="str" cm="1">
        <f t="array" ref="U518">_xlfn.LET(_xlpm.roles,_xlfn.UNIQUE(D518:D3316),_xlpm.kills, SUMIF(D518:D3316,_xlpm.roles,G518:G3316),INDEX(_xlpm.roles,MATCH(MAX(_xlpm.kills),_xlpm.kills,0)))</f>
        <v>Entry Fragger</v>
      </c>
      <c r="V518" t="str">
        <f t="shared" si="43"/>
        <v>Medium Accuracy</v>
      </c>
      <c r="W518" t="str" cm="1">
        <f t="array" ref="W518">_xlfn.LET(_xlpm.roles,_xlfn.UNIQUE(D518:D3316), _xlpm.counts,COUNTIF(D518:D3316,_xlpm.roles), INDEX(_xlpm.roles,MATCH(MAX(_xlpm.counts),_xlpm.counts,0)))</f>
        <v>Entry Fragger</v>
      </c>
      <c r="X518" s="2">
        <f t="shared" si="44"/>
        <v>12.809421841541756</v>
      </c>
    </row>
    <row r="519" spans="1:24" x14ac:dyDescent="0.3">
      <c r="A519">
        <v>1869</v>
      </c>
      <c r="B519">
        <v>90</v>
      </c>
      <c r="C519" t="s">
        <v>35</v>
      </c>
      <c r="D519" t="s">
        <v>28</v>
      </c>
      <c r="E519" t="s">
        <v>33</v>
      </c>
      <c r="F519" t="s">
        <v>26</v>
      </c>
      <c r="G519">
        <v>18</v>
      </c>
      <c r="H519">
        <v>11</v>
      </c>
      <c r="I519">
        <v>9</v>
      </c>
      <c r="J519">
        <v>42.79</v>
      </c>
      <c r="K519">
        <v>183.35</v>
      </c>
      <c r="L519">
        <v>0.96</v>
      </c>
      <c r="M519">
        <v>49.79</v>
      </c>
      <c r="N519">
        <v>1</v>
      </c>
      <c r="O519" t="s">
        <v>20</v>
      </c>
      <c r="P519" t="s">
        <v>21</v>
      </c>
      <c r="Q519">
        <f t="shared" si="40"/>
        <v>20</v>
      </c>
      <c r="R519" s="4">
        <f>RANK(N519,$N$2:N$2800,0)</f>
        <v>1</v>
      </c>
      <c r="S519">
        <f t="shared" si="41"/>
        <v>2</v>
      </c>
      <c r="T519" t="str">
        <f t="shared" si="42"/>
        <v>Good</v>
      </c>
      <c r="U519" t="str" cm="1">
        <f t="array" ref="U519">_xlfn.LET(_xlpm.roles,_xlfn.UNIQUE(D519:D3317),_xlpm.kills, SUMIF(D519:D3317,_xlpm.roles,G519:G3317),INDEX(_xlpm.roles,MATCH(MAX(_xlpm.kills),_xlpm.kills,0)))</f>
        <v>Entry Fragger</v>
      </c>
      <c r="V519" t="str">
        <f t="shared" si="43"/>
        <v>Medium Accuracy</v>
      </c>
      <c r="W519" t="str" cm="1">
        <f t="array" ref="W519">_xlfn.LET(_xlpm.roles,_xlfn.UNIQUE(D519:D3317), _xlpm.counts,COUNTIF(D519:D3317,_xlpm.roles), INDEX(_xlpm.roles,MATCH(MAX(_xlpm.counts),_xlpm.counts,0)))</f>
        <v>Entry Fragger</v>
      </c>
      <c r="X519" s="2">
        <f t="shared" si="44"/>
        <v>12.599585062240664</v>
      </c>
    </row>
    <row r="520" spans="1:24" x14ac:dyDescent="0.3">
      <c r="A520">
        <v>1905</v>
      </c>
      <c r="B520">
        <v>90</v>
      </c>
      <c r="C520" t="s">
        <v>16</v>
      </c>
      <c r="D520" t="s">
        <v>22</v>
      </c>
      <c r="E520" t="s">
        <v>33</v>
      </c>
      <c r="F520" t="s">
        <v>37</v>
      </c>
      <c r="G520">
        <v>10</v>
      </c>
      <c r="H520">
        <v>6</v>
      </c>
      <c r="I520">
        <v>9</v>
      </c>
      <c r="J520">
        <v>56.32</v>
      </c>
      <c r="K520">
        <v>220.35</v>
      </c>
      <c r="L520">
        <v>0.27</v>
      </c>
      <c r="M520">
        <v>42.46</v>
      </c>
      <c r="N520">
        <v>0.98</v>
      </c>
      <c r="O520" t="s">
        <v>20</v>
      </c>
      <c r="P520" t="s">
        <v>21</v>
      </c>
      <c r="Q520">
        <f t="shared" si="40"/>
        <v>7</v>
      </c>
      <c r="R520" s="4">
        <f>RANK(N520,$N$2:N$2800,0)</f>
        <v>1157</v>
      </c>
      <c r="S520">
        <f t="shared" si="41"/>
        <v>1.1111111111111112</v>
      </c>
      <c r="T520" t="str">
        <f t="shared" si="42"/>
        <v>Low</v>
      </c>
      <c r="U520" t="str" cm="1">
        <f t="array" ref="U520">_xlfn.LET(_xlpm.roles,_xlfn.UNIQUE(D520:D3318),_xlpm.kills, SUMIF(D520:D3318,_xlpm.roles,G520:G3318),INDEX(_xlpm.roles,MATCH(MAX(_xlpm.kills),_xlpm.kills,0)))</f>
        <v>Entry Fragger</v>
      </c>
      <c r="V520" t="str">
        <f t="shared" si="43"/>
        <v>High Accuracy</v>
      </c>
      <c r="W520" t="str" cm="1">
        <f t="array" ref="W520">_xlfn.LET(_xlpm.roles,_xlfn.UNIQUE(D520:D3318), _xlpm.counts,COUNTIF(D520:D3318,_xlpm.roles), INDEX(_xlpm.roles,MATCH(MAX(_xlpm.counts),_xlpm.counts,0)))</f>
        <v>Entry Fragger</v>
      </c>
      <c r="X520" s="2">
        <f t="shared" si="44"/>
        <v>12.520971302428256</v>
      </c>
    </row>
    <row r="521" spans="1:24" x14ac:dyDescent="0.3">
      <c r="A521">
        <v>2664</v>
      </c>
      <c r="B521">
        <v>90</v>
      </c>
      <c r="C521" t="s">
        <v>35</v>
      </c>
      <c r="D521" t="s">
        <v>31</v>
      </c>
      <c r="E521" t="s">
        <v>29</v>
      </c>
      <c r="F521" t="s">
        <v>26</v>
      </c>
      <c r="G521">
        <v>13</v>
      </c>
      <c r="H521">
        <v>7</v>
      </c>
      <c r="I521">
        <v>13</v>
      </c>
      <c r="J521">
        <v>32.9</v>
      </c>
      <c r="K521">
        <v>219.66</v>
      </c>
      <c r="L521">
        <v>0.85</v>
      </c>
      <c r="M521">
        <v>27.95</v>
      </c>
      <c r="N521">
        <v>0.71</v>
      </c>
      <c r="O521" t="s">
        <v>20</v>
      </c>
      <c r="P521" t="s">
        <v>21</v>
      </c>
      <c r="Q521">
        <f t="shared" si="40"/>
        <v>7</v>
      </c>
      <c r="R521" s="4">
        <f>RANK(N521,$N$2:N$2800,0)</f>
        <v>2688</v>
      </c>
      <c r="S521">
        <f t="shared" si="41"/>
        <v>1</v>
      </c>
      <c r="T521" t="str">
        <f t="shared" si="42"/>
        <v>Low</v>
      </c>
      <c r="U521" t="str" cm="1">
        <f t="array" ref="U521">_xlfn.LET(_xlpm.roles,_xlfn.UNIQUE(D521:D3319),_xlpm.kills, SUMIF(D521:D3319,_xlpm.roles,G521:G3319),INDEX(_xlpm.roles,MATCH(MAX(_xlpm.kills),_xlpm.kills,0)))</f>
        <v>Entry Fragger</v>
      </c>
      <c r="V521" t="str">
        <f t="shared" si="43"/>
        <v>Medium Accuracy</v>
      </c>
      <c r="W521" t="str" cm="1">
        <f t="array" ref="W521">_xlfn.LET(_xlpm.roles,_xlfn.UNIQUE(D521:D3319), _xlpm.counts,COUNTIF(D521:D3319,_xlpm.roles), INDEX(_xlpm.roles,MATCH(MAX(_xlpm.counts),_xlpm.counts,0)))</f>
        <v>Entry Fragger</v>
      </c>
      <c r="X521" s="2">
        <f t="shared" si="44"/>
        <v>12.599585062240664</v>
      </c>
    </row>
    <row r="522" spans="1:24" x14ac:dyDescent="0.3">
      <c r="A522">
        <v>852</v>
      </c>
      <c r="B522">
        <v>91</v>
      </c>
      <c r="C522" t="s">
        <v>25</v>
      </c>
      <c r="D522" t="s">
        <v>17</v>
      </c>
      <c r="E522" t="s">
        <v>29</v>
      </c>
      <c r="F522" t="s">
        <v>34</v>
      </c>
      <c r="G522">
        <v>19</v>
      </c>
      <c r="H522">
        <v>5</v>
      </c>
      <c r="I522">
        <v>6</v>
      </c>
      <c r="J522">
        <v>50.21</v>
      </c>
      <c r="K522">
        <v>224.1</v>
      </c>
      <c r="L522">
        <v>7.0000000000000007E-2</v>
      </c>
      <c r="M522">
        <v>61.41</v>
      </c>
      <c r="N522">
        <v>1</v>
      </c>
      <c r="O522" t="s">
        <v>20</v>
      </c>
      <c r="P522" t="s">
        <v>38</v>
      </c>
      <c r="Q522">
        <f t="shared" si="40"/>
        <v>18</v>
      </c>
      <c r="R522" s="4">
        <f>RANK(N522,$N$2:N$2800,0)</f>
        <v>1</v>
      </c>
      <c r="S522">
        <f t="shared" si="41"/>
        <v>3.1666666666666665</v>
      </c>
      <c r="T522" t="str">
        <f t="shared" si="42"/>
        <v>Good</v>
      </c>
      <c r="U522" t="str" cm="1">
        <f t="array" ref="U522">_xlfn.LET(_xlpm.roles,_xlfn.UNIQUE(D522:D3320),_xlpm.kills, SUMIF(D522:D3320,_xlpm.roles,G522:G3320),INDEX(_xlpm.roles,MATCH(MAX(_xlpm.kills),_xlpm.kills,0)))</f>
        <v>Entry Fragger</v>
      </c>
      <c r="V522" t="str">
        <f t="shared" si="43"/>
        <v>High Accuracy</v>
      </c>
      <c r="W522" t="str" cm="1">
        <f t="array" ref="W522">_xlfn.LET(_xlpm.roles,_xlfn.UNIQUE(D522:D3320), _xlpm.counts,COUNTIF(D522:D3320,_xlpm.roles), INDEX(_xlpm.roles,MATCH(MAX(_xlpm.counts),_xlpm.counts,0)))</f>
        <v>Entry Fragger</v>
      </c>
      <c r="X522" s="2">
        <f t="shared" si="44"/>
        <v>12.809421841541756</v>
      </c>
    </row>
    <row r="523" spans="1:24" x14ac:dyDescent="0.3">
      <c r="A523">
        <v>917</v>
      </c>
      <c r="B523">
        <v>91</v>
      </c>
      <c r="C523" t="s">
        <v>39</v>
      </c>
      <c r="D523" t="s">
        <v>36</v>
      </c>
      <c r="E523" t="s">
        <v>33</v>
      </c>
      <c r="F523" t="s">
        <v>34</v>
      </c>
      <c r="G523">
        <v>12</v>
      </c>
      <c r="H523">
        <v>7</v>
      </c>
      <c r="I523">
        <v>8</v>
      </c>
      <c r="J523">
        <v>52.95</v>
      </c>
      <c r="K523">
        <v>239.73</v>
      </c>
      <c r="L523">
        <v>0.26</v>
      </c>
      <c r="M523">
        <v>46.88</v>
      </c>
      <c r="N523">
        <v>1</v>
      </c>
      <c r="O523" t="s">
        <v>20</v>
      </c>
      <c r="P523" t="s">
        <v>21</v>
      </c>
      <c r="Q523">
        <f t="shared" si="40"/>
        <v>11</v>
      </c>
      <c r="R523" s="4">
        <f>RANK(N523,$N$2:N$2800,0)</f>
        <v>1</v>
      </c>
      <c r="S523">
        <f t="shared" si="41"/>
        <v>1.5</v>
      </c>
      <c r="T523" t="str">
        <f t="shared" si="42"/>
        <v>Low</v>
      </c>
      <c r="U523" t="str" cm="1">
        <f t="array" ref="U523">_xlfn.LET(_xlpm.roles,_xlfn.UNIQUE(D523:D3321),_xlpm.kills, SUMIF(D523:D3321,_xlpm.roles,G523:G3321),INDEX(_xlpm.roles,MATCH(MAX(_xlpm.kills),_xlpm.kills,0)))</f>
        <v>Entry Fragger</v>
      </c>
      <c r="V523" t="str">
        <f t="shared" si="43"/>
        <v>High Accuracy</v>
      </c>
      <c r="W523" t="str" cm="1">
        <f t="array" ref="W523">_xlfn.LET(_xlpm.roles,_xlfn.UNIQUE(D523:D3321), _xlpm.counts,COUNTIF(D523:D3321,_xlpm.roles), INDEX(_xlpm.roles,MATCH(MAX(_xlpm.counts),_xlpm.counts,0)))</f>
        <v>Entry Fragger</v>
      </c>
      <c r="X523" s="2">
        <f t="shared" si="44"/>
        <v>13.103594080338267</v>
      </c>
    </row>
    <row r="524" spans="1:24" x14ac:dyDescent="0.3">
      <c r="A524">
        <v>1742</v>
      </c>
      <c r="B524">
        <v>91</v>
      </c>
      <c r="C524" t="s">
        <v>27</v>
      </c>
      <c r="D524" t="s">
        <v>28</v>
      </c>
      <c r="E524" t="s">
        <v>18</v>
      </c>
      <c r="F524" t="s">
        <v>26</v>
      </c>
      <c r="G524">
        <v>23</v>
      </c>
      <c r="H524">
        <v>8</v>
      </c>
      <c r="I524">
        <v>9</v>
      </c>
      <c r="J524">
        <v>59.84</v>
      </c>
      <c r="K524">
        <v>260.2</v>
      </c>
      <c r="L524">
        <v>0.94</v>
      </c>
      <c r="M524">
        <v>65.52</v>
      </c>
      <c r="N524">
        <v>1</v>
      </c>
      <c r="O524" t="s">
        <v>20</v>
      </c>
      <c r="P524" t="s">
        <v>38</v>
      </c>
      <c r="Q524">
        <f t="shared" si="40"/>
        <v>22</v>
      </c>
      <c r="R524" s="4">
        <f>RANK(N524,$N$2:N$2800,0)</f>
        <v>1</v>
      </c>
      <c r="S524">
        <f t="shared" si="41"/>
        <v>2.5555555555555554</v>
      </c>
      <c r="T524" t="str">
        <f t="shared" si="42"/>
        <v>Good</v>
      </c>
      <c r="U524" t="str" cm="1">
        <f t="array" ref="U524">_xlfn.LET(_xlpm.roles,_xlfn.UNIQUE(D524:D3322),_xlpm.kills, SUMIF(D524:D3322,_xlpm.roles,G524:G3322),INDEX(_xlpm.roles,MATCH(MAX(_xlpm.kills),_xlpm.kills,0)))</f>
        <v>Entry Fragger</v>
      </c>
      <c r="V524" t="str">
        <f t="shared" si="43"/>
        <v>High Accuracy</v>
      </c>
      <c r="W524" t="str" cm="1">
        <f t="array" ref="W524">_xlfn.LET(_xlpm.roles,_xlfn.UNIQUE(D524:D3322), _xlpm.counts,COUNTIF(D524:D3322,_xlpm.roles), INDEX(_xlpm.roles,MATCH(MAX(_xlpm.counts),_xlpm.counts,0)))</f>
        <v>Entry Fragger</v>
      </c>
      <c r="X524" s="2">
        <f t="shared" si="44"/>
        <v>13.057077625570777</v>
      </c>
    </row>
    <row r="525" spans="1:24" x14ac:dyDescent="0.3">
      <c r="A525">
        <v>2024</v>
      </c>
      <c r="B525">
        <v>91</v>
      </c>
      <c r="C525" t="s">
        <v>27</v>
      </c>
      <c r="D525" t="s">
        <v>36</v>
      </c>
      <c r="E525" t="s">
        <v>18</v>
      </c>
      <c r="F525" t="s">
        <v>24</v>
      </c>
      <c r="G525">
        <v>19</v>
      </c>
      <c r="H525">
        <v>5</v>
      </c>
      <c r="I525">
        <v>9</v>
      </c>
      <c r="J525">
        <v>51.73</v>
      </c>
      <c r="K525">
        <v>206.96</v>
      </c>
      <c r="L525">
        <v>0.56000000000000005</v>
      </c>
      <c r="M525">
        <v>54.26</v>
      </c>
      <c r="N525">
        <v>0.99</v>
      </c>
      <c r="O525" t="s">
        <v>20</v>
      </c>
      <c r="P525" t="s">
        <v>21</v>
      </c>
      <c r="Q525">
        <f t="shared" si="40"/>
        <v>15</v>
      </c>
      <c r="R525" s="4">
        <f>RANK(N525,$N$2:N$2800,0)</f>
        <v>1080</v>
      </c>
      <c r="S525">
        <f t="shared" si="41"/>
        <v>2.1111111111111112</v>
      </c>
      <c r="T525" t="str">
        <f t="shared" si="42"/>
        <v>Good</v>
      </c>
      <c r="U525" t="str" cm="1">
        <f t="array" ref="U525">_xlfn.LET(_xlpm.roles,_xlfn.UNIQUE(D525:D3323),_xlpm.kills, SUMIF(D525:D3323,_xlpm.roles,G525:G3323),INDEX(_xlpm.roles,MATCH(MAX(_xlpm.kills),_xlpm.kills,0)))</f>
        <v>Entry Fragger</v>
      </c>
      <c r="V525" t="str">
        <f t="shared" si="43"/>
        <v>High Accuracy</v>
      </c>
      <c r="W525" t="str" cm="1">
        <f t="array" ref="W525">_xlfn.LET(_xlpm.roles,_xlfn.UNIQUE(D525:D3323), _xlpm.counts,COUNTIF(D525:D3323,_xlpm.roles), INDEX(_xlpm.roles,MATCH(MAX(_xlpm.counts),_xlpm.counts,0)))</f>
        <v>Entry Fragger</v>
      </c>
      <c r="X525" s="2">
        <f t="shared" si="44"/>
        <v>13.057077625570777</v>
      </c>
    </row>
    <row r="526" spans="1:24" x14ac:dyDescent="0.3">
      <c r="A526">
        <v>1602</v>
      </c>
      <c r="B526">
        <v>92</v>
      </c>
      <c r="C526" t="s">
        <v>16</v>
      </c>
      <c r="D526" t="s">
        <v>22</v>
      </c>
      <c r="E526" t="s">
        <v>32</v>
      </c>
      <c r="F526" t="s">
        <v>37</v>
      </c>
      <c r="G526">
        <v>7</v>
      </c>
      <c r="H526">
        <v>13</v>
      </c>
      <c r="I526">
        <v>7</v>
      </c>
      <c r="J526">
        <v>39.65</v>
      </c>
      <c r="K526">
        <v>240.31</v>
      </c>
      <c r="L526">
        <v>0.05</v>
      </c>
      <c r="M526">
        <v>39.33</v>
      </c>
      <c r="N526">
        <v>0.83</v>
      </c>
      <c r="O526" t="s">
        <v>20</v>
      </c>
      <c r="P526" t="s">
        <v>21</v>
      </c>
      <c r="Q526">
        <f t="shared" si="40"/>
        <v>13</v>
      </c>
      <c r="R526" s="4">
        <f>RANK(N526,$N$2:N$2800,0)</f>
        <v>2218</v>
      </c>
      <c r="S526">
        <f t="shared" si="41"/>
        <v>1</v>
      </c>
      <c r="T526" t="str">
        <f t="shared" si="42"/>
        <v>Low</v>
      </c>
      <c r="U526" t="str" cm="1">
        <f t="array" ref="U526">_xlfn.LET(_xlpm.roles,_xlfn.UNIQUE(D526:D3324),_xlpm.kills, SUMIF(D526:D3324,_xlpm.roles,G526:G3324),INDEX(_xlpm.roles,MATCH(MAX(_xlpm.kills),_xlpm.kills,0)))</f>
        <v>Entry Fragger</v>
      </c>
      <c r="V526" t="str">
        <f t="shared" si="43"/>
        <v>Medium Accuracy</v>
      </c>
      <c r="W526" t="str" cm="1">
        <f t="array" ref="W526">_xlfn.LET(_xlpm.roles,_xlfn.UNIQUE(D526:D3324), _xlpm.counts,COUNTIF(D526:D3324,_xlpm.roles), INDEX(_xlpm.roles,MATCH(MAX(_xlpm.counts),_xlpm.counts,0)))</f>
        <v>Entry Fragger</v>
      </c>
      <c r="X526" s="2">
        <f t="shared" si="44"/>
        <v>12.520971302428256</v>
      </c>
    </row>
    <row r="527" spans="1:24" x14ac:dyDescent="0.3">
      <c r="A527">
        <v>2528</v>
      </c>
      <c r="B527">
        <v>92</v>
      </c>
      <c r="C527" t="s">
        <v>35</v>
      </c>
      <c r="D527" t="s">
        <v>22</v>
      </c>
      <c r="E527" t="s">
        <v>23</v>
      </c>
      <c r="F527" t="s">
        <v>24</v>
      </c>
      <c r="G527">
        <v>15</v>
      </c>
      <c r="H527">
        <v>4</v>
      </c>
      <c r="I527">
        <v>12</v>
      </c>
      <c r="J527">
        <v>58.01</v>
      </c>
      <c r="K527">
        <v>231.02</v>
      </c>
      <c r="L527">
        <v>0.01</v>
      </c>
      <c r="M527">
        <v>50.9</v>
      </c>
      <c r="N527">
        <v>0.99</v>
      </c>
      <c r="O527" t="s">
        <v>20</v>
      </c>
      <c r="P527" t="s">
        <v>21</v>
      </c>
      <c r="Q527">
        <f t="shared" si="40"/>
        <v>7</v>
      </c>
      <c r="R527" s="4">
        <f>RANK(N527,$N$2:N$2800,0)</f>
        <v>1080</v>
      </c>
      <c r="S527">
        <f t="shared" si="41"/>
        <v>1.25</v>
      </c>
      <c r="T527" t="str">
        <f t="shared" si="42"/>
        <v>Low</v>
      </c>
      <c r="U527" t="str" cm="1">
        <f t="array" ref="U527">_xlfn.LET(_xlpm.roles,_xlfn.UNIQUE(D527:D3325),_xlpm.kills, SUMIF(D527:D3325,_xlpm.roles,G527:G3325),INDEX(_xlpm.roles,MATCH(MAX(_xlpm.kills),_xlpm.kills,0)))</f>
        <v>Entry Fragger</v>
      </c>
      <c r="V527" t="str">
        <f t="shared" si="43"/>
        <v>High Accuracy</v>
      </c>
      <c r="W527" t="str" cm="1">
        <f t="array" ref="W527">_xlfn.LET(_xlpm.roles,_xlfn.UNIQUE(D527:D3325), _xlpm.counts,COUNTIF(D527:D3325,_xlpm.roles), INDEX(_xlpm.roles,MATCH(MAX(_xlpm.counts),_xlpm.counts,0)))</f>
        <v>Entry Fragger</v>
      </c>
      <c r="X527" s="2">
        <f t="shared" si="44"/>
        <v>12.599585062240664</v>
      </c>
    </row>
    <row r="528" spans="1:24" x14ac:dyDescent="0.3">
      <c r="A528">
        <v>364</v>
      </c>
      <c r="B528">
        <v>93</v>
      </c>
      <c r="C528" t="s">
        <v>25</v>
      </c>
      <c r="D528" t="s">
        <v>28</v>
      </c>
      <c r="E528" t="s">
        <v>33</v>
      </c>
      <c r="F528" t="s">
        <v>26</v>
      </c>
      <c r="G528">
        <v>26</v>
      </c>
      <c r="H528">
        <v>9</v>
      </c>
      <c r="I528">
        <v>6</v>
      </c>
      <c r="J528">
        <v>45.15</v>
      </c>
      <c r="K528">
        <v>187.65</v>
      </c>
      <c r="L528">
        <v>0.97</v>
      </c>
      <c r="M528">
        <v>67.88</v>
      </c>
      <c r="N528">
        <v>1</v>
      </c>
      <c r="O528" t="s">
        <v>20</v>
      </c>
      <c r="P528" t="s">
        <v>38</v>
      </c>
      <c r="Q528">
        <f t="shared" si="40"/>
        <v>29</v>
      </c>
      <c r="R528" s="4">
        <f>RANK(N528,$N$2:N$2800,0)</f>
        <v>1</v>
      </c>
      <c r="S528">
        <f t="shared" si="41"/>
        <v>4.333333333333333</v>
      </c>
      <c r="T528" t="str">
        <f t="shared" si="42"/>
        <v>Excellent</v>
      </c>
      <c r="U528" t="str" cm="1">
        <f t="array" ref="U528">_xlfn.LET(_xlpm.roles,_xlfn.UNIQUE(D528:D3326),_xlpm.kills, SUMIF(D528:D3326,_xlpm.roles,G528:G3326),INDEX(_xlpm.roles,MATCH(MAX(_xlpm.kills),_xlpm.kills,0)))</f>
        <v>Entry Fragger</v>
      </c>
      <c r="V528" t="str">
        <f t="shared" si="43"/>
        <v>Medium Accuracy</v>
      </c>
      <c r="W528" t="str" cm="1">
        <f t="array" ref="W528">_xlfn.LET(_xlpm.roles,_xlfn.UNIQUE(D528:D3326), _xlpm.counts,COUNTIF(D528:D3326,_xlpm.roles), INDEX(_xlpm.roles,MATCH(MAX(_xlpm.counts),_xlpm.counts,0)))</f>
        <v>Entry Fragger</v>
      </c>
      <c r="X528" s="2">
        <f t="shared" si="44"/>
        <v>12.809421841541756</v>
      </c>
    </row>
    <row r="529" spans="1:24" x14ac:dyDescent="0.3">
      <c r="A529">
        <v>580</v>
      </c>
      <c r="B529">
        <v>93</v>
      </c>
      <c r="C529" t="s">
        <v>27</v>
      </c>
      <c r="D529" t="s">
        <v>22</v>
      </c>
      <c r="E529" t="s">
        <v>33</v>
      </c>
      <c r="F529" t="s">
        <v>19</v>
      </c>
      <c r="G529">
        <v>9</v>
      </c>
      <c r="H529">
        <v>5</v>
      </c>
      <c r="I529">
        <v>8</v>
      </c>
      <c r="J529">
        <v>40.43</v>
      </c>
      <c r="K529">
        <v>260.58</v>
      </c>
      <c r="L529">
        <v>0.66</v>
      </c>
      <c r="M529">
        <v>28.62</v>
      </c>
      <c r="N529">
        <v>0.83</v>
      </c>
      <c r="O529" t="s">
        <v>20</v>
      </c>
      <c r="P529" t="s">
        <v>21</v>
      </c>
      <c r="Q529">
        <f t="shared" si="40"/>
        <v>6</v>
      </c>
      <c r="R529" s="4">
        <f>RANK(N529,$N$2:N$2800,0)</f>
        <v>2218</v>
      </c>
      <c r="S529">
        <f t="shared" si="41"/>
        <v>1.125</v>
      </c>
      <c r="T529" t="str">
        <f t="shared" si="42"/>
        <v>Low</v>
      </c>
      <c r="U529" t="str" cm="1">
        <f t="array" ref="U529">_xlfn.LET(_xlpm.roles,_xlfn.UNIQUE(D529:D3327),_xlpm.kills, SUMIF(D529:D3327,_xlpm.roles,G529:G3327),INDEX(_xlpm.roles,MATCH(MAX(_xlpm.kills),_xlpm.kills,0)))</f>
        <v>Entry Fragger</v>
      </c>
      <c r="V529" t="str">
        <f t="shared" si="43"/>
        <v>Medium Accuracy</v>
      </c>
      <c r="W529" t="str" cm="1">
        <f t="array" ref="W529">_xlfn.LET(_xlpm.roles,_xlfn.UNIQUE(D529:D3327), _xlpm.counts,COUNTIF(D529:D3327,_xlpm.roles), INDEX(_xlpm.roles,MATCH(MAX(_xlpm.counts),_xlpm.counts,0)))</f>
        <v>Entry Fragger</v>
      </c>
      <c r="X529" s="2">
        <f t="shared" si="44"/>
        <v>13.057077625570777</v>
      </c>
    </row>
    <row r="530" spans="1:24" x14ac:dyDescent="0.3">
      <c r="A530">
        <v>833</v>
      </c>
      <c r="B530">
        <v>93</v>
      </c>
      <c r="C530" t="s">
        <v>27</v>
      </c>
      <c r="D530" t="s">
        <v>17</v>
      </c>
      <c r="E530" t="s">
        <v>23</v>
      </c>
      <c r="F530" t="s">
        <v>26</v>
      </c>
      <c r="G530">
        <v>13</v>
      </c>
      <c r="H530">
        <v>5</v>
      </c>
      <c r="I530">
        <v>10</v>
      </c>
      <c r="J530">
        <v>34.380000000000003</v>
      </c>
      <c r="K530">
        <v>204.96</v>
      </c>
      <c r="L530">
        <v>0.76</v>
      </c>
      <c r="M530">
        <v>30.59</v>
      </c>
      <c r="N530">
        <v>0.82</v>
      </c>
      <c r="O530" t="s">
        <v>20</v>
      </c>
      <c r="P530" t="s">
        <v>21</v>
      </c>
      <c r="Q530">
        <f t="shared" si="40"/>
        <v>8</v>
      </c>
      <c r="R530" s="4">
        <f>RANK(N530,$N$2:N$2800,0)</f>
        <v>2275</v>
      </c>
      <c r="S530">
        <f t="shared" si="41"/>
        <v>1.3</v>
      </c>
      <c r="T530" t="str">
        <f t="shared" si="42"/>
        <v>Low</v>
      </c>
      <c r="U530" t="str" cm="1">
        <f t="array" ref="U530">_xlfn.LET(_xlpm.roles,_xlfn.UNIQUE(D530:D3328),_xlpm.kills, SUMIF(D530:D3328,_xlpm.roles,G530:G3328),INDEX(_xlpm.roles,MATCH(MAX(_xlpm.kills),_xlpm.kills,0)))</f>
        <v>Entry Fragger</v>
      </c>
      <c r="V530" t="str">
        <f t="shared" si="43"/>
        <v>Medium Accuracy</v>
      </c>
      <c r="W530" t="str" cm="1">
        <f t="array" ref="W530">_xlfn.LET(_xlpm.roles,_xlfn.UNIQUE(D530:D3328), _xlpm.counts,COUNTIF(D530:D3328,_xlpm.roles), INDEX(_xlpm.roles,MATCH(MAX(_xlpm.counts),_xlpm.counts,0)))</f>
        <v>Entry Fragger</v>
      </c>
      <c r="X530" s="2">
        <f t="shared" si="44"/>
        <v>13.057077625570777</v>
      </c>
    </row>
    <row r="531" spans="1:24" x14ac:dyDescent="0.3">
      <c r="A531">
        <v>873</v>
      </c>
      <c r="B531">
        <v>93</v>
      </c>
      <c r="C531" t="s">
        <v>25</v>
      </c>
      <c r="D531" t="s">
        <v>22</v>
      </c>
      <c r="E531" t="s">
        <v>29</v>
      </c>
      <c r="F531" t="s">
        <v>37</v>
      </c>
      <c r="G531">
        <v>8</v>
      </c>
      <c r="H531">
        <v>8</v>
      </c>
      <c r="I531">
        <v>5</v>
      </c>
      <c r="J531">
        <v>55.4</v>
      </c>
      <c r="K531">
        <v>150.85</v>
      </c>
      <c r="L531">
        <v>0.37</v>
      </c>
      <c r="M531">
        <v>43</v>
      </c>
      <c r="N531">
        <v>0.73</v>
      </c>
      <c r="O531" t="s">
        <v>20</v>
      </c>
      <c r="P531" t="s">
        <v>21</v>
      </c>
      <c r="Q531">
        <f t="shared" si="40"/>
        <v>11</v>
      </c>
      <c r="R531" s="4">
        <f>RANK(N531,$N$2:N$2800,0)</f>
        <v>2642</v>
      </c>
      <c r="S531">
        <f t="shared" si="41"/>
        <v>1.6</v>
      </c>
      <c r="T531" t="str">
        <f t="shared" si="42"/>
        <v>Low</v>
      </c>
      <c r="U531" t="str" cm="1">
        <f t="array" ref="U531">_xlfn.LET(_xlpm.roles,_xlfn.UNIQUE(D531:D3329),_xlpm.kills, SUMIF(D531:D3329,_xlpm.roles,G531:G3329),INDEX(_xlpm.roles,MATCH(MAX(_xlpm.kills),_xlpm.kills,0)))</f>
        <v>Entry Fragger</v>
      </c>
      <c r="V531" t="str">
        <f t="shared" si="43"/>
        <v>High Accuracy</v>
      </c>
      <c r="W531" t="str" cm="1">
        <f t="array" ref="W531">_xlfn.LET(_xlpm.roles,_xlfn.UNIQUE(D531:D3329), _xlpm.counts,COUNTIF(D531:D3329,_xlpm.roles), INDEX(_xlpm.roles,MATCH(MAX(_xlpm.counts),_xlpm.counts,0)))</f>
        <v>Entry Fragger</v>
      </c>
      <c r="X531" s="2">
        <f t="shared" si="44"/>
        <v>12.809421841541756</v>
      </c>
    </row>
    <row r="532" spans="1:24" x14ac:dyDescent="0.3">
      <c r="A532">
        <v>1313</v>
      </c>
      <c r="B532">
        <v>93</v>
      </c>
      <c r="C532" t="s">
        <v>25</v>
      </c>
      <c r="D532" t="s">
        <v>36</v>
      </c>
      <c r="E532" t="s">
        <v>32</v>
      </c>
      <c r="F532" t="s">
        <v>19</v>
      </c>
      <c r="G532">
        <v>16</v>
      </c>
      <c r="H532">
        <v>7</v>
      </c>
      <c r="I532">
        <v>5</v>
      </c>
      <c r="J532">
        <v>48.83</v>
      </c>
      <c r="K532">
        <v>221.01</v>
      </c>
      <c r="L532">
        <v>0.36</v>
      </c>
      <c r="M532">
        <v>54.81</v>
      </c>
      <c r="N532">
        <v>1</v>
      </c>
      <c r="O532" t="s">
        <v>20</v>
      </c>
      <c r="P532" t="s">
        <v>21</v>
      </c>
      <c r="Q532">
        <f t="shared" si="40"/>
        <v>18</v>
      </c>
      <c r="R532" s="4">
        <f>RANK(N532,$N$2:N$2800,0)</f>
        <v>1</v>
      </c>
      <c r="S532">
        <f t="shared" si="41"/>
        <v>3.2</v>
      </c>
      <c r="T532" t="str">
        <f t="shared" si="42"/>
        <v>Good</v>
      </c>
      <c r="U532" t="str" cm="1">
        <f t="array" ref="U532">_xlfn.LET(_xlpm.roles,_xlfn.UNIQUE(D532:D3330),_xlpm.kills, SUMIF(D532:D3330,_xlpm.roles,G532:G3330),INDEX(_xlpm.roles,MATCH(MAX(_xlpm.kills),_xlpm.kills,0)))</f>
        <v>Entry Fragger</v>
      </c>
      <c r="V532" t="str">
        <f t="shared" si="43"/>
        <v>Medium Accuracy</v>
      </c>
      <c r="W532" t="str" cm="1">
        <f t="array" ref="W532">_xlfn.LET(_xlpm.roles,_xlfn.UNIQUE(D532:D3330), _xlpm.counts,COUNTIF(D532:D3330,_xlpm.roles), INDEX(_xlpm.roles,MATCH(MAX(_xlpm.counts),_xlpm.counts,0)))</f>
        <v>Entry Fragger</v>
      </c>
      <c r="X532" s="2">
        <f t="shared" si="44"/>
        <v>12.809421841541756</v>
      </c>
    </row>
    <row r="533" spans="1:24" x14ac:dyDescent="0.3">
      <c r="A533">
        <v>1521</v>
      </c>
      <c r="B533">
        <v>93</v>
      </c>
      <c r="C533" t="s">
        <v>39</v>
      </c>
      <c r="D533" t="s">
        <v>17</v>
      </c>
      <c r="E533" t="s">
        <v>32</v>
      </c>
      <c r="F533" t="s">
        <v>34</v>
      </c>
      <c r="G533">
        <v>18</v>
      </c>
      <c r="H533">
        <v>7</v>
      </c>
      <c r="I533">
        <v>10</v>
      </c>
      <c r="J533">
        <v>46.23</v>
      </c>
      <c r="K533">
        <v>162.36000000000001</v>
      </c>
      <c r="L533">
        <v>0.65</v>
      </c>
      <c r="M533">
        <v>49.61</v>
      </c>
      <c r="N533">
        <v>0.98</v>
      </c>
      <c r="O533" t="s">
        <v>20</v>
      </c>
      <c r="P533" t="s">
        <v>21</v>
      </c>
      <c r="Q533">
        <f t="shared" si="40"/>
        <v>15</v>
      </c>
      <c r="R533" s="4">
        <f>RANK(N533,$N$2:N$2800,0)</f>
        <v>1157</v>
      </c>
      <c r="S533">
        <f t="shared" si="41"/>
        <v>1.8</v>
      </c>
      <c r="T533" t="str">
        <f t="shared" si="42"/>
        <v>Good</v>
      </c>
      <c r="U533" t="str" cm="1">
        <f t="array" ref="U533">_xlfn.LET(_xlpm.roles,_xlfn.UNIQUE(D533:D3331),_xlpm.kills, SUMIF(D533:D3331,_xlpm.roles,G533:G3331),INDEX(_xlpm.roles,MATCH(MAX(_xlpm.kills),_xlpm.kills,0)))</f>
        <v>Entry Fragger</v>
      </c>
      <c r="V533" t="str">
        <f t="shared" si="43"/>
        <v>Medium Accuracy</v>
      </c>
      <c r="W533" t="str" cm="1">
        <f t="array" ref="W533">_xlfn.LET(_xlpm.roles,_xlfn.UNIQUE(D533:D3331), _xlpm.counts,COUNTIF(D533:D3331,_xlpm.roles), INDEX(_xlpm.roles,MATCH(MAX(_xlpm.counts),_xlpm.counts,0)))</f>
        <v>Entry Fragger</v>
      </c>
      <c r="X533" s="2">
        <f t="shared" si="44"/>
        <v>13.103594080338267</v>
      </c>
    </row>
    <row r="534" spans="1:24" x14ac:dyDescent="0.3">
      <c r="A534">
        <v>1906</v>
      </c>
      <c r="B534">
        <v>93</v>
      </c>
      <c r="C534" t="s">
        <v>35</v>
      </c>
      <c r="D534" t="s">
        <v>17</v>
      </c>
      <c r="E534" t="s">
        <v>33</v>
      </c>
      <c r="F534" t="s">
        <v>34</v>
      </c>
      <c r="G534">
        <v>14</v>
      </c>
      <c r="H534">
        <v>9</v>
      </c>
      <c r="I534">
        <v>5</v>
      </c>
      <c r="J534">
        <v>39.57</v>
      </c>
      <c r="K534">
        <v>191.37</v>
      </c>
      <c r="L534">
        <v>0.92</v>
      </c>
      <c r="M534">
        <v>42.58</v>
      </c>
      <c r="N534">
        <v>0.98</v>
      </c>
      <c r="O534" t="s">
        <v>20</v>
      </c>
      <c r="P534" t="s">
        <v>21</v>
      </c>
      <c r="Q534">
        <f t="shared" si="40"/>
        <v>18</v>
      </c>
      <c r="R534" s="4">
        <f>RANK(N534,$N$2:N$2800,0)</f>
        <v>1157</v>
      </c>
      <c r="S534">
        <f t="shared" si="41"/>
        <v>2.8</v>
      </c>
      <c r="T534" t="str">
        <f t="shared" si="42"/>
        <v>Good</v>
      </c>
      <c r="U534" t="str" cm="1">
        <f t="array" ref="U534">_xlfn.LET(_xlpm.roles,_xlfn.UNIQUE(D534:D3332),_xlpm.kills, SUMIF(D534:D3332,_xlpm.roles,G534:G3332),INDEX(_xlpm.roles,MATCH(MAX(_xlpm.kills),_xlpm.kills,0)))</f>
        <v>Entry Fragger</v>
      </c>
      <c r="V534" t="str">
        <f t="shared" si="43"/>
        <v>Medium Accuracy</v>
      </c>
      <c r="W534" t="str" cm="1">
        <f t="array" ref="W534">_xlfn.LET(_xlpm.roles,_xlfn.UNIQUE(D534:D3332), _xlpm.counts,COUNTIF(D534:D3332,_xlpm.roles), INDEX(_xlpm.roles,MATCH(MAX(_xlpm.counts),_xlpm.counts,0)))</f>
        <v>Entry Fragger</v>
      </c>
      <c r="X534" s="2">
        <f t="shared" si="44"/>
        <v>12.599585062240664</v>
      </c>
    </row>
    <row r="535" spans="1:24" x14ac:dyDescent="0.3">
      <c r="A535">
        <v>2352</v>
      </c>
      <c r="B535">
        <v>93</v>
      </c>
      <c r="C535" t="s">
        <v>25</v>
      </c>
      <c r="D535" t="s">
        <v>22</v>
      </c>
      <c r="E535" t="s">
        <v>18</v>
      </c>
      <c r="F535" t="s">
        <v>26</v>
      </c>
      <c r="G535">
        <v>8</v>
      </c>
      <c r="H535">
        <v>7</v>
      </c>
      <c r="I535">
        <v>13</v>
      </c>
      <c r="J535">
        <v>34.119999999999997</v>
      </c>
      <c r="K535">
        <v>226.93</v>
      </c>
      <c r="L535">
        <v>0.18</v>
      </c>
      <c r="M535">
        <v>25.26</v>
      </c>
      <c r="N535">
        <v>0.84</v>
      </c>
      <c r="O535" t="s">
        <v>20</v>
      </c>
      <c r="P535" t="s">
        <v>21</v>
      </c>
      <c r="Q535">
        <f t="shared" si="40"/>
        <v>2</v>
      </c>
      <c r="R535" s="4">
        <f>RANK(N535,$N$2:N$2800,0)</f>
        <v>2156</v>
      </c>
      <c r="S535">
        <f t="shared" si="41"/>
        <v>0.61538461538461542</v>
      </c>
      <c r="T535" t="str">
        <f t="shared" si="42"/>
        <v>Low</v>
      </c>
      <c r="U535" t="str" cm="1">
        <f t="array" ref="U535">_xlfn.LET(_xlpm.roles,_xlfn.UNIQUE(D535:D3333),_xlpm.kills, SUMIF(D535:D3333,_xlpm.roles,G535:G3333),INDEX(_xlpm.roles,MATCH(MAX(_xlpm.kills),_xlpm.kills,0)))</f>
        <v>Entry Fragger</v>
      </c>
      <c r="V535" t="str">
        <f t="shared" si="43"/>
        <v>Medium Accuracy</v>
      </c>
      <c r="W535" t="str" cm="1">
        <f t="array" ref="W535">_xlfn.LET(_xlpm.roles,_xlfn.UNIQUE(D535:D3333), _xlpm.counts,COUNTIF(D535:D3333,_xlpm.roles), INDEX(_xlpm.roles,MATCH(MAX(_xlpm.counts),_xlpm.counts,0)))</f>
        <v>Entry Fragger</v>
      </c>
      <c r="X535" s="2">
        <f t="shared" si="44"/>
        <v>12.809421841541756</v>
      </c>
    </row>
    <row r="536" spans="1:24" x14ac:dyDescent="0.3">
      <c r="A536">
        <v>2446</v>
      </c>
      <c r="B536">
        <v>93</v>
      </c>
      <c r="C536" t="s">
        <v>27</v>
      </c>
      <c r="D536" t="s">
        <v>31</v>
      </c>
      <c r="E536" t="s">
        <v>29</v>
      </c>
      <c r="F536" t="s">
        <v>34</v>
      </c>
      <c r="G536">
        <v>12</v>
      </c>
      <c r="H536">
        <v>7</v>
      </c>
      <c r="I536">
        <v>5</v>
      </c>
      <c r="J536">
        <v>52.7</v>
      </c>
      <c r="K536">
        <v>240.24</v>
      </c>
      <c r="L536">
        <v>0.92</v>
      </c>
      <c r="M536">
        <v>43.15</v>
      </c>
      <c r="N536">
        <v>0.92</v>
      </c>
      <c r="O536" t="s">
        <v>20</v>
      </c>
      <c r="P536" t="s">
        <v>21</v>
      </c>
      <c r="Q536">
        <f t="shared" si="40"/>
        <v>14</v>
      </c>
      <c r="R536" s="4">
        <f>RANK(N536,$N$2:N$2800,0)</f>
        <v>1585</v>
      </c>
      <c r="S536">
        <f t="shared" si="41"/>
        <v>2.4</v>
      </c>
      <c r="T536" t="str">
        <f t="shared" si="42"/>
        <v>Low</v>
      </c>
      <c r="U536" t="str" cm="1">
        <f t="array" ref="U536">_xlfn.LET(_xlpm.roles,_xlfn.UNIQUE(D536:D3334),_xlpm.kills, SUMIF(D536:D3334,_xlpm.roles,G536:G3334),INDEX(_xlpm.roles,MATCH(MAX(_xlpm.kills),_xlpm.kills,0)))</f>
        <v>Entry Fragger</v>
      </c>
      <c r="V536" t="str">
        <f t="shared" si="43"/>
        <v>High Accuracy</v>
      </c>
      <c r="W536" t="str" cm="1">
        <f t="array" ref="W536">_xlfn.LET(_xlpm.roles,_xlfn.UNIQUE(D536:D3334), _xlpm.counts,COUNTIF(D536:D3334,_xlpm.roles), INDEX(_xlpm.roles,MATCH(MAX(_xlpm.counts),_xlpm.counts,0)))</f>
        <v>Entry Fragger</v>
      </c>
      <c r="X536" s="2">
        <f t="shared" si="44"/>
        <v>13.057077625570777</v>
      </c>
    </row>
    <row r="537" spans="1:24" x14ac:dyDescent="0.3">
      <c r="A537">
        <v>142</v>
      </c>
      <c r="B537">
        <v>94</v>
      </c>
      <c r="C537" t="s">
        <v>25</v>
      </c>
      <c r="D537" t="s">
        <v>17</v>
      </c>
      <c r="E537" t="s">
        <v>23</v>
      </c>
      <c r="F537" t="s">
        <v>34</v>
      </c>
      <c r="G537">
        <v>20</v>
      </c>
      <c r="H537">
        <v>10</v>
      </c>
      <c r="I537">
        <v>15</v>
      </c>
      <c r="J537">
        <v>61.83</v>
      </c>
      <c r="K537">
        <v>203.68</v>
      </c>
      <c r="L537">
        <v>0.11</v>
      </c>
      <c r="M537">
        <v>64.81</v>
      </c>
      <c r="N537">
        <v>1</v>
      </c>
      <c r="O537" t="s">
        <v>20</v>
      </c>
      <c r="P537" t="s">
        <v>38</v>
      </c>
      <c r="Q537">
        <f t="shared" si="40"/>
        <v>15</v>
      </c>
      <c r="R537" s="4">
        <f>RANK(N537,$N$2:N$2800,0)</f>
        <v>1</v>
      </c>
      <c r="S537">
        <f t="shared" si="41"/>
        <v>1.3333333333333333</v>
      </c>
      <c r="T537" t="str">
        <f t="shared" si="42"/>
        <v>Good</v>
      </c>
      <c r="U537" t="str" cm="1">
        <f t="array" ref="U537">_xlfn.LET(_xlpm.roles,_xlfn.UNIQUE(D537:D3335),_xlpm.kills, SUMIF(D537:D3335,_xlpm.roles,G537:G3335),INDEX(_xlpm.roles,MATCH(MAX(_xlpm.kills),_xlpm.kills,0)))</f>
        <v>Entry Fragger</v>
      </c>
      <c r="V537" t="str">
        <f t="shared" si="43"/>
        <v>High Accuracy</v>
      </c>
      <c r="W537" t="str" cm="1">
        <f t="array" ref="W537">_xlfn.LET(_xlpm.roles,_xlfn.UNIQUE(D537:D3335), _xlpm.counts,COUNTIF(D537:D3335,_xlpm.roles), INDEX(_xlpm.roles,MATCH(MAX(_xlpm.counts),_xlpm.counts,0)))</f>
        <v>Entry Fragger</v>
      </c>
      <c r="X537" s="2">
        <f t="shared" si="44"/>
        <v>12.809421841541756</v>
      </c>
    </row>
    <row r="538" spans="1:24" x14ac:dyDescent="0.3">
      <c r="A538">
        <v>1540</v>
      </c>
      <c r="B538">
        <v>94</v>
      </c>
      <c r="C538" t="s">
        <v>35</v>
      </c>
      <c r="D538" t="s">
        <v>28</v>
      </c>
      <c r="E538" t="s">
        <v>18</v>
      </c>
      <c r="F538" t="s">
        <v>26</v>
      </c>
      <c r="G538">
        <v>16</v>
      </c>
      <c r="H538">
        <v>8</v>
      </c>
      <c r="I538">
        <v>8</v>
      </c>
      <c r="J538">
        <v>41.56</v>
      </c>
      <c r="K538">
        <v>178.41</v>
      </c>
      <c r="L538">
        <v>0.91</v>
      </c>
      <c r="M538">
        <v>43.68</v>
      </c>
      <c r="N538">
        <v>1</v>
      </c>
      <c r="O538" t="s">
        <v>20</v>
      </c>
      <c r="P538" t="s">
        <v>21</v>
      </c>
      <c r="Q538">
        <f t="shared" si="40"/>
        <v>16</v>
      </c>
      <c r="R538" s="4">
        <f>RANK(N538,$N$2:N$2800,0)</f>
        <v>1</v>
      </c>
      <c r="S538">
        <f t="shared" si="41"/>
        <v>2</v>
      </c>
      <c r="T538" t="str">
        <f t="shared" si="42"/>
        <v>Good</v>
      </c>
      <c r="U538" t="str" cm="1">
        <f t="array" ref="U538">_xlfn.LET(_xlpm.roles,_xlfn.UNIQUE(D538:D3336),_xlpm.kills, SUMIF(D538:D3336,_xlpm.roles,G538:G3336),INDEX(_xlpm.roles,MATCH(MAX(_xlpm.kills),_xlpm.kills,0)))</f>
        <v>Entry Fragger</v>
      </c>
      <c r="V538" t="str">
        <f t="shared" si="43"/>
        <v>Medium Accuracy</v>
      </c>
      <c r="W538" t="str" cm="1">
        <f t="array" ref="W538">_xlfn.LET(_xlpm.roles,_xlfn.UNIQUE(D538:D3336), _xlpm.counts,COUNTIF(D538:D3336,_xlpm.roles), INDEX(_xlpm.roles,MATCH(MAX(_xlpm.counts),_xlpm.counts,0)))</f>
        <v>Entry Fragger</v>
      </c>
      <c r="X538" s="2">
        <f t="shared" si="44"/>
        <v>12.599585062240664</v>
      </c>
    </row>
    <row r="539" spans="1:24" x14ac:dyDescent="0.3">
      <c r="A539">
        <v>2142</v>
      </c>
      <c r="B539">
        <v>94</v>
      </c>
      <c r="C539" t="s">
        <v>30</v>
      </c>
      <c r="D539" t="s">
        <v>28</v>
      </c>
      <c r="E539" t="s">
        <v>29</v>
      </c>
      <c r="F539" t="s">
        <v>24</v>
      </c>
      <c r="G539">
        <v>13</v>
      </c>
      <c r="H539">
        <v>5</v>
      </c>
      <c r="I539">
        <v>6</v>
      </c>
      <c r="J539">
        <v>41</v>
      </c>
      <c r="K539">
        <v>207.84</v>
      </c>
      <c r="L539">
        <v>0.89</v>
      </c>
      <c r="M539">
        <v>36.6</v>
      </c>
      <c r="N539">
        <v>0.7</v>
      </c>
      <c r="O539" t="s">
        <v>20</v>
      </c>
      <c r="P539" t="s">
        <v>21</v>
      </c>
      <c r="Q539">
        <f t="shared" si="40"/>
        <v>12</v>
      </c>
      <c r="R539" s="4">
        <f>RANK(N539,$N$2:N$2800,0)</f>
        <v>2702</v>
      </c>
      <c r="S539">
        <f t="shared" si="41"/>
        <v>2.1666666666666665</v>
      </c>
      <c r="T539" t="str">
        <f t="shared" si="42"/>
        <v>Low</v>
      </c>
      <c r="U539" t="str" cm="1">
        <f t="array" ref="U539">_xlfn.LET(_xlpm.roles,_xlfn.UNIQUE(D539:D3337),_xlpm.kills, SUMIF(D539:D3337,_xlpm.roles,G539:G3337),INDEX(_xlpm.roles,MATCH(MAX(_xlpm.kills),_xlpm.kills,0)))</f>
        <v>Entry Fragger</v>
      </c>
      <c r="V539" t="str">
        <f t="shared" si="43"/>
        <v>Medium Accuracy</v>
      </c>
      <c r="W539" t="str" cm="1">
        <f t="array" ref="W539">_xlfn.LET(_xlpm.roles,_xlfn.UNIQUE(D539:D3337), _xlpm.counts,COUNTIF(D539:D3337,_xlpm.roles), INDEX(_xlpm.roles,MATCH(MAX(_xlpm.counts),_xlpm.counts,0)))</f>
        <v>Entry Fragger</v>
      </c>
      <c r="X539" s="2">
        <f t="shared" si="44"/>
        <v>13.135802469135802</v>
      </c>
    </row>
    <row r="540" spans="1:24" x14ac:dyDescent="0.3">
      <c r="A540">
        <v>2616</v>
      </c>
      <c r="B540">
        <v>94</v>
      </c>
      <c r="C540" t="s">
        <v>27</v>
      </c>
      <c r="D540" t="s">
        <v>31</v>
      </c>
      <c r="E540" t="s">
        <v>32</v>
      </c>
      <c r="F540" t="s">
        <v>24</v>
      </c>
      <c r="G540">
        <v>14</v>
      </c>
      <c r="H540">
        <v>6</v>
      </c>
      <c r="I540">
        <v>10</v>
      </c>
      <c r="J540">
        <v>46.89</v>
      </c>
      <c r="K540">
        <v>254.37</v>
      </c>
      <c r="L540">
        <v>0.93</v>
      </c>
      <c r="M540">
        <v>38.14</v>
      </c>
      <c r="N540">
        <v>0.84</v>
      </c>
      <c r="O540" t="s">
        <v>20</v>
      </c>
      <c r="P540" t="s">
        <v>21</v>
      </c>
      <c r="Q540">
        <f t="shared" si="40"/>
        <v>10</v>
      </c>
      <c r="R540" s="4">
        <f>RANK(N540,$N$2:N$2800,0)</f>
        <v>2156</v>
      </c>
      <c r="S540">
        <f t="shared" si="41"/>
        <v>1.4</v>
      </c>
      <c r="T540" t="str">
        <f t="shared" si="42"/>
        <v>Low</v>
      </c>
      <c r="U540" t="str" cm="1">
        <f t="array" ref="U540">_xlfn.LET(_xlpm.roles,_xlfn.UNIQUE(D540:D3338),_xlpm.kills, SUMIF(D540:D3338,_xlpm.roles,G540:G3338),INDEX(_xlpm.roles,MATCH(MAX(_xlpm.kills),_xlpm.kills,0)))</f>
        <v>Entry Fragger</v>
      </c>
      <c r="V540" t="str">
        <f t="shared" si="43"/>
        <v>Medium Accuracy</v>
      </c>
      <c r="W540" t="str" cm="1">
        <f t="array" ref="W540">_xlfn.LET(_xlpm.roles,_xlfn.UNIQUE(D540:D3338), _xlpm.counts,COUNTIF(D540:D3338,_xlpm.roles), INDEX(_xlpm.roles,MATCH(MAX(_xlpm.counts),_xlpm.counts,0)))</f>
        <v>Entry Fragger</v>
      </c>
      <c r="X540" s="2">
        <f t="shared" si="44"/>
        <v>13.057077625570777</v>
      </c>
    </row>
    <row r="541" spans="1:24" x14ac:dyDescent="0.3">
      <c r="A541">
        <v>166</v>
      </c>
      <c r="B541">
        <v>95</v>
      </c>
      <c r="C541" t="s">
        <v>16</v>
      </c>
      <c r="D541" t="s">
        <v>36</v>
      </c>
      <c r="E541" t="s">
        <v>23</v>
      </c>
      <c r="F541" t="s">
        <v>34</v>
      </c>
      <c r="G541">
        <v>16</v>
      </c>
      <c r="H541">
        <v>12</v>
      </c>
      <c r="I541">
        <v>9</v>
      </c>
      <c r="J541">
        <v>42.59</v>
      </c>
      <c r="K541">
        <v>252.19</v>
      </c>
      <c r="L541">
        <v>0.27</v>
      </c>
      <c r="M541">
        <v>53.59</v>
      </c>
      <c r="N541">
        <v>1</v>
      </c>
      <c r="O541" t="s">
        <v>20</v>
      </c>
      <c r="P541" t="s">
        <v>21</v>
      </c>
      <c r="Q541">
        <f t="shared" si="40"/>
        <v>19</v>
      </c>
      <c r="R541" s="4">
        <f>RANK(N541,$N$2:N$2800,0)</f>
        <v>1</v>
      </c>
      <c r="S541">
        <f t="shared" si="41"/>
        <v>1.7777777777777777</v>
      </c>
      <c r="T541" t="str">
        <f t="shared" si="42"/>
        <v>Good</v>
      </c>
      <c r="U541" t="str" cm="1">
        <f t="array" ref="U541">_xlfn.LET(_xlpm.roles,_xlfn.UNIQUE(D541:D3339),_xlpm.kills, SUMIF(D541:D3339,_xlpm.roles,G541:G3339),INDEX(_xlpm.roles,MATCH(MAX(_xlpm.kills),_xlpm.kills,0)))</f>
        <v>Entry Fragger</v>
      </c>
      <c r="V541" t="str">
        <f t="shared" si="43"/>
        <v>Medium Accuracy</v>
      </c>
      <c r="W541" t="str" cm="1">
        <f t="array" ref="W541">_xlfn.LET(_xlpm.roles,_xlfn.UNIQUE(D541:D3339), _xlpm.counts,COUNTIF(D541:D3339,_xlpm.roles), INDEX(_xlpm.roles,MATCH(MAX(_xlpm.counts),_xlpm.counts,0)))</f>
        <v>Entry Fragger</v>
      </c>
      <c r="X541" s="2">
        <f t="shared" si="44"/>
        <v>12.520971302428256</v>
      </c>
    </row>
    <row r="542" spans="1:24" x14ac:dyDescent="0.3">
      <c r="A542">
        <v>529</v>
      </c>
      <c r="B542">
        <v>95</v>
      </c>
      <c r="C542" t="s">
        <v>25</v>
      </c>
      <c r="D542" t="s">
        <v>22</v>
      </c>
      <c r="E542" t="s">
        <v>32</v>
      </c>
      <c r="F542" t="s">
        <v>19</v>
      </c>
      <c r="G542">
        <v>15</v>
      </c>
      <c r="H542">
        <v>7</v>
      </c>
      <c r="I542">
        <v>8</v>
      </c>
      <c r="J542">
        <v>61.02</v>
      </c>
      <c r="K542">
        <v>210.77</v>
      </c>
      <c r="L542">
        <v>0.87</v>
      </c>
      <c r="M542">
        <v>50.81</v>
      </c>
      <c r="N542">
        <v>0.88</v>
      </c>
      <c r="O542" t="s">
        <v>20</v>
      </c>
      <c r="P542" t="s">
        <v>21</v>
      </c>
      <c r="Q542">
        <f t="shared" si="40"/>
        <v>14</v>
      </c>
      <c r="R542" s="4">
        <f>RANK(N542,$N$2:N$2800,0)</f>
        <v>1894</v>
      </c>
      <c r="S542">
        <f t="shared" si="41"/>
        <v>1.875</v>
      </c>
      <c r="T542" t="str">
        <f t="shared" si="42"/>
        <v>Low</v>
      </c>
      <c r="U542" t="str" cm="1">
        <f t="array" ref="U542">_xlfn.LET(_xlpm.roles,_xlfn.UNIQUE(D542:D3340),_xlpm.kills, SUMIF(D542:D3340,_xlpm.roles,G542:G3340),INDEX(_xlpm.roles,MATCH(MAX(_xlpm.kills),_xlpm.kills,0)))</f>
        <v>Entry Fragger</v>
      </c>
      <c r="V542" t="str">
        <f t="shared" si="43"/>
        <v>High Accuracy</v>
      </c>
      <c r="W542" t="str" cm="1">
        <f t="array" ref="W542">_xlfn.LET(_xlpm.roles,_xlfn.UNIQUE(D542:D3340), _xlpm.counts,COUNTIF(D542:D3340,_xlpm.roles), INDEX(_xlpm.roles,MATCH(MAX(_xlpm.counts),_xlpm.counts,0)))</f>
        <v>Entry Fragger</v>
      </c>
      <c r="X542" s="2">
        <f t="shared" si="44"/>
        <v>12.809421841541756</v>
      </c>
    </row>
    <row r="543" spans="1:24" x14ac:dyDescent="0.3">
      <c r="A543">
        <v>885</v>
      </c>
      <c r="B543">
        <v>95</v>
      </c>
      <c r="C543" t="s">
        <v>35</v>
      </c>
      <c r="D543" t="s">
        <v>17</v>
      </c>
      <c r="E543" t="s">
        <v>23</v>
      </c>
      <c r="F543" t="s">
        <v>24</v>
      </c>
      <c r="G543">
        <v>17</v>
      </c>
      <c r="H543">
        <v>5</v>
      </c>
      <c r="I543">
        <v>12</v>
      </c>
      <c r="J543">
        <v>41.54</v>
      </c>
      <c r="K543">
        <v>293.23</v>
      </c>
      <c r="L543">
        <v>0.74</v>
      </c>
      <c r="M543">
        <v>40.369999999999997</v>
      </c>
      <c r="N543">
        <v>0.9</v>
      </c>
      <c r="O543" t="s">
        <v>20</v>
      </c>
      <c r="P543" t="s">
        <v>21</v>
      </c>
      <c r="Q543">
        <f t="shared" si="40"/>
        <v>10</v>
      </c>
      <c r="R543" s="4">
        <f>RANK(N543,$N$2:N$2800,0)</f>
        <v>1738</v>
      </c>
      <c r="S543">
        <f t="shared" si="41"/>
        <v>1.4166666666666667</v>
      </c>
      <c r="T543" t="str">
        <f t="shared" si="42"/>
        <v>Low</v>
      </c>
      <c r="U543" t="str" cm="1">
        <f t="array" ref="U543">_xlfn.LET(_xlpm.roles,_xlfn.UNIQUE(D543:D3341),_xlpm.kills, SUMIF(D543:D3341,_xlpm.roles,G543:G3341),INDEX(_xlpm.roles,MATCH(MAX(_xlpm.kills),_xlpm.kills,0)))</f>
        <v>Entry Fragger</v>
      </c>
      <c r="V543" t="str">
        <f t="shared" si="43"/>
        <v>Medium Accuracy</v>
      </c>
      <c r="W543" t="str" cm="1">
        <f t="array" ref="W543">_xlfn.LET(_xlpm.roles,_xlfn.UNIQUE(D543:D3341), _xlpm.counts,COUNTIF(D543:D3341,_xlpm.roles), INDEX(_xlpm.roles,MATCH(MAX(_xlpm.counts),_xlpm.counts,0)))</f>
        <v>Entry Fragger</v>
      </c>
      <c r="X543" s="2">
        <f t="shared" si="44"/>
        <v>12.599585062240664</v>
      </c>
    </row>
    <row r="544" spans="1:24" x14ac:dyDescent="0.3">
      <c r="A544">
        <v>1666</v>
      </c>
      <c r="B544">
        <v>95</v>
      </c>
      <c r="C544" t="s">
        <v>25</v>
      </c>
      <c r="D544" t="s">
        <v>31</v>
      </c>
      <c r="E544" t="s">
        <v>33</v>
      </c>
      <c r="F544" t="s">
        <v>24</v>
      </c>
      <c r="G544">
        <v>17</v>
      </c>
      <c r="H544">
        <v>2</v>
      </c>
      <c r="I544">
        <v>8</v>
      </c>
      <c r="J544">
        <v>46.39</v>
      </c>
      <c r="K544">
        <v>182.27</v>
      </c>
      <c r="L544">
        <v>0.78</v>
      </c>
      <c r="M544">
        <v>43.39</v>
      </c>
      <c r="N544">
        <v>0.9</v>
      </c>
      <c r="O544" t="s">
        <v>20</v>
      </c>
      <c r="P544" t="s">
        <v>21</v>
      </c>
      <c r="Q544">
        <f t="shared" si="40"/>
        <v>11</v>
      </c>
      <c r="R544" s="4">
        <f>RANK(N544,$N$2:N$2800,0)</f>
        <v>1738</v>
      </c>
      <c r="S544">
        <f t="shared" si="41"/>
        <v>2.125</v>
      </c>
      <c r="T544" t="str">
        <f t="shared" si="42"/>
        <v>Low</v>
      </c>
      <c r="U544" t="str" cm="1">
        <f t="array" ref="U544">_xlfn.LET(_xlpm.roles,_xlfn.UNIQUE(D544:D3342),_xlpm.kills, SUMIF(D544:D3342,_xlpm.roles,G544:G3342),INDEX(_xlpm.roles,MATCH(MAX(_xlpm.kills),_xlpm.kills,0)))</f>
        <v>Entry Fragger</v>
      </c>
      <c r="V544" t="str">
        <f t="shared" si="43"/>
        <v>Medium Accuracy</v>
      </c>
      <c r="W544" t="str" cm="1">
        <f t="array" ref="W544">_xlfn.LET(_xlpm.roles,_xlfn.UNIQUE(D544:D3342), _xlpm.counts,COUNTIF(D544:D3342,_xlpm.roles), INDEX(_xlpm.roles,MATCH(MAX(_xlpm.counts),_xlpm.counts,0)))</f>
        <v>Entry Fragger</v>
      </c>
      <c r="X544" s="2">
        <f t="shared" si="44"/>
        <v>12.809421841541756</v>
      </c>
    </row>
    <row r="545" spans="1:24" x14ac:dyDescent="0.3">
      <c r="A545">
        <v>1744</v>
      </c>
      <c r="B545">
        <v>95</v>
      </c>
      <c r="C545" t="s">
        <v>30</v>
      </c>
      <c r="D545" t="s">
        <v>28</v>
      </c>
      <c r="E545" t="s">
        <v>29</v>
      </c>
      <c r="F545" t="s">
        <v>19</v>
      </c>
      <c r="G545">
        <v>10</v>
      </c>
      <c r="H545">
        <v>6</v>
      </c>
      <c r="I545">
        <v>15</v>
      </c>
      <c r="J545">
        <v>38.619999999999997</v>
      </c>
      <c r="K545">
        <v>214.53</v>
      </c>
      <c r="L545">
        <v>0.99</v>
      </c>
      <c r="M545">
        <v>20.41</v>
      </c>
      <c r="N545">
        <v>0.57999999999999996</v>
      </c>
      <c r="O545" t="s">
        <v>20</v>
      </c>
      <c r="P545" t="s">
        <v>21</v>
      </c>
      <c r="Q545">
        <f t="shared" si="40"/>
        <v>1</v>
      </c>
      <c r="R545" s="4">
        <f>RANK(N545,$N$2:N$2800,0)</f>
        <v>2786</v>
      </c>
      <c r="S545">
        <f t="shared" si="41"/>
        <v>0.66666666666666663</v>
      </c>
      <c r="T545" t="str">
        <f t="shared" si="42"/>
        <v>Low</v>
      </c>
      <c r="U545" t="str" cm="1">
        <f t="array" ref="U545">_xlfn.LET(_xlpm.roles,_xlfn.UNIQUE(D545:D3343),_xlpm.kills, SUMIF(D545:D3343,_xlpm.roles,G545:G3343),INDEX(_xlpm.roles,MATCH(MAX(_xlpm.kills),_xlpm.kills,0)))</f>
        <v>Entry Fragger</v>
      </c>
      <c r="V545" t="str">
        <f t="shared" si="43"/>
        <v>Medium Accuracy</v>
      </c>
      <c r="W545" t="str" cm="1">
        <f t="array" ref="W545">_xlfn.LET(_xlpm.roles,_xlfn.UNIQUE(D545:D3343), _xlpm.counts,COUNTIF(D545:D3343,_xlpm.roles), INDEX(_xlpm.roles,MATCH(MAX(_xlpm.counts),_xlpm.counts,0)))</f>
        <v>Entry Fragger</v>
      </c>
      <c r="X545" s="2">
        <f t="shared" si="44"/>
        <v>13.135802469135802</v>
      </c>
    </row>
    <row r="546" spans="1:24" x14ac:dyDescent="0.3">
      <c r="A546">
        <v>2095</v>
      </c>
      <c r="B546">
        <v>95</v>
      </c>
      <c r="C546" t="s">
        <v>27</v>
      </c>
      <c r="D546" t="s">
        <v>22</v>
      </c>
      <c r="E546" t="s">
        <v>29</v>
      </c>
      <c r="F546" t="s">
        <v>26</v>
      </c>
      <c r="G546">
        <v>13</v>
      </c>
      <c r="H546">
        <v>8</v>
      </c>
      <c r="I546">
        <v>9</v>
      </c>
      <c r="J546">
        <v>58.39</v>
      </c>
      <c r="K546">
        <v>238.33</v>
      </c>
      <c r="L546">
        <v>0.86</v>
      </c>
      <c r="M546">
        <v>45.59</v>
      </c>
      <c r="N546">
        <v>1</v>
      </c>
      <c r="O546" t="s">
        <v>20</v>
      </c>
      <c r="P546" t="s">
        <v>21</v>
      </c>
      <c r="Q546">
        <f t="shared" si="40"/>
        <v>12</v>
      </c>
      <c r="R546" s="4">
        <f>RANK(N546,$N$2:N$2800,0)</f>
        <v>1</v>
      </c>
      <c r="S546">
        <f t="shared" si="41"/>
        <v>1.4444444444444444</v>
      </c>
      <c r="T546" t="str">
        <f t="shared" si="42"/>
        <v>Low</v>
      </c>
      <c r="U546" t="str" cm="1">
        <f t="array" ref="U546">_xlfn.LET(_xlpm.roles,_xlfn.UNIQUE(D546:D3344),_xlpm.kills, SUMIF(D546:D3344,_xlpm.roles,G546:G3344),INDEX(_xlpm.roles,MATCH(MAX(_xlpm.kills),_xlpm.kills,0)))</f>
        <v>Entry Fragger</v>
      </c>
      <c r="V546" t="str">
        <f t="shared" si="43"/>
        <v>High Accuracy</v>
      </c>
      <c r="W546" t="str" cm="1">
        <f t="array" ref="W546">_xlfn.LET(_xlpm.roles,_xlfn.UNIQUE(D546:D3344), _xlpm.counts,COUNTIF(D546:D3344,_xlpm.roles), INDEX(_xlpm.roles,MATCH(MAX(_xlpm.counts),_xlpm.counts,0)))</f>
        <v>Entry Fragger</v>
      </c>
      <c r="X546" s="2">
        <f t="shared" si="44"/>
        <v>13.057077625570777</v>
      </c>
    </row>
    <row r="547" spans="1:24" x14ac:dyDescent="0.3">
      <c r="A547">
        <v>2114</v>
      </c>
      <c r="B547">
        <v>95</v>
      </c>
      <c r="C547" t="s">
        <v>35</v>
      </c>
      <c r="D547" t="s">
        <v>22</v>
      </c>
      <c r="E547" t="s">
        <v>18</v>
      </c>
      <c r="F547" t="s">
        <v>37</v>
      </c>
      <c r="G547">
        <v>12</v>
      </c>
      <c r="H547">
        <v>11</v>
      </c>
      <c r="I547">
        <v>11</v>
      </c>
      <c r="J547">
        <v>48.2</v>
      </c>
      <c r="K547">
        <v>218.92</v>
      </c>
      <c r="L547">
        <v>0.7</v>
      </c>
      <c r="M547">
        <v>41.1</v>
      </c>
      <c r="N547">
        <v>0.82</v>
      </c>
      <c r="O547" t="s">
        <v>20</v>
      </c>
      <c r="P547" t="s">
        <v>21</v>
      </c>
      <c r="Q547">
        <f t="shared" si="40"/>
        <v>12</v>
      </c>
      <c r="R547" s="4">
        <f>RANK(N547,$N$2:N$2800,0)</f>
        <v>2275</v>
      </c>
      <c r="S547">
        <f t="shared" si="41"/>
        <v>1.0909090909090908</v>
      </c>
      <c r="T547" t="str">
        <f t="shared" si="42"/>
        <v>Low</v>
      </c>
      <c r="U547" t="str" cm="1">
        <f t="array" ref="U547">_xlfn.LET(_xlpm.roles,_xlfn.UNIQUE(D547:D3345),_xlpm.kills, SUMIF(D547:D3345,_xlpm.roles,G547:G3345),INDEX(_xlpm.roles,MATCH(MAX(_xlpm.kills),_xlpm.kills,0)))</f>
        <v>Entry Fragger</v>
      </c>
      <c r="V547" t="str">
        <f t="shared" si="43"/>
        <v>Medium Accuracy</v>
      </c>
      <c r="W547" t="str" cm="1">
        <f t="array" ref="W547">_xlfn.LET(_xlpm.roles,_xlfn.UNIQUE(D547:D3345), _xlpm.counts,COUNTIF(D547:D3345,_xlpm.roles), INDEX(_xlpm.roles,MATCH(MAX(_xlpm.counts),_xlpm.counts,0)))</f>
        <v>Entry Fragger</v>
      </c>
      <c r="X547" s="2">
        <f t="shared" si="44"/>
        <v>12.599585062240664</v>
      </c>
    </row>
    <row r="548" spans="1:24" x14ac:dyDescent="0.3">
      <c r="A548">
        <v>2491</v>
      </c>
      <c r="B548">
        <v>95</v>
      </c>
      <c r="C548" t="s">
        <v>35</v>
      </c>
      <c r="D548" t="s">
        <v>31</v>
      </c>
      <c r="E548" t="s">
        <v>32</v>
      </c>
      <c r="F548" t="s">
        <v>34</v>
      </c>
      <c r="G548">
        <v>19</v>
      </c>
      <c r="H548">
        <v>11</v>
      </c>
      <c r="I548">
        <v>16</v>
      </c>
      <c r="J548">
        <v>42.38</v>
      </c>
      <c r="K548">
        <v>235.74</v>
      </c>
      <c r="L548">
        <v>0.08</v>
      </c>
      <c r="M548">
        <v>53.39</v>
      </c>
      <c r="N548">
        <v>1</v>
      </c>
      <c r="O548" t="s">
        <v>20</v>
      </c>
      <c r="P548" t="s">
        <v>21</v>
      </c>
      <c r="Q548">
        <f t="shared" si="40"/>
        <v>14</v>
      </c>
      <c r="R548" s="4">
        <f>RANK(N548,$N$2:N$2800,0)</f>
        <v>1</v>
      </c>
      <c r="S548">
        <f t="shared" si="41"/>
        <v>1.1875</v>
      </c>
      <c r="T548" t="str">
        <f t="shared" si="42"/>
        <v>Low</v>
      </c>
      <c r="U548" t="str" cm="1">
        <f t="array" ref="U548">_xlfn.LET(_xlpm.roles,_xlfn.UNIQUE(D548:D3346),_xlpm.kills, SUMIF(D548:D3346,_xlpm.roles,G548:G3346),INDEX(_xlpm.roles,MATCH(MAX(_xlpm.kills),_xlpm.kills,0)))</f>
        <v>Entry Fragger</v>
      </c>
      <c r="V548" t="str">
        <f t="shared" si="43"/>
        <v>Medium Accuracy</v>
      </c>
      <c r="W548" t="str" cm="1">
        <f t="array" ref="W548">_xlfn.LET(_xlpm.roles,_xlfn.UNIQUE(D548:D3346), _xlpm.counts,COUNTIF(D548:D3346,_xlpm.roles), INDEX(_xlpm.roles,MATCH(MAX(_xlpm.counts),_xlpm.counts,0)))</f>
        <v>Entry Fragger</v>
      </c>
      <c r="X548" s="2">
        <f t="shared" si="44"/>
        <v>12.599585062240664</v>
      </c>
    </row>
    <row r="549" spans="1:24" x14ac:dyDescent="0.3">
      <c r="A549">
        <v>1350</v>
      </c>
      <c r="B549">
        <v>96</v>
      </c>
      <c r="C549" t="s">
        <v>39</v>
      </c>
      <c r="D549" t="s">
        <v>17</v>
      </c>
      <c r="E549" t="s">
        <v>18</v>
      </c>
      <c r="F549" t="s">
        <v>37</v>
      </c>
      <c r="G549">
        <v>14</v>
      </c>
      <c r="H549">
        <v>13</v>
      </c>
      <c r="I549">
        <v>5</v>
      </c>
      <c r="J549">
        <v>42.05</v>
      </c>
      <c r="K549">
        <v>199.36</v>
      </c>
      <c r="L549">
        <v>0.82</v>
      </c>
      <c r="M549">
        <v>48.83</v>
      </c>
      <c r="N549">
        <v>0.96</v>
      </c>
      <c r="O549" t="s">
        <v>20</v>
      </c>
      <c r="P549" t="s">
        <v>21</v>
      </c>
      <c r="Q549">
        <f t="shared" si="40"/>
        <v>22</v>
      </c>
      <c r="R549" s="4">
        <f>RANK(N549,$N$2:N$2800,0)</f>
        <v>1301</v>
      </c>
      <c r="S549">
        <f t="shared" si="41"/>
        <v>2.8</v>
      </c>
      <c r="T549" t="str">
        <f t="shared" si="42"/>
        <v>Good</v>
      </c>
      <c r="U549" t="str" cm="1">
        <f t="array" ref="U549">_xlfn.LET(_xlpm.roles,_xlfn.UNIQUE(D549:D3347),_xlpm.kills, SUMIF(D549:D3347,_xlpm.roles,G549:G3347),INDEX(_xlpm.roles,MATCH(MAX(_xlpm.kills),_xlpm.kills,0)))</f>
        <v>Entry Fragger</v>
      </c>
      <c r="V549" t="str">
        <f t="shared" si="43"/>
        <v>Medium Accuracy</v>
      </c>
      <c r="W549" t="str" cm="1">
        <f t="array" ref="W549">_xlfn.LET(_xlpm.roles,_xlfn.UNIQUE(D549:D3347), _xlpm.counts,COUNTIF(D549:D3347,_xlpm.roles), INDEX(_xlpm.roles,MATCH(MAX(_xlpm.counts),_xlpm.counts,0)))</f>
        <v>Entry Fragger</v>
      </c>
      <c r="X549" s="2">
        <f t="shared" si="44"/>
        <v>13.103594080338267</v>
      </c>
    </row>
    <row r="550" spans="1:24" x14ac:dyDescent="0.3">
      <c r="A550">
        <v>2188</v>
      </c>
      <c r="B550">
        <v>96</v>
      </c>
      <c r="C550" t="s">
        <v>35</v>
      </c>
      <c r="D550" t="s">
        <v>36</v>
      </c>
      <c r="E550" t="s">
        <v>29</v>
      </c>
      <c r="F550" t="s">
        <v>26</v>
      </c>
      <c r="G550">
        <v>21</v>
      </c>
      <c r="H550">
        <v>8</v>
      </c>
      <c r="I550">
        <v>5</v>
      </c>
      <c r="J550">
        <v>52.48</v>
      </c>
      <c r="K550">
        <v>209.95</v>
      </c>
      <c r="L550">
        <v>0.19</v>
      </c>
      <c r="M550">
        <v>69.34</v>
      </c>
      <c r="N550">
        <v>1</v>
      </c>
      <c r="O550" t="s">
        <v>20</v>
      </c>
      <c r="P550" t="s">
        <v>38</v>
      </c>
      <c r="Q550">
        <f t="shared" si="40"/>
        <v>24</v>
      </c>
      <c r="R550" s="4">
        <f>RANK(N550,$N$2:N$2800,0)</f>
        <v>1</v>
      </c>
      <c r="S550">
        <f t="shared" si="41"/>
        <v>4.2</v>
      </c>
      <c r="T550" t="str">
        <f t="shared" si="42"/>
        <v>Good</v>
      </c>
      <c r="U550" t="str" cm="1">
        <f t="array" ref="U550">_xlfn.LET(_xlpm.roles,_xlfn.UNIQUE(D550:D3348),_xlpm.kills, SUMIF(D550:D3348,_xlpm.roles,G550:G3348),INDEX(_xlpm.roles,MATCH(MAX(_xlpm.kills),_xlpm.kills,0)))</f>
        <v>Entry Fragger</v>
      </c>
      <c r="V550" t="str">
        <f t="shared" si="43"/>
        <v>High Accuracy</v>
      </c>
      <c r="W550" t="str" cm="1">
        <f t="array" ref="W550">_xlfn.LET(_xlpm.roles,_xlfn.UNIQUE(D550:D3348), _xlpm.counts,COUNTIF(D550:D3348,_xlpm.roles), INDEX(_xlpm.roles,MATCH(MAX(_xlpm.counts),_xlpm.counts,0)))</f>
        <v>Entry Fragger</v>
      </c>
      <c r="X550" s="2">
        <f t="shared" si="44"/>
        <v>12.599585062240664</v>
      </c>
    </row>
    <row r="551" spans="1:24" x14ac:dyDescent="0.3">
      <c r="A551">
        <v>2465</v>
      </c>
      <c r="B551">
        <v>96</v>
      </c>
      <c r="C551" t="s">
        <v>30</v>
      </c>
      <c r="D551" t="s">
        <v>22</v>
      </c>
      <c r="E551" t="s">
        <v>33</v>
      </c>
      <c r="F551" t="s">
        <v>37</v>
      </c>
      <c r="G551">
        <v>12</v>
      </c>
      <c r="H551">
        <v>10</v>
      </c>
      <c r="I551">
        <v>13</v>
      </c>
      <c r="J551">
        <v>48.93</v>
      </c>
      <c r="K551">
        <v>257.23</v>
      </c>
      <c r="L551">
        <v>0.28999999999999998</v>
      </c>
      <c r="M551">
        <v>42.57</v>
      </c>
      <c r="N551">
        <v>0.82</v>
      </c>
      <c r="O551" t="s">
        <v>20</v>
      </c>
      <c r="P551" t="s">
        <v>21</v>
      </c>
      <c r="Q551">
        <f t="shared" si="40"/>
        <v>9</v>
      </c>
      <c r="R551" s="4">
        <f>RANK(N551,$N$2:N$2800,0)</f>
        <v>2275</v>
      </c>
      <c r="S551">
        <f t="shared" si="41"/>
        <v>0.92307692307692313</v>
      </c>
      <c r="T551" t="str">
        <f t="shared" si="42"/>
        <v>Low</v>
      </c>
      <c r="U551" t="str" cm="1">
        <f t="array" ref="U551">_xlfn.LET(_xlpm.roles,_xlfn.UNIQUE(D551:D3349),_xlpm.kills, SUMIF(D551:D3349,_xlpm.roles,G551:G3349),INDEX(_xlpm.roles,MATCH(MAX(_xlpm.kills),_xlpm.kills,0)))</f>
        <v>Entry Fragger</v>
      </c>
      <c r="V551" t="str">
        <f t="shared" si="43"/>
        <v>Medium Accuracy</v>
      </c>
      <c r="W551" t="str" cm="1">
        <f t="array" ref="W551">_xlfn.LET(_xlpm.roles,_xlfn.UNIQUE(D551:D3349), _xlpm.counts,COUNTIF(D551:D3349,_xlpm.roles), INDEX(_xlpm.roles,MATCH(MAX(_xlpm.counts),_xlpm.counts,0)))</f>
        <v>Entry Fragger</v>
      </c>
      <c r="X551" s="2">
        <f t="shared" si="44"/>
        <v>13.135802469135802</v>
      </c>
    </row>
    <row r="552" spans="1:24" x14ac:dyDescent="0.3">
      <c r="A552">
        <v>2551</v>
      </c>
      <c r="B552">
        <v>96</v>
      </c>
      <c r="C552" t="s">
        <v>35</v>
      </c>
      <c r="D552" t="s">
        <v>31</v>
      </c>
      <c r="E552" t="s">
        <v>23</v>
      </c>
      <c r="F552" t="s">
        <v>34</v>
      </c>
      <c r="G552">
        <v>15</v>
      </c>
      <c r="H552">
        <v>6</v>
      </c>
      <c r="I552">
        <v>11</v>
      </c>
      <c r="J552">
        <v>48.12</v>
      </c>
      <c r="K552">
        <v>183.37</v>
      </c>
      <c r="L552">
        <v>0.73</v>
      </c>
      <c r="M552">
        <v>41.76</v>
      </c>
      <c r="N552">
        <v>0.81</v>
      </c>
      <c r="O552" t="s">
        <v>20</v>
      </c>
      <c r="P552" t="s">
        <v>21</v>
      </c>
      <c r="Q552">
        <f t="shared" si="40"/>
        <v>10</v>
      </c>
      <c r="R552" s="4">
        <f>RANK(N552,$N$2:N$2800,0)</f>
        <v>2341</v>
      </c>
      <c r="S552">
        <f t="shared" si="41"/>
        <v>1.3636363636363635</v>
      </c>
      <c r="T552" t="str">
        <f t="shared" si="42"/>
        <v>Low</v>
      </c>
      <c r="U552" t="str" cm="1">
        <f t="array" ref="U552">_xlfn.LET(_xlpm.roles,_xlfn.UNIQUE(D552:D3350),_xlpm.kills, SUMIF(D552:D3350,_xlpm.roles,G552:G3350),INDEX(_xlpm.roles,MATCH(MAX(_xlpm.kills),_xlpm.kills,0)))</f>
        <v>Entry Fragger</v>
      </c>
      <c r="V552" t="str">
        <f t="shared" si="43"/>
        <v>Medium Accuracy</v>
      </c>
      <c r="W552" t="str" cm="1">
        <f t="array" ref="W552">_xlfn.LET(_xlpm.roles,_xlfn.UNIQUE(D552:D3350), _xlpm.counts,COUNTIF(D552:D3350,_xlpm.roles), INDEX(_xlpm.roles,MATCH(MAX(_xlpm.counts),_xlpm.counts,0)))</f>
        <v>Entry Fragger</v>
      </c>
      <c r="X552" s="2">
        <f t="shared" si="44"/>
        <v>12.599585062240664</v>
      </c>
    </row>
    <row r="553" spans="1:24" x14ac:dyDescent="0.3">
      <c r="A553">
        <v>70</v>
      </c>
      <c r="B553">
        <v>97</v>
      </c>
      <c r="C553" t="s">
        <v>25</v>
      </c>
      <c r="D553" t="s">
        <v>31</v>
      </c>
      <c r="E553" t="s">
        <v>33</v>
      </c>
      <c r="F553" t="s">
        <v>24</v>
      </c>
      <c r="G553">
        <v>16</v>
      </c>
      <c r="H553">
        <v>7</v>
      </c>
      <c r="I553">
        <v>7</v>
      </c>
      <c r="J553">
        <v>62.14</v>
      </c>
      <c r="K553">
        <v>231.98</v>
      </c>
      <c r="L553">
        <v>0.74</v>
      </c>
      <c r="M553">
        <v>55.67</v>
      </c>
      <c r="N553">
        <v>1</v>
      </c>
      <c r="O553" t="s">
        <v>20</v>
      </c>
      <c r="P553" t="s">
        <v>21</v>
      </c>
      <c r="Q553">
        <f t="shared" si="40"/>
        <v>16</v>
      </c>
      <c r="R553" s="4">
        <f>RANK(N553,$N$2:N$2800,0)</f>
        <v>1</v>
      </c>
      <c r="S553">
        <f t="shared" si="41"/>
        <v>2.2857142857142856</v>
      </c>
      <c r="T553" t="str">
        <f t="shared" si="42"/>
        <v>Good</v>
      </c>
      <c r="U553" t="str" cm="1">
        <f t="array" ref="U553">_xlfn.LET(_xlpm.roles,_xlfn.UNIQUE(D553:D3351),_xlpm.kills, SUMIF(D553:D3351,_xlpm.roles,G553:G3351),INDEX(_xlpm.roles,MATCH(MAX(_xlpm.kills),_xlpm.kills,0)))</f>
        <v>Entry Fragger</v>
      </c>
      <c r="V553" t="str">
        <f t="shared" si="43"/>
        <v>High Accuracy</v>
      </c>
      <c r="W553" t="str" cm="1">
        <f t="array" ref="W553">_xlfn.LET(_xlpm.roles,_xlfn.UNIQUE(D553:D3351), _xlpm.counts,COUNTIF(D553:D3351,_xlpm.roles), INDEX(_xlpm.roles,MATCH(MAX(_xlpm.counts),_xlpm.counts,0)))</f>
        <v>Entry Fragger</v>
      </c>
      <c r="X553" s="2">
        <f t="shared" si="44"/>
        <v>12.809421841541756</v>
      </c>
    </row>
    <row r="554" spans="1:24" x14ac:dyDescent="0.3">
      <c r="A554">
        <v>105</v>
      </c>
      <c r="B554">
        <v>97</v>
      </c>
      <c r="C554" t="s">
        <v>16</v>
      </c>
      <c r="D554" t="s">
        <v>36</v>
      </c>
      <c r="E554" t="s">
        <v>32</v>
      </c>
      <c r="F554" t="s">
        <v>26</v>
      </c>
      <c r="G554">
        <v>12</v>
      </c>
      <c r="H554">
        <v>7</v>
      </c>
      <c r="I554">
        <v>12</v>
      </c>
      <c r="J554">
        <v>58.29</v>
      </c>
      <c r="K554">
        <v>206.29</v>
      </c>
      <c r="L554">
        <v>0.77</v>
      </c>
      <c r="M554">
        <v>40.44</v>
      </c>
      <c r="N554">
        <v>0.94</v>
      </c>
      <c r="O554" t="s">
        <v>20</v>
      </c>
      <c r="P554" t="s">
        <v>21</v>
      </c>
      <c r="Q554">
        <f t="shared" si="40"/>
        <v>7</v>
      </c>
      <c r="R554" s="4">
        <f>RANK(N554,$N$2:N$2800,0)</f>
        <v>1431</v>
      </c>
      <c r="S554">
        <f t="shared" si="41"/>
        <v>1</v>
      </c>
      <c r="T554" t="str">
        <f t="shared" si="42"/>
        <v>Low</v>
      </c>
      <c r="U554" t="str" cm="1">
        <f t="array" ref="U554">_xlfn.LET(_xlpm.roles,_xlfn.UNIQUE(D554:D3352),_xlpm.kills, SUMIF(D554:D3352,_xlpm.roles,G554:G3352),INDEX(_xlpm.roles,MATCH(MAX(_xlpm.kills),_xlpm.kills,0)))</f>
        <v>Entry Fragger</v>
      </c>
      <c r="V554" t="str">
        <f t="shared" si="43"/>
        <v>High Accuracy</v>
      </c>
      <c r="W554" t="str" cm="1">
        <f t="array" ref="W554">_xlfn.LET(_xlpm.roles,_xlfn.UNIQUE(D554:D3352), _xlpm.counts,COUNTIF(D554:D3352,_xlpm.roles), INDEX(_xlpm.roles,MATCH(MAX(_xlpm.counts),_xlpm.counts,0)))</f>
        <v>Entry Fragger</v>
      </c>
      <c r="X554" s="2">
        <f t="shared" si="44"/>
        <v>12.520971302428256</v>
      </c>
    </row>
    <row r="555" spans="1:24" x14ac:dyDescent="0.3">
      <c r="A555">
        <v>1007</v>
      </c>
      <c r="B555">
        <v>97</v>
      </c>
      <c r="C555" t="s">
        <v>30</v>
      </c>
      <c r="D555" t="s">
        <v>17</v>
      </c>
      <c r="E555" t="s">
        <v>33</v>
      </c>
      <c r="F555" t="s">
        <v>24</v>
      </c>
      <c r="G555">
        <v>23</v>
      </c>
      <c r="H555">
        <v>9</v>
      </c>
      <c r="I555">
        <v>6</v>
      </c>
      <c r="J555">
        <v>32.25</v>
      </c>
      <c r="K555">
        <v>235.7</v>
      </c>
      <c r="L555">
        <v>0.66</v>
      </c>
      <c r="M555">
        <v>58.52</v>
      </c>
      <c r="N555">
        <v>1</v>
      </c>
      <c r="O555" t="s">
        <v>20</v>
      </c>
      <c r="P555" t="s">
        <v>21</v>
      </c>
      <c r="Q555">
        <f t="shared" si="40"/>
        <v>26</v>
      </c>
      <c r="R555" s="4">
        <f>RANK(N555,$N$2:N$2800,0)</f>
        <v>1</v>
      </c>
      <c r="S555">
        <f t="shared" si="41"/>
        <v>3.8333333333333335</v>
      </c>
      <c r="T555" t="str">
        <f t="shared" si="42"/>
        <v>Excellent</v>
      </c>
      <c r="U555" t="str" cm="1">
        <f t="array" ref="U555">_xlfn.LET(_xlpm.roles,_xlfn.UNIQUE(D555:D3353),_xlpm.kills, SUMIF(D555:D3353,_xlpm.roles,G555:G3353),INDEX(_xlpm.roles,MATCH(MAX(_xlpm.kills),_xlpm.kills,0)))</f>
        <v>Entry Fragger</v>
      </c>
      <c r="V555" t="str">
        <f t="shared" si="43"/>
        <v>Medium Accuracy</v>
      </c>
      <c r="W555" t="str" cm="1">
        <f t="array" ref="W555">_xlfn.LET(_xlpm.roles,_xlfn.UNIQUE(D555:D3353), _xlpm.counts,COUNTIF(D555:D3353,_xlpm.roles), INDEX(_xlpm.roles,MATCH(MAX(_xlpm.counts),_xlpm.counts,0)))</f>
        <v>Entry Fragger</v>
      </c>
      <c r="X555" s="2">
        <f t="shared" si="44"/>
        <v>13.135802469135802</v>
      </c>
    </row>
    <row r="556" spans="1:24" x14ac:dyDescent="0.3">
      <c r="A556">
        <v>1144</v>
      </c>
      <c r="B556">
        <v>97</v>
      </c>
      <c r="C556" t="s">
        <v>35</v>
      </c>
      <c r="D556" t="s">
        <v>28</v>
      </c>
      <c r="E556" t="s">
        <v>29</v>
      </c>
      <c r="F556" t="s">
        <v>37</v>
      </c>
      <c r="G556">
        <v>18</v>
      </c>
      <c r="H556">
        <v>7</v>
      </c>
      <c r="I556">
        <v>10</v>
      </c>
      <c r="J556">
        <v>44.16</v>
      </c>
      <c r="K556">
        <v>235.81</v>
      </c>
      <c r="L556">
        <v>0.4</v>
      </c>
      <c r="M556">
        <v>51.08</v>
      </c>
      <c r="N556">
        <v>0.95</v>
      </c>
      <c r="O556" t="s">
        <v>20</v>
      </c>
      <c r="P556" t="s">
        <v>21</v>
      </c>
      <c r="Q556">
        <f t="shared" si="40"/>
        <v>15</v>
      </c>
      <c r="R556" s="4">
        <f>RANK(N556,$N$2:N$2800,0)</f>
        <v>1367</v>
      </c>
      <c r="S556">
        <f t="shared" si="41"/>
        <v>1.8</v>
      </c>
      <c r="T556" t="str">
        <f t="shared" si="42"/>
        <v>Good</v>
      </c>
      <c r="U556" t="str" cm="1">
        <f t="array" ref="U556">_xlfn.LET(_xlpm.roles,_xlfn.UNIQUE(D556:D3354),_xlpm.kills, SUMIF(D556:D3354,_xlpm.roles,G556:G3354),INDEX(_xlpm.roles,MATCH(MAX(_xlpm.kills),_xlpm.kills,0)))</f>
        <v>Entry Fragger</v>
      </c>
      <c r="V556" t="str">
        <f t="shared" si="43"/>
        <v>Medium Accuracy</v>
      </c>
      <c r="W556" t="str" cm="1">
        <f t="array" ref="W556">_xlfn.LET(_xlpm.roles,_xlfn.UNIQUE(D556:D3354), _xlpm.counts,COUNTIF(D556:D3354,_xlpm.roles), INDEX(_xlpm.roles,MATCH(MAX(_xlpm.counts),_xlpm.counts,0)))</f>
        <v>Entry Fragger</v>
      </c>
      <c r="X556" s="2">
        <f t="shared" si="44"/>
        <v>12.599585062240664</v>
      </c>
    </row>
    <row r="557" spans="1:24" x14ac:dyDescent="0.3">
      <c r="A557">
        <v>1673</v>
      </c>
      <c r="B557">
        <v>97</v>
      </c>
      <c r="C557" t="s">
        <v>30</v>
      </c>
      <c r="D557" t="s">
        <v>31</v>
      </c>
      <c r="E557" t="s">
        <v>18</v>
      </c>
      <c r="F557" t="s">
        <v>34</v>
      </c>
      <c r="G557">
        <v>12</v>
      </c>
      <c r="H557">
        <v>7</v>
      </c>
      <c r="I557">
        <v>10</v>
      </c>
      <c r="J557">
        <v>41.57</v>
      </c>
      <c r="K557">
        <v>207.13</v>
      </c>
      <c r="L557">
        <v>0.86</v>
      </c>
      <c r="M557">
        <v>33.18</v>
      </c>
      <c r="N557">
        <v>0.82</v>
      </c>
      <c r="O557" t="s">
        <v>20</v>
      </c>
      <c r="P557" t="s">
        <v>21</v>
      </c>
      <c r="Q557">
        <f t="shared" si="40"/>
        <v>9</v>
      </c>
      <c r="R557" s="4">
        <f>RANK(N557,$N$2:N$2800,0)</f>
        <v>2275</v>
      </c>
      <c r="S557">
        <f t="shared" si="41"/>
        <v>1.2</v>
      </c>
      <c r="T557" t="str">
        <f t="shared" si="42"/>
        <v>Low</v>
      </c>
      <c r="U557" t="str" cm="1">
        <f t="array" ref="U557">_xlfn.LET(_xlpm.roles,_xlfn.UNIQUE(D557:D3355),_xlpm.kills, SUMIF(D557:D3355,_xlpm.roles,G557:G3355),INDEX(_xlpm.roles,MATCH(MAX(_xlpm.kills),_xlpm.kills,0)))</f>
        <v>Entry Fragger</v>
      </c>
      <c r="V557" t="str">
        <f t="shared" si="43"/>
        <v>Medium Accuracy</v>
      </c>
      <c r="W557" t="str" cm="1">
        <f t="array" ref="W557">_xlfn.LET(_xlpm.roles,_xlfn.UNIQUE(D557:D3355), _xlpm.counts,COUNTIF(D557:D3355,_xlpm.roles), INDEX(_xlpm.roles,MATCH(MAX(_xlpm.counts),_xlpm.counts,0)))</f>
        <v>Entry Fragger</v>
      </c>
      <c r="X557" s="2">
        <f t="shared" si="44"/>
        <v>13.135802469135802</v>
      </c>
    </row>
    <row r="558" spans="1:24" x14ac:dyDescent="0.3">
      <c r="A558">
        <v>1912</v>
      </c>
      <c r="B558">
        <v>97</v>
      </c>
      <c r="C558" t="s">
        <v>27</v>
      </c>
      <c r="D558" t="s">
        <v>31</v>
      </c>
      <c r="E558" t="s">
        <v>18</v>
      </c>
      <c r="F558" t="s">
        <v>37</v>
      </c>
      <c r="G558">
        <v>13</v>
      </c>
      <c r="H558">
        <v>15</v>
      </c>
      <c r="I558">
        <v>12</v>
      </c>
      <c r="J558">
        <v>35.979999999999997</v>
      </c>
      <c r="K558">
        <v>192.76</v>
      </c>
      <c r="L558">
        <v>0.69</v>
      </c>
      <c r="M558">
        <v>40.090000000000003</v>
      </c>
      <c r="N558">
        <v>0.99</v>
      </c>
      <c r="O558" t="s">
        <v>20</v>
      </c>
      <c r="P558" t="s">
        <v>21</v>
      </c>
      <c r="Q558">
        <f t="shared" si="40"/>
        <v>16</v>
      </c>
      <c r="R558" s="4">
        <f>RANK(N558,$N$2:N$2800,0)</f>
        <v>1080</v>
      </c>
      <c r="S558">
        <f t="shared" si="41"/>
        <v>1.0833333333333333</v>
      </c>
      <c r="T558" t="str">
        <f t="shared" si="42"/>
        <v>Good</v>
      </c>
      <c r="U558" t="str" cm="1">
        <f t="array" ref="U558">_xlfn.LET(_xlpm.roles,_xlfn.UNIQUE(D558:D3356),_xlpm.kills, SUMIF(D558:D3356,_xlpm.roles,G558:G3356),INDEX(_xlpm.roles,MATCH(MAX(_xlpm.kills),_xlpm.kills,0)))</f>
        <v>Entry Fragger</v>
      </c>
      <c r="V558" t="str">
        <f t="shared" si="43"/>
        <v>Medium Accuracy</v>
      </c>
      <c r="W558" t="str" cm="1">
        <f t="array" ref="W558">_xlfn.LET(_xlpm.roles,_xlfn.UNIQUE(D558:D3356), _xlpm.counts,COUNTIF(D558:D3356,_xlpm.roles), INDEX(_xlpm.roles,MATCH(MAX(_xlpm.counts),_xlpm.counts,0)))</f>
        <v>Entry Fragger</v>
      </c>
      <c r="X558" s="2">
        <f t="shared" si="44"/>
        <v>13.057077625570777</v>
      </c>
    </row>
    <row r="559" spans="1:24" x14ac:dyDescent="0.3">
      <c r="A559">
        <v>2100</v>
      </c>
      <c r="B559">
        <v>97</v>
      </c>
      <c r="C559" t="s">
        <v>30</v>
      </c>
      <c r="D559" t="s">
        <v>36</v>
      </c>
      <c r="E559" t="s">
        <v>32</v>
      </c>
      <c r="F559" t="s">
        <v>19</v>
      </c>
      <c r="G559">
        <v>9</v>
      </c>
      <c r="H559">
        <v>5</v>
      </c>
      <c r="I559">
        <v>14</v>
      </c>
      <c r="J559">
        <v>38.68</v>
      </c>
      <c r="K559">
        <v>251.34</v>
      </c>
      <c r="L559">
        <v>0.56999999999999995</v>
      </c>
      <c r="M559">
        <v>22.64</v>
      </c>
      <c r="N559">
        <v>0.8</v>
      </c>
      <c r="O559" t="s">
        <v>20</v>
      </c>
      <c r="P559" t="s">
        <v>21</v>
      </c>
      <c r="Q559">
        <f t="shared" si="40"/>
        <v>0</v>
      </c>
      <c r="R559" s="4">
        <f>RANK(N559,$N$2:N$2800,0)</f>
        <v>2393</v>
      </c>
      <c r="S559">
        <f t="shared" si="41"/>
        <v>0.6428571428571429</v>
      </c>
      <c r="T559" t="str">
        <f t="shared" si="42"/>
        <v>Low</v>
      </c>
      <c r="U559" t="str" cm="1">
        <f t="array" ref="U559">_xlfn.LET(_xlpm.roles,_xlfn.UNIQUE(D559:D3357),_xlpm.kills, SUMIF(D559:D3357,_xlpm.roles,G559:G3357),INDEX(_xlpm.roles,MATCH(MAX(_xlpm.kills),_xlpm.kills,0)))</f>
        <v>Entry Fragger</v>
      </c>
      <c r="V559" t="str">
        <f t="shared" si="43"/>
        <v>Medium Accuracy</v>
      </c>
      <c r="W559" t="str" cm="1">
        <f t="array" ref="W559">_xlfn.LET(_xlpm.roles,_xlfn.UNIQUE(D559:D3357), _xlpm.counts,COUNTIF(D559:D3357,_xlpm.roles), INDEX(_xlpm.roles,MATCH(MAX(_xlpm.counts),_xlpm.counts,0)))</f>
        <v>Entry Fragger</v>
      </c>
      <c r="X559" s="2">
        <f t="shared" si="44"/>
        <v>13.135802469135802</v>
      </c>
    </row>
    <row r="560" spans="1:24" x14ac:dyDescent="0.3">
      <c r="A560">
        <v>2517</v>
      </c>
      <c r="B560">
        <v>97</v>
      </c>
      <c r="C560" t="s">
        <v>25</v>
      </c>
      <c r="D560" t="s">
        <v>31</v>
      </c>
      <c r="E560" t="s">
        <v>18</v>
      </c>
      <c r="F560" t="s">
        <v>37</v>
      </c>
      <c r="G560">
        <v>12</v>
      </c>
      <c r="H560">
        <v>13</v>
      </c>
      <c r="I560">
        <v>11</v>
      </c>
      <c r="J560">
        <v>43.37</v>
      </c>
      <c r="K560">
        <v>201.4</v>
      </c>
      <c r="L560">
        <v>0.19</v>
      </c>
      <c r="M560">
        <v>45.79</v>
      </c>
      <c r="N560">
        <v>1</v>
      </c>
      <c r="O560" t="s">
        <v>20</v>
      </c>
      <c r="P560" t="s">
        <v>21</v>
      </c>
      <c r="Q560">
        <f t="shared" si="40"/>
        <v>14</v>
      </c>
      <c r="R560" s="4">
        <f>RANK(N560,$N$2:N$2800,0)</f>
        <v>1</v>
      </c>
      <c r="S560">
        <f t="shared" si="41"/>
        <v>1.0909090909090908</v>
      </c>
      <c r="T560" t="str">
        <f t="shared" si="42"/>
        <v>Low</v>
      </c>
      <c r="U560" t="str" cm="1">
        <f t="array" ref="U560">_xlfn.LET(_xlpm.roles,_xlfn.UNIQUE(D560:D3358),_xlpm.kills, SUMIF(D560:D3358,_xlpm.roles,G560:G3358),INDEX(_xlpm.roles,MATCH(MAX(_xlpm.kills),_xlpm.kills,0)))</f>
        <v>Entry Fragger</v>
      </c>
      <c r="V560" t="str">
        <f t="shared" si="43"/>
        <v>Medium Accuracy</v>
      </c>
      <c r="W560" t="str" cm="1">
        <f t="array" ref="W560">_xlfn.LET(_xlpm.roles,_xlfn.UNIQUE(D560:D3358), _xlpm.counts,COUNTIF(D560:D3358,_xlpm.roles), INDEX(_xlpm.roles,MATCH(MAX(_xlpm.counts),_xlpm.counts,0)))</f>
        <v>Entry Fragger</v>
      </c>
      <c r="X560" s="2">
        <f t="shared" si="44"/>
        <v>12.809421841541756</v>
      </c>
    </row>
    <row r="561" spans="1:24" x14ac:dyDescent="0.3">
      <c r="A561">
        <v>208</v>
      </c>
      <c r="B561">
        <v>98</v>
      </c>
      <c r="C561" t="s">
        <v>35</v>
      </c>
      <c r="D561" t="s">
        <v>22</v>
      </c>
      <c r="E561" t="s">
        <v>33</v>
      </c>
      <c r="F561" t="s">
        <v>37</v>
      </c>
      <c r="G561">
        <v>19</v>
      </c>
      <c r="H561">
        <v>7</v>
      </c>
      <c r="I561">
        <v>11</v>
      </c>
      <c r="J561">
        <v>49.64</v>
      </c>
      <c r="K561">
        <v>233.52</v>
      </c>
      <c r="L561">
        <v>0.42</v>
      </c>
      <c r="M561">
        <v>54.62</v>
      </c>
      <c r="N561">
        <v>0.86</v>
      </c>
      <c r="O561" t="s">
        <v>20</v>
      </c>
      <c r="P561" t="s">
        <v>21</v>
      </c>
      <c r="Q561">
        <f t="shared" si="40"/>
        <v>15</v>
      </c>
      <c r="R561" s="4">
        <f>RANK(N561,$N$2:N$2800,0)</f>
        <v>2040</v>
      </c>
      <c r="S561">
        <f t="shared" si="41"/>
        <v>1.7272727272727273</v>
      </c>
      <c r="T561" t="str">
        <f t="shared" si="42"/>
        <v>Good</v>
      </c>
      <c r="U561" t="str" cm="1">
        <f t="array" ref="U561">_xlfn.LET(_xlpm.roles,_xlfn.UNIQUE(D561:D3359),_xlpm.kills, SUMIF(D561:D3359,_xlpm.roles,G561:G3359),INDEX(_xlpm.roles,MATCH(MAX(_xlpm.kills),_xlpm.kills,0)))</f>
        <v>Entry Fragger</v>
      </c>
      <c r="V561" t="str">
        <f t="shared" si="43"/>
        <v>Medium Accuracy</v>
      </c>
      <c r="W561" t="str" cm="1">
        <f t="array" ref="W561">_xlfn.LET(_xlpm.roles,_xlfn.UNIQUE(D561:D3359), _xlpm.counts,COUNTIF(D561:D3359,_xlpm.roles), INDEX(_xlpm.roles,MATCH(MAX(_xlpm.counts),_xlpm.counts,0)))</f>
        <v>Entry Fragger</v>
      </c>
      <c r="X561" s="2">
        <f t="shared" si="44"/>
        <v>12.599585062240664</v>
      </c>
    </row>
    <row r="562" spans="1:24" x14ac:dyDescent="0.3">
      <c r="A562">
        <v>869</v>
      </c>
      <c r="B562">
        <v>98</v>
      </c>
      <c r="C562" t="s">
        <v>39</v>
      </c>
      <c r="D562" t="s">
        <v>36</v>
      </c>
      <c r="E562" t="s">
        <v>32</v>
      </c>
      <c r="F562" t="s">
        <v>19</v>
      </c>
      <c r="G562">
        <v>8</v>
      </c>
      <c r="H562">
        <v>7</v>
      </c>
      <c r="I562">
        <v>7</v>
      </c>
      <c r="J562">
        <v>35.92</v>
      </c>
      <c r="K562">
        <v>232.16</v>
      </c>
      <c r="L562">
        <v>0.41</v>
      </c>
      <c r="M562">
        <v>29.86</v>
      </c>
      <c r="N562">
        <v>0.51</v>
      </c>
      <c r="O562" t="s">
        <v>40</v>
      </c>
      <c r="P562" t="s">
        <v>21</v>
      </c>
      <c r="Q562">
        <f t="shared" si="40"/>
        <v>8</v>
      </c>
      <c r="R562" s="4">
        <f>RANK(N562,$N$2:N$2800,0)</f>
        <v>2796</v>
      </c>
      <c r="S562">
        <f t="shared" si="41"/>
        <v>1.1428571428571428</v>
      </c>
      <c r="T562" t="str">
        <f t="shared" si="42"/>
        <v>Low</v>
      </c>
      <c r="U562" t="str" cm="1">
        <f t="array" ref="U562">_xlfn.LET(_xlpm.roles,_xlfn.UNIQUE(D562:D3360),_xlpm.kills, SUMIF(D562:D3360,_xlpm.roles,G562:G3360),INDEX(_xlpm.roles,MATCH(MAX(_xlpm.kills),_xlpm.kills,0)))</f>
        <v>Entry Fragger</v>
      </c>
      <c r="V562" t="str">
        <f t="shared" si="43"/>
        <v>Medium Accuracy</v>
      </c>
      <c r="W562" t="str" cm="1">
        <f t="array" ref="W562">_xlfn.LET(_xlpm.roles,_xlfn.UNIQUE(D562:D3360), _xlpm.counts,COUNTIF(D562:D3360,_xlpm.roles), INDEX(_xlpm.roles,MATCH(MAX(_xlpm.counts),_xlpm.counts,0)))</f>
        <v>Entry Fragger</v>
      </c>
      <c r="X562" s="2">
        <f t="shared" si="44"/>
        <v>13.103594080338267</v>
      </c>
    </row>
    <row r="563" spans="1:24" x14ac:dyDescent="0.3">
      <c r="A563">
        <v>1357</v>
      </c>
      <c r="B563">
        <v>98</v>
      </c>
      <c r="C563" t="s">
        <v>27</v>
      </c>
      <c r="D563" t="s">
        <v>17</v>
      </c>
      <c r="E563" t="s">
        <v>29</v>
      </c>
      <c r="F563" t="s">
        <v>34</v>
      </c>
      <c r="G563">
        <v>19</v>
      </c>
      <c r="H563">
        <v>6</v>
      </c>
      <c r="I563">
        <v>13</v>
      </c>
      <c r="J563">
        <v>54.42</v>
      </c>
      <c r="K563">
        <v>208.19</v>
      </c>
      <c r="L563">
        <v>0.21</v>
      </c>
      <c r="M563">
        <v>56.11</v>
      </c>
      <c r="N563">
        <v>1</v>
      </c>
      <c r="O563" t="s">
        <v>20</v>
      </c>
      <c r="P563" t="s">
        <v>21</v>
      </c>
      <c r="Q563">
        <f t="shared" si="40"/>
        <v>12</v>
      </c>
      <c r="R563" s="4">
        <f>RANK(N563,$N$2:N$2800,0)</f>
        <v>1</v>
      </c>
      <c r="S563">
        <f t="shared" si="41"/>
        <v>1.4615384615384615</v>
      </c>
      <c r="T563" t="str">
        <f t="shared" si="42"/>
        <v>Low</v>
      </c>
      <c r="U563" t="str" cm="1">
        <f t="array" ref="U563">_xlfn.LET(_xlpm.roles,_xlfn.UNIQUE(D563:D3361),_xlpm.kills, SUMIF(D563:D3361,_xlpm.roles,G563:G3361),INDEX(_xlpm.roles,MATCH(MAX(_xlpm.kills),_xlpm.kills,0)))</f>
        <v>Entry Fragger</v>
      </c>
      <c r="V563" t="str">
        <f t="shared" si="43"/>
        <v>High Accuracy</v>
      </c>
      <c r="W563" t="str" cm="1">
        <f t="array" ref="W563">_xlfn.LET(_xlpm.roles,_xlfn.UNIQUE(D563:D3361), _xlpm.counts,COUNTIF(D563:D3361,_xlpm.roles), INDEX(_xlpm.roles,MATCH(MAX(_xlpm.counts),_xlpm.counts,0)))</f>
        <v>Entry Fragger</v>
      </c>
      <c r="X563" s="2">
        <f t="shared" si="44"/>
        <v>13.057077625570777</v>
      </c>
    </row>
    <row r="564" spans="1:24" x14ac:dyDescent="0.3">
      <c r="A564">
        <v>1572</v>
      </c>
      <c r="B564">
        <v>98</v>
      </c>
      <c r="C564" t="s">
        <v>25</v>
      </c>
      <c r="D564" t="s">
        <v>17</v>
      </c>
      <c r="E564" t="s">
        <v>23</v>
      </c>
      <c r="F564" t="s">
        <v>37</v>
      </c>
      <c r="G564">
        <v>13</v>
      </c>
      <c r="H564">
        <v>4</v>
      </c>
      <c r="I564">
        <v>9</v>
      </c>
      <c r="J564">
        <v>41.86</v>
      </c>
      <c r="K564">
        <v>210.16</v>
      </c>
      <c r="L564">
        <v>0.23</v>
      </c>
      <c r="M564">
        <v>39.630000000000003</v>
      </c>
      <c r="N564">
        <v>0.85</v>
      </c>
      <c r="O564" t="s">
        <v>20</v>
      </c>
      <c r="P564" t="s">
        <v>21</v>
      </c>
      <c r="Q564">
        <f t="shared" si="40"/>
        <v>8</v>
      </c>
      <c r="R564" s="4">
        <f>RANK(N564,$N$2:N$2800,0)</f>
        <v>2105</v>
      </c>
      <c r="S564">
        <f t="shared" si="41"/>
        <v>1.4444444444444444</v>
      </c>
      <c r="T564" t="str">
        <f t="shared" si="42"/>
        <v>Low</v>
      </c>
      <c r="U564" t="str" cm="1">
        <f t="array" ref="U564">_xlfn.LET(_xlpm.roles,_xlfn.UNIQUE(D564:D3362),_xlpm.kills, SUMIF(D564:D3362,_xlpm.roles,G564:G3362),INDEX(_xlpm.roles,MATCH(MAX(_xlpm.kills),_xlpm.kills,0)))</f>
        <v>Entry Fragger</v>
      </c>
      <c r="V564" t="str">
        <f t="shared" si="43"/>
        <v>Medium Accuracy</v>
      </c>
      <c r="W564" t="str" cm="1">
        <f t="array" ref="W564">_xlfn.LET(_xlpm.roles,_xlfn.UNIQUE(D564:D3362), _xlpm.counts,COUNTIF(D564:D3362,_xlpm.roles), INDEX(_xlpm.roles,MATCH(MAX(_xlpm.counts),_xlpm.counts,0)))</f>
        <v>Entry Fragger</v>
      </c>
      <c r="X564" s="2">
        <f t="shared" si="44"/>
        <v>12.809421841541756</v>
      </c>
    </row>
    <row r="565" spans="1:24" x14ac:dyDescent="0.3">
      <c r="A565">
        <v>2131</v>
      </c>
      <c r="B565">
        <v>98</v>
      </c>
      <c r="C565" t="s">
        <v>35</v>
      </c>
      <c r="D565" t="s">
        <v>22</v>
      </c>
      <c r="E565" t="s">
        <v>29</v>
      </c>
      <c r="F565" t="s">
        <v>19</v>
      </c>
      <c r="G565">
        <v>16</v>
      </c>
      <c r="H565">
        <v>6</v>
      </c>
      <c r="I565">
        <v>6</v>
      </c>
      <c r="J565">
        <v>49.91</v>
      </c>
      <c r="K565">
        <v>223.32</v>
      </c>
      <c r="L565">
        <v>0.83</v>
      </c>
      <c r="M565">
        <v>48.66</v>
      </c>
      <c r="N565">
        <v>1</v>
      </c>
      <c r="O565" t="s">
        <v>20</v>
      </c>
      <c r="P565" t="s">
        <v>21</v>
      </c>
      <c r="Q565">
        <f t="shared" si="40"/>
        <v>16</v>
      </c>
      <c r="R565" s="4">
        <f>RANK(N565,$N$2:N$2800,0)</f>
        <v>1</v>
      </c>
      <c r="S565">
        <f t="shared" si="41"/>
        <v>2.6666666666666665</v>
      </c>
      <c r="T565" t="str">
        <f t="shared" si="42"/>
        <v>Good</v>
      </c>
      <c r="U565" t="str" cm="1">
        <f t="array" ref="U565">_xlfn.LET(_xlpm.roles,_xlfn.UNIQUE(D565:D3363),_xlpm.kills, SUMIF(D565:D3363,_xlpm.roles,G565:G3363),INDEX(_xlpm.roles,MATCH(MAX(_xlpm.kills),_xlpm.kills,0)))</f>
        <v>Entry Fragger</v>
      </c>
      <c r="V565" t="str">
        <f t="shared" si="43"/>
        <v>Medium Accuracy</v>
      </c>
      <c r="W565" t="str" cm="1">
        <f t="array" ref="W565">_xlfn.LET(_xlpm.roles,_xlfn.UNIQUE(D565:D3363), _xlpm.counts,COUNTIF(D565:D3363,_xlpm.roles), INDEX(_xlpm.roles,MATCH(MAX(_xlpm.counts),_xlpm.counts,0)))</f>
        <v>Entry Fragger</v>
      </c>
      <c r="X565" s="2">
        <f t="shared" si="44"/>
        <v>12.599585062240664</v>
      </c>
    </row>
    <row r="566" spans="1:24" x14ac:dyDescent="0.3">
      <c r="A566">
        <v>2634</v>
      </c>
      <c r="B566">
        <v>98</v>
      </c>
      <c r="C566" t="s">
        <v>27</v>
      </c>
      <c r="D566" t="s">
        <v>22</v>
      </c>
      <c r="E566" t="s">
        <v>32</v>
      </c>
      <c r="F566" t="s">
        <v>19</v>
      </c>
      <c r="G566">
        <v>6</v>
      </c>
      <c r="H566">
        <v>8</v>
      </c>
      <c r="I566">
        <v>16</v>
      </c>
      <c r="J566">
        <v>45.73</v>
      </c>
      <c r="K566">
        <v>232.05</v>
      </c>
      <c r="L566">
        <v>0.96</v>
      </c>
      <c r="M566">
        <v>17.27</v>
      </c>
      <c r="N566">
        <v>0.76</v>
      </c>
      <c r="O566" t="s">
        <v>20</v>
      </c>
      <c r="P566" t="s">
        <v>21</v>
      </c>
      <c r="Q566">
        <f t="shared" si="40"/>
        <v>-2</v>
      </c>
      <c r="R566" s="4">
        <f>RANK(N566,$N$2:N$2800,0)</f>
        <v>2547</v>
      </c>
      <c r="S566">
        <f t="shared" si="41"/>
        <v>0.375</v>
      </c>
      <c r="T566" t="str">
        <f t="shared" si="42"/>
        <v>Low</v>
      </c>
      <c r="U566" t="str" cm="1">
        <f t="array" ref="U566">_xlfn.LET(_xlpm.roles,_xlfn.UNIQUE(D566:D3364),_xlpm.kills, SUMIF(D566:D3364,_xlpm.roles,G566:G3364),INDEX(_xlpm.roles,MATCH(MAX(_xlpm.kills),_xlpm.kills,0)))</f>
        <v>Entry Fragger</v>
      </c>
      <c r="V566" t="str">
        <f t="shared" si="43"/>
        <v>Medium Accuracy</v>
      </c>
      <c r="W566" t="str" cm="1">
        <f t="array" ref="W566">_xlfn.LET(_xlpm.roles,_xlfn.UNIQUE(D566:D3364), _xlpm.counts,COUNTIF(D566:D3364,_xlpm.roles), INDEX(_xlpm.roles,MATCH(MAX(_xlpm.counts),_xlpm.counts,0)))</f>
        <v>Entry Fragger</v>
      </c>
      <c r="X566" s="2">
        <f t="shared" si="44"/>
        <v>13.057077625570777</v>
      </c>
    </row>
    <row r="567" spans="1:24" x14ac:dyDescent="0.3">
      <c r="A567">
        <v>33</v>
      </c>
      <c r="B567">
        <v>99</v>
      </c>
      <c r="C567" t="s">
        <v>27</v>
      </c>
      <c r="D567" t="s">
        <v>22</v>
      </c>
      <c r="E567" t="s">
        <v>32</v>
      </c>
      <c r="F567" t="s">
        <v>24</v>
      </c>
      <c r="G567">
        <v>15</v>
      </c>
      <c r="H567">
        <v>6</v>
      </c>
      <c r="I567">
        <v>8</v>
      </c>
      <c r="J567">
        <v>39.11</v>
      </c>
      <c r="K567">
        <v>237.39</v>
      </c>
      <c r="L567">
        <v>0.21</v>
      </c>
      <c r="M567">
        <v>45.45</v>
      </c>
      <c r="N567">
        <v>0.93</v>
      </c>
      <c r="O567" t="s">
        <v>20</v>
      </c>
      <c r="P567" t="s">
        <v>21</v>
      </c>
      <c r="Q567">
        <f t="shared" si="40"/>
        <v>13</v>
      </c>
      <c r="R567" s="4">
        <f>RANK(N567,$N$2:N$2800,0)</f>
        <v>1505</v>
      </c>
      <c r="S567">
        <f t="shared" si="41"/>
        <v>1.875</v>
      </c>
      <c r="T567" t="str">
        <f t="shared" si="42"/>
        <v>Low</v>
      </c>
      <c r="U567" t="str" cm="1">
        <f t="array" ref="U567">_xlfn.LET(_xlpm.roles,_xlfn.UNIQUE(D567:D3365),_xlpm.kills, SUMIF(D567:D3365,_xlpm.roles,G567:G3365),INDEX(_xlpm.roles,MATCH(MAX(_xlpm.kills),_xlpm.kills,0)))</f>
        <v>Entry Fragger</v>
      </c>
      <c r="V567" t="str">
        <f t="shared" si="43"/>
        <v>Medium Accuracy</v>
      </c>
      <c r="W567" t="str" cm="1">
        <f t="array" ref="W567">_xlfn.LET(_xlpm.roles,_xlfn.UNIQUE(D567:D3365), _xlpm.counts,COUNTIF(D567:D3365,_xlpm.roles), INDEX(_xlpm.roles,MATCH(MAX(_xlpm.counts),_xlpm.counts,0)))</f>
        <v>Entry Fragger</v>
      </c>
      <c r="X567" s="2">
        <f t="shared" si="44"/>
        <v>13.057077625570777</v>
      </c>
    </row>
    <row r="568" spans="1:24" x14ac:dyDescent="0.3">
      <c r="A568">
        <v>226</v>
      </c>
      <c r="B568">
        <v>99</v>
      </c>
      <c r="C568" t="s">
        <v>39</v>
      </c>
      <c r="D568" t="s">
        <v>31</v>
      </c>
      <c r="E568" t="s">
        <v>33</v>
      </c>
      <c r="F568" t="s">
        <v>24</v>
      </c>
      <c r="G568">
        <v>14</v>
      </c>
      <c r="H568">
        <v>11</v>
      </c>
      <c r="I568">
        <v>10</v>
      </c>
      <c r="J568">
        <v>39.51</v>
      </c>
      <c r="K568">
        <v>166.1</v>
      </c>
      <c r="L568">
        <v>0.34</v>
      </c>
      <c r="M568">
        <v>45.35</v>
      </c>
      <c r="N568">
        <v>1</v>
      </c>
      <c r="O568" t="s">
        <v>20</v>
      </c>
      <c r="P568" t="s">
        <v>21</v>
      </c>
      <c r="Q568">
        <f t="shared" si="40"/>
        <v>15</v>
      </c>
      <c r="R568" s="4">
        <f>RANK(N568,$N$2:N$2800,0)</f>
        <v>1</v>
      </c>
      <c r="S568">
        <f t="shared" si="41"/>
        <v>1.4</v>
      </c>
      <c r="T568" t="str">
        <f t="shared" si="42"/>
        <v>Good</v>
      </c>
      <c r="U568" t="str" cm="1">
        <f t="array" ref="U568">_xlfn.LET(_xlpm.roles,_xlfn.UNIQUE(D568:D3366),_xlpm.kills, SUMIF(D568:D3366,_xlpm.roles,G568:G3366),INDEX(_xlpm.roles,MATCH(MAX(_xlpm.kills),_xlpm.kills,0)))</f>
        <v>Entry Fragger</v>
      </c>
      <c r="V568" t="str">
        <f t="shared" si="43"/>
        <v>Medium Accuracy</v>
      </c>
      <c r="W568" t="str" cm="1">
        <f t="array" ref="W568">_xlfn.LET(_xlpm.roles,_xlfn.UNIQUE(D568:D3366), _xlpm.counts,COUNTIF(D568:D3366,_xlpm.roles), INDEX(_xlpm.roles,MATCH(MAX(_xlpm.counts),_xlpm.counts,0)))</f>
        <v>Entry Fragger</v>
      </c>
      <c r="X568" s="2">
        <f t="shared" si="44"/>
        <v>13.103594080338267</v>
      </c>
    </row>
    <row r="569" spans="1:24" x14ac:dyDescent="0.3">
      <c r="A569">
        <v>2034</v>
      </c>
      <c r="B569">
        <v>99</v>
      </c>
      <c r="C569" t="s">
        <v>27</v>
      </c>
      <c r="D569" t="s">
        <v>36</v>
      </c>
      <c r="E569" t="s">
        <v>18</v>
      </c>
      <c r="F569" t="s">
        <v>37</v>
      </c>
      <c r="G569">
        <v>23</v>
      </c>
      <c r="H569">
        <v>7</v>
      </c>
      <c r="I569">
        <v>5</v>
      </c>
      <c r="J569">
        <v>44.94</v>
      </c>
      <c r="K569">
        <v>279.39999999999998</v>
      </c>
      <c r="L569">
        <v>0.76</v>
      </c>
      <c r="M569">
        <v>62.87</v>
      </c>
      <c r="N569">
        <v>1</v>
      </c>
      <c r="O569" t="s">
        <v>20</v>
      </c>
      <c r="P569" t="s">
        <v>38</v>
      </c>
      <c r="Q569">
        <f t="shared" si="40"/>
        <v>25</v>
      </c>
      <c r="R569" s="4">
        <f>RANK(N569,$N$2:N$2800,0)</f>
        <v>1</v>
      </c>
      <c r="S569">
        <f t="shared" si="41"/>
        <v>4.5999999999999996</v>
      </c>
      <c r="T569" t="str">
        <f t="shared" si="42"/>
        <v>Excellent</v>
      </c>
      <c r="U569" t="str" cm="1">
        <f t="array" ref="U569">_xlfn.LET(_xlpm.roles,_xlfn.UNIQUE(D569:D3367),_xlpm.kills, SUMIF(D569:D3367,_xlpm.roles,G569:G3367),INDEX(_xlpm.roles,MATCH(MAX(_xlpm.kills),_xlpm.kills,0)))</f>
        <v>Entry Fragger</v>
      </c>
      <c r="V569" t="str">
        <f t="shared" si="43"/>
        <v>Medium Accuracy</v>
      </c>
      <c r="W569" t="str" cm="1">
        <f t="array" ref="W569">_xlfn.LET(_xlpm.roles,_xlfn.UNIQUE(D569:D3367), _xlpm.counts,COUNTIF(D569:D3367,_xlpm.roles), INDEX(_xlpm.roles,MATCH(MAX(_xlpm.counts),_xlpm.counts,0)))</f>
        <v>Entry Fragger</v>
      </c>
      <c r="X569" s="2">
        <f t="shared" si="44"/>
        <v>13.057077625570777</v>
      </c>
    </row>
    <row r="570" spans="1:24" x14ac:dyDescent="0.3">
      <c r="A570">
        <v>116</v>
      </c>
      <c r="B570">
        <v>100</v>
      </c>
      <c r="C570" t="s">
        <v>27</v>
      </c>
      <c r="D570" t="s">
        <v>22</v>
      </c>
      <c r="E570" t="s">
        <v>23</v>
      </c>
      <c r="F570" t="s">
        <v>24</v>
      </c>
      <c r="G570">
        <v>18</v>
      </c>
      <c r="H570">
        <v>10</v>
      </c>
      <c r="I570">
        <v>21</v>
      </c>
      <c r="J570">
        <v>34.47</v>
      </c>
      <c r="K570">
        <v>203.94</v>
      </c>
      <c r="L570">
        <v>0.74</v>
      </c>
      <c r="M570">
        <v>34.840000000000003</v>
      </c>
      <c r="N570">
        <v>0.84</v>
      </c>
      <c r="O570" t="s">
        <v>20</v>
      </c>
      <c r="P570" t="s">
        <v>21</v>
      </c>
      <c r="Q570">
        <f t="shared" si="40"/>
        <v>7</v>
      </c>
      <c r="R570" s="4">
        <f>RANK(N570,$N$2:N$2800,0)</f>
        <v>2156</v>
      </c>
      <c r="S570">
        <f t="shared" si="41"/>
        <v>0.8571428571428571</v>
      </c>
      <c r="T570" t="str">
        <f t="shared" si="42"/>
        <v>Low</v>
      </c>
      <c r="U570" t="str" cm="1">
        <f t="array" ref="U570">_xlfn.LET(_xlpm.roles,_xlfn.UNIQUE(D570:D3368),_xlpm.kills, SUMIF(D570:D3368,_xlpm.roles,G570:G3368),INDEX(_xlpm.roles,MATCH(MAX(_xlpm.kills),_xlpm.kills,0)))</f>
        <v>Entry Fragger</v>
      </c>
      <c r="V570" t="str">
        <f t="shared" si="43"/>
        <v>Medium Accuracy</v>
      </c>
      <c r="W570" t="str" cm="1">
        <f t="array" ref="W570">_xlfn.LET(_xlpm.roles,_xlfn.UNIQUE(D570:D3368), _xlpm.counts,COUNTIF(D570:D3368,_xlpm.roles), INDEX(_xlpm.roles,MATCH(MAX(_xlpm.counts),_xlpm.counts,0)))</f>
        <v>Entry Fragger</v>
      </c>
      <c r="X570" s="2">
        <f t="shared" si="44"/>
        <v>13.057077625570777</v>
      </c>
    </row>
    <row r="571" spans="1:24" x14ac:dyDescent="0.3">
      <c r="A571">
        <v>221</v>
      </c>
      <c r="B571">
        <v>100</v>
      </c>
      <c r="C571" t="s">
        <v>25</v>
      </c>
      <c r="D571" t="s">
        <v>28</v>
      </c>
      <c r="E571" t="s">
        <v>29</v>
      </c>
      <c r="F571" t="s">
        <v>34</v>
      </c>
      <c r="G571">
        <v>16</v>
      </c>
      <c r="H571">
        <v>6</v>
      </c>
      <c r="I571">
        <v>8</v>
      </c>
      <c r="J571">
        <v>56.35</v>
      </c>
      <c r="K571">
        <v>145.37</v>
      </c>
      <c r="L571">
        <v>0.87</v>
      </c>
      <c r="M571">
        <v>49.47</v>
      </c>
      <c r="N571">
        <v>0.94</v>
      </c>
      <c r="O571" t="s">
        <v>20</v>
      </c>
      <c r="P571" t="s">
        <v>21</v>
      </c>
      <c r="Q571">
        <f t="shared" si="40"/>
        <v>14</v>
      </c>
      <c r="R571" s="4">
        <f>RANK(N571,$N$2:N$2800,0)</f>
        <v>1431</v>
      </c>
      <c r="S571">
        <f t="shared" si="41"/>
        <v>2</v>
      </c>
      <c r="T571" t="str">
        <f t="shared" si="42"/>
        <v>Low</v>
      </c>
      <c r="U571" t="str" cm="1">
        <f t="array" ref="U571">_xlfn.LET(_xlpm.roles,_xlfn.UNIQUE(D571:D3369),_xlpm.kills, SUMIF(D571:D3369,_xlpm.roles,G571:G3369),INDEX(_xlpm.roles,MATCH(MAX(_xlpm.kills),_xlpm.kills,0)))</f>
        <v>Entry Fragger</v>
      </c>
      <c r="V571" t="str">
        <f t="shared" si="43"/>
        <v>High Accuracy</v>
      </c>
      <c r="W571" t="str" cm="1">
        <f t="array" ref="W571">_xlfn.LET(_xlpm.roles,_xlfn.UNIQUE(D571:D3369), _xlpm.counts,COUNTIF(D571:D3369,_xlpm.roles), INDEX(_xlpm.roles,MATCH(MAX(_xlpm.counts),_xlpm.counts,0)))</f>
        <v>Entry Fragger</v>
      </c>
      <c r="X571" s="2">
        <f t="shared" si="44"/>
        <v>12.809421841541756</v>
      </c>
    </row>
    <row r="572" spans="1:24" x14ac:dyDescent="0.3">
      <c r="A572">
        <v>1287</v>
      </c>
      <c r="B572">
        <v>100</v>
      </c>
      <c r="C572" t="s">
        <v>16</v>
      </c>
      <c r="D572" t="s">
        <v>28</v>
      </c>
      <c r="E572" t="s">
        <v>23</v>
      </c>
      <c r="F572" t="s">
        <v>34</v>
      </c>
      <c r="G572">
        <v>9</v>
      </c>
      <c r="H572">
        <v>5</v>
      </c>
      <c r="I572">
        <v>11</v>
      </c>
      <c r="J572">
        <v>51.94</v>
      </c>
      <c r="K572">
        <v>262.91000000000003</v>
      </c>
      <c r="L572">
        <v>0.34</v>
      </c>
      <c r="M572">
        <v>34.57</v>
      </c>
      <c r="N572">
        <v>0.61</v>
      </c>
      <c r="O572" t="s">
        <v>20</v>
      </c>
      <c r="P572" t="s">
        <v>21</v>
      </c>
      <c r="Q572">
        <f t="shared" si="40"/>
        <v>3</v>
      </c>
      <c r="R572" s="4">
        <f>RANK(N572,$N$2:N$2800,0)</f>
        <v>2778</v>
      </c>
      <c r="S572">
        <f t="shared" si="41"/>
        <v>0.81818181818181823</v>
      </c>
      <c r="T572" t="str">
        <f t="shared" si="42"/>
        <v>Low</v>
      </c>
      <c r="U572" t="str" cm="1">
        <f t="array" ref="U572">_xlfn.LET(_xlpm.roles,_xlfn.UNIQUE(D572:D3370),_xlpm.kills, SUMIF(D572:D3370,_xlpm.roles,G572:G3370),INDEX(_xlpm.roles,MATCH(MAX(_xlpm.kills),_xlpm.kills,0)))</f>
        <v>Entry Fragger</v>
      </c>
      <c r="V572" t="str">
        <f t="shared" si="43"/>
        <v>High Accuracy</v>
      </c>
      <c r="W572" t="str" cm="1">
        <f t="array" ref="W572">_xlfn.LET(_xlpm.roles,_xlfn.UNIQUE(D572:D3370), _xlpm.counts,COUNTIF(D572:D3370,_xlpm.roles), INDEX(_xlpm.roles,MATCH(MAX(_xlpm.counts),_xlpm.counts,0)))</f>
        <v>Entry Fragger</v>
      </c>
      <c r="X572" s="2">
        <f t="shared" si="44"/>
        <v>12.520971302428256</v>
      </c>
    </row>
    <row r="573" spans="1:24" x14ac:dyDescent="0.3">
      <c r="A573">
        <v>2369</v>
      </c>
      <c r="B573">
        <v>100</v>
      </c>
      <c r="C573" t="s">
        <v>27</v>
      </c>
      <c r="D573" t="s">
        <v>28</v>
      </c>
      <c r="E573" t="s">
        <v>23</v>
      </c>
      <c r="F573" t="s">
        <v>19</v>
      </c>
      <c r="G573">
        <v>16</v>
      </c>
      <c r="H573">
        <v>11</v>
      </c>
      <c r="I573">
        <v>9</v>
      </c>
      <c r="J573">
        <v>39.57</v>
      </c>
      <c r="K573">
        <v>200.46</v>
      </c>
      <c r="L573">
        <v>0.32</v>
      </c>
      <c r="M573">
        <v>50.58</v>
      </c>
      <c r="N573">
        <v>1</v>
      </c>
      <c r="O573" t="s">
        <v>20</v>
      </c>
      <c r="P573" t="s">
        <v>21</v>
      </c>
      <c r="Q573">
        <f t="shared" si="40"/>
        <v>18</v>
      </c>
      <c r="R573" s="4">
        <f>RANK(N573,$N$2:N$2800,0)</f>
        <v>1</v>
      </c>
      <c r="S573">
        <f t="shared" si="41"/>
        <v>1.7777777777777777</v>
      </c>
      <c r="T573" t="str">
        <f t="shared" si="42"/>
        <v>Good</v>
      </c>
      <c r="U573" t="str" cm="1">
        <f t="array" ref="U573">_xlfn.LET(_xlpm.roles,_xlfn.UNIQUE(D573:D3371),_xlpm.kills, SUMIF(D573:D3371,_xlpm.roles,G573:G3371),INDEX(_xlpm.roles,MATCH(MAX(_xlpm.kills),_xlpm.kills,0)))</f>
        <v>Entry Fragger</v>
      </c>
      <c r="V573" t="str">
        <f t="shared" si="43"/>
        <v>Medium Accuracy</v>
      </c>
      <c r="W573" t="str" cm="1">
        <f t="array" ref="W573">_xlfn.LET(_xlpm.roles,_xlfn.UNIQUE(D573:D3371), _xlpm.counts,COUNTIF(D573:D3371,_xlpm.roles), INDEX(_xlpm.roles,MATCH(MAX(_xlpm.counts),_xlpm.counts,0)))</f>
        <v>Entry Fragger</v>
      </c>
      <c r="X573" s="2">
        <f t="shared" si="44"/>
        <v>13.057077625570777</v>
      </c>
    </row>
    <row r="574" spans="1:24" x14ac:dyDescent="0.3">
      <c r="A574">
        <v>2426</v>
      </c>
      <c r="B574">
        <v>100</v>
      </c>
      <c r="C574" t="s">
        <v>25</v>
      </c>
      <c r="D574" t="s">
        <v>36</v>
      </c>
      <c r="E574" t="s">
        <v>18</v>
      </c>
      <c r="F574" t="s">
        <v>26</v>
      </c>
      <c r="G574">
        <v>8</v>
      </c>
      <c r="H574">
        <v>5</v>
      </c>
      <c r="I574">
        <v>7</v>
      </c>
      <c r="J574">
        <v>54.49</v>
      </c>
      <c r="K574">
        <v>257.25</v>
      </c>
      <c r="L574">
        <v>0.63</v>
      </c>
      <c r="M574">
        <v>34.950000000000003</v>
      </c>
      <c r="N574">
        <v>0.9</v>
      </c>
      <c r="O574" t="s">
        <v>20</v>
      </c>
      <c r="P574" t="s">
        <v>21</v>
      </c>
      <c r="Q574">
        <f t="shared" si="40"/>
        <v>6</v>
      </c>
      <c r="R574" s="4">
        <f>RANK(N574,$N$2:N$2800,0)</f>
        <v>1738</v>
      </c>
      <c r="S574">
        <f t="shared" si="41"/>
        <v>1.1428571428571428</v>
      </c>
      <c r="T574" t="str">
        <f t="shared" si="42"/>
        <v>Low</v>
      </c>
      <c r="U574" t="str" cm="1">
        <f t="array" ref="U574">_xlfn.LET(_xlpm.roles,_xlfn.UNIQUE(D574:D3372),_xlpm.kills, SUMIF(D574:D3372,_xlpm.roles,G574:G3372),INDEX(_xlpm.roles,MATCH(MAX(_xlpm.kills),_xlpm.kills,0)))</f>
        <v>Entry Fragger</v>
      </c>
      <c r="V574" t="str">
        <f t="shared" si="43"/>
        <v>High Accuracy</v>
      </c>
      <c r="W574" t="str" cm="1">
        <f t="array" ref="W574">_xlfn.LET(_xlpm.roles,_xlfn.UNIQUE(D574:D3372), _xlpm.counts,COUNTIF(D574:D3372,_xlpm.roles), INDEX(_xlpm.roles,MATCH(MAX(_xlpm.counts),_xlpm.counts,0)))</f>
        <v>Entry Fragger</v>
      </c>
      <c r="X574" s="2">
        <f t="shared" si="44"/>
        <v>12.809421841541756</v>
      </c>
    </row>
    <row r="575" spans="1:24" x14ac:dyDescent="0.3">
      <c r="A575">
        <v>343</v>
      </c>
      <c r="B575">
        <v>101</v>
      </c>
      <c r="C575" t="s">
        <v>25</v>
      </c>
      <c r="D575" t="s">
        <v>31</v>
      </c>
      <c r="E575" t="s">
        <v>23</v>
      </c>
      <c r="F575" t="s">
        <v>34</v>
      </c>
      <c r="G575">
        <v>6</v>
      </c>
      <c r="H575">
        <v>10</v>
      </c>
      <c r="I575">
        <v>8</v>
      </c>
      <c r="J575">
        <v>38.82</v>
      </c>
      <c r="K575">
        <v>246.69</v>
      </c>
      <c r="L575">
        <v>0.59</v>
      </c>
      <c r="M575">
        <v>27.51</v>
      </c>
      <c r="N575">
        <v>0.8</v>
      </c>
      <c r="O575" t="s">
        <v>20</v>
      </c>
      <c r="P575" t="s">
        <v>21</v>
      </c>
      <c r="Q575">
        <f t="shared" si="40"/>
        <v>8</v>
      </c>
      <c r="R575" s="4">
        <f>RANK(N575,$N$2:N$2800,0)</f>
        <v>2393</v>
      </c>
      <c r="S575">
        <f t="shared" si="41"/>
        <v>0.75</v>
      </c>
      <c r="T575" t="str">
        <f t="shared" si="42"/>
        <v>Low</v>
      </c>
      <c r="U575" t="str" cm="1">
        <f t="array" ref="U575">_xlfn.LET(_xlpm.roles,_xlfn.UNIQUE(D575:D3373),_xlpm.kills, SUMIF(D575:D3373,_xlpm.roles,G575:G3373),INDEX(_xlpm.roles,MATCH(MAX(_xlpm.kills),_xlpm.kills,0)))</f>
        <v>Entry Fragger</v>
      </c>
      <c r="V575" t="str">
        <f t="shared" si="43"/>
        <v>Medium Accuracy</v>
      </c>
      <c r="W575" t="str" cm="1">
        <f t="array" ref="W575">_xlfn.LET(_xlpm.roles,_xlfn.UNIQUE(D575:D3373), _xlpm.counts,COUNTIF(D575:D3373,_xlpm.roles), INDEX(_xlpm.roles,MATCH(MAX(_xlpm.counts),_xlpm.counts,0)))</f>
        <v>Entry Fragger</v>
      </c>
      <c r="X575" s="2">
        <f t="shared" si="44"/>
        <v>12.809421841541756</v>
      </c>
    </row>
    <row r="576" spans="1:24" x14ac:dyDescent="0.3">
      <c r="A576">
        <v>667</v>
      </c>
      <c r="B576">
        <v>101</v>
      </c>
      <c r="C576" t="s">
        <v>27</v>
      </c>
      <c r="D576" t="s">
        <v>36</v>
      </c>
      <c r="E576" t="s">
        <v>33</v>
      </c>
      <c r="F576" t="s">
        <v>34</v>
      </c>
      <c r="G576">
        <v>15</v>
      </c>
      <c r="H576">
        <v>10</v>
      </c>
      <c r="I576">
        <v>14</v>
      </c>
      <c r="J576">
        <v>34.9</v>
      </c>
      <c r="K576">
        <v>162.66999999999999</v>
      </c>
      <c r="L576">
        <v>0.08</v>
      </c>
      <c r="M576">
        <v>42.65</v>
      </c>
      <c r="N576">
        <v>1</v>
      </c>
      <c r="O576" t="s">
        <v>20</v>
      </c>
      <c r="P576" t="s">
        <v>21</v>
      </c>
      <c r="Q576">
        <f t="shared" si="40"/>
        <v>11</v>
      </c>
      <c r="R576" s="4">
        <f>RANK(N576,$N$2:N$2800,0)</f>
        <v>1</v>
      </c>
      <c r="S576">
        <f t="shared" si="41"/>
        <v>1.0714285714285714</v>
      </c>
      <c r="T576" t="str">
        <f t="shared" si="42"/>
        <v>Low</v>
      </c>
      <c r="U576" t="str" cm="1">
        <f t="array" ref="U576">_xlfn.LET(_xlpm.roles,_xlfn.UNIQUE(D576:D3374),_xlpm.kills, SUMIF(D576:D3374,_xlpm.roles,G576:G3374),INDEX(_xlpm.roles,MATCH(MAX(_xlpm.kills),_xlpm.kills,0)))</f>
        <v>Entry Fragger</v>
      </c>
      <c r="V576" t="str">
        <f t="shared" si="43"/>
        <v>Medium Accuracy</v>
      </c>
      <c r="W576" t="str" cm="1">
        <f t="array" ref="W576">_xlfn.LET(_xlpm.roles,_xlfn.UNIQUE(D576:D3374), _xlpm.counts,COUNTIF(D576:D3374,_xlpm.roles), INDEX(_xlpm.roles,MATCH(MAX(_xlpm.counts),_xlpm.counts,0)))</f>
        <v>Entry Fragger</v>
      </c>
      <c r="X576" s="2">
        <f t="shared" si="44"/>
        <v>13.057077625570777</v>
      </c>
    </row>
    <row r="577" spans="1:24" x14ac:dyDescent="0.3">
      <c r="A577">
        <v>847</v>
      </c>
      <c r="B577">
        <v>101</v>
      </c>
      <c r="C577" t="s">
        <v>25</v>
      </c>
      <c r="D577" t="s">
        <v>17</v>
      </c>
      <c r="E577" t="s">
        <v>32</v>
      </c>
      <c r="F577" t="s">
        <v>34</v>
      </c>
      <c r="G577">
        <v>18</v>
      </c>
      <c r="H577">
        <v>8</v>
      </c>
      <c r="I577">
        <v>10</v>
      </c>
      <c r="J577">
        <v>49.89</v>
      </c>
      <c r="K577">
        <v>230.45</v>
      </c>
      <c r="L577">
        <v>0.01</v>
      </c>
      <c r="M577">
        <v>58.84</v>
      </c>
      <c r="N577">
        <v>1</v>
      </c>
      <c r="O577" t="s">
        <v>20</v>
      </c>
      <c r="P577" t="s">
        <v>21</v>
      </c>
      <c r="Q577">
        <f t="shared" si="40"/>
        <v>16</v>
      </c>
      <c r="R577" s="4">
        <f>RANK(N577,$N$2:N$2800,0)</f>
        <v>1</v>
      </c>
      <c r="S577">
        <f t="shared" si="41"/>
        <v>1.8</v>
      </c>
      <c r="T577" t="str">
        <f t="shared" si="42"/>
        <v>Good</v>
      </c>
      <c r="U577" t="str" cm="1">
        <f t="array" ref="U577">_xlfn.LET(_xlpm.roles,_xlfn.UNIQUE(D577:D3375),_xlpm.kills, SUMIF(D577:D3375,_xlpm.roles,G577:G3375),INDEX(_xlpm.roles,MATCH(MAX(_xlpm.kills),_xlpm.kills,0)))</f>
        <v>Entry Fragger</v>
      </c>
      <c r="V577" t="str">
        <f t="shared" si="43"/>
        <v>Medium Accuracy</v>
      </c>
      <c r="W577" t="str" cm="1">
        <f t="array" ref="W577">_xlfn.LET(_xlpm.roles,_xlfn.UNIQUE(D577:D3375), _xlpm.counts,COUNTIF(D577:D3375,_xlpm.roles), INDEX(_xlpm.roles,MATCH(MAX(_xlpm.counts),_xlpm.counts,0)))</f>
        <v>Entry Fragger</v>
      </c>
      <c r="X577" s="2">
        <f t="shared" si="44"/>
        <v>12.809421841541756</v>
      </c>
    </row>
    <row r="578" spans="1:24" x14ac:dyDescent="0.3">
      <c r="A578">
        <v>1358</v>
      </c>
      <c r="B578">
        <v>101</v>
      </c>
      <c r="C578" t="s">
        <v>39</v>
      </c>
      <c r="D578" t="s">
        <v>31</v>
      </c>
      <c r="E578" t="s">
        <v>23</v>
      </c>
      <c r="F578" t="s">
        <v>26</v>
      </c>
      <c r="G578">
        <v>13</v>
      </c>
      <c r="H578">
        <v>10</v>
      </c>
      <c r="I578">
        <v>6</v>
      </c>
      <c r="J578">
        <v>53.95</v>
      </c>
      <c r="K578">
        <v>230.26</v>
      </c>
      <c r="L578">
        <v>0.88</v>
      </c>
      <c r="M578">
        <v>48.17</v>
      </c>
      <c r="N578">
        <v>1</v>
      </c>
      <c r="O578" t="s">
        <v>20</v>
      </c>
      <c r="P578" t="s">
        <v>21</v>
      </c>
      <c r="Q578">
        <f t="shared" si="40"/>
        <v>17</v>
      </c>
      <c r="R578" s="4">
        <f>RANK(N578,$N$2:N$2800,0)</f>
        <v>1</v>
      </c>
      <c r="S578">
        <f t="shared" si="41"/>
        <v>2.1666666666666665</v>
      </c>
      <c r="T578" t="str">
        <f t="shared" si="42"/>
        <v>Good</v>
      </c>
      <c r="U578" t="str" cm="1">
        <f t="array" ref="U578">_xlfn.LET(_xlpm.roles,_xlfn.UNIQUE(D578:D3376),_xlpm.kills, SUMIF(D578:D3376,_xlpm.roles,G578:G3376),INDEX(_xlpm.roles,MATCH(MAX(_xlpm.kills),_xlpm.kills,0)))</f>
        <v>Entry Fragger</v>
      </c>
      <c r="V578" t="str">
        <f t="shared" si="43"/>
        <v>High Accuracy</v>
      </c>
      <c r="W578" t="str" cm="1">
        <f t="array" ref="W578">_xlfn.LET(_xlpm.roles,_xlfn.UNIQUE(D578:D3376), _xlpm.counts,COUNTIF(D578:D3376,_xlpm.roles), INDEX(_xlpm.roles,MATCH(MAX(_xlpm.counts),_xlpm.counts,0)))</f>
        <v>Entry Fragger</v>
      </c>
      <c r="X578" s="2">
        <f t="shared" si="44"/>
        <v>13.103594080338267</v>
      </c>
    </row>
    <row r="579" spans="1:24" x14ac:dyDescent="0.3">
      <c r="A579">
        <v>1687</v>
      </c>
      <c r="B579">
        <v>101</v>
      </c>
      <c r="C579" t="s">
        <v>39</v>
      </c>
      <c r="D579" t="s">
        <v>17</v>
      </c>
      <c r="E579" t="s">
        <v>29</v>
      </c>
      <c r="F579" t="s">
        <v>19</v>
      </c>
      <c r="G579">
        <v>12</v>
      </c>
      <c r="H579">
        <v>4</v>
      </c>
      <c r="I579">
        <v>7</v>
      </c>
      <c r="J579">
        <v>37.1</v>
      </c>
      <c r="K579">
        <v>234.95</v>
      </c>
      <c r="L579">
        <v>0.06</v>
      </c>
      <c r="M579">
        <v>38.950000000000003</v>
      </c>
      <c r="N579">
        <v>1</v>
      </c>
      <c r="O579" t="s">
        <v>20</v>
      </c>
      <c r="P579" t="s">
        <v>21</v>
      </c>
      <c r="Q579">
        <f t="shared" ref="Q579:Q642" si="45">G579+H579-I579</f>
        <v>9</v>
      </c>
      <c r="R579" s="4">
        <f>RANK(N579,$N$2:N$2800,0)</f>
        <v>1</v>
      </c>
      <c r="S579">
        <f t="shared" ref="S579:S642" si="46">G579/I579</f>
        <v>1.7142857142857142</v>
      </c>
      <c r="T579" t="str">
        <f t="shared" ref="T579:T642" si="47">IF(Q579&lt;15,"Low",IF(Q579&lt;25,"Good","Excellent"))</f>
        <v>Low</v>
      </c>
      <c r="U579" t="str" cm="1">
        <f t="array" ref="U579">_xlfn.LET(_xlpm.roles,_xlfn.UNIQUE(D579:D3377),_xlpm.kills, SUMIF(D579:D3377,_xlpm.roles,G579:G3377),INDEX(_xlpm.roles,MATCH(MAX(_xlpm.kills),_xlpm.kills,0)))</f>
        <v>Entry Fragger</v>
      </c>
      <c r="V579" t="str">
        <f t="shared" ref="V579:V642" si="48">IF(J579&gt;=50,"High Accuracy",IF(J579&gt;=30,"Medium Accuracy","Low Accuracy"))</f>
        <v>Medium Accuracy</v>
      </c>
      <c r="W579" t="str" cm="1">
        <f t="array" ref="W579">_xlfn.LET(_xlpm.roles,_xlfn.UNIQUE(D579:D3377), _xlpm.counts,COUNTIF(D579:D3377,_xlpm.roles), INDEX(_xlpm.roles,MATCH(MAX(_xlpm.counts),_xlpm.counts,0)))</f>
        <v>Entry Fragger</v>
      </c>
      <c r="X579" s="2">
        <f t="shared" ref="X579:X642" si="49">AVERAGEIF($C$2:$C$2800,C579,$Q$2:$Q$2800)</f>
        <v>13.103594080338267</v>
      </c>
    </row>
    <row r="580" spans="1:24" x14ac:dyDescent="0.3">
      <c r="A580">
        <v>1801</v>
      </c>
      <c r="B580">
        <v>101</v>
      </c>
      <c r="C580" t="s">
        <v>27</v>
      </c>
      <c r="D580" t="s">
        <v>28</v>
      </c>
      <c r="E580" t="s">
        <v>33</v>
      </c>
      <c r="F580" t="s">
        <v>26</v>
      </c>
      <c r="G580">
        <v>10</v>
      </c>
      <c r="H580">
        <v>6</v>
      </c>
      <c r="I580">
        <v>11</v>
      </c>
      <c r="J580">
        <v>56.93</v>
      </c>
      <c r="K580">
        <v>235.49</v>
      </c>
      <c r="L580">
        <v>0.33</v>
      </c>
      <c r="M580">
        <v>40.17</v>
      </c>
      <c r="N580">
        <v>0.98</v>
      </c>
      <c r="O580" t="s">
        <v>20</v>
      </c>
      <c r="P580" t="s">
        <v>21</v>
      </c>
      <c r="Q580">
        <f t="shared" si="45"/>
        <v>5</v>
      </c>
      <c r="R580" s="4">
        <f>RANK(N580,$N$2:N$2800,0)</f>
        <v>1157</v>
      </c>
      <c r="S580">
        <f t="shared" si="46"/>
        <v>0.90909090909090906</v>
      </c>
      <c r="T580" t="str">
        <f t="shared" si="47"/>
        <v>Low</v>
      </c>
      <c r="U580" t="str" cm="1">
        <f t="array" ref="U580">_xlfn.LET(_xlpm.roles,_xlfn.UNIQUE(D580:D3378),_xlpm.kills, SUMIF(D580:D3378,_xlpm.roles,G580:G3378),INDEX(_xlpm.roles,MATCH(MAX(_xlpm.kills),_xlpm.kills,0)))</f>
        <v>Entry Fragger</v>
      </c>
      <c r="V580" t="str">
        <f t="shared" si="48"/>
        <v>High Accuracy</v>
      </c>
      <c r="W580" t="str" cm="1">
        <f t="array" ref="W580">_xlfn.LET(_xlpm.roles,_xlfn.UNIQUE(D580:D3378), _xlpm.counts,COUNTIF(D580:D3378,_xlpm.roles), INDEX(_xlpm.roles,MATCH(MAX(_xlpm.counts),_xlpm.counts,0)))</f>
        <v>Entry Fragger</v>
      </c>
      <c r="X580" s="2">
        <f t="shared" si="49"/>
        <v>13.057077625570777</v>
      </c>
    </row>
    <row r="581" spans="1:24" x14ac:dyDescent="0.3">
      <c r="A581">
        <v>2067</v>
      </c>
      <c r="B581">
        <v>101</v>
      </c>
      <c r="C581" t="s">
        <v>27</v>
      </c>
      <c r="D581" t="s">
        <v>28</v>
      </c>
      <c r="E581" t="s">
        <v>33</v>
      </c>
      <c r="F581" t="s">
        <v>19</v>
      </c>
      <c r="G581">
        <v>19</v>
      </c>
      <c r="H581">
        <v>6</v>
      </c>
      <c r="I581">
        <v>5</v>
      </c>
      <c r="J581">
        <v>58.59</v>
      </c>
      <c r="K581">
        <v>213.8</v>
      </c>
      <c r="L581">
        <v>0.28999999999999998</v>
      </c>
      <c r="M581">
        <v>65.39</v>
      </c>
      <c r="N581">
        <v>1</v>
      </c>
      <c r="O581" t="s">
        <v>20</v>
      </c>
      <c r="P581" t="s">
        <v>38</v>
      </c>
      <c r="Q581">
        <f t="shared" si="45"/>
        <v>20</v>
      </c>
      <c r="R581" s="4">
        <f>RANK(N581,$N$2:N$2800,0)</f>
        <v>1</v>
      </c>
      <c r="S581">
        <f t="shared" si="46"/>
        <v>3.8</v>
      </c>
      <c r="T581" t="str">
        <f t="shared" si="47"/>
        <v>Good</v>
      </c>
      <c r="U581" t="str" cm="1">
        <f t="array" ref="U581">_xlfn.LET(_xlpm.roles,_xlfn.UNIQUE(D581:D3379),_xlpm.kills, SUMIF(D581:D3379,_xlpm.roles,G581:G3379),INDEX(_xlpm.roles,MATCH(MAX(_xlpm.kills),_xlpm.kills,0)))</f>
        <v>Entry Fragger</v>
      </c>
      <c r="V581" t="str">
        <f t="shared" si="48"/>
        <v>High Accuracy</v>
      </c>
      <c r="W581" t="str" cm="1">
        <f t="array" ref="W581">_xlfn.LET(_xlpm.roles,_xlfn.UNIQUE(D581:D3379), _xlpm.counts,COUNTIF(D581:D3379,_xlpm.roles), INDEX(_xlpm.roles,MATCH(MAX(_xlpm.counts),_xlpm.counts,0)))</f>
        <v>Entry Fragger</v>
      </c>
      <c r="X581" s="2">
        <f t="shared" si="49"/>
        <v>13.057077625570777</v>
      </c>
    </row>
    <row r="582" spans="1:24" x14ac:dyDescent="0.3">
      <c r="A582">
        <v>2667</v>
      </c>
      <c r="B582">
        <v>101</v>
      </c>
      <c r="C582" t="s">
        <v>30</v>
      </c>
      <c r="D582" t="s">
        <v>22</v>
      </c>
      <c r="E582" t="s">
        <v>33</v>
      </c>
      <c r="F582" t="s">
        <v>34</v>
      </c>
      <c r="G582">
        <v>16</v>
      </c>
      <c r="H582">
        <v>10</v>
      </c>
      <c r="I582">
        <v>7</v>
      </c>
      <c r="J582">
        <v>44.73</v>
      </c>
      <c r="K582">
        <v>255.76</v>
      </c>
      <c r="L582">
        <v>0.81</v>
      </c>
      <c r="M582">
        <v>49.26</v>
      </c>
      <c r="N582">
        <v>1</v>
      </c>
      <c r="O582" t="s">
        <v>20</v>
      </c>
      <c r="P582" t="s">
        <v>21</v>
      </c>
      <c r="Q582">
        <f t="shared" si="45"/>
        <v>19</v>
      </c>
      <c r="R582" s="4">
        <f>RANK(N582,$N$2:N$2800,0)</f>
        <v>1</v>
      </c>
      <c r="S582">
        <f t="shared" si="46"/>
        <v>2.2857142857142856</v>
      </c>
      <c r="T582" t="str">
        <f t="shared" si="47"/>
        <v>Good</v>
      </c>
      <c r="U582" t="str" cm="1">
        <f t="array" ref="U582">_xlfn.LET(_xlpm.roles,_xlfn.UNIQUE(D582:D3380),_xlpm.kills, SUMIF(D582:D3380,_xlpm.roles,G582:G3380),INDEX(_xlpm.roles,MATCH(MAX(_xlpm.kills),_xlpm.kills,0)))</f>
        <v>Entry Fragger</v>
      </c>
      <c r="V582" t="str">
        <f t="shared" si="48"/>
        <v>Medium Accuracy</v>
      </c>
      <c r="W582" t="str" cm="1">
        <f t="array" ref="W582">_xlfn.LET(_xlpm.roles,_xlfn.UNIQUE(D582:D3380), _xlpm.counts,COUNTIF(D582:D3380,_xlpm.roles), INDEX(_xlpm.roles,MATCH(MAX(_xlpm.counts),_xlpm.counts,0)))</f>
        <v>Entry Fragger</v>
      </c>
      <c r="X582" s="2">
        <f t="shared" si="49"/>
        <v>13.135802469135802</v>
      </c>
    </row>
    <row r="583" spans="1:24" x14ac:dyDescent="0.3">
      <c r="A583">
        <v>279</v>
      </c>
      <c r="B583">
        <v>102</v>
      </c>
      <c r="C583" t="s">
        <v>25</v>
      </c>
      <c r="D583" t="s">
        <v>17</v>
      </c>
      <c r="E583" t="s">
        <v>23</v>
      </c>
      <c r="F583" t="s">
        <v>26</v>
      </c>
      <c r="G583">
        <v>17</v>
      </c>
      <c r="H583">
        <v>14</v>
      </c>
      <c r="I583">
        <v>14</v>
      </c>
      <c r="J583">
        <v>45.69</v>
      </c>
      <c r="K583">
        <v>197.59</v>
      </c>
      <c r="L583">
        <v>0.42</v>
      </c>
      <c r="M583">
        <v>52.64</v>
      </c>
      <c r="N583">
        <v>1</v>
      </c>
      <c r="O583" t="s">
        <v>20</v>
      </c>
      <c r="P583" t="s">
        <v>21</v>
      </c>
      <c r="Q583">
        <f t="shared" si="45"/>
        <v>17</v>
      </c>
      <c r="R583" s="4">
        <f>RANK(N583,$N$2:N$2800,0)</f>
        <v>1</v>
      </c>
      <c r="S583">
        <f t="shared" si="46"/>
        <v>1.2142857142857142</v>
      </c>
      <c r="T583" t="str">
        <f t="shared" si="47"/>
        <v>Good</v>
      </c>
      <c r="U583" t="str" cm="1">
        <f t="array" ref="U583">_xlfn.LET(_xlpm.roles,_xlfn.UNIQUE(D583:D3381),_xlpm.kills, SUMIF(D583:D3381,_xlpm.roles,G583:G3381),INDEX(_xlpm.roles,MATCH(MAX(_xlpm.kills),_xlpm.kills,0)))</f>
        <v>Entry Fragger</v>
      </c>
      <c r="V583" t="str">
        <f t="shared" si="48"/>
        <v>Medium Accuracy</v>
      </c>
      <c r="W583" t="str" cm="1">
        <f t="array" ref="W583">_xlfn.LET(_xlpm.roles,_xlfn.UNIQUE(D583:D3381), _xlpm.counts,COUNTIF(D583:D3381,_xlpm.roles), INDEX(_xlpm.roles,MATCH(MAX(_xlpm.counts),_xlpm.counts,0)))</f>
        <v>Entry Fragger</v>
      </c>
      <c r="X583" s="2">
        <f t="shared" si="49"/>
        <v>12.809421841541756</v>
      </c>
    </row>
    <row r="584" spans="1:24" x14ac:dyDescent="0.3">
      <c r="A584">
        <v>801</v>
      </c>
      <c r="B584">
        <v>102</v>
      </c>
      <c r="C584" t="s">
        <v>25</v>
      </c>
      <c r="D584" t="s">
        <v>31</v>
      </c>
      <c r="E584" t="s">
        <v>23</v>
      </c>
      <c r="F584" t="s">
        <v>37</v>
      </c>
      <c r="G584">
        <v>10</v>
      </c>
      <c r="H584">
        <v>6</v>
      </c>
      <c r="I584">
        <v>10</v>
      </c>
      <c r="J584">
        <v>43.06</v>
      </c>
      <c r="K584">
        <v>297.41000000000003</v>
      </c>
      <c r="L584">
        <v>0.3</v>
      </c>
      <c r="M584">
        <v>34.53</v>
      </c>
      <c r="N584">
        <v>1</v>
      </c>
      <c r="O584" t="s">
        <v>20</v>
      </c>
      <c r="P584" t="s">
        <v>21</v>
      </c>
      <c r="Q584">
        <f t="shared" si="45"/>
        <v>6</v>
      </c>
      <c r="R584" s="4">
        <f>RANK(N584,$N$2:N$2800,0)</f>
        <v>1</v>
      </c>
      <c r="S584">
        <f t="shared" si="46"/>
        <v>1</v>
      </c>
      <c r="T584" t="str">
        <f t="shared" si="47"/>
        <v>Low</v>
      </c>
      <c r="U584" t="str" cm="1">
        <f t="array" ref="U584">_xlfn.LET(_xlpm.roles,_xlfn.UNIQUE(D584:D3382),_xlpm.kills, SUMIF(D584:D3382,_xlpm.roles,G584:G3382),INDEX(_xlpm.roles,MATCH(MAX(_xlpm.kills),_xlpm.kills,0)))</f>
        <v>Entry Fragger</v>
      </c>
      <c r="V584" t="str">
        <f t="shared" si="48"/>
        <v>Medium Accuracy</v>
      </c>
      <c r="W584" t="str" cm="1">
        <f t="array" ref="W584">_xlfn.LET(_xlpm.roles,_xlfn.UNIQUE(D584:D3382), _xlpm.counts,COUNTIF(D584:D3382,_xlpm.roles), INDEX(_xlpm.roles,MATCH(MAX(_xlpm.counts),_xlpm.counts,0)))</f>
        <v>Entry Fragger</v>
      </c>
      <c r="X584" s="2">
        <f t="shared" si="49"/>
        <v>12.809421841541756</v>
      </c>
    </row>
    <row r="585" spans="1:24" x14ac:dyDescent="0.3">
      <c r="A585">
        <v>1338</v>
      </c>
      <c r="B585">
        <v>102</v>
      </c>
      <c r="C585" t="s">
        <v>35</v>
      </c>
      <c r="D585" t="s">
        <v>36</v>
      </c>
      <c r="E585" t="s">
        <v>33</v>
      </c>
      <c r="F585" t="s">
        <v>34</v>
      </c>
      <c r="G585">
        <v>15</v>
      </c>
      <c r="H585">
        <v>8</v>
      </c>
      <c r="I585">
        <v>12</v>
      </c>
      <c r="J585">
        <v>44.43</v>
      </c>
      <c r="K585">
        <v>193.94</v>
      </c>
      <c r="L585">
        <v>0.56000000000000005</v>
      </c>
      <c r="M585">
        <v>42.62</v>
      </c>
      <c r="N585">
        <v>1</v>
      </c>
      <c r="O585" t="s">
        <v>20</v>
      </c>
      <c r="P585" t="s">
        <v>21</v>
      </c>
      <c r="Q585">
        <f t="shared" si="45"/>
        <v>11</v>
      </c>
      <c r="R585" s="4">
        <f>RANK(N585,$N$2:N$2800,0)</f>
        <v>1</v>
      </c>
      <c r="S585">
        <f t="shared" si="46"/>
        <v>1.25</v>
      </c>
      <c r="T585" t="str">
        <f t="shared" si="47"/>
        <v>Low</v>
      </c>
      <c r="U585" t="str" cm="1">
        <f t="array" ref="U585">_xlfn.LET(_xlpm.roles,_xlfn.UNIQUE(D585:D3383),_xlpm.kills, SUMIF(D585:D3383,_xlpm.roles,G585:G3383),INDEX(_xlpm.roles,MATCH(MAX(_xlpm.kills),_xlpm.kills,0)))</f>
        <v>Entry Fragger</v>
      </c>
      <c r="V585" t="str">
        <f t="shared" si="48"/>
        <v>Medium Accuracy</v>
      </c>
      <c r="W585" t="str" cm="1">
        <f t="array" ref="W585">_xlfn.LET(_xlpm.roles,_xlfn.UNIQUE(D585:D3383), _xlpm.counts,COUNTIF(D585:D3383,_xlpm.roles), INDEX(_xlpm.roles,MATCH(MAX(_xlpm.counts),_xlpm.counts,0)))</f>
        <v>Entry Fragger</v>
      </c>
      <c r="X585" s="2">
        <f t="shared" si="49"/>
        <v>12.599585062240664</v>
      </c>
    </row>
    <row r="586" spans="1:24" x14ac:dyDescent="0.3">
      <c r="A586">
        <v>1561</v>
      </c>
      <c r="B586">
        <v>102</v>
      </c>
      <c r="C586" t="s">
        <v>27</v>
      </c>
      <c r="D586" t="s">
        <v>36</v>
      </c>
      <c r="E586" t="s">
        <v>23</v>
      </c>
      <c r="F586" t="s">
        <v>37</v>
      </c>
      <c r="G586">
        <v>21</v>
      </c>
      <c r="H586">
        <v>9</v>
      </c>
      <c r="I586">
        <v>9</v>
      </c>
      <c r="J586">
        <v>38.450000000000003</v>
      </c>
      <c r="K586">
        <v>187.04</v>
      </c>
      <c r="L586">
        <v>0.06</v>
      </c>
      <c r="M586">
        <v>60.62</v>
      </c>
      <c r="N586">
        <v>1</v>
      </c>
      <c r="O586" t="s">
        <v>20</v>
      </c>
      <c r="P586" t="s">
        <v>38</v>
      </c>
      <c r="Q586">
        <f t="shared" si="45"/>
        <v>21</v>
      </c>
      <c r="R586" s="4">
        <f>RANK(N586,$N$2:N$2800,0)</f>
        <v>1</v>
      </c>
      <c r="S586">
        <f t="shared" si="46"/>
        <v>2.3333333333333335</v>
      </c>
      <c r="T586" t="str">
        <f t="shared" si="47"/>
        <v>Good</v>
      </c>
      <c r="U586" t="str" cm="1">
        <f t="array" ref="U586">_xlfn.LET(_xlpm.roles,_xlfn.UNIQUE(D586:D3384),_xlpm.kills, SUMIF(D586:D3384,_xlpm.roles,G586:G3384),INDEX(_xlpm.roles,MATCH(MAX(_xlpm.kills),_xlpm.kills,0)))</f>
        <v>Entry Fragger</v>
      </c>
      <c r="V586" t="str">
        <f t="shared" si="48"/>
        <v>Medium Accuracy</v>
      </c>
      <c r="W586" t="str" cm="1">
        <f t="array" ref="W586">_xlfn.LET(_xlpm.roles,_xlfn.UNIQUE(D586:D3384), _xlpm.counts,COUNTIF(D586:D3384,_xlpm.roles), INDEX(_xlpm.roles,MATCH(MAX(_xlpm.counts),_xlpm.counts,0)))</f>
        <v>Entry Fragger</v>
      </c>
      <c r="X586" s="2">
        <f t="shared" si="49"/>
        <v>13.057077625570777</v>
      </c>
    </row>
    <row r="587" spans="1:24" x14ac:dyDescent="0.3">
      <c r="A587">
        <v>2349</v>
      </c>
      <c r="B587">
        <v>102</v>
      </c>
      <c r="C587" t="s">
        <v>27</v>
      </c>
      <c r="D587" t="s">
        <v>28</v>
      </c>
      <c r="E587" t="s">
        <v>18</v>
      </c>
      <c r="F587" t="s">
        <v>19</v>
      </c>
      <c r="G587">
        <v>15</v>
      </c>
      <c r="H587">
        <v>10</v>
      </c>
      <c r="I587">
        <v>8</v>
      </c>
      <c r="J587">
        <v>50.94</v>
      </c>
      <c r="K587">
        <v>230.68</v>
      </c>
      <c r="L587">
        <v>0.12</v>
      </c>
      <c r="M587">
        <v>56.27</v>
      </c>
      <c r="N587">
        <v>1</v>
      </c>
      <c r="O587" t="s">
        <v>20</v>
      </c>
      <c r="P587" t="s">
        <v>21</v>
      </c>
      <c r="Q587">
        <f t="shared" si="45"/>
        <v>17</v>
      </c>
      <c r="R587" s="4">
        <f>RANK(N587,$N$2:N$2800,0)</f>
        <v>1</v>
      </c>
      <c r="S587">
        <f t="shared" si="46"/>
        <v>1.875</v>
      </c>
      <c r="T587" t="str">
        <f t="shared" si="47"/>
        <v>Good</v>
      </c>
      <c r="U587" t="str" cm="1">
        <f t="array" ref="U587">_xlfn.LET(_xlpm.roles,_xlfn.UNIQUE(D587:D3385),_xlpm.kills, SUMIF(D587:D3385,_xlpm.roles,G587:G3385),INDEX(_xlpm.roles,MATCH(MAX(_xlpm.kills),_xlpm.kills,0)))</f>
        <v>Entry Fragger</v>
      </c>
      <c r="V587" t="str">
        <f t="shared" si="48"/>
        <v>High Accuracy</v>
      </c>
      <c r="W587" t="str" cm="1">
        <f t="array" ref="W587">_xlfn.LET(_xlpm.roles,_xlfn.UNIQUE(D587:D3385), _xlpm.counts,COUNTIF(D587:D3385,_xlpm.roles), INDEX(_xlpm.roles,MATCH(MAX(_xlpm.counts),_xlpm.counts,0)))</f>
        <v>Entry Fragger</v>
      </c>
      <c r="X587" s="2">
        <f t="shared" si="49"/>
        <v>13.057077625570777</v>
      </c>
    </row>
    <row r="588" spans="1:24" x14ac:dyDescent="0.3">
      <c r="A588">
        <v>2700</v>
      </c>
      <c r="B588">
        <v>102</v>
      </c>
      <c r="C588" t="s">
        <v>39</v>
      </c>
      <c r="D588" t="s">
        <v>31</v>
      </c>
      <c r="E588" t="s">
        <v>32</v>
      </c>
      <c r="F588" t="s">
        <v>19</v>
      </c>
      <c r="G588">
        <v>17</v>
      </c>
      <c r="H588">
        <v>6</v>
      </c>
      <c r="I588">
        <v>5</v>
      </c>
      <c r="J588">
        <v>48.59</v>
      </c>
      <c r="K588">
        <v>159.81</v>
      </c>
      <c r="L588">
        <v>1</v>
      </c>
      <c r="M588">
        <v>49.3</v>
      </c>
      <c r="N588">
        <v>1</v>
      </c>
      <c r="O588" t="s">
        <v>20</v>
      </c>
      <c r="P588" t="s">
        <v>21</v>
      </c>
      <c r="Q588">
        <f t="shared" si="45"/>
        <v>18</v>
      </c>
      <c r="R588" s="4">
        <f>RANK(N588,$N$2:N$2800,0)</f>
        <v>1</v>
      </c>
      <c r="S588">
        <f t="shared" si="46"/>
        <v>3.4</v>
      </c>
      <c r="T588" t="str">
        <f t="shared" si="47"/>
        <v>Good</v>
      </c>
      <c r="U588" t="str" cm="1">
        <f t="array" ref="U588">_xlfn.LET(_xlpm.roles,_xlfn.UNIQUE(D588:D3386),_xlpm.kills, SUMIF(D588:D3386,_xlpm.roles,G588:G3386),INDEX(_xlpm.roles,MATCH(MAX(_xlpm.kills),_xlpm.kills,0)))</f>
        <v>Entry Fragger</v>
      </c>
      <c r="V588" t="str">
        <f t="shared" si="48"/>
        <v>Medium Accuracy</v>
      </c>
      <c r="W588" t="str" cm="1">
        <f t="array" ref="W588">_xlfn.LET(_xlpm.roles,_xlfn.UNIQUE(D588:D3386), _xlpm.counts,COUNTIF(D588:D3386,_xlpm.roles), INDEX(_xlpm.roles,MATCH(MAX(_xlpm.counts),_xlpm.counts,0)))</f>
        <v>Entry Fragger</v>
      </c>
      <c r="X588" s="2">
        <f t="shared" si="49"/>
        <v>13.103594080338267</v>
      </c>
    </row>
    <row r="589" spans="1:24" x14ac:dyDescent="0.3">
      <c r="A589">
        <v>1093</v>
      </c>
      <c r="B589">
        <v>103</v>
      </c>
      <c r="C589" t="s">
        <v>27</v>
      </c>
      <c r="D589" t="s">
        <v>17</v>
      </c>
      <c r="E589" t="s">
        <v>29</v>
      </c>
      <c r="F589" t="s">
        <v>24</v>
      </c>
      <c r="G589">
        <v>14</v>
      </c>
      <c r="H589">
        <v>10</v>
      </c>
      <c r="I589">
        <v>10</v>
      </c>
      <c r="J589">
        <v>30.93</v>
      </c>
      <c r="K589">
        <v>235.22</v>
      </c>
      <c r="L589">
        <v>0.74</v>
      </c>
      <c r="M589">
        <v>36.07</v>
      </c>
      <c r="N589">
        <v>0.74</v>
      </c>
      <c r="O589" t="s">
        <v>20</v>
      </c>
      <c r="P589" t="s">
        <v>21</v>
      </c>
      <c r="Q589">
        <f t="shared" si="45"/>
        <v>14</v>
      </c>
      <c r="R589" s="4">
        <f>RANK(N589,$N$2:N$2800,0)</f>
        <v>2613</v>
      </c>
      <c r="S589">
        <f t="shared" si="46"/>
        <v>1.4</v>
      </c>
      <c r="T589" t="str">
        <f t="shared" si="47"/>
        <v>Low</v>
      </c>
      <c r="U589" t="str" cm="1">
        <f t="array" ref="U589">_xlfn.LET(_xlpm.roles,_xlfn.UNIQUE(D589:D3387),_xlpm.kills, SUMIF(D589:D3387,_xlpm.roles,G589:G3387),INDEX(_xlpm.roles,MATCH(MAX(_xlpm.kills),_xlpm.kills,0)))</f>
        <v>Entry Fragger</v>
      </c>
      <c r="V589" t="str">
        <f t="shared" si="48"/>
        <v>Medium Accuracy</v>
      </c>
      <c r="W589" t="str" cm="1">
        <f t="array" ref="W589">_xlfn.LET(_xlpm.roles,_xlfn.UNIQUE(D589:D3387), _xlpm.counts,COUNTIF(D589:D3387,_xlpm.roles), INDEX(_xlpm.roles,MATCH(MAX(_xlpm.counts),_xlpm.counts,0)))</f>
        <v>Entry Fragger</v>
      </c>
      <c r="X589" s="2">
        <f t="shared" si="49"/>
        <v>13.057077625570777</v>
      </c>
    </row>
    <row r="590" spans="1:24" x14ac:dyDescent="0.3">
      <c r="A590">
        <v>1207</v>
      </c>
      <c r="B590">
        <v>103</v>
      </c>
      <c r="C590" t="s">
        <v>30</v>
      </c>
      <c r="D590" t="s">
        <v>36</v>
      </c>
      <c r="E590" t="s">
        <v>29</v>
      </c>
      <c r="F590" t="s">
        <v>24</v>
      </c>
      <c r="G590">
        <v>19</v>
      </c>
      <c r="H590">
        <v>7</v>
      </c>
      <c r="I590">
        <v>11</v>
      </c>
      <c r="J590">
        <v>52.65</v>
      </c>
      <c r="K590">
        <v>189.37</v>
      </c>
      <c r="L590">
        <v>0.76</v>
      </c>
      <c r="M590">
        <v>52.73</v>
      </c>
      <c r="N590">
        <v>1</v>
      </c>
      <c r="O590" t="s">
        <v>20</v>
      </c>
      <c r="P590" t="s">
        <v>21</v>
      </c>
      <c r="Q590">
        <f t="shared" si="45"/>
        <v>15</v>
      </c>
      <c r="R590" s="4">
        <f>RANK(N590,$N$2:N$2800,0)</f>
        <v>1</v>
      </c>
      <c r="S590">
        <f t="shared" si="46"/>
        <v>1.7272727272727273</v>
      </c>
      <c r="T590" t="str">
        <f t="shared" si="47"/>
        <v>Good</v>
      </c>
      <c r="U590" t="str" cm="1">
        <f t="array" ref="U590">_xlfn.LET(_xlpm.roles,_xlfn.UNIQUE(D590:D3388),_xlpm.kills, SUMIF(D590:D3388,_xlpm.roles,G590:G3388),INDEX(_xlpm.roles,MATCH(MAX(_xlpm.kills),_xlpm.kills,0)))</f>
        <v>Entry Fragger</v>
      </c>
      <c r="V590" t="str">
        <f t="shared" si="48"/>
        <v>High Accuracy</v>
      </c>
      <c r="W590" t="str" cm="1">
        <f t="array" ref="W590">_xlfn.LET(_xlpm.roles,_xlfn.UNIQUE(D590:D3388), _xlpm.counts,COUNTIF(D590:D3388,_xlpm.roles), INDEX(_xlpm.roles,MATCH(MAX(_xlpm.counts),_xlpm.counts,0)))</f>
        <v>Entry Fragger</v>
      </c>
      <c r="X590" s="2">
        <f t="shared" si="49"/>
        <v>13.135802469135802</v>
      </c>
    </row>
    <row r="591" spans="1:24" x14ac:dyDescent="0.3">
      <c r="A591">
        <v>1231</v>
      </c>
      <c r="B591">
        <v>103</v>
      </c>
      <c r="C591" t="s">
        <v>27</v>
      </c>
      <c r="D591" t="s">
        <v>28</v>
      </c>
      <c r="E591" t="s">
        <v>18</v>
      </c>
      <c r="F591" t="s">
        <v>37</v>
      </c>
      <c r="G591">
        <v>10</v>
      </c>
      <c r="H591">
        <v>14</v>
      </c>
      <c r="I591">
        <v>10</v>
      </c>
      <c r="J591">
        <v>45.3</v>
      </c>
      <c r="K591">
        <v>219.16</v>
      </c>
      <c r="L591">
        <v>0.5</v>
      </c>
      <c r="M591">
        <v>41.65</v>
      </c>
      <c r="N591">
        <v>1</v>
      </c>
      <c r="O591" t="s">
        <v>20</v>
      </c>
      <c r="P591" t="s">
        <v>21</v>
      </c>
      <c r="Q591">
        <f t="shared" si="45"/>
        <v>14</v>
      </c>
      <c r="R591" s="4">
        <f>RANK(N591,$N$2:N$2800,0)</f>
        <v>1</v>
      </c>
      <c r="S591">
        <f t="shared" si="46"/>
        <v>1</v>
      </c>
      <c r="T591" t="str">
        <f t="shared" si="47"/>
        <v>Low</v>
      </c>
      <c r="U591" t="str" cm="1">
        <f t="array" ref="U591">_xlfn.LET(_xlpm.roles,_xlfn.UNIQUE(D591:D3389),_xlpm.kills, SUMIF(D591:D3389,_xlpm.roles,G591:G3389),INDEX(_xlpm.roles,MATCH(MAX(_xlpm.kills),_xlpm.kills,0)))</f>
        <v>Entry Fragger</v>
      </c>
      <c r="V591" t="str">
        <f t="shared" si="48"/>
        <v>Medium Accuracy</v>
      </c>
      <c r="W591" t="str" cm="1">
        <f t="array" ref="W591">_xlfn.LET(_xlpm.roles,_xlfn.UNIQUE(D591:D3389), _xlpm.counts,COUNTIF(D591:D3389,_xlpm.roles), INDEX(_xlpm.roles,MATCH(MAX(_xlpm.counts),_xlpm.counts,0)))</f>
        <v>Entry Fragger</v>
      </c>
      <c r="X591" s="2">
        <f t="shared" si="49"/>
        <v>13.057077625570777</v>
      </c>
    </row>
    <row r="592" spans="1:24" x14ac:dyDescent="0.3">
      <c r="A592">
        <v>122</v>
      </c>
      <c r="B592">
        <v>104</v>
      </c>
      <c r="C592" t="s">
        <v>39</v>
      </c>
      <c r="D592" t="s">
        <v>22</v>
      </c>
      <c r="E592" t="s">
        <v>18</v>
      </c>
      <c r="F592" t="s">
        <v>37</v>
      </c>
      <c r="G592">
        <v>5</v>
      </c>
      <c r="H592">
        <v>9</v>
      </c>
      <c r="I592">
        <v>8</v>
      </c>
      <c r="J592">
        <v>45.05</v>
      </c>
      <c r="K592">
        <v>219.44</v>
      </c>
      <c r="L592">
        <v>0.7</v>
      </c>
      <c r="M592">
        <v>26.52</v>
      </c>
      <c r="N592">
        <v>0.87</v>
      </c>
      <c r="O592" t="s">
        <v>20</v>
      </c>
      <c r="P592" t="s">
        <v>21</v>
      </c>
      <c r="Q592">
        <f t="shared" si="45"/>
        <v>6</v>
      </c>
      <c r="R592" s="4">
        <f>RANK(N592,$N$2:N$2800,0)</f>
        <v>1965</v>
      </c>
      <c r="S592">
        <f t="shared" si="46"/>
        <v>0.625</v>
      </c>
      <c r="T592" t="str">
        <f t="shared" si="47"/>
        <v>Low</v>
      </c>
      <c r="U592" t="str" cm="1">
        <f t="array" ref="U592">_xlfn.LET(_xlpm.roles,_xlfn.UNIQUE(D592:D3390),_xlpm.kills, SUMIF(D592:D3390,_xlpm.roles,G592:G3390),INDEX(_xlpm.roles,MATCH(MAX(_xlpm.kills),_xlpm.kills,0)))</f>
        <v>Entry Fragger</v>
      </c>
      <c r="V592" t="str">
        <f t="shared" si="48"/>
        <v>Medium Accuracy</v>
      </c>
      <c r="W592" t="str" cm="1">
        <f t="array" ref="W592">_xlfn.LET(_xlpm.roles,_xlfn.UNIQUE(D592:D3390), _xlpm.counts,COUNTIF(D592:D3390,_xlpm.roles), INDEX(_xlpm.roles,MATCH(MAX(_xlpm.counts),_xlpm.counts,0)))</f>
        <v>Entry Fragger</v>
      </c>
      <c r="X592" s="2">
        <f t="shared" si="49"/>
        <v>13.103594080338267</v>
      </c>
    </row>
    <row r="593" spans="1:24" x14ac:dyDescent="0.3">
      <c r="A593">
        <v>360</v>
      </c>
      <c r="B593">
        <v>104</v>
      </c>
      <c r="C593" t="s">
        <v>25</v>
      </c>
      <c r="D593" t="s">
        <v>17</v>
      </c>
      <c r="E593" t="s">
        <v>32</v>
      </c>
      <c r="F593" t="s">
        <v>19</v>
      </c>
      <c r="G593">
        <v>23</v>
      </c>
      <c r="H593">
        <v>9</v>
      </c>
      <c r="I593">
        <v>10</v>
      </c>
      <c r="J593">
        <v>41.39</v>
      </c>
      <c r="K593">
        <v>256.76</v>
      </c>
      <c r="L593">
        <v>0.56999999999999995</v>
      </c>
      <c r="M593">
        <v>59.99</v>
      </c>
      <c r="N593">
        <v>1</v>
      </c>
      <c r="O593" t="s">
        <v>20</v>
      </c>
      <c r="P593" t="s">
        <v>21</v>
      </c>
      <c r="Q593">
        <f t="shared" si="45"/>
        <v>22</v>
      </c>
      <c r="R593" s="4">
        <f>RANK(N593,$N$2:N$2800,0)</f>
        <v>1</v>
      </c>
      <c r="S593">
        <f t="shared" si="46"/>
        <v>2.2999999999999998</v>
      </c>
      <c r="T593" t="str">
        <f t="shared" si="47"/>
        <v>Good</v>
      </c>
      <c r="U593" t="str" cm="1">
        <f t="array" ref="U593">_xlfn.LET(_xlpm.roles,_xlfn.UNIQUE(D593:D3391),_xlpm.kills, SUMIF(D593:D3391,_xlpm.roles,G593:G3391),INDEX(_xlpm.roles,MATCH(MAX(_xlpm.kills),_xlpm.kills,0)))</f>
        <v>Entry Fragger</v>
      </c>
      <c r="V593" t="str">
        <f t="shared" si="48"/>
        <v>Medium Accuracy</v>
      </c>
      <c r="W593" t="str" cm="1">
        <f t="array" ref="W593">_xlfn.LET(_xlpm.roles,_xlfn.UNIQUE(D593:D3391), _xlpm.counts,COUNTIF(D593:D3391,_xlpm.roles), INDEX(_xlpm.roles,MATCH(MAX(_xlpm.counts),_xlpm.counts,0)))</f>
        <v>Entry Fragger</v>
      </c>
      <c r="X593" s="2">
        <f t="shared" si="49"/>
        <v>12.809421841541756</v>
      </c>
    </row>
    <row r="594" spans="1:24" x14ac:dyDescent="0.3">
      <c r="A594">
        <v>532</v>
      </c>
      <c r="B594">
        <v>104</v>
      </c>
      <c r="C594" t="s">
        <v>39</v>
      </c>
      <c r="D594" t="s">
        <v>22</v>
      </c>
      <c r="E594" t="s">
        <v>18</v>
      </c>
      <c r="F594" t="s">
        <v>34</v>
      </c>
      <c r="G594">
        <v>13</v>
      </c>
      <c r="H594">
        <v>8</v>
      </c>
      <c r="I594">
        <v>8</v>
      </c>
      <c r="J594">
        <v>48.8</v>
      </c>
      <c r="K594">
        <v>214.36</v>
      </c>
      <c r="L594">
        <v>0.86</v>
      </c>
      <c r="M594">
        <v>41.8</v>
      </c>
      <c r="N594">
        <v>0.93</v>
      </c>
      <c r="O594" t="s">
        <v>20</v>
      </c>
      <c r="P594" t="s">
        <v>21</v>
      </c>
      <c r="Q594">
        <f t="shared" si="45"/>
        <v>13</v>
      </c>
      <c r="R594" s="4">
        <f>RANK(N594,$N$2:N$2800,0)</f>
        <v>1505</v>
      </c>
      <c r="S594">
        <f t="shared" si="46"/>
        <v>1.625</v>
      </c>
      <c r="T594" t="str">
        <f t="shared" si="47"/>
        <v>Low</v>
      </c>
      <c r="U594" t="str" cm="1">
        <f t="array" ref="U594">_xlfn.LET(_xlpm.roles,_xlfn.UNIQUE(D594:D3392),_xlpm.kills, SUMIF(D594:D3392,_xlpm.roles,G594:G3392),INDEX(_xlpm.roles,MATCH(MAX(_xlpm.kills),_xlpm.kills,0)))</f>
        <v>Entry Fragger</v>
      </c>
      <c r="V594" t="str">
        <f t="shared" si="48"/>
        <v>Medium Accuracy</v>
      </c>
      <c r="W594" t="str" cm="1">
        <f t="array" ref="W594">_xlfn.LET(_xlpm.roles,_xlfn.UNIQUE(D594:D3392), _xlpm.counts,COUNTIF(D594:D3392,_xlpm.roles), INDEX(_xlpm.roles,MATCH(MAX(_xlpm.counts),_xlpm.counts,0)))</f>
        <v>Entry Fragger</v>
      </c>
      <c r="X594" s="2">
        <f t="shared" si="49"/>
        <v>13.103594080338267</v>
      </c>
    </row>
    <row r="595" spans="1:24" x14ac:dyDescent="0.3">
      <c r="A595">
        <v>1206</v>
      </c>
      <c r="B595">
        <v>104</v>
      </c>
      <c r="C595" t="s">
        <v>30</v>
      </c>
      <c r="D595" t="s">
        <v>22</v>
      </c>
      <c r="E595" t="s">
        <v>23</v>
      </c>
      <c r="F595" t="s">
        <v>37</v>
      </c>
      <c r="G595">
        <v>17</v>
      </c>
      <c r="H595">
        <v>9</v>
      </c>
      <c r="I595">
        <v>4</v>
      </c>
      <c r="J595">
        <v>42.17</v>
      </c>
      <c r="K595">
        <v>225.37</v>
      </c>
      <c r="L595">
        <v>0.59</v>
      </c>
      <c r="M595">
        <v>54.19</v>
      </c>
      <c r="N595">
        <v>1</v>
      </c>
      <c r="O595" t="s">
        <v>20</v>
      </c>
      <c r="P595" t="s">
        <v>21</v>
      </c>
      <c r="Q595">
        <f t="shared" si="45"/>
        <v>22</v>
      </c>
      <c r="R595" s="4">
        <f>RANK(N595,$N$2:N$2800,0)</f>
        <v>1</v>
      </c>
      <c r="S595">
        <f t="shared" si="46"/>
        <v>4.25</v>
      </c>
      <c r="T595" t="str">
        <f t="shared" si="47"/>
        <v>Good</v>
      </c>
      <c r="U595" t="str" cm="1">
        <f t="array" ref="U595">_xlfn.LET(_xlpm.roles,_xlfn.UNIQUE(D595:D3393),_xlpm.kills, SUMIF(D595:D3393,_xlpm.roles,G595:G3393),INDEX(_xlpm.roles,MATCH(MAX(_xlpm.kills),_xlpm.kills,0)))</f>
        <v>Entry Fragger</v>
      </c>
      <c r="V595" t="str">
        <f t="shared" si="48"/>
        <v>Medium Accuracy</v>
      </c>
      <c r="W595" t="str" cm="1">
        <f t="array" ref="W595">_xlfn.LET(_xlpm.roles,_xlfn.UNIQUE(D595:D3393), _xlpm.counts,COUNTIF(D595:D3393,_xlpm.roles), INDEX(_xlpm.roles,MATCH(MAX(_xlpm.counts),_xlpm.counts,0)))</f>
        <v>Entry Fragger</v>
      </c>
      <c r="X595" s="2">
        <f t="shared" si="49"/>
        <v>13.135802469135802</v>
      </c>
    </row>
    <row r="596" spans="1:24" x14ac:dyDescent="0.3">
      <c r="A596">
        <v>1402</v>
      </c>
      <c r="B596">
        <v>104</v>
      </c>
      <c r="C596" t="s">
        <v>27</v>
      </c>
      <c r="D596" t="s">
        <v>28</v>
      </c>
      <c r="E596" t="s">
        <v>29</v>
      </c>
      <c r="F596" t="s">
        <v>24</v>
      </c>
      <c r="G596">
        <v>15</v>
      </c>
      <c r="H596">
        <v>5</v>
      </c>
      <c r="I596">
        <v>12</v>
      </c>
      <c r="J596">
        <v>51.39</v>
      </c>
      <c r="K596">
        <v>203.66</v>
      </c>
      <c r="L596">
        <v>0.1</v>
      </c>
      <c r="M596">
        <v>47.7</v>
      </c>
      <c r="N596">
        <v>1</v>
      </c>
      <c r="O596" t="s">
        <v>20</v>
      </c>
      <c r="P596" t="s">
        <v>21</v>
      </c>
      <c r="Q596">
        <f t="shared" si="45"/>
        <v>8</v>
      </c>
      <c r="R596" s="4">
        <f>RANK(N596,$N$2:N$2800,0)</f>
        <v>1</v>
      </c>
      <c r="S596">
        <f t="shared" si="46"/>
        <v>1.25</v>
      </c>
      <c r="T596" t="str">
        <f t="shared" si="47"/>
        <v>Low</v>
      </c>
      <c r="U596" t="str" cm="1">
        <f t="array" ref="U596">_xlfn.LET(_xlpm.roles,_xlfn.UNIQUE(D596:D3394),_xlpm.kills, SUMIF(D596:D3394,_xlpm.roles,G596:G3394),INDEX(_xlpm.roles,MATCH(MAX(_xlpm.kills),_xlpm.kills,0)))</f>
        <v>Entry Fragger</v>
      </c>
      <c r="V596" t="str">
        <f t="shared" si="48"/>
        <v>High Accuracy</v>
      </c>
      <c r="W596" t="str" cm="1">
        <f t="array" ref="W596">_xlfn.LET(_xlpm.roles,_xlfn.UNIQUE(D596:D3394), _xlpm.counts,COUNTIF(D596:D3394,_xlpm.roles), INDEX(_xlpm.roles,MATCH(MAX(_xlpm.counts),_xlpm.counts,0)))</f>
        <v>Entry Fragger</v>
      </c>
      <c r="X596" s="2">
        <f t="shared" si="49"/>
        <v>13.057077625570777</v>
      </c>
    </row>
    <row r="597" spans="1:24" x14ac:dyDescent="0.3">
      <c r="A597">
        <v>1877</v>
      </c>
      <c r="B597">
        <v>104</v>
      </c>
      <c r="C597" t="s">
        <v>30</v>
      </c>
      <c r="D597" t="s">
        <v>36</v>
      </c>
      <c r="E597" t="s">
        <v>32</v>
      </c>
      <c r="F597" t="s">
        <v>34</v>
      </c>
      <c r="G597">
        <v>15</v>
      </c>
      <c r="H597">
        <v>11</v>
      </c>
      <c r="I597">
        <v>10</v>
      </c>
      <c r="J597">
        <v>38.35</v>
      </c>
      <c r="K597">
        <v>212.96</v>
      </c>
      <c r="L597">
        <v>0.39</v>
      </c>
      <c r="M597">
        <v>46.27</v>
      </c>
      <c r="N597">
        <v>0.93</v>
      </c>
      <c r="O597" t="s">
        <v>20</v>
      </c>
      <c r="P597" t="s">
        <v>21</v>
      </c>
      <c r="Q597">
        <f t="shared" si="45"/>
        <v>16</v>
      </c>
      <c r="R597" s="4">
        <f>RANK(N597,$N$2:N$2800,0)</f>
        <v>1505</v>
      </c>
      <c r="S597">
        <f t="shared" si="46"/>
        <v>1.5</v>
      </c>
      <c r="T597" t="str">
        <f t="shared" si="47"/>
        <v>Good</v>
      </c>
      <c r="U597" t="str" cm="1">
        <f t="array" ref="U597">_xlfn.LET(_xlpm.roles,_xlfn.UNIQUE(D597:D3395),_xlpm.kills, SUMIF(D597:D3395,_xlpm.roles,G597:G3395),INDEX(_xlpm.roles,MATCH(MAX(_xlpm.kills),_xlpm.kills,0)))</f>
        <v>Entry Fragger</v>
      </c>
      <c r="V597" t="str">
        <f t="shared" si="48"/>
        <v>Medium Accuracy</v>
      </c>
      <c r="W597" t="str" cm="1">
        <f t="array" ref="W597">_xlfn.LET(_xlpm.roles,_xlfn.UNIQUE(D597:D3395), _xlpm.counts,COUNTIF(D597:D3395,_xlpm.roles), INDEX(_xlpm.roles,MATCH(MAX(_xlpm.counts),_xlpm.counts,0)))</f>
        <v>Entry Fragger</v>
      </c>
      <c r="X597" s="2">
        <f t="shared" si="49"/>
        <v>13.135802469135802</v>
      </c>
    </row>
    <row r="598" spans="1:24" x14ac:dyDescent="0.3">
      <c r="A598">
        <v>2056</v>
      </c>
      <c r="B598">
        <v>104</v>
      </c>
      <c r="C598" t="s">
        <v>25</v>
      </c>
      <c r="D598" t="s">
        <v>31</v>
      </c>
      <c r="E598" t="s">
        <v>18</v>
      </c>
      <c r="F598" t="s">
        <v>19</v>
      </c>
      <c r="G598">
        <v>17</v>
      </c>
      <c r="H598">
        <v>8</v>
      </c>
      <c r="I598">
        <v>9</v>
      </c>
      <c r="J598">
        <v>45.91</v>
      </c>
      <c r="K598">
        <v>230.96</v>
      </c>
      <c r="L598">
        <v>0.59</v>
      </c>
      <c r="M598">
        <v>50.05</v>
      </c>
      <c r="N598">
        <v>0.88</v>
      </c>
      <c r="O598" t="s">
        <v>20</v>
      </c>
      <c r="P598" t="s">
        <v>21</v>
      </c>
      <c r="Q598">
        <f t="shared" si="45"/>
        <v>16</v>
      </c>
      <c r="R598" s="4">
        <f>RANK(N598,$N$2:N$2800,0)</f>
        <v>1894</v>
      </c>
      <c r="S598">
        <f t="shared" si="46"/>
        <v>1.8888888888888888</v>
      </c>
      <c r="T598" t="str">
        <f t="shared" si="47"/>
        <v>Good</v>
      </c>
      <c r="U598" t="str" cm="1">
        <f t="array" ref="U598">_xlfn.LET(_xlpm.roles,_xlfn.UNIQUE(D598:D3396),_xlpm.kills, SUMIF(D598:D3396,_xlpm.roles,G598:G3396),INDEX(_xlpm.roles,MATCH(MAX(_xlpm.kills),_xlpm.kills,0)))</f>
        <v>Entry Fragger</v>
      </c>
      <c r="V598" t="str">
        <f t="shared" si="48"/>
        <v>Medium Accuracy</v>
      </c>
      <c r="W598" t="str" cm="1">
        <f t="array" ref="W598">_xlfn.LET(_xlpm.roles,_xlfn.UNIQUE(D598:D3396), _xlpm.counts,COUNTIF(D598:D3396,_xlpm.roles), INDEX(_xlpm.roles,MATCH(MAX(_xlpm.counts),_xlpm.counts,0)))</f>
        <v>Entry Fragger</v>
      </c>
      <c r="X598" s="2">
        <f t="shared" si="49"/>
        <v>12.809421841541756</v>
      </c>
    </row>
    <row r="599" spans="1:24" x14ac:dyDescent="0.3">
      <c r="A599">
        <v>2101</v>
      </c>
      <c r="B599">
        <v>104</v>
      </c>
      <c r="C599" t="s">
        <v>27</v>
      </c>
      <c r="D599" t="s">
        <v>31</v>
      </c>
      <c r="E599" t="s">
        <v>32</v>
      </c>
      <c r="F599" t="s">
        <v>26</v>
      </c>
      <c r="G599">
        <v>18</v>
      </c>
      <c r="H599">
        <v>12</v>
      </c>
      <c r="I599">
        <v>13</v>
      </c>
      <c r="J599">
        <v>38.659999999999997</v>
      </c>
      <c r="K599">
        <v>229.63</v>
      </c>
      <c r="L599">
        <v>0.11</v>
      </c>
      <c r="M599">
        <v>53.23</v>
      </c>
      <c r="N599">
        <v>0.87</v>
      </c>
      <c r="O599" t="s">
        <v>20</v>
      </c>
      <c r="P599" t="s">
        <v>21</v>
      </c>
      <c r="Q599">
        <f t="shared" si="45"/>
        <v>17</v>
      </c>
      <c r="R599" s="4">
        <f>RANK(N599,$N$2:N$2800,0)</f>
        <v>1965</v>
      </c>
      <c r="S599">
        <f t="shared" si="46"/>
        <v>1.3846153846153846</v>
      </c>
      <c r="T599" t="str">
        <f t="shared" si="47"/>
        <v>Good</v>
      </c>
      <c r="U599" t="str" cm="1">
        <f t="array" ref="U599">_xlfn.LET(_xlpm.roles,_xlfn.UNIQUE(D599:D3397),_xlpm.kills, SUMIF(D599:D3397,_xlpm.roles,G599:G3397),INDEX(_xlpm.roles,MATCH(MAX(_xlpm.kills),_xlpm.kills,0)))</f>
        <v>Entry Fragger</v>
      </c>
      <c r="V599" t="str">
        <f t="shared" si="48"/>
        <v>Medium Accuracy</v>
      </c>
      <c r="W599" t="str" cm="1">
        <f t="array" ref="W599">_xlfn.LET(_xlpm.roles,_xlfn.UNIQUE(D599:D3397), _xlpm.counts,COUNTIF(D599:D3397,_xlpm.roles), INDEX(_xlpm.roles,MATCH(MAX(_xlpm.counts),_xlpm.counts,0)))</f>
        <v>Entry Fragger</v>
      </c>
      <c r="X599" s="2">
        <f t="shared" si="49"/>
        <v>13.057077625570777</v>
      </c>
    </row>
    <row r="600" spans="1:24" x14ac:dyDescent="0.3">
      <c r="A600">
        <v>2440</v>
      </c>
      <c r="B600">
        <v>104</v>
      </c>
      <c r="C600" t="s">
        <v>27</v>
      </c>
      <c r="D600" t="s">
        <v>17</v>
      </c>
      <c r="E600" t="s">
        <v>18</v>
      </c>
      <c r="F600" t="s">
        <v>37</v>
      </c>
      <c r="G600">
        <v>15</v>
      </c>
      <c r="H600">
        <v>9</v>
      </c>
      <c r="I600">
        <v>18</v>
      </c>
      <c r="J600">
        <v>39.43</v>
      </c>
      <c r="K600">
        <v>222.26</v>
      </c>
      <c r="L600">
        <v>0.9</v>
      </c>
      <c r="M600">
        <v>31.72</v>
      </c>
      <c r="N600">
        <v>1</v>
      </c>
      <c r="O600" t="s">
        <v>20</v>
      </c>
      <c r="P600" t="s">
        <v>21</v>
      </c>
      <c r="Q600">
        <f t="shared" si="45"/>
        <v>6</v>
      </c>
      <c r="R600" s="4">
        <f>RANK(N600,$N$2:N$2800,0)</f>
        <v>1</v>
      </c>
      <c r="S600">
        <f t="shared" si="46"/>
        <v>0.83333333333333337</v>
      </c>
      <c r="T600" t="str">
        <f t="shared" si="47"/>
        <v>Low</v>
      </c>
      <c r="U600" t="str" cm="1">
        <f t="array" ref="U600">_xlfn.LET(_xlpm.roles,_xlfn.UNIQUE(D600:D3398),_xlpm.kills, SUMIF(D600:D3398,_xlpm.roles,G600:G3398),INDEX(_xlpm.roles,MATCH(MAX(_xlpm.kills),_xlpm.kills,0)))</f>
        <v>Entry Fragger</v>
      </c>
      <c r="V600" t="str">
        <f t="shared" si="48"/>
        <v>Medium Accuracy</v>
      </c>
      <c r="W600" t="str" cm="1">
        <f t="array" ref="W600">_xlfn.LET(_xlpm.roles,_xlfn.UNIQUE(D600:D3398), _xlpm.counts,COUNTIF(D600:D3398,_xlpm.roles), INDEX(_xlpm.roles,MATCH(MAX(_xlpm.counts),_xlpm.counts,0)))</f>
        <v>Entry Fragger</v>
      </c>
      <c r="X600" s="2">
        <f t="shared" si="49"/>
        <v>13.057077625570777</v>
      </c>
    </row>
    <row r="601" spans="1:24" x14ac:dyDescent="0.3">
      <c r="A601">
        <v>96</v>
      </c>
      <c r="B601">
        <v>105</v>
      </c>
      <c r="C601" t="s">
        <v>35</v>
      </c>
      <c r="D601" t="s">
        <v>22</v>
      </c>
      <c r="E601" t="s">
        <v>29</v>
      </c>
      <c r="F601" t="s">
        <v>26</v>
      </c>
      <c r="G601">
        <v>11</v>
      </c>
      <c r="H601">
        <v>4</v>
      </c>
      <c r="I601">
        <v>8</v>
      </c>
      <c r="J601">
        <v>54.26</v>
      </c>
      <c r="K601">
        <v>177.35</v>
      </c>
      <c r="L601">
        <v>0.21</v>
      </c>
      <c r="M601">
        <v>43.03</v>
      </c>
      <c r="N601">
        <v>1</v>
      </c>
      <c r="O601" t="s">
        <v>20</v>
      </c>
      <c r="P601" t="s">
        <v>21</v>
      </c>
      <c r="Q601">
        <f t="shared" si="45"/>
        <v>7</v>
      </c>
      <c r="R601" s="4">
        <f>RANK(N601,$N$2:N$2800,0)</f>
        <v>1</v>
      </c>
      <c r="S601">
        <f t="shared" si="46"/>
        <v>1.375</v>
      </c>
      <c r="T601" t="str">
        <f t="shared" si="47"/>
        <v>Low</v>
      </c>
      <c r="U601" t="str" cm="1">
        <f t="array" ref="U601">_xlfn.LET(_xlpm.roles,_xlfn.UNIQUE(D601:D3399),_xlpm.kills, SUMIF(D601:D3399,_xlpm.roles,G601:G3399),INDEX(_xlpm.roles,MATCH(MAX(_xlpm.kills),_xlpm.kills,0)))</f>
        <v>Entry Fragger</v>
      </c>
      <c r="V601" t="str">
        <f t="shared" si="48"/>
        <v>High Accuracy</v>
      </c>
      <c r="W601" t="str" cm="1">
        <f t="array" ref="W601">_xlfn.LET(_xlpm.roles,_xlfn.UNIQUE(D601:D3399), _xlpm.counts,COUNTIF(D601:D3399,_xlpm.roles), INDEX(_xlpm.roles,MATCH(MAX(_xlpm.counts),_xlpm.counts,0)))</f>
        <v>Entry Fragger</v>
      </c>
      <c r="X601" s="2">
        <f t="shared" si="49"/>
        <v>12.599585062240664</v>
      </c>
    </row>
    <row r="602" spans="1:24" x14ac:dyDescent="0.3">
      <c r="A602">
        <v>174</v>
      </c>
      <c r="B602">
        <v>105</v>
      </c>
      <c r="C602" t="s">
        <v>30</v>
      </c>
      <c r="D602" t="s">
        <v>17</v>
      </c>
      <c r="E602" t="s">
        <v>33</v>
      </c>
      <c r="F602" t="s">
        <v>37</v>
      </c>
      <c r="G602">
        <v>15</v>
      </c>
      <c r="H602">
        <v>10</v>
      </c>
      <c r="I602">
        <v>9</v>
      </c>
      <c r="J602">
        <v>46.06</v>
      </c>
      <c r="K602">
        <v>201.8</v>
      </c>
      <c r="L602">
        <v>0.38</v>
      </c>
      <c r="M602">
        <v>50.23</v>
      </c>
      <c r="N602">
        <v>1</v>
      </c>
      <c r="O602" t="s">
        <v>20</v>
      </c>
      <c r="P602" t="s">
        <v>21</v>
      </c>
      <c r="Q602">
        <f t="shared" si="45"/>
        <v>16</v>
      </c>
      <c r="R602" s="4">
        <f>RANK(N602,$N$2:N$2800,0)</f>
        <v>1</v>
      </c>
      <c r="S602">
        <f t="shared" si="46"/>
        <v>1.6666666666666667</v>
      </c>
      <c r="T602" t="str">
        <f t="shared" si="47"/>
        <v>Good</v>
      </c>
      <c r="U602" t="str" cm="1">
        <f t="array" ref="U602">_xlfn.LET(_xlpm.roles,_xlfn.UNIQUE(D602:D3400),_xlpm.kills, SUMIF(D602:D3400,_xlpm.roles,G602:G3400),INDEX(_xlpm.roles,MATCH(MAX(_xlpm.kills),_xlpm.kills,0)))</f>
        <v>Entry Fragger</v>
      </c>
      <c r="V602" t="str">
        <f t="shared" si="48"/>
        <v>Medium Accuracy</v>
      </c>
      <c r="W602" t="str" cm="1">
        <f t="array" ref="W602">_xlfn.LET(_xlpm.roles,_xlfn.UNIQUE(D602:D3400), _xlpm.counts,COUNTIF(D602:D3400,_xlpm.roles), INDEX(_xlpm.roles,MATCH(MAX(_xlpm.counts),_xlpm.counts,0)))</f>
        <v>Entry Fragger</v>
      </c>
      <c r="X602" s="2">
        <f t="shared" si="49"/>
        <v>13.135802469135802</v>
      </c>
    </row>
    <row r="603" spans="1:24" x14ac:dyDescent="0.3">
      <c r="A603">
        <v>320</v>
      </c>
      <c r="B603">
        <v>105</v>
      </c>
      <c r="C603" t="s">
        <v>16</v>
      </c>
      <c r="D603" t="s">
        <v>36</v>
      </c>
      <c r="E603" t="s">
        <v>23</v>
      </c>
      <c r="F603" t="s">
        <v>34</v>
      </c>
      <c r="G603">
        <v>10</v>
      </c>
      <c r="H603">
        <v>7</v>
      </c>
      <c r="I603">
        <v>10</v>
      </c>
      <c r="J603">
        <v>57.71</v>
      </c>
      <c r="K603">
        <v>203.38</v>
      </c>
      <c r="L603">
        <v>0.55000000000000004</v>
      </c>
      <c r="M603">
        <v>40.36</v>
      </c>
      <c r="N603">
        <v>0.94</v>
      </c>
      <c r="O603" t="s">
        <v>20</v>
      </c>
      <c r="P603" t="s">
        <v>21</v>
      </c>
      <c r="Q603">
        <f t="shared" si="45"/>
        <v>7</v>
      </c>
      <c r="R603" s="4">
        <f>RANK(N603,$N$2:N$2800,0)</f>
        <v>1431</v>
      </c>
      <c r="S603">
        <f t="shared" si="46"/>
        <v>1</v>
      </c>
      <c r="T603" t="str">
        <f t="shared" si="47"/>
        <v>Low</v>
      </c>
      <c r="U603" t="str" cm="1">
        <f t="array" ref="U603">_xlfn.LET(_xlpm.roles,_xlfn.UNIQUE(D603:D3401),_xlpm.kills, SUMIF(D603:D3401,_xlpm.roles,G603:G3401),INDEX(_xlpm.roles,MATCH(MAX(_xlpm.kills),_xlpm.kills,0)))</f>
        <v>Entry Fragger</v>
      </c>
      <c r="V603" t="str">
        <f t="shared" si="48"/>
        <v>High Accuracy</v>
      </c>
      <c r="W603" t="str" cm="1">
        <f t="array" ref="W603">_xlfn.LET(_xlpm.roles,_xlfn.UNIQUE(D603:D3401), _xlpm.counts,COUNTIF(D603:D3401,_xlpm.roles), INDEX(_xlpm.roles,MATCH(MAX(_xlpm.counts),_xlpm.counts,0)))</f>
        <v>Entry Fragger</v>
      </c>
      <c r="X603" s="2">
        <f t="shared" si="49"/>
        <v>12.520971302428256</v>
      </c>
    </row>
    <row r="604" spans="1:24" x14ac:dyDescent="0.3">
      <c r="A604">
        <v>1201</v>
      </c>
      <c r="B604">
        <v>105</v>
      </c>
      <c r="C604" t="s">
        <v>39</v>
      </c>
      <c r="D604" t="s">
        <v>28</v>
      </c>
      <c r="E604" t="s">
        <v>23</v>
      </c>
      <c r="F604" t="s">
        <v>37</v>
      </c>
      <c r="G604">
        <v>21</v>
      </c>
      <c r="H604">
        <v>6</v>
      </c>
      <c r="I604">
        <v>11</v>
      </c>
      <c r="J604">
        <v>50.27</v>
      </c>
      <c r="K604">
        <v>255.83</v>
      </c>
      <c r="L604">
        <v>0.23</v>
      </c>
      <c r="M604">
        <v>59.84</v>
      </c>
      <c r="N604">
        <v>1</v>
      </c>
      <c r="O604" t="s">
        <v>20</v>
      </c>
      <c r="P604" t="s">
        <v>21</v>
      </c>
      <c r="Q604">
        <f t="shared" si="45"/>
        <v>16</v>
      </c>
      <c r="R604" s="4">
        <f>RANK(N604,$N$2:N$2800,0)</f>
        <v>1</v>
      </c>
      <c r="S604">
        <f t="shared" si="46"/>
        <v>1.9090909090909092</v>
      </c>
      <c r="T604" t="str">
        <f t="shared" si="47"/>
        <v>Good</v>
      </c>
      <c r="U604" t="str" cm="1">
        <f t="array" ref="U604">_xlfn.LET(_xlpm.roles,_xlfn.UNIQUE(D604:D3402),_xlpm.kills, SUMIF(D604:D3402,_xlpm.roles,G604:G3402),INDEX(_xlpm.roles,MATCH(MAX(_xlpm.kills),_xlpm.kills,0)))</f>
        <v>Entry Fragger</v>
      </c>
      <c r="V604" t="str">
        <f t="shared" si="48"/>
        <v>High Accuracy</v>
      </c>
      <c r="W604" t="str" cm="1">
        <f t="array" ref="W604">_xlfn.LET(_xlpm.roles,_xlfn.UNIQUE(D604:D3402), _xlpm.counts,COUNTIF(D604:D3402,_xlpm.roles), INDEX(_xlpm.roles,MATCH(MAX(_xlpm.counts),_xlpm.counts,0)))</f>
        <v>Entry Fragger</v>
      </c>
      <c r="X604" s="2">
        <f t="shared" si="49"/>
        <v>13.103594080338267</v>
      </c>
    </row>
    <row r="605" spans="1:24" x14ac:dyDescent="0.3">
      <c r="A605">
        <v>1354</v>
      </c>
      <c r="B605">
        <v>105</v>
      </c>
      <c r="C605" t="s">
        <v>39</v>
      </c>
      <c r="D605" t="s">
        <v>31</v>
      </c>
      <c r="E605" t="s">
        <v>32</v>
      </c>
      <c r="F605" t="s">
        <v>34</v>
      </c>
      <c r="G605">
        <v>10</v>
      </c>
      <c r="H605">
        <v>7</v>
      </c>
      <c r="I605">
        <v>8</v>
      </c>
      <c r="J605">
        <v>40.14</v>
      </c>
      <c r="K605">
        <v>230.52</v>
      </c>
      <c r="L605">
        <v>0.85</v>
      </c>
      <c r="M605">
        <v>30.57</v>
      </c>
      <c r="N605">
        <v>0.7</v>
      </c>
      <c r="O605" t="s">
        <v>20</v>
      </c>
      <c r="P605" t="s">
        <v>21</v>
      </c>
      <c r="Q605">
        <f t="shared" si="45"/>
        <v>9</v>
      </c>
      <c r="R605" s="4">
        <f>RANK(N605,$N$2:N$2800,0)</f>
        <v>2702</v>
      </c>
      <c r="S605">
        <f t="shared" si="46"/>
        <v>1.25</v>
      </c>
      <c r="T605" t="str">
        <f t="shared" si="47"/>
        <v>Low</v>
      </c>
      <c r="U605" t="str" cm="1">
        <f t="array" ref="U605">_xlfn.LET(_xlpm.roles,_xlfn.UNIQUE(D605:D3403),_xlpm.kills, SUMIF(D605:D3403,_xlpm.roles,G605:G3403),INDEX(_xlpm.roles,MATCH(MAX(_xlpm.kills),_xlpm.kills,0)))</f>
        <v>Entry Fragger</v>
      </c>
      <c r="V605" t="str">
        <f t="shared" si="48"/>
        <v>Medium Accuracy</v>
      </c>
      <c r="W605" t="str" cm="1">
        <f t="array" ref="W605">_xlfn.LET(_xlpm.roles,_xlfn.UNIQUE(D605:D3403), _xlpm.counts,COUNTIF(D605:D3403,_xlpm.roles), INDEX(_xlpm.roles,MATCH(MAX(_xlpm.counts),_xlpm.counts,0)))</f>
        <v>Entry Fragger</v>
      </c>
      <c r="X605" s="2">
        <f t="shared" si="49"/>
        <v>13.103594080338267</v>
      </c>
    </row>
    <row r="606" spans="1:24" x14ac:dyDescent="0.3">
      <c r="A606">
        <v>1659</v>
      </c>
      <c r="B606">
        <v>105</v>
      </c>
      <c r="C606" t="s">
        <v>30</v>
      </c>
      <c r="D606" t="s">
        <v>36</v>
      </c>
      <c r="E606" t="s">
        <v>32</v>
      </c>
      <c r="F606" t="s">
        <v>34</v>
      </c>
      <c r="G606">
        <v>19</v>
      </c>
      <c r="H606">
        <v>11</v>
      </c>
      <c r="I606">
        <v>8</v>
      </c>
      <c r="J606">
        <v>56.33</v>
      </c>
      <c r="K606">
        <v>229.1</v>
      </c>
      <c r="L606">
        <v>0.25</v>
      </c>
      <c r="M606">
        <v>66.66</v>
      </c>
      <c r="N606">
        <v>0.92</v>
      </c>
      <c r="O606" t="s">
        <v>20</v>
      </c>
      <c r="P606" t="s">
        <v>38</v>
      </c>
      <c r="Q606">
        <f t="shared" si="45"/>
        <v>22</v>
      </c>
      <c r="R606" s="4">
        <f>RANK(N606,$N$2:N$2800,0)</f>
        <v>1585</v>
      </c>
      <c r="S606">
        <f t="shared" si="46"/>
        <v>2.375</v>
      </c>
      <c r="T606" t="str">
        <f t="shared" si="47"/>
        <v>Good</v>
      </c>
      <c r="U606" t="str" cm="1">
        <f t="array" ref="U606">_xlfn.LET(_xlpm.roles,_xlfn.UNIQUE(D606:D3404),_xlpm.kills, SUMIF(D606:D3404,_xlpm.roles,G606:G3404),INDEX(_xlpm.roles,MATCH(MAX(_xlpm.kills),_xlpm.kills,0)))</f>
        <v>Entry Fragger</v>
      </c>
      <c r="V606" t="str">
        <f t="shared" si="48"/>
        <v>High Accuracy</v>
      </c>
      <c r="W606" t="str" cm="1">
        <f t="array" ref="W606">_xlfn.LET(_xlpm.roles,_xlfn.UNIQUE(D606:D3404), _xlpm.counts,COUNTIF(D606:D3404,_xlpm.roles), INDEX(_xlpm.roles,MATCH(MAX(_xlpm.counts),_xlpm.counts,0)))</f>
        <v>Entry Fragger</v>
      </c>
      <c r="X606" s="2">
        <f t="shared" si="49"/>
        <v>13.135802469135802</v>
      </c>
    </row>
    <row r="607" spans="1:24" x14ac:dyDescent="0.3">
      <c r="A607">
        <v>1932</v>
      </c>
      <c r="B607">
        <v>105</v>
      </c>
      <c r="C607" t="s">
        <v>35</v>
      </c>
      <c r="D607" t="s">
        <v>22</v>
      </c>
      <c r="E607" t="s">
        <v>23</v>
      </c>
      <c r="F607" t="s">
        <v>37</v>
      </c>
      <c r="G607">
        <v>17</v>
      </c>
      <c r="H607">
        <v>9</v>
      </c>
      <c r="I607">
        <v>4</v>
      </c>
      <c r="J607">
        <v>47.42</v>
      </c>
      <c r="K607">
        <v>219.17</v>
      </c>
      <c r="L607">
        <v>0.9</v>
      </c>
      <c r="M607">
        <v>53.71</v>
      </c>
      <c r="N607">
        <v>0.99</v>
      </c>
      <c r="O607" t="s">
        <v>20</v>
      </c>
      <c r="P607" t="s">
        <v>21</v>
      </c>
      <c r="Q607">
        <f t="shared" si="45"/>
        <v>22</v>
      </c>
      <c r="R607" s="4">
        <f>RANK(N607,$N$2:N$2800,0)</f>
        <v>1080</v>
      </c>
      <c r="S607">
        <f t="shared" si="46"/>
        <v>4.25</v>
      </c>
      <c r="T607" t="str">
        <f t="shared" si="47"/>
        <v>Good</v>
      </c>
      <c r="U607" t="str" cm="1">
        <f t="array" ref="U607">_xlfn.LET(_xlpm.roles,_xlfn.UNIQUE(D607:D3405),_xlpm.kills, SUMIF(D607:D3405,_xlpm.roles,G607:G3405),INDEX(_xlpm.roles,MATCH(MAX(_xlpm.kills),_xlpm.kills,0)))</f>
        <v>Entry Fragger</v>
      </c>
      <c r="V607" t="str">
        <f t="shared" si="48"/>
        <v>Medium Accuracy</v>
      </c>
      <c r="W607" t="str" cm="1">
        <f t="array" ref="W607">_xlfn.LET(_xlpm.roles,_xlfn.UNIQUE(D607:D3405), _xlpm.counts,COUNTIF(D607:D3405,_xlpm.roles), INDEX(_xlpm.roles,MATCH(MAX(_xlpm.counts),_xlpm.counts,0)))</f>
        <v>Entry Fragger</v>
      </c>
      <c r="X607" s="2">
        <f t="shared" si="49"/>
        <v>12.599585062240664</v>
      </c>
    </row>
    <row r="608" spans="1:24" x14ac:dyDescent="0.3">
      <c r="A608">
        <v>2374</v>
      </c>
      <c r="B608">
        <v>105</v>
      </c>
      <c r="C608" t="s">
        <v>35</v>
      </c>
      <c r="D608" t="s">
        <v>36</v>
      </c>
      <c r="E608" t="s">
        <v>29</v>
      </c>
      <c r="F608" t="s">
        <v>26</v>
      </c>
      <c r="G608">
        <v>21</v>
      </c>
      <c r="H608">
        <v>8</v>
      </c>
      <c r="I608">
        <v>7</v>
      </c>
      <c r="J608">
        <v>45.75</v>
      </c>
      <c r="K608">
        <v>241.58</v>
      </c>
      <c r="L608">
        <v>0.97</v>
      </c>
      <c r="M608">
        <v>56.17</v>
      </c>
      <c r="N608">
        <v>1</v>
      </c>
      <c r="O608" t="s">
        <v>20</v>
      </c>
      <c r="P608" t="s">
        <v>21</v>
      </c>
      <c r="Q608">
        <f t="shared" si="45"/>
        <v>22</v>
      </c>
      <c r="R608" s="4">
        <f>RANK(N608,$N$2:N$2800,0)</f>
        <v>1</v>
      </c>
      <c r="S608">
        <f t="shared" si="46"/>
        <v>3</v>
      </c>
      <c r="T608" t="str">
        <f t="shared" si="47"/>
        <v>Good</v>
      </c>
      <c r="U608" t="str" cm="1">
        <f t="array" ref="U608">_xlfn.LET(_xlpm.roles,_xlfn.UNIQUE(D608:D3406),_xlpm.kills, SUMIF(D608:D3406,_xlpm.roles,G608:G3406),INDEX(_xlpm.roles,MATCH(MAX(_xlpm.kills),_xlpm.kills,0)))</f>
        <v>Entry Fragger</v>
      </c>
      <c r="V608" t="str">
        <f t="shared" si="48"/>
        <v>Medium Accuracy</v>
      </c>
      <c r="W608" t="str" cm="1">
        <f t="array" ref="W608">_xlfn.LET(_xlpm.roles,_xlfn.UNIQUE(D608:D3406), _xlpm.counts,COUNTIF(D608:D3406,_xlpm.roles), INDEX(_xlpm.roles,MATCH(MAX(_xlpm.counts),_xlpm.counts,0)))</f>
        <v>Entry Fragger</v>
      </c>
      <c r="X608" s="2">
        <f t="shared" si="49"/>
        <v>12.599585062240664</v>
      </c>
    </row>
    <row r="609" spans="1:24" x14ac:dyDescent="0.3">
      <c r="A609">
        <v>318</v>
      </c>
      <c r="B609">
        <v>106</v>
      </c>
      <c r="C609" t="s">
        <v>27</v>
      </c>
      <c r="D609" t="s">
        <v>22</v>
      </c>
      <c r="E609" t="s">
        <v>18</v>
      </c>
      <c r="F609" t="s">
        <v>37</v>
      </c>
      <c r="G609">
        <v>19</v>
      </c>
      <c r="H609">
        <v>13</v>
      </c>
      <c r="I609">
        <v>17</v>
      </c>
      <c r="J609">
        <v>40</v>
      </c>
      <c r="K609">
        <v>223.79</v>
      </c>
      <c r="L609">
        <v>0.57999999999999996</v>
      </c>
      <c r="M609">
        <v>48.2</v>
      </c>
      <c r="N609">
        <v>0.86</v>
      </c>
      <c r="O609" t="s">
        <v>20</v>
      </c>
      <c r="P609" t="s">
        <v>21</v>
      </c>
      <c r="Q609">
        <f t="shared" si="45"/>
        <v>15</v>
      </c>
      <c r="R609" s="4">
        <f>RANK(N609,$N$2:N$2800,0)</f>
        <v>2040</v>
      </c>
      <c r="S609">
        <f t="shared" si="46"/>
        <v>1.1176470588235294</v>
      </c>
      <c r="T609" t="str">
        <f t="shared" si="47"/>
        <v>Good</v>
      </c>
      <c r="U609" t="str" cm="1">
        <f t="array" ref="U609">_xlfn.LET(_xlpm.roles,_xlfn.UNIQUE(D609:D3407),_xlpm.kills, SUMIF(D609:D3407,_xlpm.roles,G609:G3407),INDEX(_xlpm.roles,MATCH(MAX(_xlpm.kills),_xlpm.kills,0)))</f>
        <v>Entry Fragger</v>
      </c>
      <c r="V609" t="str">
        <f t="shared" si="48"/>
        <v>Medium Accuracy</v>
      </c>
      <c r="W609" t="str" cm="1">
        <f t="array" ref="W609">_xlfn.LET(_xlpm.roles,_xlfn.UNIQUE(D609:D3407), _xlpm.counts,COUNTIF(D609:D3407,_xlpm.roles), INDEX(_xlpm.roles,MATCH(MAX(_xlpm.counts),_xlpm.counts,0)))</f>
        <v>Entry Fragger</v>
      </c>
      <c r="X609" s="2">
        <f t="shared" si="49"/>
        <v>13.057077625570777</v>
      </c>
    </row>
    <row r="610" spans="1:24" x14ac:dyDescent="0.3">
      <c r="A610">
        <v>321</v>
      </c>
      <c r="B610">
        <v>106</v>
      </c>
      <c r="C610" t="s">
        <v>35</v>
      </c>
      <c r="D610" t="s">
        <v>31</v>
      </c>
      <c r="E610" t="s">
        <v>32</v>
      </c>
      <c r="F610" t="s">
        <v>26</v>
      </c>
      <c r="G610">
        <v>15</v>
      </c>
      <c r="H610">
        <v>7</v>
      </c>
      <c r="I610">
        <v>12</v>
      </c>
      <c r="J610">
        <v>33.020000000000003</v>
      </c>
      <c r="K610">
        <v>258.43</v>
      </c>
      <c r="L610">
        <v>0.79</v>
      </c>
      <c r="M610">
        <v>33.61</v>
      </c>
      <c r="N610">
        <v>0.9</v>
      </c>
      <c r="O610" t="s">
        <v>20</v>
      </c>
      <c r="P610" t="s">
        <v>21</v>
      </c>
      <c r="Q610">
        <f t="shared" si="45"/>
        <v>10</v>
      </c>
      <c r="R610" s="4">
        <f>RANK(N610,$N$2:N$2800,0)</f>
        <v>1738</v>
      </c>
      <c r="S610">
        <f t="shared" si="46"/>
        <v>1.25</v>
      </c>
      <c r="T610" t="str">
        <f t="shared" si="47"/>
        <v>Low</v>
      </c>
      <c r="U610" t="str" cm="1">
        <f t="array" ref="U610">_xlfn.LET(_xlpm.roles,_xlfn.UNIQUE(D610:D3408),_xlpm.kills, SUMIF(D610:D3408,_xlpm.roles,G610:G3408),INDEX(_xlpm.roles,MATCH(MAX(_xlpm.kills),_xlpm.kills,0)))</f>
        <v>Entry Fragger</v>
      </c>
      <c r="V610" t="str">
        <f t="shared" si="48"/>
        <v>Medium Accuracy</v>
      </c>
      <c r="W610" t="str" cm="1">
        <f t="array" ref="W610">_xlfn.LET(_xlpm.roles,_xlfn.UNIQUE(D610:D3408), _xlpm.counts,COUNTIF(D610:D3408,_xlpm.roles), INDEX(_xlpm.roles,MATCH(MAX(_xlpm.counts),_xlpm.counts,0)))</f>
        <v>Entry Fragger</v>
      </c>
      <c r="X610" s="2">
        <f t="shared" si="49"/>
        <v>12.599585062240664</v>
      </c>
    </row>
    <row r="611" spans="1:24" x14ac:dyDescent="0.3">
      <c r="A611">
        <v>1303</v>
      </c>
      <c r="B611">
        <v>106</v>
      </c>
      <c r="C611" t="s">
        <v>35</v>
      </c>
      <c r="D611" t="s">
        <v>28</v>
      </c>
      <c r="E611" t="s">
        <v>29</v>
      </c>
      <c r="F611" t="s">
        <v>37</v>
      </c>
      <c r="G611">
        <v>16</v>
      </c>
      <c r="H611">
        <v>6</v>
      </c>
      <c r="I611">
        <v>15</v>
      </c>
      <c r="J611">
        <v>34.729999999999997</v>
      </c>
      <c r="K611">
        <v>192.67</v>
      </c>
      <c r="L611">
        <v>0.41</v>
      </c>
      <c r="M611">
        <v>36.26</v>
      </c>
      <c r="N611">
        <v>0.93</v>
      </c>
      <c r="O611" t="s">
        <v>20</v>
      </c>
      <c r="P611" t="s">
        <v>21</v>
      </c>
      <c r="Q611">
        <f t="shared" si="45"/>
        <v>7</v>
      </c>
      <c r="R611" s="4">
        <f>RANK(N611,$N$2:N$2800,0)</f>
        <v>1505</v>
      </c>
      <c r="S611">
        <f t="shared" si="46"/>
        <v>1.0666666666666667</v>
      </c>
      <c r="T611" t="str">
        <f t="shared" si="47"/>
        <v>Low</v>
      </c>
      <c r="U611" t="str" cm="1">
        <f t="array" ref="U611">_xlfn.LET(_xlpm.roles,_xlfn.UNIQUE(D611:D3409),_xlpm.kills, SUMIF(D611:D3409,_xlpm.roles,G611:G3409),INDEX(_xlpm.roles,MATCH(MAX(_xlpm.kills),_xlpm.kills,0)))</f>
        <v>Entry Fragger</v>
      </c>
      <c r="V611" t="str">
        <f t="shared" si="48"/>
        <v>Medium Accuracy</v>
      </c>
      <c r="W611" t="str" cm="1">
        <f t="array" ref="W611">_xlfn.LET(_xlpm.roles,_xlfn.UNIQUE(D611:D3409), _xlpm.counts,COUNTIF(D611:D3409,_xlpm.roles), INDEX(_xlpm.roles,MATCH(MAX(_xlpm.counts),_xlpm.counts,0)))</f>
        <v>Entry Fragger</v>
      </c>
      <c r="X611" s="2">
        <f t="shared" si="49"/>
        <v>12.599585062240664</v>
      </c>
    </row>
    <row r="612" spans="1:24" x14ac:dyDescent="0.3">
      <c r="A612">
        <v>1977</v>
      </c>
      <c r="B612">
        <v>106</v>
      </c>
      <c r="C612" t="s">
        <v>27</v>
      </c>
      <c r="D612" t="s">
        <v>36</v>
      </c>
      <c r="E612" t="s">
        <v>33</v>
      </c>
      <c r="F612" t="s">
        <v>34</v>
      </c>
      <c r="G612">
        <v>8</v>
      </c>
      <c r="H612">
        <v>5</v>
      </c>
      <c r="I612">
        <v>11</v>
      </c>
      <c r="J612">
        <v>47.47</v>
      </c>
      <c r="K612">
        <v>231.73</v>
      </c>
      <c r="L612">
        <v>0.97</v>
      </c>
      <c r="M612">
        <v>24.04</v>
      </c>
      <c r="N612">
        <v>0.9</v>
      </c>
      <c r="O612" t="s">
        <v>20</v>
      </c>
      <c r="P612" t="s">
        <v>21</v>
      </c>
      <c r="Q612">
        <f t="shared" si="45"/>
        <v>2</v>
      </c>
      <c r="R612" s="4">
        <f>RANK(N612,$N$2:N$2800,0)</f>
        <v>1738</v>
      </c>
      <c r="S612">
        <f t="shared" si="46"/>
        <v>0.72727272727272729</v>
      </c>
      <c r="T612" t="str">
        <f t="shared" si="47"/>
        <v>Low</v>
      </c>
      <c r="U612" t="str" cm="1">
        <f t="array" ref="U612">_xlfn.LET(_xlpm.roles,_xlfn.UNIQUE(D612:D3410),_xlpm.kills, SUMIF(D612:D3410,_xlpm.roles,G612:G3410),INDEX(_xlpm.roles,MATCH(MAX(_xlpm.kills),_xlpm.kills,0)))</f>
        <v>Entry Fragger</v>
      </c>
      <c r="V612" t="str">
        <f t="shared" si="48"/>
        <v>Medium Accuracy</v>
      </c>
      <c r="W612" t="str" cm="1">
        <f t="array" ref="W612">_xlfn.LET(_xlpm.roles,_xlfn.UNIQUE(D612:D3410), _xlpm.counts,COUNTIF(D612:D3410,_xlpm.roles), INDEX(_xlpm.roles,MATCH(MAX(_xlpm.counts),_xlpm.counts,0)))</f>
        <v>Entry Fragger</v>
      </c>
      <c r="X612" s="2">
        <f t="shared" si="49"/>
        <v>13.057077625570777</v>
      </c>
    </row>
    <row r="613" spans="1:24" x14ac:dyDescent="0.3">
      <c r="A613">
        <v>2006</v>
      </c>
      <c r="B613">
        <v>106</v>
      </c>
      <c r="C613" t="s">
        <v>16</v>
      </c>
      <c r="D613" t="s">
        <v>17</v>
      </c>
      <c r="E613" t="s">
        <v>18</v>
      </c>
      <c r="F613" t="s">
        <v>26</v>
      </c>
      <c r="G613">
        <v>14</v>
      </c>
      <c r="H613">
        <v>15</v>
      </c>
      <c r="I613">
        <v>12</v>
      </c>
      <c r="J613">
        <v>43.97</v>
      </c>
      <c r="K613">
        <v>189.25</v>
      </c>
      <c r="L613">
        <v>0.22</v>
      </c>
      <c r="M613">
        <v>50.78</v>
      </c>
      <c r="N613">
        <v>0.96</v>
      </c>
      <c r="O613" t="s">
        <v>20</v>
      </c>
      <c r="P613" t="s">
        <v>21</v>
      </c>
      <c r="Q613">
        <f t="shared" si="45"/>
        <v>17</v>
      </c>
      <c r="R613" s="4">
        <f>RANK(N613,$N$2:N$2800,0)</f>
        <v>1301</v>
      </c>
      <c r="S613">
        <f t="shared" si="46"/>
        <v>1.1666666666666667</v>
      </c>
      <c r="T613" t="str">
        <f t="shared" si="47"/>
        <v>Good</v>
      </c>
      <c r="U613" t="str" cm="1">
        <f t="array" ref="U613">_xlfn.LET(_xlpm.roles,_xlfn.UNIQUE(D613:D3411),_xlpm.kills, SUMIF(D613:D3411,_xlpm.roles,G613:G3411),INDEX(_xlpm.roles,MATCH(MAX(_xlpm.kills),_xlpm.kills,0)))</f>
        <v>Entry Fragger</v>
      </c>
      <c r="V613" t="str">
        <f t="shared" si="48"/>
        <v>Medium Accuracy</v>
      </c>
      <c r="W613" t="str" cm="1">
        <f t="array" ref="W613">_xlfn.LET(_xlpm.roles,_xlfn.UNIQUE(D613:D3411), _xlpm.counts,COUNTIF(D613:D3411,_xlpm.roles), INDEX(_xlpm.roles,MATCH(MAX(_xlpm.counts),_xlpm.counts,0)))</f>
        <v>Entry Fragger</v>
      </c>
      <c r="X613" s="2">
        <f t="shared" si="49"/>
        <v>12.520971302428256</v>
      </c>
    </row>
    <row r="614" spans="1:24" x14ac:dyDescent="0.3">
      <c r="A614">
        <v>2511</v>
      </c>
      <c r="B614">
        <v>106</v>
      </c>
      <c r="C614" t="s">
        <v>25</v>
      </c>
      <c r="D614" t="s">
        <v>28</v>
      </c>
      <c r="E614" t="s">
        <v>23</v>
      </c>
      <c r="F614" t="s">
        <v>26</v>
      </c>
      <c r="G614">
        <v>16</v>
      </c>
      <c r="H614">
        <v>6</v>
      </c>
      <c r="I614">
        <v>7</v>
      </c>
      <c r="J614">
        <v>58.74</v>
      </c>
      <c r="K614">
        <v>191.01</v>
      </c>
      <c r="L614">
        <v>0.17</v>
      </c>
      <c r="M614">
        <v>58.67</v>
      </c>
      <c r="N614">
        <v>1</v>
      </c>
      <c r="O614" t="s">
        <v>20</v>
      </c>
      <c r="P614" t="s">
        <v>21</v>
      </c>
      <c r="Q614">
        <f t="shared" si="45"/>
        <v>15</v>
      </c>
      <c r="R614" s="4">
        <f>RANK(N614,$N$2:N$2800,0)</f>
        <v>1</v>
      </c>
      <c r="S614">
        <f t="shared" si="46"/>
        <v>2.2857142857142856</v>
      </c>
      <c r="T614" t="str">
        <f t="shared" si="47"/>
        <v>Good</v>
      </c>
      <c r="U614" t="str" cm="1">
        <f t="array" ref="U614">_xlfn.LET(_xlpm.roles,_xlfn.UNIQUE(D614:D3412),_xlpm.kills, SUMIF(D614:D3412,_xlpm.roles,G614:G3412),INDEX(_xlpm.roles,MATCH(MAX(_xlpm.kills),_xlpm.kills,0)))</f>
        <v>Entry Fragger</v>
      </c>
      <c r="V614" t="str">
        <f t="shared" si="48"/>
        <v>High Accuracy</v>
      </c>
      <c r="W614" t="str" cm="1">
        <f t="array" ref="W614">_xlfn.LET(_xlpm.roles,_xlfn.UNIQUE(D614:D3412), _xlpm.counts,COUNTIF(D614:D3412,_xlpm.roles), INDEX(_xlpm.roles,MATCH(MAX(_xlpm.counts),_xlpm.counts,0)))</f>
        <v>Entry Fragger</v>
      </c>
      <c r="X614" s="2">
        <f t="shared" si="49"/>
        <v>12.809421841541756</v>
      </c>
    </row>
    <row r="615" spans="1:24" x14ac:dyDescent="0.3">
      <c r="A615">
        <v>934</v>
      </c>
      <c r="B615">
        <v>107</v>
      </c>
      <c r="C615" t="s">
        <v>39</v>
      </c>
      <c r="D615" t="s">
        <v>17</v>
      </c>
      <c r="E615" t="s">
        <v>18</v>
      </c>
      <c r="F615" t="s">
        <v>34</v>
      </c>
      <c r="G615">
        <v>15</v>
      </c>
      <c r="H615">
        <v>5</v>
      </c>
      <c r="I615">
        <v>11</v>
      </c>
      <c r="J615">
        <v>47.79</v>
      </c>
      <c r="K615">
        <v>202.74</v>
      </c>
      <c r="L615">
        <v>0.63</v>
      </c>
      <c r="M615">
        <v>41.59</v>
      </c>
      <c r="N615">
        <v>0.94</v>
      </c>
      <c r="O615" t="s">
        <v>20</v>
      </c>
      <c r="P615" t="s">
        <v>21</v>
      </c>
      <c r="Q615">
        <f t="shared" si="45"/>
        <v>9</v>
      </c>
      <c r="R615" s="4">
        <f>RANK(N615,$N$2:N$2800,0)</f>
        <v>1431</v>
      </c>
      <c r="S615">
        <f t="shared" si="46"/>
        <v>1.3636363636363635</v>
      </c>
      <c r="T615" t="str">
        <f t="shared" si="47"/>
        <v>Low</v>
      </c>
      <c r="U615" t="str" cm="1">
        <f t="array" ref="U615">_xlfn.LET(_xlpm.roles,_xlfn.UNIQUE(D615:D3413),_xlpm.kills, SUMIF(D615:D3413,_xlpm.roles,G615:G3413),INDEX(_xlpm.roles,MATCH(MAX(_xlpm.kills),_xlpm.kills,0)))</f>
        <v>Entry Fragger</v>
      </c>
      <c r="V615" t="str">
        <f t="shared" si="48"/>
        <v>Medium Accuracy</v>
      </c>
      <c r="W615" t="str" cm="1">
        <f t="array" ref="W615">_xlfn.LET(_xlpm.roles,_xlfn.UNIQUE(D615:D3413), _xlpm.counts,COUNTIF(D615:D3413,_xlpm.roles), INDEX(_xlpm.roles,MATCH(MAX(_xlpm.counts),_xlpm.counts,0)))</f>
        <v>Entry Fragger</v>
      </c>
      <c r="X615" s="2">
        <f t="shared" si="49"/>
        <v>13.103594080338267</v>
      </c>
    </row>
    <row r="616" spans="1:24" x14ac:dyDescent="0.3">
      <c r="A616">
        <v>2632</v>
      </c>
      <c r="B616">
        <v>107</v>
      </c>
      <c r="C616" t="s">
        <v>30</v>
      </c>
      <c r="D616" t="s">
        <v>36</v>
      </c>
      <c r="E616" t="s">
        <v>23</v>
      </c>
      <c r="F616" t="s">
        <v>26</v>
      </c>
      <c r="G616">
        <v>9</v>
      </c>
      <c r="H616">
        <v>8</v>
      </c>
      <c r="I616">
        <v>9</v>
      </c>
      <c r="J616">
        <v>32.799999999999997</v>
      </c>
      <c r="K616">
        <v>218.86</v>
      </c>
      <c r="L616">
        <v>0.56000000000000005</v>
      </c>
      <c r="M616">
        <v>27.8</v>
      </c>
      <c r="N616">
        <v>0.94</v>
      </c>
      <c r="O616" t="s">
        <v>20</v>
      </c>
      <c r="P616" t="s">
        <v>21</v>
      </c>
      <c r="Q616">
        <f t="shared" si="45"/>
        <v>8</v>
      </c>
      <c r="R616" s="4">
        <f>RANK(N616,$N$2:N$2800,0)</f>
        <v>1431</v>
      </c>
      <c r="S616">
        <f t="shared" si="46"/>
        <v>1</v>
      </c>
      <c r="T616" t="str">
        <f t="shared" si="47"/>
        <v>Low</v>
      </c>
      <c r="U616" t="str" cm="1">
        <f t="array" ref="U616">_xlfn.LET(_xlpm.roles,_xlfn.UNIQUE(D616:D3414),_xlpm.kills, SUMIF(D616:D3414,_xlpm.roles,G616:G3414),INDEX(_xlpm.roles,MATCH(MAX(_xlpm.kills),_xlpm.kills,0)))</f>
        <v>Entry Fragger</v>
      </c>
      <c r="V616" t="str">
        <f t="shared" si="48"/>
        <v>Medium Accuracy</v>
      </c>
      <c r="W616" t="str" cm="1">
        <f t="array" ref="W616">_xlfn.LET(_xlpm.roles,_xlfn.UNIQUE(D616:D3414), _xlpm.counts,COUNTIF(D616:D3414,_xlpm.roles), INDEX(_xlpm.roles,MATCH(MAX(_xlpm.counts),_xlpm.counts,0)))</f>
        <v>Entry Fragger</v>
      </c>
      <c r="X616" s="2">
        <f t="shared" si="49"/>
        <v>13.135802469135802</v>
      </c>
    </row>
    <row r="617" spans="1:24" x14ac:dyDescent="0.3">
      <c r="A617">
        <v>9</v>
      </c>
      <c r="B617">
        <v>108</v>
      </c>
      <c r="C617" t="s">
        <v>35</v>
      </c>
      <c r="D617" t="s">
        <v>31</v>
      </c>
      <c r="E617" t="s">
        <v>18</v>
      </c>
      <c r="F617" t="s">
        <v>34</v>
      </c>
      <c r="G617">
        <v>12</v>
      </c>
      <c r="H617">
        <v>9</v>
      </c>
      <c r="I617">
        <v>7</v>
      </c>
      <c r="J617">
        <v>58.65</v>
      </c>
      <c r="K617">
        <v>246.21</v>
      </c>
      <c r="L617">
        <v>0.02</v>
      </c>
      <c r="M617">
        <v>55.12</v>
      </c>
      <c r="N617">
        <v>0.9</v>
      </c>
      <c r="O617" t="s">
        <v>20</v>
      </c>
      <c r="P617" t="s">
        <v>21</v>
      </c>
      <c r="Q617">
        <f t="shared" si="45"/>
        <v>14</v>
      </c>
      <c r="R617" s="4">
        <f>RANK(N617,$N$2:N$2800,0)</f>
        <v>1738</v>
      </c>
      <c r="S617">
        <f t="shared" si="46"/>
        <v>1.7142857142857142</v>
      </c>
      <c r="T617" t="str">
        <f t="shared" si="47"/>
        <v>Low</v>
      </c>
      <c r="U617" t="str" cm="1">
        <f t="array" ref="U617">_xlfn.LET(_xlpm.roles,_xlfn.UNIQUE(D617:D3415),_xlpm.kills, SUMIF(D617:D3415,_xlpm.roles,G617:G3415),INDEX(_xlpm.roles,MATCH(MAX(_xlpm.kills),_xlpm.kills,0)))</f>
        <v>Entry Fragger</v>
      </c>
      <c r="V617" t="str">
        <f t="shared" si="48"/>
        <v>High Accuracy</v>
      </c>
      <c r="W617" t="str" cm="1">
        <f t="array" ref="W617">_xlfn.LET(_xlpm.roles,_xlfn.UNIQUE(D617:D3415), _xlpm.counts,COUNTIF(D617:D3415,_xlpm.roles), INDEX(_xlpm.roles,MATCH(MAX(_xlpm.counts),_xlpm.counts,0)))</f>
        <v>Entry Fragger</v>
      </c>
      <c r="X617" s="2">
        <f t="shared" si="49"/>
        <v>12.599585062240664</v>
      </c>
    </row>
    <row r="618" spans="1:24" x14ac:dyDescent="0.3">
      <c r="A618">
        <v>47</v>
      </c>
      <c r="B618">
        <v>108</v>
      </c>
      <c r="C618" t="s">
        <v>30</v>
      </c>
      <c r="D618" t="s">
        <v>36</v>
      </c>
      <c r="E618" t="s">
        <v>33</v>
      </c>
      <c r="F618" t="s">
        <v>37</v>
      </c>
      <c r="G618">
        <v>14</v>
      </c>
      <c r="H618">
        <v>8</v>
      </c>
      <c r="I618">
        <v>6</v>
      </c>
      <c r="J618">
        <v>44.29</v>
      </c>
      <c r="K618">
        <v>220.9</v>
      </c>
      <c r="L618">
        <v>0.22</v>
      </c>
      <c r="M618">
        <v>49.94</v>
      </c>
      <c r="N618">
        <v>1</v>
      </c>
      <c r="O618" t="s">
        <v>20</v>
      </c>
      <c r="P618" t="s">
        <v>21</v>
      </c>
      <c r="Q618">
        <f t="shared" si="45"/>
        <v>16</v>
      </c>
      <c r="R618" s="4">
        <f>RANK(N618,$N$2:N$2800,0)</f>
        <v>1</v>
      </c>
      <c r="S618">
        <f t="shared" si="46"/>
        <v>2.3333333333333335</v>
      </c>
      <c r="T618" t="str">
        <f t="shared" si="47"/>
        <v>Good</v>
      </c>
      <c r="U618" t="str" cm="1">
        <f t="array" ref="U618">_xlfn.LET(_xlpm.roles,_xlfn.UNIQUE(D618:D3416),_xlpm.kills, SUMIF(D618:D3416,_xlpm.roles,G618:G3416),INDEX(_xlpm.roles,MATCH(MAX(_xlpm.kills),_xlpm.kills,0)))</f>
        <v>Entry Fragger</v>
      </c>
      <c r="V618" t="str">
        <f t="shared" si="48"/>
        <v>Medium Accuracy</v>
      </c>
      <c r="W618" t="str" cm="1">
        <f t="array" ref="W618">_xlfn.LET(_xlpm.roles,_xlfn.UNIQUE(D618:D3416), _xlpm.counts,COUNTIF(D618:D3416,_xlpm.roles), INDEX(_xlpm.roles,MATCH(MAX(_xlpm.counts),_xlpm.counts,0)))</f>
        <v>Entry Fragger</v>
      </c>
      <c r="X618" s="2">
        <f t="shared" si="49"/>
        <v>13.135802469135802</v>
      </c>
    </row>
    <row r="619" spans="1:24" x14ac:dyDescent="0.3">
      <c r="A619">
        <v>369</v>
      </c>
      <c r="B619">
        <v>108</v>
      </c>
      <c r="C619" t="s">
        <v>25</v>
      </c>
      <c r="D619" t="s">
        <v>22</v>
      </c>
      <c r="E619" t="s">
        <v>33</v>
      </c>
      <c r="F619" t="s">
        <v>24</v>
      </c>
      <c r="G619">
        <v>11</v>
      </c>
      <c r="H619">
        <v>7</v>
      </c>
      <c r="I619">
        <v>11</v>
      </c>
      <c r="J619">
        <v>44.19</v>
      </c>
      <c r="K619">
        <v>205.53</v>
      </c>
      <c r="L619">
        <v>0.65</v>
      </c>
      <c r="M619">
        <v>33.590000000000003</v>
      </c>
      <c r="N619">
        <v>0.93</v>
      </c>
      <c r="O619" t="s">
        <v>20</v>
      </c>
      <c r="P619" t="s">
        <v>21</v>
      </c>
      <c r="Q619">
        <f t="shared" si="45"/>
        <v>7</v>
      </c>
      <c r="R619" s="4">
        <f>RANK(N619,$N$2:N$2800,0)</f>
        <v>1505</v>
      </c>
      <c r="S619">
        <f t="shared" si="46"/>
        <v>1</v>
      </c>
      <c r="T619" t="str">
        <f t="shared" si="47"/>
        <v>Low</v>
      </c>
      <c r="U619" t="str" cm="1">
        <f t="array" ref="U619">_xlfn.LET(_xlpm.roles,_xlfn.UNIQUE(D619:D3417),_xlpm.kills, SUMIF(D619:D3417,_xlpm.roles,G619:G3417),INDEX(_xlpm.roles,MATCH(MAX(_xlpm.kills),_xlpm.kills,0)))</f>
        <v>Entry Fragger</v>
      </c>
      <c r="V619" t="str">
        <f t="shared" si="48"/>
        <v>Medium Accuracy</v>
      </c>
      <c r="W619" t="str" cm="1">
        <f t="array" ref="W619">_xlfn.LET(_xlpm.roles,_xlfn.UNIQUE(D619:D3417), _xlpm.counts,COUNTIF(D619:D3417,_xlpm.roles), INDEX(_xlpm.roles,MATCH(MAX(_xlpm.counts),_xlpm.counts,0)))</f>
        <v>Entry Fragger</v>
      </c>
      <c r="X619" s="2">
        <f t="shared" si="49"/>
        <v>12.809421841541756</v>
      </c>
    </row>
    <row r="620" spans="1:24" x14ac:dyDescent="0.3">
      <c r="A620">
        <v>385</v>
      </c>
      <c r="B620">
        <v>108</v>
      </c>
      <c r="C620" t="s">
        <v>25</v>
      </c>
      <c r="D620" t="s">
        <v>17</v>
      </c>
      <c r="E620" t="s">
        <v>33</v>
      </c>
      <c r="F620" t="s">
        <v>26</v>
      </c>
      <c r="G620">
        <v>14</v>
      </c>
      <c r="H620">
        <v>8</v>
      </c>
      <c r="I620">
        <v>6</v>
      </c>
      <c r="J620">
        <v>51.85</v>
      </c>
      <c r="K620">
        <v>231.94</v>
      </c>
      <c r="L620">
        <v>0.16</v>
      </c>
      <c r="M620">
        <v>54.32</v>
      </c>
      <c r="N620">
        <v>1</v>
      </c>
      <c r="O620" t="s">
        <v>20</v>
      </c>
      <c r="P620" t="s">
        <v>21</v>
      </c>
      <c r="Q620">
        <f t="shared" si="45"/>
        <v>16</v>
      </c>
      <c r="R620" s="4">
        <f>RANK(N620,$N$2:N$2800,0)</f>
        <v>1</v>
      </c>
      <c r="S620">
        <f t="shared" si="46"/>
        <v>2.3333333333333335</v>
      </c>
      <c r="T620" t="str">
        <f t="shared" si="47"/>
        <v>Good</v>
      </c>
      <c r="U620" t="str" cm="1">
        <f t="array" ref="U620">_xlfn.LET(_xlpm.roles,_xlfn.UNIQUE(D620:D3418),_xlpm.kills, SUMIF(D620:D3418,_xlpm.roles,G620:G3418),INDEX(_xlpm.roles,MATCH(MAX(_xlpm.kills),_xlpm.kills,0)))</f>
        <v>Entry Fragger</v>
      </c>
      <c r="V620" t="str">
        <f t="shared" si="48"/>
        <v>High Accuracy</v>
      </c>
      <c r="W620" t="str" cm="1">
        <f t="array" ref="W620">_xlfn.LET(_xlpm.roles,_xlfn.UNIQUE(D620:D3418), _xlpm.counts,COUNTIF(D620:D3418,_xlpm.roles), INDEX(_xlpm.roles,MATCH(MAX(_xlpm.counts),_xlpm.counts,0)))</f>
        <v>Entry Fragger</v>
      </c>
      <c r="X620" s="2">
        <f t="shared" si="49"/>
        <v>12.809421841541756</v>
      </c>
    </row>
    <row r="621" spans="1:24" x14ac:dyDescent="0.3">
      <c r="A621">
        <v>543</v>
      </c>
      <c r="B621">
        <v>108</v>
      </c>
      <c r="C621" t="s">
        <v>35</v>
      </c>
      <c r="D621" t="s">
        <v>36</v>
      </c>
      <c r="E621" t="s">
        <v>33</v>
      </c>
      <c r="F621" t="s">
        <v>19</v>
      </c>
      <c r="G621">
        <v>18</v>
      </c>
      <c r="H621">
        <v>9</v>
      </c>
      <c r="I621">
        <v>8</v>
      </c>
      <c r="J621">
        <v>42.92</v>
      </c>
      <c r="K621">
        <v>231.12</v>
      </c>
      <c r="L621">
        <v>0.93</v>
      </c>
      <c r="M621">
        <v>49.16</v>
      </c>
      <c r="N621">
        <v>1</v>
      </c>
      <c r="O621" t="s">
        <v>20</v>
      </c>
      <c r="P621" t="s">
        <v>21</v>
      </c>
      <c r="Q621">
        <f t="shared" si="45"/>
        <v>19</v>
      </c>
      <c r="R621" s="4">
        <f>RANK(N621,$N$2:N$2800,0)</f>
        <v>1</v>
      </c>
      <c r="S621">
        <f t="shared" si="46"/>
        <v>2.25</v>
      </c>
      <c r="T621" t="str">
        <f t="shared" si="47"/>
        <v>Good</v>
      </c>
      <c r="U621" t="str" cm="1">
        <f t="array" ref="U621">_xlfn.LET(_xlpm.roles,_xlfn.UNIQUE(D621:D3419),_xlpm.kills, SUMIF(D621:D3419,_xlpm.roles,G621:G3419),INDEX(_xlpm.roles,MATCH(MAX(_xlpm.kills),_xlpm.kills,0)))</f>
        <v>Entry Fragger</v>
      </c>
      <c r="V621" t="str">
        <f t="shared" si="48"/>
        <v>Medium Accuracy</v>
      </c>
      <c r="W621" t="str" cm="1">
        <f t="array" ref="W621">_xlfn.LET(_xlpm.roles,_xlfn.UNIQUE(D621:D3419), _xlpm.counts,COUNTIF(D621:D3419,_xlpm.roles), INDEX(_xlpm.roles,MATCH(MAX(_xlpm.counts),_xlpm.counts,0)))</f>
        <v>Entry Fragger</v>
      </c>
      <c r="X621" s="2">
        <f t="shared" si="49"/>
        <v>12.599585062240664</v>
      </c>
    </row>
    <row r="622" spans="1:24" x14ac:dyDescent="0.3">
      <c r="A622">
        <v>1152</v>
      </c>
      <c r="B622">
        <v>108</v>
      </c>
      <c r="C622" t="s">
        <v>30</v>
      </c>
      <c r="D622" t="s">
        <v>28</v>
      </c>
      <c r="E622" t="s">
        <v>29</v>
      </c>
      <c r="F622" t="s">
        <v>19</v>
      </c>
      <c r="G622">
        <v>13</v>
      </c>
      <c r="H622">
        <v>11</v>
      </c>
      <c r="I622">
        <v>5</v>
      </c>
      <c r="J622">
        <v>42.21</v>
      </c>
      <c r="K622">
        <v>231.22</v>
      </c>
      <c r="L622">
        <v>0.69</v>
      </c>
      <c r="M622">
        <v>46.21</v>
      </c>
      <c r="N622">
        <v>0.84</v>
      </c>
      <c r="O622" t="s">
        <v>20</v>
      </c>
      <c r="P622" t="s">
        <v>21</v>
      </c>
      <c r="Q622">
        <f t="shared" si="45"/>
        <v>19</v>
      </c>
      <c r="R622" s="4">
        <f>RANK(N622,$N$2:N$2800,0)</f>
        <v>2156</v>
      </c>
      <c r="S622">
        <f t="shared" si="46"/>
        <v>2.6</v>
      </c>
      <c r="T622" t="str">
        <f t="shared" si="47"/>
        <v>Good</v>
      </c>
      <c r="U622" t="str" cm="1">
        <f t="array" ref="U622">_xlfn.LET(_xlpm.roles,_xlfn.UNIQUE(D622:D3420),_xlpm.kills, SUMIF(D622:D3420,_xlpm.roles,G622:G3420),INDEX(_xlpm.roles,MATCH(MAX(_xlpm.kills),_xlpm.kills,0)))</f>
        <v>Entry Fragger</v>
      </c>
      <c r="V622" t="str">
        <f t="shared" si="48"/>
        <v>Medium Accuracy</v>
      </c>
      <c r="W622" t="str" cm="1">
        <f t="array" ref="W622">_xlfn.LET(_xlpm.roles,_xlfn.UNIQUE(D622:D3420), _xlpm.counts,COUNTIF(D622:D3420,_xlpm.roles), INDEX(_xlpm.roles,MATCH(MAX(_xlpm.counts),_xlpm.counts,0)))</f>
        <v>Entry Fragger</v>
      </c>
      <c r="X622" s="2">
        <f t="shared" si="49"/>
        <v>13.135802469135802</v>
      </c>
    </row>
    <row r="623" spans="1:24" x14ac:dyDescent="0.3">
      <c r="A623">
        <v>1339</v>
      </c>
      <c r="B623">
        <v>108</v>
      </c>
      <c r="C623" t="s">
        <v>35</v>
      </c>
      <c r="D623" t="s">
        <v>31</v>
      </c>
      <c r="E623" t="s">
        <v>33</v>
      </c>
      <c r="F623" t="s">
        <v>19</v>
      </c>
      <c r="G623">
        <v>12</v>
      </c>
      <c r="H623">
        <v>10</v>
      </c>
      <c r="I623">
        <v>11</v>
      </c>
      <c r="J623">
        <v>41.13</v>
      </c>
      <c r="K623">
        <v>231.8</v>
      </c>
      <c r="L623">
        <v>0.53</v>
      </c>
      <c r="M623">
        <v>38.270000000000003</v>
      </c>
      <c r="N623">
        <v>0.84</v>
      </c>
      <c r="O623" t="s">
        <v>20</v>
      </c>
      <c r="P623" t="s">
        <v>21</v>
      </c>
      <c r="Q623">
        <f t="shared" si="45"/>
        <v>11</v>
      </c>
      <c r="R623" s="4">
        <f>RANK(N623,$N$2:N$2800,0)</f>
        <v>2156</v>
      </c>
      <c r="S623">
        <f t="shared" si="46"/>
        <v>1.0909090909090908</v>
      </c>
      <c r="T623" t="str">
        <f t="shared" si="47"/>
        <v>Low</v>
      </c>
      <c r="U623" t="str" cm="1">
        <f t="array" ref="U623">_xlfn.LET(_xlpm.roles,_xlfn.UNIQUE(D623:D3421),_xlpm.kills, SUMIF(D623:D3421,_xlpm.roles,G623:G3421),INDEX(_xlpm.roles,MATCH(MAX(_xlpm.kills),_xlpm.kills,0)))</f>
        <v>Entry Fragger</v>
      </c>
      <c r="V623" t="str">
        <f t="shared" si="48"/>
        <v>Medium Accuracy</v>
      </c>
      <c r="W623" t="str" cm="1">
        <f t="array" ref="W623">_xlfn.LET(_xlpm.roles,_xlfn.UNIQUE(D623:D3421), _xlpm.counts,COUNTIF(D623:D3421,_xlpm.roles), INDEX(_xlpm.roles,MATCH(MAX(_xlpm.counts),_xlpm.counts,0)))</f>
        <v>Entry Fragger</v>
      </c>
      <c r="X623" s="2">
        <f t="shared" si="49"/>
        <v>12.599585062240664</v>
      </c>
    </row>
    <row r="624" spans="1:24" x14ac:dyDescent="0.3">
      <c r="A624">
        <v>2027</v>
      </c>
      <c r="B624">
        <v>108</v>
      </c>
      <c r="C624" t="s">
        <v>39</v>
      </c>
      <c r="D624" t="s">
        <v>22</v>
      </c>
      <c r="E624" t="s">
        <v>18</v>
      </c>
      <c r="F624" t="s">
        <v>24</v>
      </c>
      <c r="G624">
        <v>12</v>
      </c>
      <c r="H624">
        <v>14</v>
      </c>
      <c r="I624">
        <v>8</v>
      </c>
      <c r="J624">
        <v>36.24</v>
      </c>
      <c r="K624">
        <v>180.55</v>
      </c>
      <c r="L624">
        <v>0.89</v>
      </c>
      <c r="M624">
        <v>39.22</v>
      </c>
      <c r="N624">
        <v>0.8</v>
      </c>
      <c r="O624" t="s">
        <v>20</v>
      </c>
      <c r="P624" t="s">
        <v>21</v>
      </c>
      <c r="Q624">
        <f t="shared" si="45"/>
        <v>18</v>
      </c>
      <c r="R624" s="4">
        <f>RANK(N624,$N$2:N$2800,0)</f>
        <v>2393</v>
      </c>
      <c r="S624">
        <f t="shared" si="46"/>
        <v>1.5</v>
      </c>
      <c r="T624" t="str">
        <f t="shared" si="47"/>
        <v>Good</v>
      </c>
      <c r="U624" t="str" cm="1">
        <f t="array" ref="U624">_xlfn.LET(_xlpm.roles,_xlfn.UNIQUE(D624:D3422),_xlpm.kills, SUMIF(D624:D3422,_xlpm.roles,G624:G3422),INDEX(_xlpm.roles,MATCH(MAX(_xlpm.kills),_xlpm.kills,0)))</f>
        <v>Entry Fragger</v>
      </c>
      <c r="V624" t="str">
        <f t="shared" si="48"/>
        <v>Medium Accuracy</v>
      </c>
      <c r="W624" t="str" cm="1">
        <f t="array" ref="W624">_xlfn.LET(_xlpm.roles,_xlfn.UNIQUE(D624:D3422), _xlpm.counts,COUNTIF(D624:D3422,_xlpm.roles), INDEX(_xlpm.roles,MATCH(MAX(_xlpm.counts),_xlpm.counts,0)))</f>
        <v>Entry Fragger</v>
      </c>
      <c r="X624" s="2">
        <f t="shared" si="49"/>
        <v>13.103594080338267</v>
      </c>
    </row>
    <row r="625" spans="1:24" x14ac:dyDescent="0.3">
      <c r="A625">
        <v>183</v>
      </c>
      <c r="B625">
        <v>109</v>
      </c>
      <c r="C625" t="s">
        <v>16</v>
      </c>
      <c r="D625" t="s">
        <v>31</v>
      </c>
      <c r="E625" t="s">
        <v>23</v>
      </c>
      <c r="F625" t="s">
        <v>26</v>
      </c>
      <c r="G625">
        <v>15</v>
      </c>
      <c r="H625">
        <v>9</v>
      </c>
      <c r="I625">
        <v>14</v>
      </c>
      <c r="J625">
        <v>57.43</v>
      </c>
      <c r="K625">
        <v>245.62</v>
      </c>
      <c r="L625">
        <v>0.84</v>
      </c>
      <c r="M625">
        <v>45.32</v>
      </c>
      <c r="N625">
        <v>0.86</v>
      </c>
      <c r="O625" t="s">
        <v>20</v>
      </c>
      <c r="P625" t="s">
        <v>21</v>
      </c>
      <c r="Q625">
        <f t="shared" si="45"/>
        <v>10</v>
      </c>
      <c r="R625" s="4">
        <f>RANK(N625,$N$2:N$2800,0)</f>
        <v>2040</v>
      </c>
      <c r="S625">
        <f t="shared" si="46"/>
        <v>1.0714285714285714</v>
      </c>
      <c r="T625" t="str">
        <f t="shared" si="47"/>
        <v>Low</v>
      </c>
      <c r="U625" t="str" cm="1">
        <f t="array" ref="U625">_xlfn.LET(_xlpm.roles,_xlfn.UNIQUE(D625:D3423),_xlpm.kills, SUMIF(D625:D3423,_xlpm.roles,G625:G3423),INDEX(_xlpm.roles,MATCH(MAX(_xlpm.kills),_xlpm.kills,0)))</f>
        <v>Entry Fragger</v>
      </c>
      <c r="V625" t="str">
        <f t="shared" si="48"/>
        <v>High Accuracy</v>
      </c>
      <c r="W625" t="str" cm="1">
        <f t="array" ref="W625">_xlfn.LET(_xlpm.roles,_xlfn.UNIQUE(D625:D3423), _xlpm.counts,COUNTIF(D625:D3423,_xlpm.roles), INDEX(_xlpm.roles,MATCH(MAX(_xlpm.counts),_xlpm.counts,0)))</f>
        <v>Entry Fragger</v>
      </c>
      <c r="X625" s="2">
        <f t="shared" si="49"/>
        <v>12.520971302428256</v>
      </c>
    </row>
    <row r="626" spans="1:24" x14ac:dyDescent="0.3">
      <c r="A626">
        <v>248</v>
      </c>
      <c r="B626">
        <v>109</v>
      </c>
      <c r="C626" t="s">
        <v>27</v>
      </c>
      <c r="D626" t="s">
        <v>31</v>
      </c>
      <c r="E626" t="s">
        <v>18</v>
      </c>
      <c r="F626" t="s">
        <v>19</v>
      </c>
      <c r="G626">
        <v>11</v>
      </c>
      <c r="H626">
        <v>13</v>
      </c>
      <c r="I626">
        <v>9</v>
      </c>
      <c r="J626">
        <v>54.83</v>
      </c>
      <c r="K626">
        <v>251.96</v>
      </c>
      <c r="L626">
        <v>0.27</v>
      </c>
      <c r="M626">
        <v>50.71</v>
      </c>
      <c r="N626">
        <v>1</v>
      </c>
      <c r="O626" t="s">
        <v>20</v>
      </c>
      <c r="P626" t="s">
        <v>21</v>
      </c>
      <c r="Q626">
        <f t="shared" si="45"/>
        <v>15</v>
      </c>
      <c r="R626" s="4">
        <f>RANK(N626,$N$2:N$2800,0)</f>
        <v>1</v>
      </c>
      <c r="S626">
        <f t="shared" si="46"/>
        <v>1.2222222222222223</v>
      </c>
      <c r="T626" t="str">
        <f t="shared" si="47"/>
        <v>Good</v>
      </c>
      <c r="U626" t="str" cm="1">
        <f t="array" ref="U626">_xlfn.LET(_xlpm.roles,_xlfn.UNIQUE(D626:D3424),_xlpm.kills, SUMIF(D626:D3424,_xlpm.roles,G626:G3424),INDEX(_xlpm.roles,MATCH(MAX(_xlpm.kills),_xlpm.kills,0)))</f>
        <v>Entry Fragger</v>
      </c>
      <c r="V626" t="str">
        <f t="shared" si="48"/>
        <v>High Accuracy</v>
      </c>
      <c r="W626" t="str" cm="1">
        <f t="array" ref="W626">_xlfn.LET(_xlpm.roles,_xlfn.UNIQUE(D626:D3424), _xlpm.counts,COUNTIF(D626:D3424,_xlpm.roles), INDEX(_xlpm.roles,MATCH(MAX(_xlpm.counts),_xlpm.counts,0)))</f>
        <v>Entry Fragger</v>
      </c>
      <c r="X626" s="2">
        <f t="shared" si="49"/>
        <v>13.057077625570777</v>
      </c>
    </row>
    <row r="627" spans="1:24" x14ac:dyDescent="0.3">
      <c r="A627">
        <v>756</v>
      </c>
      <c r="B627">
        <v>109</v>
      </c>
      <c r="C627" t="s">
        <v>27</v>
      </c>
      <c r="D627" t="s">
        <v>36</v>
      </c>
      <c r="E627" t="s">
        <v>33</v>
      </c>
      <c r="F627" t="s">
        <v>24</v>
      </c>
      <c r="G627">
        <v>15</v>
      </c>
      <c r="H627">
        <v>2</v>
      </c>
      <c r="I627">
        <v>5</v>
      </c>
      <c r="J627">
        <v>22.86</v>
      </c>
      <c r="K627">
        <v>191.66</v>
      </c>
      <c r="L627">
        <v>0.89</v>
      </c>
      <c r="M627">
        <v>29.53</v>
      </c>
      <c r="N627">
        <v>0.86</v>
      </c>
      <c r="O627" t="s">
        <v>20</v>
      </c>
      <c r="P627" t="s">
        <v>21</v>
      </c>
      <c r="Q627">
        <f t="shared" si="45"/>
        <v>12</v>
      </c>
      <c r="R627" s="4">
        <f>RANK(N627,$N$2:N$2800,0)</f>
        <v>2040</v>
      </c>
      <c r="S627">
        <f t="shared" si="46"/>
        <v>3</v>
      </c>
      <c r="T627" t="str">
        <f t="shared" si="47"/>
        <v>Low</v>
      </c>
      <c r="U627" t="str" cm="1">
        <f t="array" ref="U627">_xlfn.LET(_xlpm.roles,_xlfn.UNIQUE(D627:D3425),_xlpm.kills, SUMIF(D627:D3425,_xlpm.roles,G627:G3425),INDEX(_xlpm.roles,MATCH(MAX(_xlpm.kills),_xlpm.kills,0)))</f>
        <v>Entry Fragger</v>
      </c>
      <c r="V627" t="str">
        <f t="shared" si="48"/>
        <v>Low Accuracy</v>
      </c>
      <c r="W627" t="str" cm="1">
        <f t="array" ref="W627">_xlfn.LET(_xlpm.roles,_xlfn.UNIQUE(D627:D3425), _xlpm.counts,COUNTIF(D627:D3425,_xlpm.roles), INDEX(_xlpm.roles,MATCH(MAX(_xlpm.counts),_xlpm.counts,0)))</f>
        <v>Entry Fragger</v>
      </c>
      <c r="X627" s="2">
        <f t="shared" si="49"/>
        <v>13.057077625570777</v>
      </c>
    </row>
    <row r="628" spans="1:24" x14ac:dyDescent="0.3">
      <c r="A628">
        <v>764</v>
      </c>
      <c r="B628">
        <v>109</v>
      </c>
      <c r="C628" t="s">
        <v>35</v>
      </c>
      <c r="D628" t="s">
        <v>31</v>
      </c>
      <c r="E628" t="s">
        <v>18</v>
      </c>
      <c r="F628" t="s">
        <v>37</v>
      </c>
      <c r="G628">
        <v>19</v>
      </c>
      <c r="H628">
        <v>4</v>
      </c>
      <c r="I628">
        <v>11</v>
      </c>
      <c r="J628">
        <v>47.74</v>
      </c>
      <c r="K628">
        <v>243.69</v>
      </c>
      <c r="L628">
        <v>0.03</v>
      </c>
      <c r="M628">
        <v>54.57</v>
      </c>
      <c r="N628">
        <v>1</v>
      </c>
      <c r="O628" t="s">
        <v>20</v>
      </c>
      <c r="P628" t="s">
        <v>21</v>
      </c>
      <c r="Q628">
        <f t="shared" si="45"/>
        <v>12</v>
      </c>
      <c r="R628" s="4">
        <f>RANK(N628,$N$2:N$2800,0)</f>
        <v>1</v>
      </c>
      <c r="S628">
        <f t="shared" si="46"/>
        <v>1.7272727272727273</v>
      </c>
      <c r="T628" t="str">
        <f t="shared" si="47"/>
        <v>Low</v>
      </c>
      <c r="U628" t="str" cm="1">
        <f t="array" ref="U628">_xlfn.LET(_xlpm.roles,_xlfn.UNIQUE(D628:D3426),_xlpm.kills, SUMIF(D628:D3426,_xlpm.roles,G628:G3426),INDEX(_xlpm.roles,MATCH(MAX(_xlpm.kills),_xlpm.kills,0)))</f>
        <v>Entry Fragger</v>
      </c>
      <c r="V628" t="str">
        <f t="shared" si="48"/>
        <v>Medium Accuracy</v>
      </c>
      <c r="W628" t="str" cm="1">
        <f t="array" ref="W628">_xlfn.LET(_xlpm.roles,_xlfn.UNIQUE(D628:D3426), _xlpm.counts,COUNTIF(D628:D3426,_xlpm.roles), INDEX(_xlpm.roles,MATCH(MAX(_xlpm.counts),_xlpm.counts,0)))</f>
        <v>Entry Fragger</v>
      </c>
      <c r="X628" s="2">
        <f t="shared" si="49"/>
        <v>12.599585062240664</v>
      </c>
    </row>
    <row r="629" spans="1:24" x14ac:dyDescent="0.3">
      <c r="A629">
        <v>1444</v>
      </c>
      <c r="B629">
        <v>109</v>
      </c>
      <c r="C629" t="s">
        <v>35</v>
      </c>
      <c r="D629" t="s">
        <v>17</v>
      </c>
      <c r="E629" t="s">
        <v>23</v>
      </c>
      <c r="F629" t="s">
        <v>37</v>
      </c>
      <c r="G629">
        <v>15</v>
      </c>
      <c r="H629">
        <v>9</v>
      </c>
      <c r="I629">
        <v>15</v>
      </c>
      <c r="J629">
        <v>49.87</v>
      </c>
      <c r="K629">
        <v>219.52</v>
      </c>
      <c r="L629">
        <v>0.51</v>
      </c>
      <c r="M629">
        <v>43.84</v>
      </c>
      <c r="N629">
        <v>0.93</v>
      </c>
      <c r="O629" t="s">
        <v>20</v>
      </c>
      <c r="P629" t="s">
        <v>21</v>
      </c>
      <c r="Q629">
        <f t="shared" si="45"/>
        <v>9</v>
      </c>
      <c r="R629" s="4">
        <f>RANK(N629,$N$2:N$2800,0)</f>
        <v>1505</v>
      </c>
      <c r="S629">
        <f t="shared" si="46"/>
        <v>1</v>
      </c>
      <c r="T629" t="str">
        <f t="shared" si="47"/>
        <v>Low</v>
      </c>
      <c r="U629" t="str" cm="1">
        <f t="array" ref="U629">_xlfn.LET(_xlpm.roles,_xlfn.UNIQUE(D629:D3427),_xlpm.kills, SUMIF(D629:D3427,_xlpm.roles,G629:G3427),INDEX(_xlpm.roles,MATCH(MAX(_xlpm.kills),_xlpm.kills,0)))</f>
        <v>Entry Fragger</v>
      </c>
      <c r="V629" t="str">
        <f t="shared" si="48"/>
        <v>Medium Accuracy</v>
      </c>
      <c r="W629" t="str" cm="1">
        <f t="array" ref="W629">_xlfn.LET(_xlpm.roles,_xlfn.UNIQUE(D629:D3427), _xlpm.counts,COUNTIF(D629:D3427,_xlpm.roles), INDEX(_xlpm.roles,MATCH(MAX(_xlpm.counts),_xlpm.counts,0)))</f>
        <v>Entry Fragger</v>
      </c>
      <c r="X629" s="2">
        <f t="shared" si="49"/>
        <v>12.599585062240664</v>
      </c>
    </row>
    <row r="630" spans="1:24" x14ac:dyDescent="0.3">
      <c r="A630">
        <v>2408</v>
      </c>
      <c r="B630">
        <v>109</v>
      </c>
      <c r="C630" t="s">
        <v>27</v>
      </c>
      <c r="D630" t="s">
        <v>36</v>
      </c>
      <c r="E630" t="s">
        <v>33</v>
      </c>
      <c r="F630" t="s">
        <v>24</v>
      </c>
      <c r="G630">
        <v>14</v>
      </c>
      <c r="H630">
        <v>6</v>
      </c>
      <c r="I630">
        <v>9</v>
      </c>
      <c r="J630">
        <v>48.76</v>
      </c>
      <c r="K630">
        <v>206.28</v>
      </c>
      <c r="L630">
        <v>0.54</v>
      </c>
      <c r="M630">
        <v>43.98</v>
      </c>
      <c r="N630">
        <v>0.98</v>
      </c>
      <c r="O630" t="s">
        <v>20</v>
      </c>
      <c r="P630" t="s">
        <v>21</v>
      </c>
      <c r="Q630">
        <f t="shared" si="45"/>
        <v>11</v>
      </c>
      <c r="R630" s="4">
        <f>RANK(N630,$N$2:N$2800,0)</f>
        <v>1157</v>
      </c>
      <c r="S630">
        <f t="shared" si="46"/>
        <v>1.5555555555555556</v>
      </c>
      <c r="T630" t="str">
        <f t="shared" si="47"/>
        <v>Low</v>
      </c>
      <c r="U630" t="str" cm="1">
        <f t="array" ref="U630">_xlfn.LET(_xlpm.roles,_xlfn.UNIQUE(D630:D3428),_xlpm.kills, SUMIF(D630:D3428,_xlpm.roles,G630:G3428),INDEX(_xlpm.roles,MATCH(MAX(_xlpm.kills),_xlpm.kills,0)))</f>
        <v>Entry Fragger</v>
      </c>
      <c r="V630" t="str">
        <f t="shared" si="48"/>
        <v>Medium Accuracy</v>
      </c>
      <c r="W630" t="str" cm="1">
        <f t="array" ref="W630">_xlfn.LET(_xlpm.roles,_xlfn.UNIQUE(D630:D3428), _xlpm.counts,COUNTIF(D630:D3428,_xlpm.roles), INDEX(_xlpm.roles,MATCH(MAX(_xlpm.counts),_xlpm.counts,0)))</f>
        <v>Entry Fragger</v>
      </c>
      <c r="X630" s="2">
        <f t="shared" si="49"/>
        <v>13.057077625570777</v>
      </c>
    </row>
    <row r="631" spans="1:24" x14ac:dyDescent="0.3">
      <c r="A631">
        <v>2797</v>
      </c>
      <c r="B631">
        <v>109</v>
      </c>
      <c r="C631" t="s">
        <v>35</v>
      </c>
      <c r="D631" t="s">
        <v>22</v>
      </c>
      <c r="E631" t="s">
        <v>18</v>
      </c>
      <c r="F631" t="s">
        <v>37</v>
      </c>
      <c r="G631">
        <v>17</v>
      </c>
      <c r="H631">
        <v>9</v>
      </c>
      <c r="I631">
        <v>7</v>
      </c>
      <c r="J631">
        <v>43.17</v>
      </c>
      <c r="K631">
        <v>201.52</v>
      </c>
      <c r="L631">
        <v>0.5</v>
      </c>
      <c r="M631">
        <v>52.59</v>
      </c>
      <c r="N631">
        <v>0.86</v>
      </c>
      <c r="O631" t="s">
        <v>20</v>
      </c>
      <c r="P631" t="s">
        <v>21</v>
      </c>
      <c r="Q631">
        <f t="shared" si="45"/>
        <v>19</v>
      </c>
      <c r="R631" s="4">
        <f>RANK(N631,$N$2:N$2800,0)</f>
        <v>2040</v>
      </c>
      <c r="S631">
        <f t="shared" si="46"/>
        <v>2.4285714285714284</v>
      </c>
      <c r="T631" t="str">
        <f t="shared" si="47"/>
        <v>Good</v>
      </c>
      <c r="U631" t="str" cm="1">
        <f t="array" ref="U631">_xlfn.LET(_xlpm.roles,_xlfn.UNIQUE(D631:D3429),_xlpm.kills, SUMIF(D631:D3429,_xlpm.roles,G631:G3429),INDEX(_xlpm.roles,MATCH(MAX(_xlpm.kills),_xlpm.kills,0)))</f>
        <v>Entry Fragger</v>
      </c>
      <c r="V631" t="str">
        <f t="shared" si="48"/>
        <v>Medium Accuracy</v>
      </c>
      <c r="W631" t="str" cm="1">
        <f t="array" ref="W631">_xlfn.LET(_xlpm.roles,_xlfn.UNIQUE(D631:D3429), _xlpm.counts,COUNTIF(D631:D3429,_xlpm.roles), INDEX(_xlpm.roles,MATCH(MAX(_xlpm.counts),_xlpm.counts,0)))</f>
        <v>Entry Fragger</v>
      </c>
      <c r="X631" s="2">
        <f t="shared" si="49"/>
        <v>12.599585062240664</v>
      </c>
    </row>
    <row r="632" spans="1:24" x14ac:dyDescent="0.3">
      <c r="A632">
        <v>1123</v>
      </c>
      <c r="B632">
        <v>110</v>
      </c>
      <c r="C632" t="s">
        <v>35</v>
      </c>
      <c r="D632" t="s">
        <v>22</v>
      </c>
      <c r="E632" t="s">
        <v>29</v>
      </c>
      <c r="F632" t="s">
        <v>19</v>
      </c>
      <c r="G632">
        <v>11</v>
      </c>
      <c r="H632">
        <v>11</v>
      </c>
      <c r="I632">
        <v>7</v>
      </c>
      <c r="J632">
        <v>45.11</v>
      </c>
      <c r="K632">
        <v>283.64</v>
      </c>
      <c r="L632">
        <v>0.66</v>
      </c>
      <c r="M632">
        <v>41.95</v>
      </c>
      <c r="N632">
        <v>0.92</v>
      </c>
      <c r="O632" t="s">
        <v>20</v>
      </c>
      <c r="P632" t="s">
        <v>21</v>
      </c>
      <c r="Q632">
        <f t="shared" si="45"/>
        <v>15</v>
      </c>
      <c r="R632" s="4">
        <f>RANK(N632,$N$2:N$2800,0)</f>
        <v>1585</v>
      </c>
      <c r="S632">
        <f t="shared" si="46"/>
        <v>1.5714285714285714</v>
      </c>
      <c r="T632" t="str">
        <f t="shared" si="47"/>
        <v>Good</v>
      </c>
      <c r="U632" t="str" cm="1">
        <f t="array" ref="U632">_xlfn.LET(_xlpm.roles,_xlfn.UNIQUE(D632:D3430),_xlpm.kills, SUMIF(D632:D3430,_xlpm.roles,G632:G3430),INDEX(_xlpm.roles,MATCH(MAX(_xlpm.kills),_xlpm.kills,0)))</f>
        <v>Entry Fragger</v>
      </c>
      <c r="V632" t="str">
        <f t="shared" si="48"/>
        <v>Medium Accuracy</v>
      </c>
      <c r="W632" t="str" cm="1">
        <f t="array" ref="W632">_xlfn.LET(_xlpm.roles,_xlfn.UNIQUE(D632:D3430), _xlpm.counts,COUNTIF(D632:D3430,_xlpm.roles), INDEX(_xlpm.roles,MATCH(MAX(_xlpm.counts),_xlpm.counts,0)))</f>
        <v>Entry Fragger</v>
      </c>
      <c r="X632" s="2">
        <f t="shared" si="49"/>
        <v>12.599585062240664</v>
      </c>
    </row>
    <row r="633" spans="1:24" x14ac:dyDescent="0.3">
      <c r="A633">
        <v>1169</v>
      </c>
      <c r="B633">
        <v>110</v>
      </c>
      <c r="C633" t="s">
        <v>25</v>
      </c>
      <c r="D633" t="s">
        <v>31</v>
      </c>
      <c r="E633" t="s">
        <v>29</v>
      </c>
      <c r="F633" t="s">
        <v>26</v>
      </c>
      <c r="G633">
        <v>16</v>
      </c>
      <c r="H633">
        <v>5</v>
      </c>
      <c r="I633">
        <v>9</v>
      </c>
      <c r="J633">
        <v>51.05</v>
      </c>
      <c r="K633">
        <v>297.62</v>
      </c>
      <c r="L633">
        <v>0.48</v>
      </c>
      <c r="M633">
        <v>48.73</v>
      </c>
      <c r="N633">
        <v>0.91</v>
      </c>
      <c r="O633" t="s">
        <v>20</v>
      </c>
      <c r="P633" t="s">
        <v>21</v>
      </c>
      <c r="Q633">
        <f t="shared" si="45"/>
        <v>12</v>
      </c>
      <c r="R633" s="4">
        <f>RANK(N633,$N$2:N$2800,0)</f>
        <v>1665</v>
      </c>
      <c r="S633">
        <f t="shared" si="46"/>
        <v>1.7777777777777777</v>
      </c>
      <c r="T633" t="str">
        <f t="shared" si="47"/>
        <v>Low</v>
      </c>
      <c r="U633" t="str" cm="1">
        <f t="array" ref="U633">_xlfn.LET(_xlpm.roles,_xlfn.UNIQUE(D633:D3431),_xlpm.kills, SUMIF(D633:D3431,_xlpm.roles,G633:G3431),INDEX(_xlpm.roles,MATCH(MAX(_xlpm.kills),_xlpm.kills,0)))</f>
        <v>Entry Fragger</v>
      </c>
      <c r="V633" t="str">
        <f t="shared" si="48"/>
        <v>High Accuracy</v>
      </c>
      <c r="W633" t="str" cm="1">
        <f t="array" ref="W633">_xlfn.LET(_xlpm.roles,_xlfn.UNIQUE(D633:D3431), _xlpm.counts,COUNTIF(D633:D3431,_xlpm.roles), INDEX(_xlpm.roles,MATCH(MAX(_xlpm.counts),_xlpm.counts,0)))</f>
        <v>Entry Fragger</v>
      </c>
      <c r="X633" s="2">
        <f t="shared" si="49"/>
        <v>12.809421841541756</v>
      </c>
    </row>
    <row r="634" spans="1:24" x14ac:dyDescent="0.3">
      <c r="A634">
        <v>1705</v>
      </c>
      <c r="B634">
        <v>110</v>
      </c>
      <c r="C634" t="s">
        <v>25</v>
      </c>
      <c r="D634" t="s">
        <v>36</v>
      </c>
      <c r="E634" t="s">
        <v>33</v>
      </c>
      <c r="F634" t="s">
        <v>34</v>
      </c>
      <c r="G634">
        <v>17</v>
      </c>
      <c r="H634">
        <v>6</v>
      </c>
      <c r="I634">
        <v>7</v>
      </c>
      <c r="J634">
        <v>38.380000000000003</v>
      </c>
      <c r="K634">
        <v>241.36</v>
      </c>
      <c r="L634">
        <v>0.11</v>
      </c>
      <c r="M634">
        <v>51.09</v>
      </c>
      <c r="N634">
        <v>1</v>
      </c>
      <c r="O634" t="s">
        <v>20</v>
      </c>
      <c r="P634" t="s">
        <v>21</v>
      </c>
      <c r="Q634">
        <f t="shared" si="45"/>
        <v>16</v>
      </c>
      <c r="R634" s="4">
        <f>RANK(N634,$N$2:N$2800,0)</f>
        <v>1</v>
      </c>
      <c r="S634">
        <f t="shared" si="46"/>
        <v>2.4285714285714284</v>
      </c>
      <c r="T634" t="str">
        <f t="shared" si="47"/>
        <v>Good</v>
      </c>
      <c r="U634" t="str" cm="1">
        <f t="array" ref="U634">_xlfn.LET(_xlpm.roles,_xlfn.UNIQUE(D634:D3432),_xlpm.kills, SUMIF(D634:D3432,_xlpm.roles,G634:G3432),INDEX(_xlpm.roles,MATCH(MAX(_xlpm.kills),_xlpm.kills,0)))</f>
        <v>Entry Fragger</v>
      </c>
      <c r="V634" t="str">
        <f t="shared" si="48"/>
        <v>Medium Accuracy</v>
      </c>
      <c r="W634" t="str" cm="1">
        <f t="array" ref="W634">_xlfn.LET(_xlpm.roles,_xlfn.UNIQUE(D634:D3432), _xlpm.counts,COUNTIF(D634:D3432,_xlpm.roles), INDEX(_xlpm.roles,MATCH(MAX(_xlpm.counts),_xlpm.counts,0)))</f>
        <v>Entry Fragger</v>
      </c>
      <c r="X634" s="2">
        <f t="shared" si="49"/>
        <v>12.809421841541756</v>
      </c>
    </row>
    <row r="635" spans="1:24" x14ac:dyDescent="0.3">
      <c r="A635">
        <v>1827</v>
      </c>
      <c r="B635">
        <v>110</v>
      </c>
      <c r="C635" t="s">
        <v>27</v>
      </c>
      <c r="D635" t="s">
        <v>36</v>
      </c>
      <c r="E635" t="s">
        <v>33</v>
      </c>
      <c r="F635" t="s">
        <v>34</v>
      </c>
      <c r="G635">
        <v>12</v>
      </c>
      <c r="H635">
        <v>11</v>
      </c>
      <c r="I635">
        <v>6</v>
      </c>
      <c r="J635">
        <v>54.82</v>
      </c>
      <c r="K635">
        <v>226.1</v>
      </c>
      <c r="L635">
        <v>0.27</v>
      </c>
      <c r="M635">
        <v>53.71</v>
      </c>
      <c r="N635">
        <v>1</v>
      </c>
      <c r="O635" t="s">
        <v>20</v>
      </c>
      <c r="P635" t="s">
        <v>21</v>
      </c>
      <c r="Q635">
        <f t="shared" si="45"/>
        <v>17</v>
      </c>
      <c r="R635" s="4">
        <f>RANK(N635,$N$2:N$2800,0)</f>
        <v>1</v>
      </c>
      <c r="S635">
        <f t="shared" si="46"/>
        <v>2</v>
      </c>
      <c r="T635" t="str">
        <f t="shared" si="47"/>
        <v>Good</v>
      </c>
      <c r="U635" t="str" cm="1">
        <f t="array" ref="U635">_xlfn.LET(_xlpm.roles,_xlfn.UNIQUE(D635:D3433),_xlpm.kills, SUMIF(D635:D3433,_xlpm.roles,G635:G3433),INDEX(_xlpm.roles,MATCH(MAX(_xlpm.kills),_xlpm.kills,0)))</f>
        <v>Entry Fragger</v>
      </c>
      <c r="V635" t="str">
        <f t="shared" si="48"/>
        <v>High Accuracy</v>
      </c>
      <c r="W635" t="str" cm="1">
        <f t="array" ref="W635">_xlfn.LET(_xlpm.roles,_xlfn.UNIQUE(D635:D3433), _xlpm.counts,COUNTIF(D635:D3433,_xlpm.roles), INDEX(_xlpm.roles,MATCH(MAX(_xlpm.counts),_xlpm.counts,0)))</f>
        <v>Entry Fragger</v>
      </c>
      <c r="X635" s="2">
        <f t="shared" si="49"/>
        <v>13.057077625570777</v>
      </c>
    </row>
    <row r="636" spans="1:24" x14ac:dyDescent="0.3">
      <c r="A636">
        <v>2288</v>
      </c>
      <c r="B636">
        <v>110</v>
      </c>
      <c r="C636" t="s">
        <v>25</v>
      </c>
      <c r="D636" t="s">
        <v>31</v>
      </c>
      <c r="E636" t="s">
        <v>23</v>
      </c>
      <c r="F636" t="s">
        <v>34</v>
      </c>
      <c r="G636">
        <v>20</v>
      </c>
      <c r="H636">
        <v>7</v>
      </c>
      <c r="I636">
        <v>16</v>
      </c>
      <c r="J636">
        <v>59.28</v>
      </c>
      <c r="K636">
        <v>204.46</v>
      </c>
      <c r="L636">
        <v>0.61</v>
      </c>
      <c r="M636">
        <v>54.54</v>
      </c>
      <c r="N636">
        <v>0.91</v>
      </c>
      <c r="O636" t="s">
        <v>20</v>
      </c>
      <c r="P636" t="s">
        <v>21</v>
      </c>
      <c r="Q636">
        <f t="shared" si="45"/>
        <v>11</v>
      </c>
      <c r="R636" s="4">
        <f>RANK(N636,$N$2:N$2800,0)</f>
        <v>1665</v>
      </c>
      <c r="S636">
        <f t="shared" si="46"/>
        <v>1.25</v>
      </c>
      <c r="T636" t="str">
        <f t="shared" si="47"/>
        <v>Low</v>
      </c>
      <c r="U636" t="str" cm="1">
        <f t="array" ref="U636">_xlfn.LET(_xlpm.roles,_xlfn.UNIQUE(D636:D3434),_xlpm.kills, SUMIF(D636:D3434,_xlpm.roles,G636:G3434),INDEX(_xlpm.roles,MATCH(MAX(_xlpm.kills),_xlpm.kills,0)))</f>
        <v>Entry Fragger</v>
      </c>
      <c r="V636" t="str">
        <f t="shared" si="48"/>
        <v>High Accuracy</v>
      </c>
      <c r="W636" t="str" cm="1">
        <f t="array" ref="W636">_xlfn.LET(_xlpm.roles,_xlfn.UNIQUE(D636:D3434), _xlpm.counts,COUNTIF(D636:D3434,_xlpm.roles), INDEX(_xlpm.roles,MATCH(MAX(_xlpm.counts),_xlpm.counts,0)))</f>
        <v>Entry Fragger</v>
      </c>
      <c r="X636" s="2">
        <f t="shared" si="49"/>
        <v>12.809421841541756</v>
      </c>
    </row>
    <row r="637" spans="1:24" x14ac:dyDescent="0.3">
      <c r="A637">
        <v>2586</v>
      </c>
      <c r="B637">
        <v>110</v>
      </c>
      <c r="C637" t="s">
        <v>35</v>
      </c>
      <c r="D637" t="s">
        <v>36</v>
      </c>
      <c r="E637" t="s">
        <v>29</v>
      </c>
      <c r="F637" t="s">
        <v>26</v>
      </c>
      <c r="G637">
        <v>14</v>
      </c>
      <c r="H637">
        <v>8</v>
      </c>
      <c r="I637">
        <v>12</v>
      </c>
      <c r="J637">
        <v>61.74</v>
      </c>
      <c r="K637">
        <v>205.27</v>
      </c>
      <c r="L637">
        <v>0.56999999999999995</v>
      </c>
      <c r="M637">
        <v>49.17</v>
      </c>
      <c r="N637">
        <v>1</v>
      </c>
      <c r="O637" t="s">
        <v>20</v>
      </c>
      <c r="P637" t="s">
        <v>21</v>
      </c>
      <c r="Q637">
        <f t="shared" si="45"/>
        <v>10</v>
      </c>
      <c r="R637" s="4">
        <f>RANK(N637,$N$2:N$2800,0)</f>
        <v>1</v>
      </c>
      <c r="S637">
        <f t="shared" si="46"/>
        <v>1.1666666666666667</v>
      </c>
      <c r="T637" t="str">
        <f t="shared" si="47"/>
        <v>Low</v>
      </c>
      <c r="U637" t="str" cm="1">
        <f t="array" ref="U637">_xlfn.LET(_xlpm.roles,_xlfn.UNIQUE(D637:D3435),_xlpm.kills, SUMIF(D637:D3435,_xlpm.roles,G637:G3435),INDEX(_xlpm.roles,MATCH(MAX(_xlpm.kills),_xlpm.kills,0)))</f>
        <v>Entry Fragger</v>
      </c>
      <c r="V637" t="str">
        <f t="shared" si="48"/>
        <v>High Accuracy</v>
      </c>
      <c r="W637" t="str" cm="1">
        <f t="array" ref="W637">_xlfn.LET(_xlpm.roles,_xlfn.UNIQUE(D637:D3435), _xlpm.counts,COUNTIF(D637:D3435,_xlpm.roles), INDEX(_xlpm.roles,MATCH(MAX(_xlpm.counts),_xlpm.counts,0)))</f>
        <v>Entry Fragger</v>
      </c>
      <c r="X637" s="2">
        <f t="shared" si="49"/>
        <v>12.599585062240664</v>
      </c>
    </row>
    <row r="638" spans="1:24" x14ac:dyDescent="0.3">
      <c r="A638">
        <v>802</v>
      </c>
      <c r="B638">
        <v>111</v>
      </c>
      <c r="C638" t="s">
        <v>16</v>
      </c>
      <c r="D638" t="s">
        <v>31</v>
      </c>
      <c r="E638" t="s">
        <v>29</v>
      </c>
      <c r="F638" t="s">
        <v>37</v>
      </c>
      <c r="G638">
        <v>7</v>
      </c>
      <c r="H638">
        <v>10</v>
      </c>
      <c r="I638">
        <v>7</v>
      </c>
      <c r="J638">
        <v>50.33</v>
      </c>
      <c r="K638">
        <v>241.44</v>
      </c>
      <c r="L638">
        <v>0.06</v>
      </c>
      <c r="M638">
        <v>41.56</v>
      </c>
      <c r="N638">
        <v>0.95</v>
      </c>
      <c r="O638" t="s">
        <v>20</v>
      </c>
      <c r="P638" t="s">
        <v>21</v>
      </c>
      <c r="Q638">
        <f t="shared" si="45"/>
        <v>10</v>
      </c>
      <c r="R638" s="4">
        <f>RANK(N638,$N$2:N$2800,0)</f>
        <v>1367</v>
      </c>
      <c r="S638">
        <f t="shared" si="46"/>
        <v>1</v>
      </c>
      <c r="T638" t="str">
        <f t="shared" si="47"/>
        <v>Low</v>
      </c>
      <c r="U638" t="str" cm="1">
        <f t="array" ref="U638">_xlfn.LET(_xlpm.roles,_xlfn.UNIQUE(D638:D3436),_xlpm.kills, SUMIF(D638:D3436,_xlpm.roles,G638:G3436),INDEX(_xlpm.roles,MATCH(MAX(_xlpm.kills),_xlpm.kills,0)))</f>
        <v>Entry Fragger</v>
      </c>
      <c r="V638" t="str">
        <f t="shared" si="48"/>
        <v>High Accuracy</v>
      </c>
      <c r="W638" t="str" cm="1">
        <f t="array" ref="W638">_xlfn.LET(_xlpm.roles,_xlfn.UNIQUE(D638:D3436), _xlpm.counts,COUNTIF(D638:D3436,_xlpm.roles), INDEX(_xlpm.roles,MATCH(MAX(_xlpm.counts),_xlpm.counts,0)))</f>
        <v>Entry Fragger</v>
      </c>
      <c r="X638" s="2">
        <f t="shared" si="49"/>
        <v>12.520971302428256</v>
      </c>
    </row>
    <row r="639" spans="1:24" x14ac:dyDescent="0.3">
      <c r="A639">
        <v>2112</v>
      </c>
      <c r="B639">
        <v>111</v>
      </c>
      <c r="C639" t="s">
        <v>16</v>
      </c>
      <c r="D639" t="s">
        <v>28</v>
      </c>
      <c r="E639" t="s">
        <v>32</v>
      </c>
      <c r="F639" t="s">
        <v>34</v>
      </c>
      <c r="G639">
        <v>16</v>
      </c>
      <c r="H639">
        <v>7</v>
      </c>
      <c r="I639">
        <v>18</v>
      </c>
      <c r="J639">
        <v>51.33</v>
      </c>
      <c r="K639">
        <v>215.15</v>
      </c>
      <c r="L639">
        <v>0.7</v>
      </c>
      <c r="M639">
        <v>39.659999999999997</v>
      </c>
      <c r="N639">
        <v>0.82</v>
      </c>
      <c r="O639" t="s">
        <v>20</v>
      </c>
      <c r="P639" t="s">
        <v>21</v>
      </c>
      <c r="Q639">
        <f t="shared" si="45"/>
        <v>5</v>
      </c>
      <c r="R639" s="4">
        <f>RANK(N639,$N$2:N$2800,0)</f>
        <v>2275</v>
      </c>
      <c r="S639">
        <f t="shared" si="46"/>
        <v>0.88888888888888884</v>
      </c>
      <c r="T639" t="str">
        <f t="shared" si="47"/>
        <v>Low</v>
      </c>
      <c r="U639" t="str" cm="1">
        <f t="array" ref="U639">_xlfn.LET(_xlpm.roles,_xlfn.UNIQUE(D639:D3437),_xlpm.kills, SUMIF(D639:D3437,_xlpm.roles,G639:G3437),INDEX(_xlpm.roles,MATCH(MAX(_xlpm.kills),_xlpm.kills,0)))</f>
        <v>Entry Fragger</v>
      </c>
      <c r="V639" t="str">
        <f t="shared" si="48"/>
        <v>High Accuracy</v>
      </c>
      <c r="W639" t="str" cm="1">
        <f t="array" ref="W639">_xlfn.LET(_xlpm.roles,_xlfn.UNIQUE(D639:D3437), _xlpm.counts,COUNTIF(D639:D3437,_xlpm.roles), INDEX(_xlpm.roles,MATCH(MAX(_xlpm.counts),_xlpm.counts,0)))</f>
        <v>Entry Fragger</v>
      </c>
      <c r="X639" s="2">
        <f t="shared" si="49"/>
        <v>12.520971302428256</v>
      </c>
    </row>
    <row r="640" spans="1:24" x14ac:dyDescent="0.3">
      <c r="A640">
        <v>2297</v>
      </c>
      <c r="B640">
        <v>111</v>
      </c>
      <c r="C640" t="s">
        <v>35</v>
      </c>
      <c r="D640" t="s">
        <v>17</v>
      </c>
      <c r="E640" t="s">
        <v>32</v>
      </c>
      <c r="F640" t="s">
        <v>37</v>
      </c>
      <c r="G640">
        <v>18</v>
      </c>
      <c r="H640">
        <v>5</v>
      </c>
      <c r="I640">
        <v>11</v>
      </c>
      <c r="J640">
        <v>38.97</v>
      </c>
      <c r="K640">
        <v>258.27999999999997</v>
      </c>
      <c r="L640">
        <v>0.75</v>
      </c>
      <c r="M640">
        <v>41.98</v>
      </c>
      <c r="N640">
        <v>0.88</v>
      </c>
      <c r="O640" t="s">
        <v>20</v>
      </c>
      <c r="P640" t="s">
        <v>21</v>
      </c>
      <c r="Q640">
        <f t="shared" si="45"/>
        <v>12</v>
      </c>
      <c r="R640" s="4">
        <f>RANK(N640,$N$2:N$2800,0)</f>
        <v>1894</v>
      </c>
      <c r="S640">
        <f t="shared" si="46"/>
        <v>1.6363636363636365</v>
      </c>
      <c r="T640" t="str">
        <f t="shared" si="47"/>
        <v>Low</v>
      </c>
      <c r="U640" t="str" cm="1">
        <f t="array" ref="U640">_xlfn.LET(_xlpm.roles,_xlfn.UNIQUE(D640:D3438),_xlpm.kills, SUMIF(D640:D3438,_xlpm.roles,G640:G3438),INDEX(_xlpm.roles,MATCH(MAX(_xlpm.kills),_xlpm.kills,0)))</f>
        <v>Entry Fragger</v>
      </c>
      <c r="V640" t="str">
        <f t="shared" si="48"/>
        <v>Medium Accuracy</v>
      </c>
      <c r="W640" t="str" cm="1">
        <f t="array" ref="W640">_xlfn.LET(_xlpm.roles,_xlfn.UNIQUE(D640:D3438), _xlpm.counts,COUNTIF(D640:D3438,_xlpm.roles), INDEX(_xlpm.roles,MATCH(MAX(_xlpm.counts),_xlpm.counts,0)))</f>
        <v>Entry Fragger</v>
      </c>
      <c r="X640" s="2">
        <f t="shared" si="49"/>
        <v>12.599585062240664</v>
      </c>
    </row>
    <row r="641" spans="1:24" x14ac:dyDescent="0.3">
      <c r="A641">
        <v>2450</v>
      </c>
      <c r="B641">
        <v>111</v>
      </c>
      <c r="C641" t="s">
        <v>16</v>
      </c>
      <c r="D641" t="s">
        <v>28</v>
      </c>
      <c r="E641" t="s">
        <v>32</v>
      </c>
      <c r="F641" t="s">
        <v>19</v>
      </c>
      <c r="G641">
        <v>13</v>
      </c>
      <c r="H641">
        <v>12</v>
      </c>
      <c r="I641">
        <v>13</v>
      </c>
      <c r="J641">
        <v>39.520000000000003</v>
      </c>
      <c r="K641">
        <v>247.06</v>
      </c>
      <c r="L641">
        <v>0.76</v>
      </c>
      <c r="M641">
        <v>37.159999999999997</v>
      </c>
      <c r="N641">
        <v>0.87</v>
      </c>
      <c r="O641" t="s">
        <v>20</v>
      </c>
      <c r="P641" t="s">
        <v>21</v>
      </c>
      <c r="Q641">
        <f t="shared" si="45"/>
        <v>12</v>
      </c>
      <c r="R641" s="4">
        <f>RANK(N641,$N$2:N$2800,0)</f>
        <v>1965</v>
      </c>
      <c r="S641">
        <f t="shared" si="46"/>
        <v>1</v>
      </c>
      <c r="T641" t="str">
        <f t="shared" si="47"/>
        <v>Low</v>
      </c>
      <c r="U641" t="str" cm="1">
        <f t="array" ref="U641">_xlfn.LET(_xlpm.roles,_xlfn.UNIQUE(D641:D3439),_xlpm.kills, SUMIF(D641:D3439,_xlpm.roles,G641:G3439),INDEX(_xlpm.roles,MATCH(MAX(_xlpm.kills),_xlpm.kills,0)))</f>
        <v>Entry Fragger</v>
      </c>
      <c r="V641" t="str">
        <f t="shared" si="48"/>
        <v>Medium Accuracy</v>
      </c>
      <c r="W641" t="str" cm="1">
        <f t="array" ref="W641">_xlfn.LET(_xlpm.roles,_xlfn.UNIQUE(D641:D3439), _xlpm.counts,COUNTIF(D641:D3439,_xlpm.roles), INDEX(_xlpm.roles,MATCH(MAX(_xlpm.counts),_xlpm.counts,0)))</f>
        <v>Entry Fragger</v>
      </c>
      <c r="X641" s="2">
        <f t="shared" si="49"/>
        <v>12.520971302428256</v>
      </c>
    </row>
    <row r="642" spans="1:24" x14ac:dyDescent="0.3">
      <c r="A642">
        <v>53</v>
      </c>
      <c r="B642">
        <v>112</v>
      </c>
      <c r="C642" t="s">
        <v>35</v>
      </c>
      <c r="D642" t="s">
        <v>31</v>
      </c>
      <c r="E642" t="s">
        <v>32</v>
      </c>
      <c r="F642" t="s">
        <v>24</v>
      </c>
      <c r="G642">
        <v>18</v>
      </c>
      <c r="H642">
        <v>9</v>
      </c>
      <c r="I642">
        <v>15</v>
      </c>
      <c r="J642">
        <v>44.4</v>
      </c>
      <c r="K642">
        <v>238.62</v>
      </c>
      <c r="L642">
        <v>0.19</v>
      </c>
      <c r="M642">
        <v>50.3</v>
      </c>
      <c r="N642">
        <v>1</v>
      </c>
      <c r="O642" t="s">
        <v>20</v>
      </c>
      <c r="P642" t="s">
        <v>21</v>
      </c>
      <c r="Q642">
        <f t="shared" si="45"/>
        <v>12</v>
      </c>
      <c r="R642" s="4">
        <f>RANK(N642,$N$2:N$2800,0)</f>
        <v>1</v>
      </c>
      <c r="S642">
        <f t="shared" si="46"/>
        <v>1.2</v>
      </c>
      <c r="T642" t="str">
        <f t="shared" si="47"/>
        <v>Low</v>
      </c>
      <c r="U642" t="str" cm="1">
        <f t="array" ref="U642">_xlfn.LET(_xlpm.roles,_xlfn.UNIQUE(D642:D3440),_xlpm.kills, SUMIF(D642:D3440,_xlpm.roles,G642:G3440),INDEX(_xlpm.roles,MATCH(MAX(_xlpm.kills),_xlpm.kills,0)))</f>
        <v>Entry Fragger</v>
      </c>
      <c r="V642" t="str">
        <f t="shared" si="48"/>
        <v>Medium Accuracy</v>
      </c>
      <c r="W642" t="str" cm="1">
        <f t="array" ref="W642">_xlfn.LET(_xlpm.roles,_xlfn.UNIQUE(D642:D3440), _xlpm.counts,COUNTIF(D642:D3440,_xlpm.roles), INDEX(_xlpm.roles,MATCH(MAX(_xlpm.counts),_xlpm.counts,0)))</f>
        <v>Entry Fragger</v>
      </c>
      <c r="X642" s="2">
        <f t="shared" si="49"/>
        <v>12.599585062240664</v>
      </c>
    </row>
    <row r="643" spans="1:24" x14ac:dyDescent="0.3">
      <c r="A643">
        <v>136</v>
      </c>
      <c r="B643">
        <v>112</v>
      </c>
      <c r="C643" t="s">
        <v>16</v>
      </c>
      <c r="D643" t="s">
        <v>28</v>
      </c>
      <c r="E643" t="s">
        <v>29</v>
      </c>
      <c r="F643" t="s">
        <v>34</v>
      </c>
      <c r="G643">
        <v>8</v>
      </c>
      <c r="H643">
        <v>5</v>
      </c>
      <c r="I643">
        <v>7</v>
      </c>
      <c r="J643">
        <v>46.71</v>
      </c>
      <c r="K643">
        <v>244.88</v>
      </c>
      <c r="L643">
        <v>0.32</v>
      </c>
      <c r="M643">
        <v>34.159999999999997</v>
      </c>
      <c r="N643">
        <v>0.82</v>
      </c>
      <c r="O643" t="s">
        <v>20</v>
      </c>
      <c r="P643" t="s">
        <v>21</v>
      </c>
      <c r="Q643">
        <f t="shared" ref="Q643:Q706" si="50">G643+H643-I643</f>
        <v>6</v>
      </c>
      <c r="R643" s="4">
        <f>RANK(N643,$N$2:N$2800,0)</f>
        <v>2275</v>
      </c>
      <c r="S643">
        <f t="shared" ref="S643:S706" si="51">G643/I643</f>
        <v>1.1428571428571428</v>
      </c>
      <c r="T643" t="str">
        <f t="shared" ref="T643:T706" si="52">IF(Q643&lt;15,"Low",IF(Q643&lt;25,"Good","Excellent"))</f>
        <v>Low</v>
      </c>
      <c r="U643" t="str" cm="1">
        <f t="array" ref="U643">_xlfn.LET(_xlpm.roles,_xlfn.UNIQUE(D643:D3441),_xlpm.kills, SUMIF(D643:D3441,_xlpm.roles,G643:G3441),INDEX(_xlpm.roles,MATCH(MAX(_xlpm.kills),_xlpm.kills,0)))</f>
        <v>Entry Fragger</v>
      </c>
      <c r="V643" t="str">
        <f t="shared" ref="V643:V706" si="53">IF(J643&gt;=50,"High Accuracy",IF(J643&gt;=30,"Medium Accuracy","Low Accuracy"))</f>
        <v>Medium Accuracy</v>
      </c>
      <c r="W643" t="str" cm="1">
        <f t="array" ref="W643">_xlfn.LET(_xlpm.roles,_xlfn.UNIQUE(D643:D3441), _xlpm.counts,COUNTIF(D643:D3441,_xlpm.roles), INDEX(_xlpm.roles,MATCH(MAX(_xlpm.counts),_xlpm.counts,0)))</f>
        <v>Entry Fragger</v>
      </c>
      <c r="X643" s="2">
        <f t="shared" ref="X643:X706" si="54">AVERAGEIF($C$2:$C$2800,C643,$Q$2:$Q$2800)</f>
        <v>12.520971302428256</v>
      </c>
    </row>
    <row r="644" spans="1:24" x14ac:dyDescent="0.3">
      <c r="A644">
        <v>209</v>
      </c>
      <c r="B644">
        <v>112</v>
      </c>
      <c r="C644" t="s">
        <v>16</v>
      </c>
      <c r="D644" t="s">
        <v>31</v>
      </c>
      <c r="E644" t="s">
        <v>33</v>
      </c>
      <c r="F644" t="s">
        <v>37</v>
      </c>
      <c r="G644">
        <v>10</v>
      </c>
      <c r="H644">
        <v>6</v>
      </c>
      <c r="I644">
        <v>12</v>
      </c>
      <c r="J644">
        <v>41.13</v>
      </c>
      <c r="K644">
        <v>201.63</v>
      </c>
      <c r="L644">
        <v>0.02</v>
      </c>
      <c r="M644">
        <v>34.36</v>
      </c>
      <c r="N644">
        <v>0.81</v>
      </c>
      <c r="O644" t="s">
        <v>20</v>
      </c>
      <c r="P644" t="s">
        <v>21</v>
      </c>
      <c r="Q644">
        <f t="shared" si="50"/>
        <v>4</v>
      </c>
      <c r="R644" s="4">
        <f>RANK(N644,$N$2:N$2800,0)</f>
        <v>2341</v>
      </c>
      <c r="S644">
        <f t="shared" si="51"/>
        <v>0.83333333333333337</v>
      </c>
      <c r="T644" t="str">
        <f t="shared" si="52"/>
        <v>Low</v>
      </c>
      <c r="U644" t="str" cm="1">
        <f t="array" ref="U644">_xlfn.LET(_xlpm.roles,_xlfn.UNIQUE(D644:D3442),_xlpm.kills, SUMIF(D644:D3442,_xlpm.roles,G644:G3442),INDEX(_xlpm.roles,MATCH(MAX(_xlpm.kills),_xlpm.kills,0)))</f>
        <v>Entry Fragger</v>
      </c>
      <c r="V644" t="str">
        <f t="shared" si="53"/>
        <v>Medium Accuracy</v>
      </c>
      <c r="W644" t="str" cm="1">
        <f t="array" ref="W644">_xlfn.LET(_xlpm.roles,_xlfn.UNIQUE(D644:D3442), _xlpm.counts,COUNTIF(D644:D3442,_xlpm.roles), INDEX(_xlpm.roles,MATCH(MAX(_xlpm.counts),_xlpm.counts,0)))</f>
        <v>Entry Fragger</v>
      </c>
      <c r="X644" s="2">
        <f t="shared" si="54"/>
        <v>12.520971302428256</v>
      </c>
    </row>
    <row r="645" spans="1:24" x14ac:dyDescent="0.3">
      <c r="A645">
        <v>331</v>
      </c>
      <c r="B645">
        <v>112</v>
      </c>
      <c r="C645" t="s">
        <v>39</v>
      </c>
      <c r="D645" t="s">
        <v>31</v>
      </c>
      <c r="E645" t="s">
        <v>18</v>
      </c>
      <c r="F645" t="s">
        <v>34</v>
      </c>
      <c r="G645">
        <v>17</v>
      </c>
      <c r="H645">
        <v>8</v>
      </c>
      <c r="I645">
        <v>17</v>
      </c>
      <c r="J645">
        <v>36.9</v>
      </c>
      <c r="K645">
        <v>169.38</v>
      </c>
      <c r="L645">
        <v>0.05</v>
      </c>
      <c r="M645">
        <v>42.95</v>
      </c>
      <c r="N645">
        <v>0.82</v>
      </c>
      <c r="O645" t="s">
        <v>20</v>
      </c>
      <c r="P645" t="s">
        <v>21</v>
      </c>
      <c r="Q645">
        <f t="shared" si="50"/>
        <v>8</v>
      </c>
      <c r="R645" s="4">
        <f>RANK(N645,$N$2:N$2800,0)</f>
        <v>2275</v>
      </c>
      <c r="S645">
        <f t="shared" si="51"/>
        <v>1</v>
      </c>
      <c r="T645" t="str">
        <f t="shared" si="52"/>
        <v>Low</v>
      </c>
      <c r="U645" t="str" cm="1">
        <f t="array" ref="U645">_xlfn.LET(_xlpm.roles,_xlfn.UNIQUE(D645:D3443),_xlpm.kills, SUMIF(D645:D3443,_xlpm.roles,G645:G3443),INDEX(_xlpm.roles,MATCH(MAX(_xlpm.kills),_xlpm.kills,0)))</f>
        <v>Entry Fragger</v>
      </c>
      <c r="V645" t="str">
        <f t="shared" si="53"/>
        <v>Medium Accuracy</v>
      </c>
      <c r="W645" t="str" cm="1">
        <f t="array" ref="W645">_xlfn.LET(_xlpm.roles,_xlfn.UNIQUE(D645:D3443), _xlpm.counts,COUNTIF(D645:D3443,_xlpm.roles), INDEX(_xlpm.roles,MATCH(MAX(_xlpm.counts),_xlpm.counts,0)))</f>
        <v>Entry Fragger</v>
      </c>
      <c r="X645" s="2">
        <f t="shared" si="54"/>
        <v>13.103594080338267</v>
      </c>
    </row>
    <row r="646" spans="1:24" x14ac:dyDescent="0.3">
      <c r="A646">
        <v>644</v>
      </c>
      <c r="B646">
        <v>112</v>
      </c>
      <c r="C646" t="s">
        <v>27</v>
      </c>
      <c r="D646" t="s">
        <v>22</v>
      </c>
      <c r="E646" t="s">
        <v>29</v>
      </c>
      <c r="F646" t="s">
        <v>24</v>
      </c>
      <c r="G646">
        <v>16</v>
      </c>
      <c r="H646">
        <v>6</v>
      </c>
      <c r="I646">
        <v>14</v>
      </c>
      <c r="J646">
        <v>61.07</v>
      </c>
      <c r="K646">
        <v>222.76</v>
      </c>
      <c r="L646">
        <v>0.18</v>
      </c>
      <c r="M646">
        <v>52.73</v>
      </c>
      <c r="N646">
        <v>1</v>
      </c>
      <c r="O646" t="s">
        <v>20</v>
      </c>
      <c r="P646" t="s">
        <v>21</v>
      </c>
      <c r="Q646">
        <f t="shared" si="50"/>
        <v>8</v>
      </c>
      <c r="R646" s="4">
        <f>RANK(N646,$N$2:N$2800,0)</f>
        <v>1</v>
      </c>
      <c r="S646">
        <f t="shared" si="51"/>
        <v>1.1428571428571428</v>
      </c>
      <c r="T646" t="str">
        <f t="shared" si="52"/>
        <v>Low</v>
      </c>
      <c r="U646" t="str" cm="1">
        <f t="array" ref="U646">_xlfn.LET(_xlpm.roles,_xlfn.UNIQUE(D646:D3444),_xlpm.kills, SUMIF(D646:D3444,_xlpm.roles,G646:G3444),INDEX(_xlpm.roles,MATCH(MAX(_xlpm.kills),_xlpm.kills,0)))</f>
        <v>Entry Fragger</v>
      </c>
      <c r="V646" t="str">
        <f t="shared" si="53"/>
        <v>High Accuracy</v>
      </c>
      <c r="W646" t="str" cm="1">
        <f t="array" ref="W646">_xlfn.LET(_xlpm.roles,_xlfn.UNIQUE(D646:D3444), _xlpm.counts,COUNTIF(D646:D3444,_xlpm.roles), INDEX(_xlpm.roles,MATCH(MAX(_xlpm.counts),_xlpm.counts,0)))</f>
        <v>Entry Fragger</v>
      </c>
      <c r="X646" s="2">
        <f t="shared" si="54"/>
        <v>13.057077625570777</v>
      </c>
    </row>
    <row r="647" spans="1:24" x14ac:dyDescent="0.3">
      <c r="A647">
        <v>719</v>
      </c>
      <c r="B647">
        <v>112</v>
      </c>
      <c r="C647" t="s">
        <v>25</v>
      </c>
      <c r="D647" t="s">
        <v>28</v>
      </c>
      <c r="E647" t="s">
        <v>29</v>
      </c>
      <c r="F647" t="s">
        <v>37</v>
      </c>
      <c r="G647">
        <v>20</v>
      </c>
      <c r="H647">
        <v>10</v>
      </c>
      <c r="I647">
        <v>13</v>
      </c>
      <c r="J647">
        <v>49.71</v>
      </c>
      <c r="K647">
        <v>198.81</v>
      </c>
      <c r="L647">
        <v>0.09</v>
      </c>
      <c r="M647">
        <v>60.96</v>
      </c>
      <c r="N647">
        <v>1</v>
      </c>
      <c r="O647" t="s">
        <v>20</v>
      </c>
      <c r="P647" t="s">
        <v>38</v>
      </c>
      <c r="Q647">
        <f t="shared" si="50"/>
        <v>17</v>
      </c>
      <c r="R647" s="4">
        <f>RANK(N647,$N$2:N$2800,0)</f>
        <v>1</v>
      </c>
      <c r="S647">
        <f t="shared" si="51"/>
        <v>1.5384615384615385</v>
      </c>
      <c r="T647" t="str">
        <f t="shared" si="52"/>
        <v>Good</v>
      </c>
      <c r="U647" t="str" cm="1">
        <f t="array" ref="U647">_xlfn.LET(_xlpm.roles,_xlfn.UNIQUE(D647:D3445),_xlpm.kills, SUMIF(D647:D3445,_xlpm.roles,G647:G3445),INDEX(_xlpm.roles,MATCH(MAX(_xlpm.kills),_xlpm.kills,0)))</f>
        <v>Entry Fragger</v>
      </c>
      <c r="V647" t="str">
        <f t="shared" si="53"/>
        <v>Medium Accuracy</v>
      </c>
      <c r="W647" t="str" cm="1">
        <f t="array" ref="W647">_xlfn.LET(_xlpm.roles,_xlfn.UNIQUE(D647:D3445), _xlpm.counts,COUNTIF(D647:D3445,_xlpm.roles), INDEX(_xlpm.roles,MATCH(MAX(_xlpm.counts),_xlpm.counts,0)))</f>
        <v>Entry Fragger</v>
      </c>
      <c r="X647" s="2">
        <f t="shared" si="54"/>
        <v>12.809421841541756</v>
      </c>
    </row>
    <row r="648" spans="1:24" x14ac:dyDescent="0.3">
      <c r="A648">
        <v>1167</v>
      </c>
      <c r="B648">
        <v>112</v>
      </c>
      <c r="C648" t="s">
        <v>35</v>
      </c>
      <c r="D648" t="s">
        <v>17</v>
      </c>
      <c r="E648" t="s">
        <v>23</v>
      </c>
      <c r="F648" t="s">
        <v>26</v>
      </c>
      <c r="G648">
        <v>10</v>
      </c>
      <c r="H648">
        <v>7</v>
      </c>
      <c r="I648">
        <v>10</v>
      </c>
      <c r="J648">
        <v>33.93</v>
      </c>
      <c r="K648">
        <v>256.77999999999997</v>
      </c>
      <c r="L648">
        <v>0.05</v>
      </c>
      <c r="M648">
        <v>33.47</v>
      </c>
      <c r="N648">
        <v>0.82</v>
      </c>
      <c r="O648" t="s">
        <v>20</v>
      </c>
      <c r="P648" t="s">
        <v>21</v>
      </c>
      <c r="Q648">
        <f t="shared" si="50"/>
        <v>7</v>
      </c>
      <c r="R648" s="4">
        <f>RANK(N648,$N$2:N$2800,0)</f>
        <v>2275</v>
      </c>
      <c r="S648">
        <f t="shared" si="51"/>
        <v>1</v>
      </c>
      <c r="T648" t="str">
        <f t="shared" si="52"/>
        <v>Low</v>
      </c>
      <c r="U648" t="str" cm="1">
        <f t="array" ref="U648">_xlfn.LET(_xlpm.roles,_xlfn.UNIQUE(D648:D3446),_xlpm.kills, SUMIF(D648:D3446,_xlpm.roles,G648:G3446),INDEX(_xlpm.roles,MATCH(MAX(_xlpm.kills),_xlpm.kills,0)))</f>
        <v>Entry Fragger</v>
      </c>
      <c r="V648" t="str">
        <f t="shared" si="53"/>
        <v>Medium Accuracy</v>
      </c>
      <c r="W648" t="str" cm="1">
        <f t="array" ref="W648">_xlfn.LET(_xlpm.roles,_xlfn.UNIQUE(D648:D3446), _xlpm.counts,COUNTIF(D648:D3446,_xlpm.roles), INDEX(_xlpm.roles,MATCH(MAX(_xlpm.counts),_xlpm.counts,0)))</f>
        <v>Entry Fragger</v>
      </c>
      <c r="X648" s="2">
        <f t="shared" si="54"/>
        <v>12.599585062240664</v>
      </c>
    </row>
    <row r="649" spans="1:24" x14ac:dyDescent="0.3">
      <c r="A649">
        <v>1230</v>
      </c>
      <c r="B649">
        <v>112</v>
      </c>
      <c r="C649" t="s">
        <v>39</v>
      </c>
      <c r="D649" t="s">
        <v>17</v>
      </c>
      <c r="E649" t="s">
        <v>29</v>
      </c>
      <c r="F649" t="s">
        <v>26</v>
      </c>
      <c r="G649">
        <v>19</v>
      </c>
      <c r="H649">
        <v>9</v>
      </c>
      <c r="I649">
        <v>7</v>
      </c>
      <c r="J649">
        <v>37.5</v>
      </c>
      <c r="K649">
        <v>201.24</v>
      </c>
      <c r="L649">
        <v>0.65</v>
      </c>
      <c r="M649">
        <v>52.25</v>
      </c>
      <c r="N649">
        <v>1</v>
      </c>
      <c r="O649" t="s">
        <v>20</v>
      </c>
      <c r="P649" t="s">
        <v>21</v>
      </c>
      <c r="Q649">
        <f t="shared" si="50"/>
        <v>21</v>
      </c>
      <c r="R649" s="4">
        <f>RANK(N649,$N$2:N$2800,0)</f>
        <v>1</v>
      </c>
      <c r="S649">
        <f t="shared" si="51"/>
        <v>2.7142857142857144</v>
      </c>
      <c r="T649" t="str">
        <f t="shared" si="52"/>
        <v>Good</v>
      </c>
      <c r="U649" t="str" cm="1">
        <f t="array" ref="U649">_xlfn.LET(_xlpm.roles,_xlfn.UNIQUE(D649:D3447),_xlpm.kills, SUMIF(D649:D3447,_xlpm.roles,G649:G3447),INDEX(_xlpm.roles,MATCH(MAX(_xlpm.kills),_xlpm.kills,0)))</f>
        <v>Entry Fragger</v>
      </c>
      <c r="V649" t="str">
        <f t="shared" si="53"/>
        <v>Medium Accuracy</v>
      </c>
      <c r="W649" t="str" cm="1">
        <f t="array" ref="W649">_xlfn.LET(_xlpm.roles,_xlfn.UNIQUE(D649:D3447), _xlpm.counts,COUNTIF(D649:D3447,_xlpm.roles), INDEX(_xlpm.roles,MATCH(MAX(_xlpm.counts),_xlpm.counts,0)))</f>
        <v>Entry Fragger</v>
      </c>
      <c r="X649" s="2">
        <f t="shared" si="54"/>
        <v>13.103594080338267</v>
      </c>
    </row>
    <row r="650" spans="1:24" x14ac:dyDescent="0.3">
      <c r="A650">
        <v>2303</v>
      </c>
      <c r="B650">
        <v>112</v>
      </c>
      <c r="C650" t="s">
        <v>27</v>
      </c>
      <c r="D650" t="s">
        <v>28</v>
      </c>
      <c r="E650" t="s">
        <v>18</v>
      </c>
      <c r="F650" t="s">
        <v>34</v>
      </c>
      <c r="G650">
        <v>19</v>
      </c>
      <c r="H650">
        <v>4</v>
      </c>
      <c r="I650">
        <v>10</v>
      </c>
      <c r="J650">
        <v>46.86</v>
      </c>
      <c r="K650">
        <v>233.13</v>
      </c>
      <c r="L650">
        <v>0.13</v>
      </c>
      <c r="M650">
        <v>54.13</v>
      </c>
      <c r="N650">
        <v>1</v>
      </c>
      <c r="O650" t="s">
        <v>20</v>
      </c>
      <c r="P650" t="s">
        <v>21</v>
      </c>
      <c r="Q650">
        <f t="shared" si="50"/>
        <v>13</v>
      </c>
      <c r="R650" s="4">
        <f>RANK(N650,$N$2:N$2800,0)</f>
        <v>1</v>
      </c>
      <c r="S650">
        <f t="shared" si="51"/>
        <v>1.9</v>
      </c>
      <c r="T650" t="str">
        <f t="shared" si="52"/>
        <v>Low</v>
      </c>
      <c r="U650" t="str" cm="1">
        <f t="array" ref="U650">_xlfn.LET(_xlpm.roles,_xlfn.UNIQUE(D650:D3448),_xlpm.kills, SUMIF(D650:D3448,_xlpm.roles,G650:G3448),INDEX(_xlpm.roles,MATCH(MAX(_xlpm.kills),_xlpm.kills,0)))</f>
        <v>Entry Fragger</v>
      </c>
      <c r="V650" t="str">
        <f t="shared" si="53"/>
        <v>Medium Accuracy</v>
      </c>
      <c r="W650" t="str" cm="1">
        <f t="array" ref="W650">_xlfn.LET(_xlpm.roles,_xlfn.UNIQUE(D650:D3448), _xlpm.counts,COUNTIF(D650:D3448,_xlpm.roles), INDEX(_xlpm.roles,MATCH(MAX(_xlpm.counts),_xlpm.counts,0)))</f>
        <v>Entry Fragger</v>
      </c>
      <c r="X650" s="2">
        <f t="shared" si="54"/>
        <v>13.057077625570777</v>
      </c>
    </row>
    <row r="651" spans="1:24" x14ac:dyDescent="0.3">
      <c r="A651">
        <v>2651</v>
      </c>
      <c r="B651">
        <v>112</v>
      </c>
      <c r="C651" t="s">
        <v>25</v>
      </c>
      <c r="D651" t="s">
        <v>17</v>
      </c>
      <c r="E651" t="s">
        <v>18</v>
      </c>
      <c r="F651" t="s">
        <v>19</v>
      </c>
      <c r="G651">
        <v>13</v>
      </c>
      <c r="H651">
        <v>8</v>
      </c>
      <c r="I651">
        <v>11</v>
      </c>
      <c r="J651">
        <v>46.34</v>
      </c>
      <c r="K651">
        <v>201.42</v>
      </c>
      <c r="L651">
        <v>0.49</v>
      </c>
      <c r="M651">
        <v>41.27</v>
      </c>
      <c r="N651">
        <v>0.71</v>
      </c>
      <c r="O651" t="s">
        <v>20</v>
      </c>
      <c r="P651" t="s">
        <v>21</v>
      </c>
      <c r="Q651">
        <f t="shared" si="50"/>
        <v>10</v>
      </c>
      <c r="R651" s="4">
        <f>RANK(N651,$N$2:N$2800,0)</f>
        <v>2688</v>
      </c>
      <c r="S651">
        <f t="shared" si="51"/>
        <v>1.1818181818181819</v>
      </c>
      <c r="T651" t="str">
        <f t="shared" si="52"/>
        <v>Low</v>
      </c>
      <c r="U651" t="str" cm="1">
        <f t="array" ref="U651">_xlfn.LET(_xlpm.roles,_xlfn.UNIQUE(D651:D3449),_xlpm.kills, SUMIF(D651:D3449,_xlpm.roles,G651:G3449),INDEX(_xlpm.roles,MATCH(MAX(_xlpm.kills),_xlpm.kills,0)))</f>
        <v>Entry Fragger</v>
      </c>
      <c r="V651" t="str">
        <f t="shared" si="53"/>
        <v>Medium Accuracy</v>
      </c>
      <c r="W651" t="str" cm="1">
        <f t="array" ref="W651">_xlfn.LET(_xlpm.roles,_xlfn.UNIQUE(D651:D3449), _xlpm.counts,COUNTIF(D651:D3449,_xlpm.roles), INDEX(_xlpm.roles,MATCH(MAX(_xlpm.counts),_xlpm.counts,0)))</f>
        <v>Entry Fragger</v>
      </c>
      <c r="X651" s="2">
        <f t="shared" si="54"/>
        <v>12.809421841541756</v>
      </c>
    </row>
    <row r="652" spans="1:24" x14ac:dyDescent="0.3">
      <c r="A652">
        <v>791</v>
      </c>
      <c r="B652">
        <v>113</v>
      </c>
      <c r="C652" t="s">
        <v>30</v>
      </c>
      <c r="D652" t="s">
        <v>17</v>
      </c>
      <c r="E652" t="s">
        <v>23</v>
      </c>
      <c r="F652" t="s">
        <v>24</v>
      </c>
      <c r="G652">
        <v>10</v>
      </c>
      <c r="H652">
        <v>6</v>
      </c>
      <c r="I652">
        <v>7</v>
      </c>
      <c r="J652">
        <v>50.17</v>
      </c>
      <c r="K652">
        <v>264.23</v>
      </c>
      <c r="L652">
        <v>0.39</v>
      </c>
      <c r="M652">
        <v>40.19</v>
      </c>
      <c r="N652">
        <v>0.93</v>
      </c>
      <c r="O652" t="s">
        <v>20</v>
      </c>
      <c r="P652" t="s">
        <v>21</v>
      </c>
      <c r="Q652">
        <f t="shared" si="50"/>
        <v>9</v>
      </c>
      <c r="R652" s="4">
        <f>RANK(N652,$N$2:N$2800,0)</f>
        <v>1505</v>
      </c>
      <c r="S652">
        <f t="shared" si="51"/>
        <v>1.4285714285714286</v>
      </c>
      <c r="T652" t="str">
        <f t="shared" si="52"/>
        <v>Low</v>
      </c>
      <c r="U652" t="str" cm="1">
        <f t="array" ref="U652">_xlfn.LET(_xlpm.roles,_xlfn.UNIQUE(D652:D3450),_xlpm.kills, SUMIF(D652:D3450,_xlpm.roles,G652:G3450),INDEX(_xlpm.roles,MATCH(MAX(_xlpm.kills),_xlpm.kills,0)))</f>
        <v>Entry Fragger</v>
      </c>
      <c r="V652" t="str">
        <f t="shared" si="53"/>
        <v>High Accuracy</v>
      </c>
      <c r="W652" t="str" cm="1">
        <f t="array" ref="W652">_xlfn.LET(_xlpm.roles,_xlfn.UNIQUE(D652:D3450), _xlpm.counts,COUNTIF(D652:D3450,_xlpm.roles), INDEX(_xlpm.roles,MATCH(MAX(_xlpm.counts),_xlpm.counts,0)))</f>
        <v>Entry Fragger</v>
      </c>
      <c r="X652" s="2">
        <f t="shared" si="54"/>
        <v>13.135802469135802</v>
      </c>
    </row>
    <row r="653" spans="1:24" x14ac:dyDescent="0.3">
      <c r="A653">
        <v>826</v>
      </c>
      <c r="B653">
        <v>113</v>
      </c>
      <c r="C653" t="s">
        <v>35</v>
      </c>
      <c r="D653" t="s">
        <v>17</v>
      </c>
      <c r="E653" t="s">
        <v>32</v>
      </c>
      <c r="F653" t="s">
        <v>26</v>
      </c>
      <c r="G653">
        <v>23</v>
      </c>
      <c r="H653">
        <v>5</v>
      </c>
      <c r="I653">
        <v>5</v>
      </c>
      <c r="J653">
        <v>51.15</v>
      </c>
      <c r="K653">
        <v>253.79</v>
      </c>
      <c r="L653">
        <v>0.71</v>
      </c>
      <c r="M653">
        <v>64.48</v>
      </c>
      <c r="N653">
        <v>1</v>
      </c>
      <c r="O653" t="s">
        <v>20</v>
      </c>
      <c r="P653" t="s">
        <v>38</v>
      </c>
      <c r="Q653">
        <f t="shared" si="50"/>
        <v>23</v>
      </c>
      <c r="R653" s="4">
        <f>RANK(N653,$N$2:N$2800,0)</f>
        <v>1</v>
      </c>
      <c r="S653">
        <f t="shared" si="51"/>
        <v>4.5999999999999996</v>
      </c>
      <c r="T653" t="str">
        <f t="shared" si="52"/>
        <v>Good</v>
      </c>
      <c r="U653" t="str" cm="1">
        <f t="array" ref="U653">_xlfn.LET(_xlpm.roles,_xlfn.UNIQUE(D653:D3451),_xlpm.kills, SUMIF(D653:D3451,_xlpm.roles,G653:G3451),INDEX(_xlpm.roles,MATCH(MAX(_xlpm.kills),_xlpm.kills,0)))</f>
        <v>Entry Fragger</v>
      </c>
      <c r="V653" t="str">
        <f t="shared" si="53"/>
        <v>High Accuracy</v>
      </c>
      <c r="W653" t="str" cm="1">
        <f t="array" ref="W653">_xlfn.LET(_xlpm.roles,_xlfn.UNIQUE(D653:D3451), _xlpm.counts,COUNTIF(D653:D3451,_xlpm.roles), INDEX(_xlpm.roles,MATCH(MAX(_xlpm.counts),_xlpm.counts,0)))</f>
        <v>Entry Fragger</v>
      </c>
      <c r="X653" s="2">
        <f t="shared" si="54"/>
        <v>12.599585062240664</v>
      </c>
    </row>
    <row r="654" spans="1:24" x14ac:dyDescent="0.3">
      <c r="A654">
        <v>1016</v>
      </c>
      <c r="B654">
        <v>113</v>
      </c>
      <c r="C654" t="s">
        <v>30</v>
      </c>
      <c r="D654" t="s">
        <v>31</v>
      </c>
      <c r="E654" t="s">
        <v>23</v>
      </c>
      <c r="F654" t="s">
        <v>26</v>
      </c>
      <c r="G654">
        <v>14</v>
      </c>
      <c r="H654">
        <v>5</v>
      </c>
      <c r="I654">
        <v>6</v>
      </c>
      <c r="J654">
        <v>48.73</v>
      </c>
      <c r="K654">
        <v>242.84</v>
      </c>
      <c r="L654">
        <v>0.77</v>
      </c>
      <c r="M654">
        <v>43.66</v>
      </c>
      <c r="N654">
        <v>1</v>
      </c>
      <c r="O654" t="s">
        <v>20</v>
      </c>
      <c r="P654" t="s">
        <v>21</v>
      </c>
      <c r="Q654">
        <f t="shared" si="50"/>
        <v>13</v>
      </c>
      <c r="R654" s="4">
        <f>RANK(N654,$N$2:N$2800,0)</f>
        <v>1</v>
      </c>
      <c r="S654">
        <f t="shared" si="51"/>
        <v>2.3333333333333335</v>
      </c>
      <c r="T654" t="str">
        <f t="shared" si="52"/>
        <v>Low</v>
      </c>
      <c r="U654" t="str" cm="1">
        <f t="array" ref="U654">_xlfn.LET(_xlpm.roles,_xlfn.UNIQUE(D654:D3452),_xlpm.kills, SUMIF(D654:D3452,_xlpm.roles,G654:G3452),INDEX(_xlpm.roles,MATCH(MAX(_xlpm.kills),_xlpm.kills,0)))</f>
        <v>Entry Fragger</v>
      </c>
      <c r="V654" t="str">
        <f t="shared" si="53"/>
        <v>Medium Accuracy</v>
      </c>
      <c r="W654" t="str" cm="1">
        <f t="array" ref="W654">_xlfn.LET(_xlpm.roles,_xlfn.UNIQUE(D654:D3452), _xlpm.counts,COUNTIF(D654:D3452,_xlpm.roles), INDEX(_xlpm.roles,MATCH(MAX(_xlpm.counts),_xlpm.counts,0)))</f>
        <v>Entry Fragger</v>
      </c>
      <c r="X654" s="2">
        <f t="shared" si="54"/>
        <v>13.135802469135802</v>
      </c>
    </row>
    <row r="655" spans="1:24" x14ac:dyDescent="0.3">
      <c r="A655">
        <v>1272</v>
      </c>
      <c r="B655">
        <v>113</v>
      </c>
      <c r="C655" t="s">
        <v>27</v>
      </c>
      <c r="D655" t="s">
        <v>17</v>
      </c>
      <c r="E655" t="s">
        <v>32</v>
      </c>
      <c r="F655" t="s">
        <v>26</v>
      </c>
      <c r="G655">
        <v>15</v>
      </c>
      <c r="H655">
        <v>11</v>
      </c>
      <c r="I655">
        <v>11</v>
      </c>
      <c r="J655">
        <v>64.25</v>
      </c>
      <c r="K655">
        <v>202.44</v>
      </c>
      <c r="L655">
        <v>0.09</v>
      </c>
      <c r="M655">
        <v>61.23</v>
      </c>
      <c r="N655">
        <v>1</v>
      </c>
      <c r="O655" t="s">
        <v>20</v>
      </c>
      <c r="P655" t="s">
        <v>38</v>
      </c>
      <c r="Q655">
        <f t="shared" si="50"/>
        <v>15</v>
      </c>
      <c r="R655" s="4">
        <f>RANK(N655,$N$2:N$2800,0)</f>
        <v>1</v>
      </c>
      <c r="S655">
        <f t="shared" si="51"/>
        <v>1.3636363636363635</v>
      </c>
      <c r="T655" t="str">
        <f t="shared" si="52"/>
        <v>Good</v>
      </c>
      <c r="U655" t="str" cm="1">
        <f t="array" ref="U655">_xlfn.LET(_xlpm.roles,_xlfn.UNIQUE(D655:D3453),_xlpm.kills, SUMIF(D655:D3453,_xlpm.roles,G655:G3453),INDEX(_xlpm.roles,MATCH(MAX(_xlpm.kills),_xlpm.kills,0)))</f>
        <v>Entry Fragger</v>
      </c>
      <c r="V655" t="str">
        <f t="shared" si="53"/>
        <v>High Accuracy</v>
      </c>
      <c r="W655" t="str" cm="1">
        <f t="array" ref="W655">_xlfn.LET(_xlpm.roles,_xlfn.UNIQUE(D655:D3453), _xlpm.counts,COUNTIF(D655:D3453,_xlpm.roles), INDEX(_xlpm.roles,MATCH(MAX(_xlpm.counts),_xlpm.counts,0)))</f>
        <v>Entry Fragger</v>
      </c>
      <c r="X655" s="2">
        <f t="shared" si="54"/>
        <v>13.057077625570777</v>
      </c>
    </row>
    <row r="656" spans="1:24" x14ac:dyDescent="0.3">
      <c r="A656">
        <v>1764</v>
      </c>
      <c r="B656">
        <v>113</v>
      </c>
      <c r="C656" t="s">
        <v>35</v>
      </c>
      <c r="D656" t="s">
        <v>22</v>
      </c>
      <c r="E656" t="s">
        <v>33</v>
      </c>
      <c r="F656" t="s">
        <v>34</v>
      </c>
      <c r="G656">
        <v>10</v>
      </c>
      <c r="H656">
        <v>5</v>
      </c>
      <c r="I656">
        <v>13</v>
      </c>
      <c r="J656">
        <v>39.07</v>
      </c>
      <c r="K656">
        <v>184.65</v>
      </c>
      <c r="L656">
        <v>0.92</v>
      </c>
      <c r="M656">
        <v>22.34</v>
      </c>
      <c r="N656">
        <v>0.56000000000000005</v>
      </c>
      <c r="O656" t="s">
        <v>20</v>
      </c>
      <c r="P656" t="s">
        <v>21</v>
      </c>
      <c r="Q656">
        <f t="shared" si="50"/>
        <v>2</v>
      </c>
      <c r="R656" s="4">
        <f>RANK(N656,$N$2:N$2800,0)</f>
        <v>2789</v>
      </c>
      <c r="S656">
        <f t="shared" si="51"/>
        <v>0.76923076923076927</v>
      </c>
      <c r="T656" t="str">
        <f t="shared" si="52"/>
        <v>Low</v>
      </c>
      <c r="U656" t="str" cm="1">
        <f t="array" ref="U656">_xlfn.LET(_xlpm.roles,_xlfn.UNIQUE(D656:D3454),_xlpm.kills, SUMIF(D656:D3454,_xlpm.roles,G656:G3454),INDEX(_xlpm.roles,MATCH(MAX(_xlpm.kills),_xlpm.kills,0)))</f>
        <v>Entry Fragger</v>
      </c>
      <c r="V656" t="str">
        <f t="shared" si="53"/>
        <v>Medium Accuracy</v>
      </c>
      <c r="W656" t="str" cm="1">
        <f t="array" ref="W656">_xlfn.LET(_xlpm.roles,_xlfn.UNIQUE(D656:D3454), _xlpm.counts,COUNTIF(D656:D3454,_xlpm.roles), INDEX(_xlpm.roles,MATCH(MAX(_xlpm.counts),_xlpm.counts,0)))</f>
        <v>Entry Fragger</v>
      </c>
      <c r="X656" s="2">
        <f t="shared" si="54"/>
        <v>12.599585062240664</v>
      </c>
    </row>
    <row r="657" spans="1:24" x14ac:dyDescent="0.3">
      <c r="A657">
        <v>2449</v>
      </c>
      <c r="B657">
        <v>113</v>
      </c>
      <c r="C657" t="s">
        <v>30</v>
      </c>
      <c r="D657" t="s">
        <v>36</v>
      </c>
      <c r="E657" t="s">
        <v>33</v>
      </c>
      <c r="F657" t="s">
        <v>24</v>
      </c>
      <c r="G657">
        <v>19</v>
      </c>
      <c r="H657">
        <v>10</v>
      </c>
      <c r="I657">
        <v>6</v>
      </c>
      <c r="J657">
        <v>56.99</v>
      </c>
      <c r="K657">
        <v>233.03</v>
      </c>
      <c r="L657">
        <v>0.87</v>
      </c>
      <c r="M657">
        <v>61.8</v>
      </c>
      <c r="N657">
        <v>1</v>
      </c>
      <c r="O657" t="s">
        <v>20</v>
      </c>
      <c r="P657" t="s">
        <v>38</v>
      </c>
      <c r="Q657">
        <f t="shared" si="50"/>
        <v>23</v>
      </c>
      <c r="R657" s="4">
        <f>RANK(N657,$N$2:N$2800,0)</f>
        <v>1</v>
      </c>
      <c r="S657">
        <f t="shared" si="51"/>
        <v>3.1666666666666665</v>
      </c>
      <c r="T657" t="str">
        <f t="shared" si="52"/>
        <v>Good</v>
      </c>
      <c r="U657" t="str" cm="1">
        <f t="array" ref="U657">_xlfn.LET(_xlpm.roles,_xlfn.UNIQUE(D657:D3455),_xlpm.kills, SUMIF(D657:D3455,_xlpm.roles,G657:G3455),INDEX(_xlpm.roles,MATCH(MAX(_xlpm.kills),_xlpm.kills,0)))</f>
        <v>Entry Fragger</v>
      </c>
      <c r="V657" t="str">
        <f t="shared" si="53"/>
        <v>High Accuracy</v>
      </c>
      <c r="W657" t="str" cm="1">
        <f t="array" ref="W657">_xlfn.LET(_xlpm.roles,_xlfn.UNIQUE(D657:D3455), _xlpm.counts,COUNTIF(D657:D3455,_xlpm.roles), INDEX(_xlpm.roles,MATCH(MAX(_xlpm.counts),_xlpm.counts,0)))</f>
        <v>Entry Fragger</v>
      </c>
      <c r="X657" s="2">
        <f t="shared" si="54"/>
        <v>13.135802469135802</v>
      </c>
    </row>
    <row r="658" spans="1:24" x14ac:dyDescent="0.3">
      <c r="A658">
        <v>2522</v>
      </c>
      <c r="B658">
        <v>113</v>
      </c>
      <c r="C658" t="s">
        <v>35</v>
      </c>
      <c r="D658" t="s">
        <v>31</v>
      </c>
      <c r="E658" t="s">
        <v>33</v>
      </c>
      <c r="F658" t="s">
        <v>24</v>
      </c>
      <c r="G658">
        <v>11</v>
      </c>
      <c r="H658">
        <v>12</v>
      </c>
      <c r="I658">
        <v>6</v>
      </c>
      <c r="J658">
        <v>43.6</v>
      </c>
      <c r="K658">
        <v>187.68</v>
      </c>
      <c r="L658">
        <v>0.17</v>
      </c>
      <c r="M658">
        <v>48.1</v>
      </c>
      <c r="N658">
        <v>1</v>
      </c>
      <c r="O658" t="s">
        <v>20</v>
      </c>
      <c r="P658" t="s">
        <v>21</v>
      </c>
      <c r="Q658">
        <f t="shared" si="50"/>
        <v>17</v>
      </c>
      <c r="R658" s="4">
        <f>RANK(N658,$N$2:N$2800,0)</f>
        <v>1</v>
      </c>
      <c r="S658">
        <f t="shared" si="51"/>
        <v>1.8333333333333333</v>
      </c>
      <c r="T658" t="str">
        <f t="shared" si="52"/>
        <v>Good</v>
      </c>
      <c r="U658" t="str" cm="1">
        <f t="array" ref="U658">_xlfn.LET(_xlpm.roles,_xlfn.UNIQUE(D658:D3456),_xlpm.kills, SUMIF(D658:D3456,_xlpm.roles,G658:G3456),INDEX(_xlpm.roles,MATCH(MAX(_xlpm.kills),_xlpm.kills,0)))</f>
        <v>Entry Fragger</v>
      </c>
      <c r="V658" t="str">
        <f t="shared" si="53"/>
        <v>Medium Accuracy</v>
      </c>
      <c r="W658" t="str" cm="1">
        <f t="array" ref="W658">_xlfn.LET(_xlpm.roles,_xlfn.UNIQUE(D658:D3456), _xlpm.counts,COUNTIF(D658:D3456,_xlpm.roles), INDEX(_xlpm.roles,MATCH(MAX(_xlpm.counts),_xlpm.counts,0)))</f>
        <v>Entry Fragger</v>
      </c>
      <c r="X658" s="2">
        <f t="shared" si="54"/>
        <v>12.599585062240664</v>
      </c>
    </row>
    <row r="659" spans="1:24" x14ac:dyDescent="0.3">
      <c r="A659">
        <v>2582</v>
      </c>
      <c r="B659">
        <v>113</v>
      </c>
      <c r="C659" t="s">
        <v>35</v>
      </c>
      <c r="D659" t="s">
        <v>17</v>
      </c>
      <c r="E659" t="s">
        <v>33</v>
      </c>
      <c r="F659" t="s">
        <v>19</v>
      </c>
      <c r="G659">
        <v>19</v>
      </c>
      <c r="H659">
        <v>8</v>
      </c>
      <c r="I659">
        <v>11</v>
      </c>
      <c r="J659">
        <v>49.14</v>
      </c>
      <c r="K659">
        <v>189.33</v>
      </c>
      <c r="L659">
        <v>0.13</v>
      </c>
      <c r="M659">
        <v>58.27</v>
      </c>
      <c r="N659">
        <v>1</v>
      </c>
      <c r="O659" t="s">
        <v>20</v>
      </c>
      <c r="P659" t="s">
        <v>21</v>
      </c>
      <c r="Q659">
        <f t="shared" si="50"/>
        <v>16</v>
      </c>
      <c r="R659" s="4">
        <f>RANK(N659,$N$2:N$2800,0)</f>
        <v>1</v>
      </c>
      <c r="S659">
        <f t="shared" si="51"/>
        <v>1.7272727272727273</v>
      </c>
      <c r="T659" t="str">
        <f t="shared" si="52"/>
        <v>Good</v>
      </c>
      <c r="U659" t="str" cm="1">
        <f t="array" ref="U659">_xlfn.LET(_xlpm.roles,_xlfn.UNIQUE(D659:D3457),_xlpm.kills, SUMIF(D659:D3457,_xlpm.roles,G659:G3457),INDEX(_xlpm.roles,MATCH(MAX(_xlpm.kills),_xlpm.kills,0)))</f>
        <v>Entry Fragger</v>
      </c>
      <c r="V659" t="str">
        <f t="shared" si="53"/>
        <v>Medium Accuracy</v>
      </c>
      <c r="W659" t="str" cm="1">
        <f t="array" ref="W659">_xlfn.LET(_xlpm.roles,_xlfn.UNIQUE(D659:D3457), _xlpm.counts,COUNTIF(D659:D3457,_xlpm.roles), INDEX(_xlpm.roles,MATCH(MAX(_xlpm.counts),_xlpm.counts,0)))</f>
        <v>Entry Fragger</v>
      </c>
      <c r="X659" s="2">
        <f t="shared" si="54"/>
        <v>12.599585062240664</v>
      </c>
    </row>
    <row r="660" spans="1:24" x14ac:dyDescent="0.3">
      <c r="A660">
        <v>17</v>
      </c>
      <c r="B660">
        <v>114</v>
      </c>
      <c r="C660" t="s">
        <v>30</v>
      </c>
      <c r="D660" t="s">
        <v>17</v>
      </c>
      <c r="E660" t="s">
        <v>18</v>
      </c>
      <c r="F660" t="s">
        <v>24</v>
      </c>
      <c r="G660">
        <v>12</v>
      </c>
      <c r="H660">
        <v>6</v>
      </c>
      <c r="I660">
        <v>6</v>
      </c>
      <c r="J660">
        <v>59.12</v>
      </c>
      <c r="K660">
        <v>232.15</v>
      </c>
      <c r="L660">
        <v>0.66</v>
      </c>
      <c r="M660">
        <v>46.96</v>
      </c>
      <c r="N660">
        <v>1</v>
      </c>
      <c r="O660" t="s">
        <v>20</v>
      </c>
      <c r="P660" t="s">
        <v>21</v>
      </c>
      <c r="Q660">
        <f t="shared" si="50"/>
        <v>12</v>
      </c>
      <c r="R660" s="4">
        <f>RANK(N660,$N$2:N$2800,0)</f>
        <v>1</v>
      </c>
      <c r="S660">
        <f t="shared" si="51"/>
        <v>2</v>
      </c>
      <c r="T660" t="str">
        <f t="shared" si="52"/>
        <v>Low</v>
      </c>
      <c r="U660" t="str" cm="1">
        <f t="array" ref="U660">_xlfn.LET(_xlpm.roles,_xlfn.UNIQUE(D660:D3458),_xlpm.kills, SUMIF(D660:D3458,_xlpm.roles,G660:G3458),INDEX(_xlpm.roles,MATCH(MAX(_xlpm.kills),_xlpm.kills,0)))</f>
        <v>Entry Fragger</v>
      </c>
      <c r="V660" t="str">
        <f t="shared" si="53"/>
        <v>High Accuracy</v>
      </c>
      <c r="W660" t="str" cm="1">
        <f t="array" ref="W660">_xlfn.LET(_xlpm.roles,_xlfn.UNIQUE(D660:D3458), _xlpm.counts,COUNTIF(D660:D3458,_xlpm.roles), INDEX(_xlpm.roles,MATCH(MAX(_xlpm.counts),_xlpm.counts,0)))</f>
        <v>Entry Fragger</v>
      </c>
      <c r="X660" s="2">
        <f t="shared" si="54"/>
        <v>13.135802469135802</v>
      </c>
    </row>
    <row r="661" spans="1:24" x14ac:dyDescent="0.3">
      <c r="A661">
        <v>533</v>
      </c>
      <c r="B661">
        <v>114</v>
      </c>
      <c r="C661" t="s">
        <v>39</v>
      </c>
      <c r="D661" t="s">
        <v>17</v>
      </c>
      <c r="E661" t="s">
        <v>23</v>
      </c>
      <c r="F661" t="s">
        <v>19</v>
      </c>
      <c r="G661">
        <v>14</v>
      </c>
      <c r="H661">
        <v>6</v>
      </c>
      <c r="I661">
        <v>11</v>
      </c>
      <c r="J661">
        <v>48.57</v>
      </c>
      <c r="K661">
        <v>228.99</v>
      </c>
      <c r="L661">
        <v>0.73</v>
      </c>
      <c r="M661">
        <v>39.979999999999997</v>
      </c>
      <c r="N661">
        <v>0.88</v>
      </c>
      <c r="O661" t="s">
        <v>20</v>
      </c>
      <c r="P661" t="s">
        <v>21</v>
      </c>
      <c r="Q661">
        <f t="shared" si="50"/>
        <v>9</v>
      </c>
      <c r="R661" s="4">
        <f>RANK(N661,$N$2:N$2800,0)</f>
        <v>1894</v>
      </c>
      <c r="S661">
        <f t="shared" si="51"/>
        <v>1.2727272727272727</v>
      </c>
      <c r="T661" t="str">
        <f t="shared" si="52"/>
        <v>Low</v>
      </c>
      <c r="U661" t="str" cm="1">
        <f t="array" ref="U661">_xlfn.LET(_xlpm.roles,_xlfn.UNIQUE(D661:D3459),_xlpm.kills, SUMIF(D661:D3459,_xlpm.roles,G661:G3459),INDEX(_xlpm.roles,MATCH(MAX(_xlpm.kills),_xlpm.kills,0)))</f>
        <v>Entry Fragger</v>
      </c>
      <c r="V661" t="str">
        <f t="shared" si="53"/>
        <v>Medium Accuracy</v>
      </c>
      <c r="W661" t="str" cm="1">
        <f t="array" ref="W661">_xlfn.LET(_xlpm.roles,_xlfn.UNIQUE(D661:D3459), _xlpm.counts,COUNTIF(D661:D3459,_xlpm.roles), INDEX(_xlpm.roles,MATCH(MAX(_xlpm.counts),_xlpm.counts,0)))</f>
        <v>Entry Fragger</v>
      </c>
      <c r="X661" s="2">
        <f t="shared" si="54"/>
        <v>13.103594080338267</v>
      </c>
    </row>
    <row r="662" spans="1:24" x14ac:dyDescent="0.3">
      <c r="A662">
        <v>555</v>
      </c>
      <c r="B662">
        <v>114</v>
      </c>
      <c r="C662" t="s">
        <v>30</v>
      </c>
      <c r="D662" t="s">
        <v>22</v>
      </c>
      <c r="E662" t="s">
        <v>23</v>
      </c>
      <c r="F662" t="s">
        <v>26</v>
      </c>
      <c r="G662">
        <v>11</v>
      </c>
      <c r="H662">
        <v>9</v>
      </c>
      <c r="I662">
        <v>11</v>
      </c>
      <c r="J662">
        <v>43.03</v>
      </c>
      <c r="K662">
        <v>242.05</v>
      </c>
      <c r="L662">
        <v>0.28999999999999998</v>
      </c>
      <c r="M662">
        <v>38.619999999999997</v>
      </c>
      <c r="N662">
        <v>0.56999999999999995</v>
      </c>
      <c r="O662" t="s">
        <v>20</v>
      </c>
      <c r="P662" t="s">
        <v>21</v>
      </c>
      <c r="Q662">
        <f t="shared" si="50"/>
        <v>9</v>
      </c>
      <c r="R662" s="4">
        <f>RANK(N662,$N$2:N$2800,0)</f>
        <v>2787</v>
      </c>
      <c r="S662">
        <f t="shared" si="51"/>
        <v>1</v>
      </c>
      <c r="T662" t="str">
        <f t="shared" si="52"/>
        <v>Low</v>
      </c>
      <c r="U662" t="str" cm="1">
        <f t="array" ref="U662">_xlfn.LET(_xlpm.roles,_xlfn.UNIQUE(D662:D3460),_xlpm.kills, SUMIF(D662:D3460,_xlpm.roles,G662:G3460),INDEX(_xlpm.roles,MATCH(MAX(_xlpm.kills),_xlpm.kills,0)))</f>
        <v>Entry Fragger</v>
      </c>
      <c r="V662" t="str">
        <f t="shared" si="53"/>
        <v>Medium Accuracy</v>
      </c>
      <c r="W662" t="str" cm="1">
        <f t="array" ref="W662">_xlfn.LET(_xlpm.roles,_xlfn.UNIQUE(D662:D3460), _xlpm.counts,COUNTIF(D662:D3460,_xlpm.roles), INDEX(_xlpm.roles,MATCH(MAX(_xlpm.counts),_xlpm.counts,0)))</f>
        <v>Entry Fragger</v>
      </c>
      <c r="X662" s="2">
        <f t="shared" si="54"/>
        <v>13.135802469135802</v>
      </c>
    </row>
    <row r="663" spans="1:24" x14ac:dyDescent="0.3">
      <c r="A663">
        <v>698</v>
      </c>
      <c r="B663">
        <v>114</v>
      </c>
      <c r="C663" t="s">
        <v>25</v>
      </c>
      <c r="D663" t="s">
        <v>17</v>
      </c>
      <c r="E663" t="s">
        <v>32</v>
      </c>
      <c r="F663" t="s">
        <v>19</v>
      </c>
      <c r="G663">
        <v>16</v>
      </c>
      <c r="H663">
        <v>3</v>
      </c>
      <c r="I663">
        <v>8</v>
      </c>
      <c r="J663">
        <v>45.35</v>
      </c>
      <c r="K663">
        <v>223.55</v>
      </c>
      <c r="L663">
        <v>0.59</v>
      </c>
      <c r="M663">
        <v>43.77</v>
      </c>
      <c r="N663">
        <v>0.82</v>
      </c>
      <c r="O663" t="s">
        <v>20</v>
      </c>
      <c r="P663" t="s">
        <v>21</v>
      </c>
      <c r="Q663">
        <f t="shared" si="50"/>
        <v>11</v>
      </c>
      <c r="R663" s="4">
        <f>RANK(N663,$N$2:N$2800,0)</f>
        <v>2275</v>
      </c>
      <c r="S663">
        <f t="shared" si="51"/>
        <v>2</v>
      </c>
      <c r="T663" t="str">
        <f t="shared" si="52"/>
        <v>Low</v>
      </c>
      <c r="U663" t="str" cm="1">
        <f t="array" ref="U663">_xlfn.LET(_xlpm.roles,_xlfn.UNIQUE(D663:D3461),_xlpm.kills, SUMIF(D663:D3461,_xlpm.roles,G663:G3461),INDEX(_xlpm.roles,MATCH(MAX(_xlpm.kills),_xlpm.kills,0)))</f>
        <v>Entry Fragger</v>
      </c>
      <c r="V663" t="str">
        <f t="shared" si="53"/>
        <v>Medium Accuracy</v>
      </c>
      <c r="W663" t="str" cm="1">
        <f t="array" ref="W663">_xlfn.LET(_xlpm.roles,_xlfn.UNIQUE(D663:D3461), _xlpm.counts,COUNTIF(D663:D3461,_xlpm.roles), INDEX(_xlpm.roles,MATCH(MAX(_xlpm.counts),_xlpm.counts,0)))</f>
        <v>Entry Fragger</v>
      </c>
      <c r="X663" s="2">
        <f t="shared" si="54"/>
        <v>12.809421841541756</v>
      </c>
    </row>
    <row r="664" spans="1:24" x14ac:dyDescent="0.3">
      <c r="A664">
        <v>1323</v>
      </c>
      <c r="B664">
        <v>114</v>
      </c>
      <c r="C664" t="s">
        <v>39</v>
      </c>
      <c r="D664" t="s">
        <v>28</v>
      </c>
      <c r="E664" t="s">
        <v>23</v>
      </c>
      <c r="F664" t="s">
        <v>19</v>
      </c>
      <c r="G664">
        <v>10</v>
      </c>
      <c r="H664">
        <v>3</v>
      </c>
      <c r="I664">
        <v>6</v>
      </c>
      <c r="J664">
        <v>60.86</v>
      </c>
      <c r="K664">
        <v>291.77</v>
      </c>
      <c r="L664">
        <v>0.84</v>
      </c>
      <c r="M664">
        <v>39.03</v>
      </c>
      <c r="N664">
        <v>0.9</v>
      </c>
      <c r="O664" t="s">
        <v>20</v>
      </c>
      <c r="P664" t="s">
        <v>21</v>
      </c>
      <c r="Q664">
        <f t="shared" si="50"/>
        <v>7</v>
      </c>
      <c r="R664" s="4">
        <f>RANK(N664,$N$2:N$2800,0)</f>
        <v>1738</v>
      </c>
      <c r="S664">
        <f t="shared" si="51"/>
        <v>1.6666666666666667</v>
      </c>
      <c r="T664" t="str">
        <f t="shared" si="52"/>
        <v>Low</v>
      </c>
      <c r="U664" t="str" cm="1">
        <f t="array" ref="U664">_xlfn.LET(_xlpm.roles,_xlfn.UNIQUE(D664:D3462),_xlpm.kills, SUMIF(D664:D3462,_xlpm.roles,G664:G3462),INDEX(_xlpm.roles,MATCH(MAX(_xlpm.kills),_xlpm.kills,0)))</f>
        <v>Entry Fragger</v>
      </c>
      <c r="V664" t="str">
        <f t="shared" si="53"/>
        <v>High Accuracy</v>
      </c>
      <c r="W664" t="str" cm="1">
        <f t="array" ref="W664">_xlfn.LET(_xlpm.roles,_xlfn.UNIQUE(D664:D3462), _xlpm.counts,COUNTIF(D664:D3462,_xlpm.roles), INDEX(_xlpm.roles,MATCH(MAX(_xlpm.counts),_xlpm.counts,0)))</f>
        <v>Entry Fragger</v>
      </c>
      <c r="X664" s="2">
        <f t="shared" si="54"/>
        <v>13.103594080338267</v>
      </c>
    </row>
    <row r="665" spans="1:24" x14ac:dyDescent="0.3">
      <c r="A665">
        <v>1720</v>
      </c>
      <c r="B665">
        <v>114</v>
      </c>
      <c r="C665" t="s">
        <v>30</v>
      </c>
      <c r="D665" t="s">
        <v>36</v>
      </c>
      <c r="E665" t="s">
        <v>32</v>
      </c>
      <c r="F665" t="s">
        <v>37</v>
      </c>
      <c r="G665">
        <v>16</v>
      </c>
      <c r="H665">
        <v>8</v>
      </c>
      <c r="I665">
        <v>13</v>
      </c>
      <c r="J665">
        <v>34.409999999999997</v>
      </c>
      <c r="K665">
        <v>241.65</v>
      </c>
      <c r="L665">
        <v>0.5</v>
      </c>
      <c r="M665">
        <v>39.200000000000003</v>
      </c>
      <c r="N665">
        <v>0.88</v>
      </c>
      <c r="O665" t="s">
        <v>20</v>
      </c>
      <c r="P665" t="s">
        <v>21</v>
      </c>
      <c r="Q665">
        <f t="shared" si="50"/>
        <v>11</v>
      </c>
      <c r="R665" s="4">
        <f>RANK(N665,$N$2:N$2800,0)</f>
        <v>1894</v>
      </c>
      <c r="S665">
        <f t="shared" si="51"/>
        <v>1.2307692307692308</v>
      </c>
      <c r="T665" t="str">
        <f t="shared" si="52"/>
        <v>Low</v>
      </c>
      <c r="U665" t="str" cm="1">
        <f t="array" ref="U665">_xlfn.LET(_xlpm.roles,_xlfn.UNIQUE(D665:D3463),_xlpm.kills, SUMIF(D665:D3463,_xlpm.roles,G665:G3463),INDEX(_xlpm.roles,MATCH(MAX(_xlpm.kills),_xlpm.kills,0)))</f>
        <v>Entry Fragger</v>
      </c>
      <c r="V665" t="str">
        <f t="shared" si="53"/>
        <v>Medium Accuracy</v>
      </c>
      <c r="W665" t="str" cm="1">
        <f t="array" ref="W665">_xlfn.LET(_xlpm.roles,_xlfn.UNIQUE(D665:D3463), _xlpm.counts,COUNTIF(D665:D3463,_xlpm.roles), INDEX(_xlpm.roles,MATCH(MAX(_xlpm.counts),_xlpm.counts,0)))</f>
        <v>Entry Fragger</v>
      </c>
      <c r="X665" s="2">
        <f t="shared" si="54"/>
        <v>13.135802469135802</v>
      </c>
    </row>
    <row r="666" spans="1:24" x14ac:dyDescent="0.3">
      <c r="A666">
        <v>22</v>
      </c>
      <c r="B666">
        <v>115</v>
      </c>
      <c r="C666" t="s">
        <v>16</v>
      </c>
      <c r="D666" t="s">
        <v>28</v>
      </c>
      <c r="E666" t="s">
        <v>18</v>
      </c>
      <c r="F666" t="s">
        <v>37</v>
      </c>
      <c r="G666">
        <v>18</v>
      </c>
      <c r="H666">
        <v>8</v>
      </c>
      <c r="I666">
        <v>17</v>
      </c>
      <c r="J666">
        <v>41.48</v>
      </c>
      <c r="K666">
        <v>195.45</v>
      </c>
      <c r="L666">
        <v>0.28999999999999998</v>
      </c>
      <c r="M666">
        <v>44.84</v>
      </c>
      <c r="N666">
        <v>1</v>
      </c>
      <c r="O666" t="s">
        <v>20</v>
      </c>
      <c r="P666" t="s">
        <v>21</v>
      </c>
      <c r="Q666">
        <f t="shared" si="50"/>
        <v>9</v>
      </c>
      <c r="R666" s="4">
        <f>RANK(N666,$N$2:N$2800,0)</f>
        <v>1</v>
      </c>
      <c r="S666">
        <f t="shared" si="51"/>
        <v>1.0588235294117647</v>
      </c>
      <c r="T666" t="str">
        <f t="shared" si="52"/>
        <v>Low</v>
      </c>
      <c r="U666" t="str" cm="1">
        <f t="array" ref="U666">_xlfn.LET(_xlpm.roles,_xlfn.UNIQUE(D666:D3464),_xlpm.kills, SUMIF(D666:D3464,_xlpm.roles,G666:G3464),INDEX(_xlpm.roles,MATCH(MAX(_xlpm.kills),_xlpm.kills,0)))</f>
        <v>Entry Fragger</v>
      </c>
      <c r="V666" t="str">
        <f t="shared" si="53"/>
        <v>Medium Accuracy</v>
      </c>
      <c r="W666" t="str" cm="1">
        <f t="array" ref="W666">_xlfn.LET(_xlpm.roles,_xlfn.UNIQUE(D666:D3464), _xlpm.counts,COUNTIF(D666:D3464,_xlpm.roles), INDEX(_xlpm.roles,MATCH(MAX(_xlpm.counts),_xlpm.counts,0)))</f>
        <v>Entry Fragger</v>
      </c>
      <c r="X666" s="2">
        <f t="shared" si="54"/>
        <v>12.520971302428256</v>
      </c>
    </row>
    <row r="667" spans="1:24" x14ac:dyDescent="0.3">
      <c r="A667">
        <v>612</v>
      </c>
      <c r="B667">
        <v>115</v>
      </c>
      <c r="C667" t="s">
        <v>35</v>
      </c>
      <c r="D667" t="s">
        <v>28</v>
      </c>
      <c r="E667" t="s">
        <v>29</v>
      </c>
      <c r="F667" t="s">
        <v>24</v>
      </c>
      <c r="G667">
        <v>15</v>
      </c>
      <c r="H667">
        <v>11</v>
      </c>
      <c r="I667">
        <v>8</v>
      </c>
      <c r="J667">
        <v>56.64</v>
      </c>
      <c r="K667">
        <v>251.99</v>
      </c>
      <c r="L667">
        <v>0.38</v>
      </c>
      <c r="M667">
        <v>57.52</v>
      </c>
      <c r="N667">
        <v>1</v>
      </c>
      <c r="O667" t="s">
        <v>20</v>
      </c>
      <c r="P667" t="s">
        <v>21</v>
      </c>
      <c r="Q667">
        <f t="shared" si="50"/>
        <v>18</v>
      </c>
      <c r="R667" s="4">
        <f>RANK(N667,$N$2:N$2800,0)</f>
        <v>1</v>
      </c>
      <c r="S667">
        <f t="shared" si="51"/>
        <v>1.875</v>
      </c>
      <c r="T667" t="str">
        <f t="shared" si="52"/>
        <v>Good</v>
      </c>
      <c r="U667" t="str" cm="1">
        <f t="array" ref="U667">_xlfn.LET(_xlpm.roles,_xlfn.UNIQUE(D667:D3465),_xlpm.kills, SUMIF(D667:D3465,_xlpm.roles,G667:G3465),INDEX(_xlpm.roles,MATCH(MAX(_xlpm.kills),_xlpm.kills,0)))</f>
        <v>Entry Fragger</v>
      </c>
      <c r="V667" t="str">
        <f t="shared" si="53"/>
        <v>High Accuracy</v>
      </c>
      <c r="W667" t="str" cm="1">
        <f t="array" ref="W667">_xlfn.LET(_xlpm.roles,_xlfn.UNIQUE(D667:D3465), _xlpm.counts,COUNTIF(D667:D3465,_xlpm.roles), INDEX(_xlpm.roles,MATCH(MAX(_xlpm.counts),_xlpm.counts,0)))</f>
        <v>Entry Fragger</v>
      </c>
      <c r="X667" s="2">
        <f t="shared" si="54"/>
        <v>12.599585062240664</v>
      </c>
    </row>
    <row r="668" spans="1:24" x14ac:dyDescent="0.3">
      <c r="A668">
        <v>1020</v>
      </c>
      <c r="B668">
        <v>115</v>
      </c>
      <c r="C668" t="s">
        <v>25</v>
      </c>
      <c r="D668" t="s">
        <v>31</v>
      </c>
      <c r="E668" t="s">
        <v>32</v>
      </c>
      <c r="F668" t="s">
        <v>24</v>
      </c>
      <c r="G668">
        <v>15</v>
      </c>
      <c r="H668">
        <v>12</v>
      </c>
      <c r="I668">
        <v>5</v>
      </c>
      <c r="J668">
        <v>46.55</v>
      </c>
      <c r="K668">
        <v>255.9</v>
      </c>
      <c r="L668">
        <v>0.84</v>
      </c>
      <c r="M668">
        <v>51.88</v>
      </c>
      <c r="N668">
        <v>0.98</v>
      </c>
      <c r="O668" t="s">
        <v>20</v>
      </c>
      <c r="P668" t="s">
        <v>21</v>
      </c>
      <c r="Q668">
        <f t="shared" si="50"/>
        <v>22</v>
      </c>
      <c r="R668" s="4">
        <f>RANK(N668,$N$2:N$2800,0)</f>
        <v>1157</v>
      </c>
      <c r="S668">
        <f t="shared" si="51"/>
        <v>3</v>
      </c>
      <c r="T668" t="str">
        <f t="shared" si="52"/>
        <v>Good</v>
      </c>
      <c r="U668" t="str" cm="1">
        <f t="array" ref="U668">_xlfn.LET(_xlpm.roles,_xlfn.UNIQUE(D668:D3466),_xlpm.kills, SUMIF(D668:D3466,_xlpm.roles,G668:G3466),INDEX(_xlpm.roles,MATCH(MAX(_xlpm.kills),_xlpm.kills,0)))</f>
        <v>Entry Fragger</v>
      </c>
      <c r="V668" t="str">
        <f t="shared" si="53"/>
        <v>Medium Accuracy</v>
      </c>
      <c r="W668" t="str" cm="1">
        <f t="array" ref="W668">_xlfn.LET(_xlpm.roles,_xlfn.UNIQUE(D668:D3466), _xlpm.counts,COUNTIF(D668:D3466,_xlpm.roles), INDEX(_xlpm.roles,MATCH(MAX(_xlpm.counts),_xlpm.counts,0)))</f>
        <v>Entry Fragger</v>
      </c>
      <c r="X668" s="2">
        <f t="shared" si="54"/>
        <v>12.809421841541756</v>
      </c>
    </row>
    <row r="669" spans="1:24" x14ac:dyDescent="0.3">
      <c r="A669">
        <v>2165</v>
      </c>
      <c r="B669">
        <v>115</v>
      </c>
      <c r="C669" t="s">
        <v>35</v>
      </c>
      <c r="D669" t="s">
        <v>22</v>
      </c>
      <c r="E669" t="s">
        <v>18</v>
      </c>
      <c r="F669" t="s">
        <v>26</v>
      </c>
      <c r="G669">
        <v>21</v>
      </c>
      <c r="H669">
        <v>10</v>
      </c>
      <c r="I669">
        <v>12</v>
      </c>
      <c r="J669">
        <v>50.81</v>
      </c>
      <c r="K669">
        <v>214.25</v>
      </c>
      <c r="L669">
        <v>0.56999999999999995</v>
      </c>
      <c r="M669">
        <v>59.7</v>
      </c>
      <c r="N669">
        <v>1</v>
      </c>
      <c r="O669" t="s">
        <v>20</v>
      </c>
      <c r="P669" t="s">
        <v>21</v>
      </c>
      <c r="Q669">
        <f t="shared" si="50"/>
        <v>19</v>
      </c>
      <c r="R669" s="4">
        <f>RANK(N669,$N$2:N$2800,0)</f>
        <v>1</v>
      </c>
      <c r="S669">
        <f t="shared" si="51"/>
        <v>1.75</v>
      </c>
      <c r="T669" t="str">
        <f t="shared" si="52"/>
        <v>Good</v>
      </c>
      <c r="U669" t="str" cm="1">
        <f t="array" ref="U669">_xlfn.LET(_xlpm.roles,_xlfn.UNIQUE(D669:D3467),_xlpm.kills, SUMIF(D669:D3467,_xlpm.roles,G669:G3467),INDEX(_xlpm.roles,MATCH(MAX(_xlpm.kills),_xlpm.kills,0)))</f>
        <v>Entry Fragger</v>
      </c>
      <c r="V669" t="str">
        <f t="shared" si="53"/>
        <v>High Accuracy</v>
      </c>
      <c r="W669" t="str" cm="1">
        <f t="array" ref="W669">_xlfn.LET(_xlpm.roles,_xlfn.UNIQUE(D669:D3467), _xlpm.counts,COUNTIF(D669:D3467,_xlpm.roles), INDEX(_xlpm.roles,MATCH(MAX(_xlpm.counts),_xlpm.counts,0)))</f>
        <v>Entry Fragger</v>
      </c>
      <c r="X669" s="2">
        <f t="shared" si="54"/>
        <v>12.599585062240664</v>
      </c>
    </row>
    <row r="670" spans="1:24" x14ac:dyDescent="0.3">
      <c r="A670">
        <v>2170</v>
      </c>
      <c r="B670">
        <v>115</v>
      </c>
      <c r="C670" t="s">
        <v>27</v>
      </c>
      <c r="D670" t="s">
        <v>22</v>
      </c>
      <c r="E670" t="s">
        <v>18</v>
      </c>
      <c r="F670" t="s">
        <v>34</v>
      </c>
      <c r="G670">
        <v>18</v>
      </c>
      <c r="H670">
        <v>13</v>
      </c>
      <c r="I670">
        <v>8</v>
      </c>
      <c r="J670">
        <v>35.61</v>
      </c>
      <c r="K670">
        <v>239.72</v>
      </c>
      <c r="L670">
        <v>0.05</v>
      </c>
      <c r="M670">
        <v>58.3</v>
      </c>
      <c r="N670">
        <v>0.88</v>
      </c>
      <c r="O670" t="s">
        <v>20</v>
      </c>
      <c r="P670" t="s">
        <v>21</v>
      </c>
      <c r="Q670">
        <f t="shared" si="50"/>
        <v>23</v>
      </c>
      <c r="R670" s="4">
        <f>RANK(N670,$N$2:N$2800,0)</f>
        <v>1894</v>
      </c>
      <c r="S670">
        <f t="shared" si="51"/>
        <v>2.25</v>
      </c>
      <c r="T670" t="str">
        <f t="shared" si="52"/>
        <v>Good</v>
      </c>
      <c r="U670" t="str" cm="1">
        <f t="array" ref="U670">_xlfn.LET(_xlpm.roles,_xlfn.UNIQUE(D670:D3468),_xlpm.kills, SUMIF(D670:D3468,_xlpm.roles,G670:G3468),INDEX(_xlpm.roles,MATCH(MAX(_xlpm.kills),_xlpm.kills,0)))</f>
        <v>Entry Fragger</v>
      </c>
      <c r="V670" t="str">
        <f t="shared" si="53"/>
        <v>Medium Accuracy</v>
      </c>
      <c r="W670" t="str" cm="1">
        <f t="array" ref="W670">_xlfn.LET(_xlpm.roles,_xlfn.UNIQUE(D670:D3468), _xlpm.counts,COUNTIF(D670:D3468,_xlpm.roles), INDEX(_xlpm.roles,MATCH(MAX(_xlpm.counts),_xlpm.counts,0)))</f>
        <v>Entry Fragger</v>
      </c>
      <c r="X670" s="2">
        <f t="shared" si="54"/>
        <v>13.057077625570777</v>
      </c>
    </row>
    <row r="671" spans="1:24" x14ac:dyDescent="0.3">
      <c r="A671">
        <v>32</v>
      </c>
      <c r="B671">
        <v>116</v>
      </c>
      <c r="C671" t="s">
        <v>27</v>
      </c>
      <c r="D671" t="s">
        <v>22</v>
      </c>
      <c r="E671" t="s">
        <v>18</v>
      </c>
      <c r="F671" t="s">
        <v>34</v>
      </c>
      <c r="G671">
        <v>11</v>
      </c>
      <c r="H671">
        <v>6</v>
      </c>
      <c r="I671">
        <v>8</v>
      </c>
      <c r="J671">
        <v>37.479999999999997</v>
      </c>
      <c r="K671">
        <v>176.98</v>
      </c>
      <c r="L671">
        <v>0.36</v>
      </c>
      <c r="M671">
        <v>35.14</v>
      </c>
      <c r="N671">
        <v>0.83</v>
      </c>
      <c r="O671" t="s">
        <v>20</v>
      </c>
      <c r="P671" t="s">
        <v>21</v>
      </c>
      <c r="Q671">
        <f t="shared" si="50"/>
        <v>9</v>
      </c>
      <c r="R671" s="4">
        <f>RANK(N671,$N$2:N$2800,0)</f>
        <v>2218</v>
      </c>
      <c r="S671">
        <f t="shared" si="51"/>
        <v>1.375</v>
      </c>
      <c r="T671" t="str">
        <f t="shared" si="52"/>
        <v>Low</v>
      </c>
      <c r="U671" t="str" cm="1">
        <f t="array" ref="U671">_xlfn.LET(_xlpm.roles,_xlfn.UNIQUE(D671:D3469),_xlpm.kills, SUMIF(D671:D3469,_xlpm.roles,G671:G3469),INDEX(_xlpm.roles,MATCH(MAX(_xlpm.kills),_xlpm.kills,0)))</f>
        <v>Entry Fragger</v>
      </c>
      <c r="V671" t="str">
        <f t="shared" si="53"/>
        <v>Medium Accuracy</v>
      </c>
      <c r="W671" t="str" cm="1">
        <f t="array" ref="W671">_xlfn.LET(_xlpm.roles,_xlfn.UNIQUE(D671:D3469), _xlpm.counts,COUNTIF(D671:D3469,_xlpm.roles), INDEX(_xlpm.roles,MATCH(MAX(_xlpm.counts),_xlpm.counts,0)))</f>
        <v>Entry Fragger</v>
      </c>
      <c r="X671" s="2">
        <f t="shared" si="54"/>
        <v>13.057077625570777</v>
      </c>
    </row>
    <row r="672" spans="1:24" x14ac:dyDescent="0.3">
      <c r="A672">
        <v>169</v>
      </c>
      <c r="B672">
        <v>116</v>
      </c>
      <c r="C672" t="s">
        <v>25</v>
      </c>
      <c r="D672" t="s">
        <v>22</v>
      </c>
      <c r="E672" t="s">
        <v>33</v>
      </c>
      <c r="F672" t="s">
        <v>19</v>
      </c>
      <c r="G672">
        <v>17</v>
      </c>
      <c r="H672">
        <v>9</v>
      </c>
      <c r="I672">
        <v>8</v>
      </c>
      <c r="J672">
        <v>50.66</v>
      </c>
      <c r="K672">
        <v>220.27</v>
      </c>
      <c r="L672">
        <v>0.88</v>
      </c>
      <c r="M672">
        <v>51.53</v>
      </c>
      <c r="N672">
        <v>0.99</v>
      </c>
      <c r="O672" t="s">
        <v>20</v>
      </c>
      <c r="P672" t="s">
        <v>21</v>
      </c>
      <c r="Q672">
        <f t="shared" si="50"/>
        <v>18</v>
      </c>
      <c r="R672" s="4">
        <f>RANK(N672,$N$2:N$2800,0)</f>
        <v>1080</v>
      </c>
      <c r="S672">
        <f t="shared" si="51"/>
        <v>2.125</v>
      </c>
      <c r="T672" t="str">
        <f t="shared" si="52"/>
        <v>Good</v>
      </c>
      <c r="U672" t="str" cm="1">
        <f t="array" ref="U672">_xlfn.LET(_xlpm.roles,_xlfn.UNIQUE(D672:D3470),_xlpm.kills, SUMIF(D672:D3470,_xlpm.roles,G672:G3470),INDEX(_xlpm.roles,MATCH(MAX(_xlpm.kills),_xlpm.kills,0)))</f>
        <v>Entry Fragger</v>
      </c>
      <c r="V672" t="str">
        <f t="shared" si="53"/>
        <v>High Accuracy</v>
      </c>
      <c r="W672" t="str" cm="1">
        <f t="array" ref="W672">_xlfn.LET(_xlpm.roles,_xlfn.UNIQUE(D672:D3470), _xlpm.counts,COUNTIF(D672:D3470,_xlpm.roles), INDEX(_xlpm.roles,MATCH(MAX(_xlpm.counts),_xlpm.counts,0)))</f>
        <v>Entry Fragger</v>
      </c>
      <c r="X672" s="2">
        <f t="shared" si="54"/>
        <v>12.809421841541756</v>
      </c>
    </row>
    <row r="673" spans="1:24" x14ac:dyDescent="0.3">
      <c r="A673">
        <v>490</v>
      </c>
      <c r="B673">
        <v>116</v>
      </c>
      <c r="C673" t="s">
        <v>25</v>
      </c>
      <c r="D673" t="s">
        <v>31</v>
      </c>
      <c r="E673" t="s">
        <v>33</v>
      </c>
      <c r="F673" t="s">
        <v>19</v>
      </c>
      <c r="G673">
        <v>16</v>
      </c>
      <c r="H673">
        <v>7</v>
      </c>
      <c r="I673">
        <v>17</v>
      </c>
      <c r="J673">
        <v>39.97</v>
      </c>
      <c r="K673">
        <v>241.58</v>
      </c>
      <c r="L673">
        <v>0.95</v>
      </c>
      <c r="M673">
        <v>32.479999999999997</v>
      </c>
      <c r="N673">
        <v>1</v>
      </c>
      <c r="O673" t="s">
        <v>20</v>
      </c>
      <c r="P673" t="s">
        <v>21</v>
      </c>
      <c r="Q673">
        <f t="shared" si="50"/>
        <v>6</v>
      </c>
      <c r="R673" s="4">
        <f>RANK(N673,$N$2:N$2800,0)</f>
        <v>1</v>
      </c>
      <c r="S673">
        <f t="shared" si="51"/>
        <v>0.94117647058823528</v>
      </c>
      <c r="T673" t="str">
        <f t="shared" si="52"/>
        <v>Low</v>
      </c>
      <c r="U673" t="str" cm="1">
        <f t="array" ref="U673">_xlfn.LET(_xlpm.roles,_xlfn.UNIQUE(D673:D3471),_xlpm.kills, SUMIF(D673:D3471,_xlpm.roles,G673:G3471),INDEX(_xlpm.roles,MATCH(MAX(_xlpm.kills),_xlpm.kills,0)))</f>
        <v>Entry Fragger</v>
      </c>
      <c r="V673" t="str">
        <f t="shared" si="53"/>
        <v>Medium Accuracy</v>
      </c>
      <c r="W673" t="str" cm="1">
        <f t="array" ref="W673">_xlfn.LET(_xlpm.roles,_xlfn.UNIQUE(D673:D3471), _xlpm.counts,COUNTIF(D673:D3471,_xlpm.roles), INDEX(_xlpm.roles,MATCH(MAX(_xlpm.counts),_xlpm.counts,0)))</f>
        <v>Entry Fragger</v>
      </c>
      <c r="X673" s="2">
        <f t="shared" si="54"/>
        <v>12.809421841541756</v>
      </c>
    </row>
    <row r="674" spans="1:24" x14ac:dyDescent="0.3">
      <c r="A674">
        <v>1690</v>
      </c>
      <c r="B674">
        <v>116</v>
      </c>
      <c r="C674" t="s">
        <v>30</v>
      </c>
      <c r="D674" t="s">
        <v>28</v>
      </c>
      <c r="E674" t="s">
        <v>29</v>
      </c>
      <c r="F674" t="s">
        <v>24</v>
      </c>
      <c r="G674">
        <v>12</v>
      </c>
      <c r="H674">
        <v>8</v>
      </c>
      <c r="I674">
        <v>5</v>
      </c>
      <c r="J674">
        <v>48.92</v>
      </c>
      <c r="K674">
        <v>177.13</v>
      </c>
      <c r="L674">
        <v>0.36</v>
      </c>
      <c r="M674">
        <v>47.86</v>
      </c>
      <c r="N674">
        <v>0.94</v>
      </c>
      <c r="O674" t="s">
        <v>20</v>
      </c>
      <c r="P674" t="s">
        <v>21</v>
      </c>
      <c r="Q674">
        <f t="shared" si="50"/>
        <v>15</v>
      </c>
      <c r="R674" s="4">
        <f>RANK(N674,$N$2:N$2800,0)</f>
        <v>1431</v>
      </c>
      <c r="S674">
        <f t="shared" si="51"/>
        <v>2.4</v>
      </c>
      <c r="T674" t="str">
        <f t="shared" si="52"/>
        <v>Good</v>
      </c>
      <c r="U674" t="str" cm="1">
        <f t="array" ref="U674">_xlfn.LET(_xlpm.roles,_xlfn.UNIQUE(D674:D3472),_xlpm.kills, SUMIF(D674:D3472,_xlpm.roles,G674:G3472),INDEX(_xlpm.roles,MATCH(MAX(_xlpm.kills),_xlpm.kills,0)))</f>
        <v>Entry Fragger</v>
      </c>
      <c r="V674" t="str">
        <f t="shared" si="53"/>
        <v>Medium Accuracy</v>
      </c>
      <c r="W674" t="str" cm="1">
        <f t="array" ref="W674">_xlfn.LET(_xlpm.roles,_xlfn.UNIQUE(D674:D3472), _xlpm.counts,COUNTIF(D674:D3472,_xlpm.roles), INDEX(_xlpm.roles,MATCH(MAX(_xlpm.counts),_xlpm.counts,0)))</f>
        <v>Entry Fragger</v>
      </c>
      <c r="X674" s="2">
        <f t="shared" si="54"/>
        <v>13.135802469135802</v>
      </c>
    </row>
    <row r="675" spans="1:24" x14ac:dyDescent="0.3">
      <c r="A675">
        <v>1926</v>
      </c>
      <c r="B675">
        <v>116</v>
      </c>
      <c r="C675" t="s">
        <v>16</v>
      </c>
      <c r="D675" t="s">
        <v>17</v>
      </c>
      <c r="E675" t="s">
        <v>23</v>
      </c>
      <c r="F675" t="s">
        <v>24</v>
      </c>
      <c r="G675">
        <v>14</v>
      </c>
      <c r="H675">
        <v>4</v>
      </c>
      <c r="I675">
        <v>18</v>
      </c>
      <c r="J675">
        <v>35.9</v>
      </c>
      <c r="K675">
        <v>239.34</v>
      </c>
      <c r="L675">
        <v>0.13</v>
      </c>
      <c r="M675">
        <v>30.65</v>
      </c>
      <c r="N675">
        <v>0.67</v>
      </c>
      <c r="O675" t="s">
        <v>20</v>
      </c>
      <c r="P675" t="s">
        <v>21</v>
      </c>
      <c r="Q675">
        <f t="shared" si="50"/>
        <v>0</v>
      </c>
      <c r="R675" s="4">
        <f>RANK(N675,$N$2:N$2800,0)</f>
        <v>2731</v>
      </c>
      <c r="S675">
        <f t="shared" si="51"/>
        <v>0.77777777777777779</v>
      </c>
      <c r="T675" t="str">
        <f t="shared" si="52"/>
        <v>Low</v>
      </c>
      <c r="U675" t="str" cm="1">
        <f t="array" ref="U675">_xlfn.LET(_xlpm.roles,_xlfn.UNIQUE(D675:D3473),_xlpm.kills, SUMIF(D675:D3473,_xlpm.roles,G675:G3473),INDEX(_xlpm.roles,MATCH(MAX(_xlpm.kills),_xlpm.kills,0)))</f>
        <v>Entry Fragger</v>
      </c>
      <c r="V675" t="str">
        <f t="shared" si="53"/>
        <v>Medium Accuracy</v>
      </c>
      <c r="W675" t="str" cm="1">
        <f t="array" ref="W675">_xlfn.LET(_xlpm.roles,_xlfn.UNIQUE(D675:D3473), _xlpm.counts,COUNTIF(D675:D3473,_xlpm.roles), INDEX(_xlpm.roles,MATCH(MAX(_xlpm.counts),_xlpm.counts,0)))</f>
        <v>Entry Fragger</v>
      </c>
      <c r="X675" s="2">
        <f t="shared" si="54"/>
        <v>12.520971302428256</v>
      </c>
    </row>
    <row r="676" spans="1:24" x14ac:dyDescent="0.3">
      <c r="A676">
        <v>2065</v>
      </c>
      <c r="B676">
        <v>116</v>
      </c>
      <c r="C676" t="s">
        <v>35</v>
      </c>
      <c r="D676" t="s">
        <v>17</v>
      </c>
      <c r="E676" t="s">
        <v>18</v>
      </c>
      <c r="F676" t="s">
        <v>19</v>
      </c>
      <c r="G676">
        <v>11</v>
      </c>
      <c r="H676">
        <v>7</v>
      </c>
      <c r="I676">
        <v>12</v>
      </c>
      <c r="J676">
        <v>51.35</v>
      </c>
      <c r="K676">
        <v>186.17</v>
      </c>
      <c r="L676">
        <v>0.61</v>
      </c>
      <c r="M676">
        <v>36.57</v>
      </c>
      <c r="N676">
        <v>0.89</v>
      </c>
      <c r="O676" t="s">
        <v>20</v>
      </c>
      <c r="P676" t="s">
        <v>21</v>
      </c>
      <c r="Q676">
        <f t="shared" si="50"/>
        <v>6</v>
      </c>
      <c r="R676" s="4">
        <f>RANK(N676,$N$2:N$2800,0)</f>
        <v>1815</v>
      </c>
      <c r="S676">
        <f t="shared" si="51"/>
        <v>0.91666666666666663</v>
      </c>
      <c r="T676" t="str">
        <f t="shared" si="52"/>
        <v>Low</v>
      </c>
      <c r="U676" t="str" cm="1">
        <f t="array" ref="U676">_xlfn.LET(_xlpm.roles,_xlfn.UNIQUE(D676:D3474),_xlpm.kills, SUMIF(D676:D3474,_xlpm.roles,G676:G3474),INDEX(_xlpm.roles,MATCH(MAX(_xlpm.kills),_xlpm.kills,0)))</f>
        <v>Entry Fragger</v>
      </c>
      <c r="V676" t="str">
        <f t="shared" si="53"/>
        <v>High Accuracy</v>
      </c>
      <c r="W676" t="str" cm="1">
        <f t="array" ref="W676">_xlfn.LET(_xlpm.roles,_xlfn.UNIQUE(D676:D3474), _xlpm.counts,COUNTIF(D676:D3474,_xlpm.roles), INDEX(_xlpm.roles,MATCH(MAX(_xlpm.counts),_xlpm.counts,0)))</f>
        <v>Entry Fragger</v>
      </c>
      <c r="X676" s="2">
        <f t="shared" si="54"/>
        <v>12.599585062240664</v>
      </c>
    </row>
    <row r="677" spans="1:24" x14ac:dyDescent="0.3">
      <c r="A677">
        <v>2354</v>
      </c>
      <c r="B677">
        <v>116</v>
      </c>
      <c r="C677" t="s">
        <v>30</v>
      </c>
      <c r="D677" t="s">
        <v>17</v>
      </c>
      <c r="E677" t="s">
        <v>23</v>
      </c>
      <c r="F677" t="s">
        <v>24</v>
      </c>
      <c r="G677">
        <v>17</v>
      </c>
      <c r="H677">
        <v>7</v>
      </c>
      <c r="I677">
        <v>7</v>
      </c>
      <c r="J677">
        <v>48.61</v>
      </c>
      <c r="K677">
        <v>244.88</v>
      </c>
      <c r="L677">
        <v>0.26</v>
      </c>
      <c r="M677">
        <v>55.7</v>
      </c>
      <c r="N677">
        <v>1</v>
      </c>
      <c r="O677" t="s">
        <v>20</v>
      </c>
      <c r="P677" t="s">
        <v>21</v>
      </c>
      <c r="Q677">
        <f t="shared" si="50"/>
        <v>17</v>
      </c>
      <c r="R677" s="4">
        <f>RANK(N677,$N$2:N$2800,0)</f>
        <v>1</v>
      </c>
      <c r="S677">
        <f t="shared" si="51"/>
        <v>2.4285714285714284</v>
      </c>
      <c r="T677" t="str">
        <f t="shared" si="52"/>
        <v>Good</v>
      </c>
      <c r="U677" t="str" cm="1">
        <f t="array" ref="U677">_xlfn.LET(_xlpm.roles,_xlfn.UNIQUE(D677:D3475),_xlpm.kills, SUMIF(D677:D3475,_xlpm.roles,G677:G3475),INDEX(_xlpm.roles,MATCH(MAX(_xlpm.kills),_xlpm.kills,0)))</f>
        <v>Entry Fragger</v>
      </c>
      <c r="V677" t="str">
        <f t="shared" si="53"/>
        <v>Medium Accuracy</v>
      </c>
      <c r="W677" t="str" cm="1">
        <f t="array" ref="W677">_xlfn.LET(_xlpm.roles,_xlfn.UNIQUE(D677:D3475), _xlpm.counts,COUNTIF(D677:D3475,_xlpm.roles), INDEX(_xlpm.roles,MATCH(MAX(_xlpm.counts),_xlpm.counts,0)))</f>
        <v>Entry Fragger</v>
      </c>
      <c r="X677" s="2">
        <f t="shared" si="54"/>
        <v>13.135802469135802</v>
      </c>
    </row>
    <row r="678" spans="1:24" x14ac:dyDescent="0.3">
      <c r="A678">
        <v>2773</v>
      </c>
      <c r="B678">
        <v>116</v>
      </c>
      <c r="C678" t="s">
        <v>30</v>
      </c>
      <c r="D678" t="s">
        <v>17</v>
      </c>
      <c r="E678" t="s">
        <v>33</v>
      </c>
      <c r="F678" t="s">
        <v>34</v>
      </c>
      <c r="G678">
        <v>11</v>
      </c>
      <c r="H678">
        <v>6</v>
      </c>
      <c r="I678">
        <v>7</v>
      </c>
      <c r="J678">
        <v>33.06</v>
      </c>
      <c r="K678">
        <v>255.03</v>
      </c>
      <c r="L678">
        <v>0.72</v>
      </c>
      <c r="M678">
        <v>30.33</v>
      </c>
      <c r="N678">
        <v>0.73</v>
      </c>
      <c r="O678" t="s">
        <v>20</v>
      </c>
      <c r="P678" t="s">
        <v>21</v>
      </c>
      <c r="Q678">
        <f t="shared" si="50"/>
        <v>10</v>
      </c>
      <c r="R678" s="4">
        <f>RANK(N678,$N$2:N$2800,0)</f>
        <v>2642</v>
      </c>
      <c r="S678">
        <f t="shared" si="51"/>
        <v>1.5714285714285714</v>
      </c>
      <c r="T678" t="str">
        <f t="shared" si="52"/>
        <v>Low</v>
      </c>
      <c r="U678" t="str" cm="1">
        <f t="array" ref="U678">_xlfn.LET(_xlpm.roles,_xlfn.UNIQUE(D678:D3476),_xlpm.kills, SUMIF(D678:D3476,_xlpm.roles,G678:G3476),INDEX(_xlpm.roles,MATCH(MAX(_xlpm.kills),_xlpm.kills,0)))</f>
        <v>Entry Fragger</v>
      </c>
      <c r="V678" t="str">
        <f t="shared" si="53"/>
        <v>Medium Accuracy</v>
      </c>
      <c r="W678" t="str" cm="1">
        <f t="array" ref="W678">_xlfn.LET(_xlpm.roles,_xlfn.UNIQUE(D678:D3476), _xlpm.counts,COUNTIF(D678:D3476,_xlpm.roles), INDEX(_xlpm.roles,MATCH(MAX(_xlpm.counts),_xlpm.counts,0)))</f>
        <v>Entry Fragger</v>
      </c>
      <c r="X678" s="2">
        <f t="shared" si="54"/>
        <v>13.135802469135802</v>
      </c>
    </row>
    <row r="679" spans="1:24" x14ac:dyDescent="0.3">
      <c r="A679">
        <v>167</v>
      </c>
      <c r="B679">
        <v>117</v>
      </c>
      <c r="C679" t="s">
        <v>30</v>
      </c>
      <c r="D679" t="s">
        <v>17</v>
      </c>
      <c r="E679" t="s">
        <v>33</v>
      </c>
      <c r="F679" t="s">
        <v>24</v>
      </c>
      <c r="G679">
        <v>13</v>
      </c>
      <c r="H679">
        <v>10</v>
      </c>
      <c r="I679">
        <v>13</v>
      </c>
      <c r="J679">
        <v>41.9</v>
      </c>
      <c r="K679">
        <v>218.64</v>
      </c>
      <c r="L679">
        <v>0.3</v>
      </c>
      <c r="M679">
        <v>40.950000000000003</v>
      </c>
      <c r="N679">
        <v>0.84</v>
      </c>
      <c r="O679" t="s">
        <v>20</v>
      </c>
      <c r="P679" t="s">
        <v>21</v>
      </c>
      <c r="Q679">
        <f t="shared" si="50"/>
        <v>10</v>
      </c>
      <c r="R679" s="4">
        <f>RANK(N679,$N$2:N$2800,0)</f>
        <v>2156</v>
      </c>
      <c r="S679">
        <f t="shared" si="51"/>
        <v>1</v>
      </c>
      <c r="T679" t="str">
        <f t="shared" si="52"/>
        <v>Low</v>
      </c>
      <c r="U679" t="str" cm="1">
        <f t="array" ref="U679">_xlfn.LET(_xlpm.roles,_xlfn.UNIQUE(D679:D3477),_xlpm.kills, SUMIF(D679:D3477,_xlpm.roles,G679:G3477),INDEX(_xlpm.roles,MATCH(MAX(_xlpm.kills),_xlpm.kills,0)))</f>
        <v>Entry Fragger</v>
      </c>
      <c r="V679" t="str">
        <f t="shared" si="53"/>
        <v>Medium Accuracy</v>
      </c>
      <c r="W679" t="str" cm="1">
        <f t="array" ref="W679">_xlfn.LET(_xlpm.roles,_xlfn.UNIQUE(D679:D3477), _xlpm.counts,COUNTIF(D679:D3477,_xlpm.roles), INDEX(_xlpm.roles,MATCH(MAX(_xlpm.counts),_xlpm.counts,0)))</f>
        <v>Entry Fragger</v>
      </c>
      <c r="X679" s="2">
        <f t="shared" si="54"/>
        <v>13.135802469135802</v>
      </c>
    </row>
    <row r="680" spans="1:24" x14ac:dyDescent="0.3">
      <c r="A680">
        <v>2319</v>
      </c>
      <c r="B680">
        <v>117</v>
      </c>
      <c r="C680" t="s">
        <v>30</v>
      </c>
      <c r="D680" t="s">
        <v>22</v>
      </c>
      <c r="E680" t="s">
        <v>32</v>
      </c>
      <c r="F680" t="s">
        <v>26</v>
      </c>
      <c r="G680">
        <v>13</v>
      </c>
      <c r="H680">
        <v>8</v>
      </c>
      <c r="I680">
        <v>16</v>
      </c>
      <c r="J680">
        <v>33.71</v>
      </c>
      <c r="K680">
        <v>244.66</v>
      </c>
      <c r="L680">
        <v>0.65</v>
      </c>
      <c r="M680">
        <v>28.36</v>
      </c>
      <c r="N680">
        <v>0.67</v>
      </c>
      <c r="O680" t="s">
        <v>20</v>
      </c>
      <c r="P680" t="s">
        <v>21</v>
      </c>
      <c r="Q680">
        <f t="shared" si="50"/>
        <v>5</v>
      </c>
      <c r="R680" s="4">
        <f>RANK(N680,$N$2:N$2800,0)</f>
        <v>2731</v>
      </c>
      <c r="S680">
        <f t="shared" si="51"/>
        <v>0.8125</v>
      </c>
      <c r="T680" t="str">
        <f t="shared" si="52"/>
        <v>Low</v>
      </c>
      <c r="U680" t="str" cm="1">
        <f t="array" ref="U680">_xlfn.LET(_xlpm.roles,_xlfn.UNIQUE(D680:D3478),_xlpm.kills, SUMIF(D680:D3478,_xlpm.roles,G680:G3478),INDEX(_xlpm.roles,MATCH(MAX(_xlpm.kills),_xlpm.kills,0)))</f>
        <v>Entry Fragger</v>
      </c>
      <c r="V680" t="str">
        <f t="shared" si="53"/>
        <v>Medium Accuracy</v>
      </c>
      <c r="W680" t="str" cm="1">
        <f t="array" ref="W680">_xlfn.LET(_xlpm.roles,_xlfn.UNIQUE(D680:D3478), _xlpm.counts,COUNTIF(D680:D3478,_xlpm.roles), INDEX(_xlpm.roles,MATCH(MAX(_xlpm.counts),_xlpm.counts,0)))</f>
        <v>Entry Fragger</v>
      </c>
      <c r="X680" s="2">
        <f t="shared" si="54"/>
        <v>13.135802469135802</v>
      </c>
    </row>
    <row r="681" spans="1:24" x14ac:dyDescent="0.3">
      <c r="A681">
        <v>2069</v>
      </c>
      <c r="B681">
        <v>118</v>
      </c>
      <c r="C681" t="s">
        <v>39</v>
      </c>
      <c r="D681" t="s">
        <v>17</v>
      </c>
      <c r="E681" t="s">
        <v>32</v>
      </c>
      <c r="F681" t="s">
        <v>26</v>
      </c>
      <c r="G681">
        <v>15</v>
      </c>
      <c r="H681">
        <v>6</v>
      </c>
      <c r="I681">
        <v>21</v>
      </c>
      <c r="J681">
        <v>31.69</v>
      </c>
      <c r="K681">
        <v>195.66</v>
      </c>
      <c r="L681">
        <v>0.38</v>
      </c>
      <c r="M681">
        <v>27.04</v>
      </c>
      <c r="N681">
        <v>1</v>
      </c>
      <c r="O681" t="s">
        <v>20</v>
      </c>
      <c r="P681" t="s">
        <v>21</v>
      </c>
      <c r="Q681">
        <f t="shared" si="50"/>
        <v>0</v>
      </c>
      <c r="R681" s="4">
        <f>RANK(N681,$N$2:N$2800,0)</f>
        <v>1</v>
      </c>
      <c r="S681">
        <f t="shared" si="51"/>
        <v>0.7142857142857143</v>
      </c>
      <c r="T681" t="str">
        <f t="shared" si="52"/>
        <v>Low</v>
      </c>
      <c r="U681" t="str" cm="1">
        <f t="array" ref="U681">_xlfn.LET(_xlpm.roles,_xlfn.UNIQUE(D681:D3479),_xlpm.kills, SUMIF(D681:D3479,_xlpm.roles,G681:G3479),INDEX(_xlpm.roles,MATCH(MAX(_xlpm.kills),_xlpm.kills,0)))</f>
        <v>Entry Fragger</v>
      </c>
      <c r="V681" t="str">
        <f t="shared" si="53"/>
        <v>Medium Accuracy</v>
      </c>
      <c r="W681" t="str" cm="1">
        <f t="array" ref="W681">_xlfn.LET(_xlpm.roles,_xlfn.UNIQUE(D681:D3479), _xlpm.counts,COUNTIF(D681:D3479,_xlpm.roles), INDEX(_xlpm.roles,MATCH(MAX(_xlpm.counts),_xlpm.counts,0)))</f>
        <v>Entry Fragger</v>
      </c>
      <c r="X681" s="2">
        <f t="shared" si="54"/>
        <v>13.103594080338267</v>
      </c>
    </row>
    <row r="682" spans="1:24" x14ac:dyDescent="0.3">
      <c r="A682">
        <v>2283</v>
      </c>
      <c r="B682">
        <v>118</v>
      </c>
      <c r="C682" t="s">
        <v>16</v>
      </c>
      <c r="D682" t="s">
        <v>36</v>
      </c>
      <c r="E682" t="s">
        <v>18</v>
      </c>
      <c r="F682" t="s">
        <v>19</v>
      </c>
      <c r="G682">
        <v>15</v>
      </c>
      <c r="H682">
        <v>11</v>
      </c>
      <c r="I682">
        <v>7</v>
      </c>
      <c r="J682">
        <v>44.45</v>
      </c>
      <c r="K682">
        <v>227.96</v>
      </c>
      <c r="L682">
        <v>0.23</v>
      </c>
      <c r="M682">
        <v>53.93</v>
      </c>
      <c r="N682">
        <v>1</v>
      </c>
      <c r="O682" t="s">
        <v>20</v>
      </c>
      <c r="P682" t="s">
        <v>21</v>
      </c>
      <c r="Q682">
        <f t="shared" si="50"/>
        <v>19</v>
      </c>
      <c r="R682" s="4">
        <f>RANK(N682,$N$2:N$2800,0)</f>
        <v>1</v>
      </c>
      <c r="S682">
        <f t="shared" si="51"/>
        <v>2.1428571428571428</v>
      </c>
      <c r="T682" t="str">
        <f t="shared" si="52"/>
        <v>Good</v>
      </c>
      <c r="U682" t="str" cm="1">
        <f t="array" ref="U682">_xlfn.LET(_xlpm.roles,_xlfn.UNIQUE(D682:D3480),_xlpm.kills, SUMIF(D682:D3480,_xlpm.roles,G682:G3480),INDEX(_xlpm.roles,MATCH(MAX(_xlpm.kills),_xlpm.kills,0)))</f>
        <v>Entry Fragger</v>
      </c>
      <c r="V682" t="str">
        <f t="shared" si="53"/>
        <v>Medium Accuracy</v>
      </c>
      <c r="W682" t="str" cm="1">
        <f t="array" ref="W682">_xlfn.LET(_xlpm.roles,_xlfn.UNIQUE(D682:D3480), _xlpm.counts,COUNTIF(D682:D3480,_xlpm.roles), INDEX(_xlpm.roles,MATCH(MAX(_xlpm.counts),_xlpm.counts,0)))</f>
        <v>Entry Fragger</v>
      </c>
      <c r="X682" s="2">
        <f t="shared" si="54"/>
        <v>12.520971302428256</v>
      </c>
    </row>
    <row r="683" spans="1:24" x14ac:dyDescent="0.3">
      <c r="A683">
        <v>748</v>
      </c>
      <c r="B683">
        <v>119</v>
      </c>
      <c r="C683" t="s">
        <v>30</v>
      </c>
      <c r="D683" t="s">
        <v>36</v>
      </c>
      <c r="E683" t="s">
        <v>23</v>
      </c>
      <c r="F683" t="s">
        <v>34</v>
      </c>
      <c r="G683">
        <v>10</v>
      </c>
      <c r="H683">
        <v>8</v>
      </c>
      <c r="I683">
        <v>17</v>
      </c>
      <c r="J683">
        <v>58.91</v>
      </c>
      <c r="K683">
        <v>233.21</v>
      </c>
      <c r="L683">
        <v>0.69</v>
      </c>
      <c r="M683">
        <v>33.549999999999997</v>
      </c>
      <c r="N683">
        <v>0.83</v>
      </c>
      <c r="O683" t="s">
        <v>20</v>
      </c>
      <c r="P683" t="s">
        <v>21</v>
      </c>
      <c r="Q683">
        <f t="shared" si="50"/>
        <v>1</v>
      </c>
      <c r="R683" s="4">
        <f>RANK(N683,$N$2:N$2800,0)</f>
        <v>2218</v>
      </c>
      <c r="S683">
        <f t="shared" si="51"/>
        <v>0.58823529411764708</v>
      </c>
      <c r="T683" t="str">
        <f t="shared" si="52"/>
        <v>Low</v>
      </c>
      <c r="U683" t="str" cm="1">
        <f t="array" ref="U683">_xlfn.LET(_xlpm.roles,_xlfn.UNIQUE(D683:D3481),_xlpm.kills, SUMIF(D683:D3481,_xlpm.roles,G683:G3481),INDEX(_xlpm.roles,MATCH(MAX(_xlpm.kills),_xlpm.kills,0)))</f>
        <v>Entry Fragger</v>
      </c>
      <c r="V683" t="str">
        <f t="shared" si="53"/>
        <v>High Accuracy</v>
      </c>
      <c r="W683" t="str" cm="1">
        <f t="array" ref="W683">_xlfn.LET(_xlpm.roles,_xlfn.UNIQUE(D683:D3481), _xlpm.counts,COUNTIF(D683:D3481,_xlpm.roles), INDEX(_xlpm.roles,MATCH(MAX(_xlpm.counts),_xlpm.counts,0)))</f>
        <v>Entry Fragger</v>
      </c>
      <c r="X683" s="2">
        <f t="shared" si="54"/>
        <v>13.135802469135802</v>
      </c>
    </row>
    <row r="684" spans="1:24" x14ac:dyDescent="0.3">
      <c r="A684">
        <v>1546</v>
      </c>
      <c r="B684">
        <v>119</v>
      </c>
      <c r="C684" t="s">
        <v>27</v>
      </c>
      <c r="D684" t="s">
        <v>36</v>
      </c>
      <c r="E684" t="s">
        <v>32</v>
      </c>
      <c r="F684" t="s">
        <v>26</v>
      </c>
      <c r="G684">
        <v>8</v>
      </c>
      <c r="H684">
        <v>6</v>
      </c>
      <c r="I684">
        <v>13</v>
      </c>
      <c r="J684">
        <v>42.83</v>
      </c>
      <c r="K684">
        <v>256.44</v>
      </c>
      <c r="L684">
        <v>0.94</v>
      </c>
      <c r="M684">
        <v>21.02</v>
      </c>
      <c r="N684">
        <v>0.9</v>
      </c>
      <c r="O684" t="s">
        <v>20</v>
      </c>
      <c r="P684" t="s">
        <v>21</v>
      </c>
      <c r="Q684">
        <f t="shared" si="50"/>
        <v>1</v>
      </c>
      <c r="R684" s="4">
        <f>RANK(N684,$N$2:N$2800,0)</f>
        <v>1738</v>
      </c>
      <c r="S684">
        <f t="shared" si="51"/>
        <v>0.61538461538461542</v>
      </c>
      <c r="T684" t="str">
        <f t="shared" si="52"/>
        <v>Low</v>
      </c>
      <c r="U684" t="str" cm="1">
        <f t="array" ref="U684">_xlfn.LET(_xlpm.roles,_xlfn.UNIQUE(D684:D3482),_xlpm.kills, SUMIF(D684:D3482,_xlpm.roles,G684:G3482),INDEX(_xlpm.roles,MATCH(MAX(_xlpm.kills),_xlpm.kills,0)))</f>
        <v>Entry Fragger</v>
      </c>
      <c r="V684" t="str">
        <f t="shared" si="53"/>
        <v>Medium Accuracy</v>
      </c>
      <c r="W684" t="str" cm="1">
        <f t="array" ref="W684">_xlfn.LET(_xlpm.roles,_xlfn.UNIQUE(D684:D3482), _xlpm.counts,COUNTIF(D684:D3482,_xlpm.roles), INDEX(_xlpm.roles,MATCH(MAX(_xlpm.counts),_xlpm.counts,0)))</f>
        <v>Entry Fragger</v>
      </c>
      <c r="X684" s="2">
        <f t="shared" si="54"/>
        <v>13.057077625570777</v>
      </c>
    </row>
    <row r="685" spans="1:24" x14ac:dyDescent="0.3">
      <c r="A685">
        <v>2497</v>
      </c>
      <c r="B685">
        <v>119</v>
      </c>
      <c r="C685" t="s">
        <v>39</v>
      </c>
      <c r="D685" t="s">
        <v>36</v>
      </c>
      <c r="E685" t="s">
        <v>18</v>
      </c>
      <c r="F685" t="s">
        <v>26</v>
      </c>
      <c r="G685">
        <v>19</v>
      </c>
      <c r="H685">
        <v>8</v>
      </c>
      <c r="I685">
        <v>6</v>
      </c>
      <c r="J685">
        <v>42.73</v>
      </c>
      <c r="K685">
        <v>240.12</v>
      </c>
      <c r="L685">
        <v>0.99</v>
      </c>
      <c r="M685">
        <v>51.46</v>
      </c>
      <c r="N685">
        <v>1</v>
      </c>
      <c r="O685" t="s">
        <v>20</v>
      </c>
      <c r="P685" t="s">
        <v>21</v>
      </c>
      <c r="Q685">
        <f t="shared" si="50"/>
        <v>21</v>
      </c>
      <c r="R685" s="4">
        <f>RANK(N685,$N$2:N$2800,0)</f>
        <v>1</v>
      </c>
      <c r="S685">
        <f t="shared" si="51"/>
        <v>3.1666666666666665</v>
      </c>
      <c r="T685" t="str">
        <f t="shared" si="52"/>
        <v>Good</v>
      </c>
      <c r="U685" t="str" cm="1">
        <f t="array" ref="U685">_xlfn.LET(_xlpm.roles,_xlfn.UNIQUE(D685:D3483),_xlpm.kills, SUMIF(D685:D3483,_xlpm.roles,G685:G3483),INDEX(_xlpm.roles,MATCH(MAX(_xlpm.kills),_xlpm.kills,0)))</f>
        <v>Entry Fragger</v>
      </c>
      <c r="V685" t="str">
        <f t="shared" si="53"/>
        <v>Medium Accuracy</v>
      </c>
      <c r="W685" t="str" cm="1">
        <f t="array" ref="W685">_xlfn.LET(_xlpm.roles,_xlfn.UNIQUE(D685:D3483), _xlpm.counts,COUNTIF(D685:D3483,_xlpm.roles), INDEX(_xlpm.roles,MATCH(MAX(_xlpm.counts),_xlpm.counts,0)))</f>
        <v>Entry Fragger</v>
      </c>
      <c r="X685" s="2">
        <f t="shared" si="54"/>
        <v>13.103594080338267</v>
      </c>
    </row>
    <row r="686" spans="1:24" x14ac:dyDescent="0.3">
      <c r="A686">
        <v>57</v>
      </c>
      <c r="B686">
        <v>120</v>
      </c>
      <c r="C686" t="s">
        <v>16</v>
      </c>
      <c r="D686" t="s">
        <v>36</v>
      </c>
      <c r="E686" t="s">
        <v>32</v>
      </c>
      <c r="F686" t="s">
        <v>24</v>
      </c>
      <c r="G686">
        <v>14</v>
      </c>
      <c r="H686">
        <v>10</v>
      </c>
      <c r="I686">
        <v>16</v>
      </c>
      <c r="J686">
        <v>47.31</v>
      </c>
      <c r="K686">
        <v>293.66000000000003</v>
      </c>
      <c r="L686">
        <v>0.23</v>
      </c>
      <c r="M686">
        <v>43.36</v>
      </c>
      <c r="N686">
        <v>0.88</v>
      </c>
      <c r="O686" t="s">
        <v>20</v>
      </c>
      <c r="P686" t="s">
        <v>21</v>
      </c>
      <c r="Q686">
        <f t="shared" si="50"/>
        <v>8</v>
      </c>
      <c r="R686" s="4">
        <f>RANK(N686,$N$2:N$2800,0)</f>
        <v>1894</v>
      </c>
      <c r="S686">
        <f t="shared" si="51"/>
        <v>0.875</v>
      </c>
      <c r="T686" t="str">
        <f t="shared" si="52"/>
        <v>Low</v>
      </c>
      <c r="U686" t="str" cm="1">
        <f t="array" ref="U686">_xlfn.LET(_xlpm.roles,_xlfn.UNIQUE(D686:D3484),_xlpm.kills, SUMIF(D686:D3484,_xlpm.roles,G686:G3484),INDEX(_xlpm.roles,MATCH(MAX(_xlpm.kills),_xlpm.kills,0)))</f>
        <v>Entry Fragger</v>
      </c>
      <c r="V686" t="str">
        <f t="shared" si="53"/>
        <v>Medium Accuracy</v>
      </c>
      <c r="W686" t="str" cm="1">
        <f t="array" ref="W686">_xlfn.LET(_xlpm.roles,_xlfn.UNIQUE(D686:D3484), _xlpm.counts,COUNTIF(D686:D3484,_xlpm.roles), INDEX(_xlpm.roles,MATCH(MAX(_xlpm.counts),_xlpm.counts,0)))</f>
        <v>Entry Fragger</v>
      </c>
      <c r="X686" s="2">
        <f t="shared" si="54"/>
        <v>12.520971302428256</v>
      </c>
    </row>
    <row r="687" spans="1:24" x14ac:dyDescent="0.3">
      <c r="A687">
        <v>288</v>
      </c>
      <c r="B687">
        <v>120</v>
      </c>
      <c r="C687" t="s">
        <v>39</v>
      </c>
      <c r="D687" t="s">
        <v>28</v>
      </c>
      <c r="E687" t="s">
        <v>18</v>
      </c>
      <c r="F687" t="s">
        <v>37</v>
      </c>
      <c r="G687">
        <v>14</v>
      </c>
      <c r="H687">
        <v>7</v>
      </c>
      <c r="I687">
        <v>11</v>
      </c>
      <c r="J687">
        <v>47.91</v>
      </c>
      <c r="K687">
        <v>235.26</v>
      </c>
      <c r="L687">
        <v>0.03</v>
      </c>
      <c r="M687">
        <v>47.66</v>
      </c>
      <c r="N687">
        <v>0.93</v>
      </c>
      <c r="O687" t="s">
        <v>20</v>
      </c>
      <c r="P687" t="s">
        <v>21</v>
      </c>
      <c r="Q687">
        <f t="shared" si="50"/>
        <v>10</v>
      </c>
      <c r="R687" s="4">
        <f>RANK(N687,$N$2:N$2800,0)</f>
        <v>1505</v>
      </c>
      <c r="S687">
        <f t="shared" si="51"/>
        <v>1.2727272727272727</v>
      </c>
      <c r="T687" t="str">
        <f t="shared" si="52"/>
        <v>Low</v>
      </c>
      <c r="U687" t="str" cm="1">
        <f t="array" ref="U687">_xlfn.LET(_xlpm.roles,_xlfn.UNIQUE(D687:D3485),_xlpm.kills, SUMIF(D687:D3485,_xlpm.roles,G687:G3485),INDEX(_xlpm.roles,MATCH(MAX(_xlpm.kills),_xlpm.kills,0)))</f>
        <v>Entry Fragger</v>
      </c>
      <c r="V687" t="str">
        <f t="shared" si="53"/>
        <v>Medium Accuracy</v>
      </c>
      <c r="W687" t="str" cm="1">
        <f t="array" ref="W687">_xlfn.LET(_xlpm.roles,_xlfn.UNIQUE(D687:D3485), _xlpm.counts,COUNTIF(D687:D3485,_xlpm.roles), INDEX(_xlpm.roles,MATCH(MAX(_xlpm.counts),_xlpm.counts,0)))</f>
        <v>Entry Fragger</v>
      </c>
      <c r="X687" s="2">
        <f t="shared" si="54"/>
        <v>13.103594080338267</v>
      </c>
    </row>
    <row r="688" spans="1:24" x14ac:dyDescent="0.3">
      <c r="A688">
        <v>303</v>
      </c>
      <c r="B688">
        <v>120</v>
      </c>
      <c r="C688" t="s">
        <v>25</v>
      </c>
      <c r="D688" t="s">
        <v>17</v>
      </c>
      <c r="E688" t="s">
        <v>23</v>
      </c>
      <c r="F688" t="s">
        <v>26</v>
      </c>
      <c r="G688">
        <v>21</v>
      </c>
      <c r="H688">
        <v>10</v>
      </c>
      <c r="I688">
        <v>8</v>
      </c>
      <c r="J688">
        <v>32.33</v>
      </c>
      <c r="K688">
        <v>232.39</v>
      </c>
      <c r="L688">
        <v>0.92</v>
      </c>
      <c r="M688">
        <v>50.96</v>
      </c>
      <c r="N688">
        <v>1</v>
      </c>
      <c r="O688" t="s">
        <v>20</v>
      </c>
      <c r="P688" t="s">
        <v>21</v>
      </c>
      <c r="Q688">
        <f t="shared" si="50"/>
        <v>23</v>
      </c>
      <c r="R688" s="4">
        <f>RANK(N688,$N$2:N$2800,0)</f>
        <v>1</v>
      </c>
      <c r="S688">
        <f t="shared" si="51"/>
        <v>2.625</v>
      </c>
      <c r="T688" t="str">
        <f t="shared" si="52"/>
        <v>Good</v>
      </c>
      <c r="U688" t="str" cm="1">
        <f t="array" ref="U688">_xlfn.LET(_xlpm.roles,_xlfn.UNIQUE(D688:D3486),_xlpm.kills, SUMIF(D688:D3486,_xlpm.roles,G688:G3486),INDEX(_xlpm.roles,MATCH(MAX(_xlpm.kills),_xlpm.kills,0)))</f>
        <v>Entry Fragger</v>
      </c>
      <c r="V688" t="str">
        <f t="shared" si="53"/>
        <v>Medium Accuracy</v>
      </c>
      <c r="W688" t="str" cm="1">
        <f t="array" ref="W688">_xlfn.LET(_xlpm.roles,_xlfn.UNIQUE(D688:D3486), _xlpm.counts,COUNTIF(D688:D3486,_xlpm.roles), INDEX(_xlpm.roles,MATCH(MAX(_xlpm.counts),_xlpm.counts,0)))</f>
        <v>Entry Fragger</v>
      </c>
      <c r="X688" s="2">
        <f t="shared" si="54"/>
        <v>12.809421841541756</v>
      </c>
    </row>
    <row r="689" spans="1:24" x14ac:dyDescent="0.3">
      <c r="A689">
        <v>668</v>
      </c>
      <c r="B689">
        <v>120</v>
      </c>
      <c r="C689" t="s">
        <v>16</v>
      </c>
      <c r="D689" t="s">
        <v>31</v>
      </c>
      <c r="E689" t="s">
        <v>23</v>
      </c>
      <c r="F689" t="s">
        <v>19</v>
      </c>
      <c r="G689">
        <v>16</v>
      </c>
      <c r="H689">
        <v>10</v>
      </c>
      <c r="I689">
        <v>7</v>
      </c>
      <c r="J689">
        <v>28.52</v>
      </c>
      <c r="K689">
        <v>227.62</v>
      </c>
      <c r="L689">
        <v>0.08</v>
      </c>
      <c r="M689">
        <v>48.46</v>
      </c>
      <c r="N689">
        <v>1</v>
      </c>
      <c r="O689" t="s">
        <v>20</v>
      </c>
      <c r="P689" t="s">
        <v>21</v>
      </c>
      <c r="Q689">
        <f t="shared" si="50"/>
        <v>19</v>
      </c>
      <c r="R689" s="4">
        <f>RANK(N689,$N$2:N$2800,0)</f>
        <v>1</v>
      </c>
      <c r="S689">
        <f t="shared" si="51"/>
        <v>2.2857142857142856</v>
      </c>
      <c r="T689" t="str">
        <f t="shared" si="52"/>
        <v>Good</v>
      </c>
      <c r="U689" t="str" cm="1">
        <f t="array" ref="U689">_xlfn.LET(_xlpm.roles,_xlfn.UNIQUE(D689:D3487),_xlpm.kills, SUMIF(D689:D3487,_xlpm.roles,G689:G3487),INDEX(_xlpm.roles,MATCH(MAX(_xlpm.kills),_xlpm.kills,0)))</f>
        <v>Entry Fragger</v>
      </c>
      <c r="V689" t="str">
        <f t="shared" si="53"/>
        <v>Low Accuracy</v>
      </c>
      <c r="W689" t="str" cm="1">
        <f t="array" ref="W689">_xlfn.LET(_xlpm.roles,_xlfn.UNIQUE(D689:D3487), _xlpm.counts,COUNTIF(D689:D3487,_xlpm.roles), INDEX(_xlpm.roles,MATCH(MAX(_xlpm.counts),_xlpm.counts,0)))</f>
        <v>Entry Fragger</v>
      </c>
      <c r="X689" s="2">
        <f t="shared" si="54"/>
        <v>12.520971302428256</v>
      </c>
    </row>
    <row r="690" spans="1:24" x14ac:dyDescent="0.3">
      <c r="A690">
        <v>984</v>
      </c>
      <c r="B690">
        <v>120</v>
      </c>
      <c r="C690" t="s">
        <v>30</v>
      </c>
      <c r="D690" t="s">
        <v>17</v>
      </c>
      <c r="E690" t="s">
        <v>33</v>
      </c>
      <c r="F690" t="s">
        <v>34</v>
      </c>
      <c r="G690">
        <v>21</v>
      </c>
      <c r="H690">
        <v>14</v>
      </c>
      <c r="I690">
        <v>10</v>
      </c>
      <c r="J690">
        <v>42.7</v>
      </c>
      <c r="K690">
        <v>187.72</v>
      </c>
      <c r="L690">
        <v>0.26</v>
      </c>
      <c r="M690">
        <v>64.75</v>
      </c>
      <c r="N690">
        <v>1</v>
      </c>
      <c r="O690" t="s">
        <v>20</v>
      </c>
      <c r="P690" t="s">
        <v>38</v>
      </c>
      <c r="Q690">
        <f t="shared" si="50"/>
        <v>25</v>
      </c>
      <c r="R690" s="4">
        <f>RANK(N690,$N$2:N$2800,0)</f>
        <v>1</v>
      </c>
      <c r="S690">
        <f t="shared" si="51"/>
        <v>2.1</v>
      </c>
      <c r="T690" t="str">
        <f t="shared" si="52"/>
        <v>Excellent</v>
      </c>
      <c r="U690" t="str" cm="1">
        <f t="array" ref="U690">_xlfn.LET(_xlpm.roles,_xlfn.UNIQUE(D690:D3488),_xlpm.kills, SUMIF(D690:D3488,_xlpm.roles,G690:G3488),INDEX(_xlpm.roles,MATCH(MAX(_xlpm.kills),_xlpm.kills,0)))</f>
        <v>Entry Fragger</v>
      </c>
      <c r="V690" t="str">
        <f t="shared" si="53"/>
        <v>Medium Accuracy</v>
      </c>
      <c r="W690" t="str" cm="1">
        <f t="array" ref="W690">_xlfn.LET(_xlpm.roles,_xlfn.UNIQUE(D690:D3488), _xlpm.counts,COUNTIF(D690:D3488,_xlpm.roles), INDEX(_xlpm.roles,MATCH(MAX(_xlpm.counts),_xlpm.counts,0)))</f>
        <v>Entry Fragger</v>
      </c>
      <c r="X690" s="2">
        <f t="shared" si="54"/>
        <v>13.135802469135802</v>
      </c>
    </row>
    <row r="691" spans="1:24" x14ac:dyDescent="0.3">
      <c r="A691">
        <v>1812</v>
      </c>
      <c r="B691">
        <v>120</v>
      </c>
      <c r="C691" t="s">
        <v>35</v>
      </c>
      <c r="D691" t="s">
        <v>28</v>
      </c>
      <c r="E691" t="s">
        <v>23</v>
      </c>
      <c r="F691" t="s">
        <v>37</v>
      </c>
      <c r="G691">
        <v>9</v>
      </c>
      <c r="H691">
        <v>8</v>
      </c>
      <c r="I691">
        <v>11</v>
      </c>
      <c r="J691">
        <v>39.07</v>
      </c>
      <c r="K691">
        <v>186.2</v>
      </c>
      <c r="L691">
        <v>0.01</v>
      </c>
      <c r="M691">
        <v>34.43</v>
      </c>
      <c r="N691">
        <v>0.87</v>
      </c>
      <c r="O691" t="s">
        <v>20</v>
      </c>
      <c r="P691" t="s">
        <v>21</v>
      </c>
      <c r="Q691">
        <f t="shared" si="50"/>
        <v>6</v>
      </c>
      <c r="R691" s="4">
        <f>RANK(N691,$N$2:N$2800,0)</f>
        <v>1965</v>
      </c>
      <c r="S691">
        <f t="shared" si="51"/>
        <v>0.81818181818181823</v>
      </c>
      <c r="T691" t="str">
        <f t="shared" si="52"/>
        <v>Low</v>
      </c>
      <c r="U691" t="str" cm="1">
        <f t="array" ref="U691">_xlfn.LET(_xlpm.roles,_xlfn.UNIQUE(D691:D3489),_xlpm.kills, SUMIF(D691:D3489,_xlpm.roles,G691:G3489),INDEX(_xlpm.roles,MATCH(MAX(_xlpm.kills),_xlpm.kills,0)))</f>
        <v>Entry Fragger</v>
      </c>
      <c r="V691" t="str">
        <f t="shared" si="53"/>
        <v>Medium Accuracy</v>
      </c>
      <c r="W691" t="str" cm="1">
        <f t="array" ref="W691">_xlfn.LET(_xlpm.roles,_xlfn.UNIQUE(D691:D3489), _xlpm.counts,COUNTIF(D691:D3489,_xlpm.roles), INDEX(_xlpm.roles,MATCH(MAX(_xlpm.counts),_xlpm.counts,0)))</f>
        <v>Entry Fragger</v>
      </c>
      <c r="X691" s="2">
        <f t="shared" si="54"/>
        <v>12.599585062240664</v>
      </c>
    </row>
    <row r="692" spans="1:24" x14ac:dyDescent="0.3">
      <c r="A692">
        <v>2066</v>
      </c>
      <c r="B692">
        <v>120</v>
      </c>
      <c r="C692" t="s">
        <v>35</v>
      </c>
      <c r="D692" t="s">
        <v>17</v>
      </c>
      <c r="E692" t="s">
        <v>33</v>
      </c>
      <c r="F692" t="s">
        <v>24</v>
      </c>
      <c r="G692">
        <v>15</v>
      </c>
      <c r="H692">
        <v>8</v>
      </c>
      <c r="I692">
        <v>12</v>
      </c>
      <c r="J692">
        <v>40.369999999999997</v>
      </c>
      <c r="K692">
        <v>218.8</v>
      </c>
      <c r="L692">
        <v>0.33</v>
      </c>
      <c r="M692">
        <v>42.89</v>
      </c>
      <c r="N692">
        <v>0.88</v>
      </c>
      <c r="O692" t="s">
        <v>20</v>
      </c>
      <c r="P692" t="s">
        <v>21</v>
      </c>
      <c r="Q692">
        <f t="shared" si="50"/>
        <v>11</v>
      </c>
      <c r="R692" s="4">
        <f>RANK(N692,$N$2:N$2800,0)</f>
        <v>1894</v>
      </c>
      <c r="S692">
        <f t="shared" si="51"/>
        <v>1.25</v>
      </c>
      <c r="T692" t="str">
        <f t="shared" si="52"/>
        <v>Low</v>
      </c>
      <c r="U692" t="str" cm="1">
        <f t="array" ref="U692">_xlfn.LET(_xlpm.roles,_xlfn.UNIQUE(D692:D3490),_xlpm.kills, SUMIF(D692:D3490,_xlpm.roles,G692:G3490),INDEX(_xlpm.roles,MATCH(MAX(_xlpm.kills),_xlpm.kills,0)))</f>
        <v>Entry Fragger</v>
      </c>
      <c r="V692" t="str">
        <f t="shared" si="53"/>
        <v>Medium Accuracy</v>
      </c>
      <c r="W692" t="str" cm="1">
        <f t="array" ref="W692">_xlfn.LET(_xlpm.roles,_xlfn.UNIQUE(D692:D3490), _xlpm.counts,COUNTIF(D692:D3490,_xlpm.roles), INDEX(_xlpm.roles,MATCH(MAX(_xlpm.counts),_xlpm.counts,0)))</f>
        <v>Entry Fragger</v>
      </c>
      <c r="X692" s="2">
        <f t="shared" si="54"/>
        <v>12.599585062240664</v>
      </c>
    </row>
    <row r="693" spans="1:24" x14ac:dyDescent="0.3">
      <c r="A693">
        <v>2595</v>
      </c>
      <c r="B693">
        <v>120</v>
      </c>
      <c r="C693" t="s">
        <v>39</v>
      </c>
      <c r="D693" t="s">
        <v>31</v>
      </c>
      <c r="E693" t="s">
        <v>33</v>
      </c>
      <c r="F693" t="s">
        <v>19</v>
      </c>
      <c r="G693">
        <v>22</v>
      </c>
      <c r="H693">
        <v>9</v>
      </c>
      <c r="I693">
        <v>11</v>
      </c>
      <c r="J693">
        <v>49.57</v>
      </c>
      <c r="K693">
        <v>183.24</v>
      </c>
      <c r="L693">
        <v>0.05</v>
      </c>
      <c r="M693">
        <v>66.28</v>
      </c>
      <c r="N693">
        <v>1</v>
      </c>
      <c r="O693" t="s">
        <v>20</v>
      </c>
      <c r="P693" t="s">
        <v>38</v>
      </c>
      <c r="Q693">
        <f t="shared" si="50"/>
        <v>20</v>
      </c>
      <c r="R693" s="4">
        <f>RANK(N693,$N$2:N$2800,0)</f>
        <v>1</v>
      </c>
      <c r="S693">
        <f t="shared" si="51"/>
        <v>2</v>
      </c>
      <c r="T693" t="str">
        <f t="shared" si="52"/>
        <v>Good</v>
      </c>
      <c r="U693" t="str" cm="1">
        <f t="array" ref="U693">_xlfn.LET(_xlpm.roles,_xlfn.UNIQUE(D693:D3491),_xlpm.kills, SUMIF(D693:D3491,_xlpm.roles,G693:G3491),INDEX(_xlpm.roles,MATCH(MAX(_xlpm.kills),_xlpm.kills,0)))</f>
        <v>Entry Fragger</v>
      </c>
      <c r="V693" t="str">
        <f t="shared" si="53"/>
        <v>Medium Accuracy</v>
      </c>
      <c r="W693" t="str" cm="1">
        <f t="array" ref="W693">_xlfn.LET(_xlpm.roles,_xlfn.UNIQUE(D693:D3491), _xlpm.counts,COUNTIF(D693:D3491,_xlpm.roles), INDEX(_xlpm.roles,MATCH(MAX(_xlpm.counts),_xlpm.counts,0)))</f>
        <v>Entry Fragger</v>
      </c>
      <c r="X693" s="2">
        <f t="shared" si="54"/>
        <v>13.103594080338267</v>
      </c>
    </row>
    <row r="694" spans="1:24" x14ac:dyDescent="0.3">
      <c r="A694">
        <v>531</v>
      </c>
      <c r="B694">
        <v>121</v>
      </c>
      <c r="C694" t="s">
        <v>16</v>
      </c>
      <c r="D694" t="s">
        <v>31</v>
      </c>
      <c r="E694" t="s">
        <v>32</v>
      </c>
      <c r="F694" t="s">
        <v>26</v>
      </c>
      <c r="G694">
        <v>16</v>
      </c>
      <c r="H694">
        <v>7</v>
      </c>
      <c r="I694">
        <v>4</v>
      </c>
      <c r="J694">
        <v>44.49</v>
      </c>
      <c r="K694">
        <v>179.13</v>
      </c>
      <c r="L694">
        <v>0.83</v>
      </c>
      <c r="M694">
        <v>48.95</v>
      </c>
      <c r="N694">
        <v>1</v>
      </c>
      <c r="O694" t="s">
        <v>20</v>
      </c>
      <c r="P694" t="s">
        <v>21</v>
      </c>
      <c r="Q694">
        <f t="shared" si="50"/>
        <v>19</v>
      </c>
      <c r="R694" s="4">
        <f>RANK(N694,$N$2:N$2800,0)</f>
        <v>1</v>
      </c>
      <c r="S694">
        <f t="shared" si="51"/>
        <v>4</v>
      </c>
      <c r="T694" t="str">
        <f t="shared" si="52"/>
        <v>Good</v>
      </c>
      <c r="U694" t="str" cm="1">
        <f t="array" ref="U694">_xlfn.LET(_xlpm.roles,_xlfn.UNIQUE(D694:D3492),_xlpm.kills, SUMIF(D694:D3492,_xlpm.roles,G694:G3492),INDEX(_xlpm.roles,MATCH(MAX(_xlpm.kills),_xlpm.kills,0)))</f>
        <v>Entry Fragger</v>
      </c>
      <c r="V694" t="str">
        <f t="shared" si="53"/>
        <v>Medium Accuracy</v>
      </c>
      <c r="W694" t="str" cm="1">
        <f t="array" ref="W694">_xlfn.LET(_xlpm.roles,_xlfn.UNIQUE(D694:D3492), _xlpm.counts,COUNTIF(D694:D3492,_xlpm.roles), INDEX(_xlpm.roles,MATCH(MAX(_xlpm.counts),_xlpm.counts,0)))</f>
        <v>Entry Fragger</v>
      </c>
      <c r="X694" s="2">
        <f t="shared" si="54"/>
        <v>12.520971302428256</v>
      </c>
    </row>
    <row r="695" spans="1:24" x14ac:dyDescent="0.3">
      <c r="A695">
        <v>625</v>
      </c>
      <c r="B695">
        <v>121</v>
      </c>
      <c r="C695" t="s">
        <v>30</v>
      </c>
      <c r="D695" t="s">
        <v>22</v>
      </c>
      <c r="E695" t="s">
        <v>32</v>
      </c>
      <c r="F695" t="s">
        <v>24</v>
      </c>
      <c r="G695">
        <v>18</v>
      </c>
      <c r="H695">
        <v>10</v>
      </c>
      <c r="I695">
        <v>11</v>
      </c>
      <c r="J695">
        <v>42.74</v>
      </c>
      <c r="K695">
        <v>207.32</v>
      </c>
      <c r="L695">
        <v>0.22</v>
      </c>
      <c r="M695">
        <v>54.17</v>
      </c>
      <c r="N695">
        <v>1</v>
      </c>
      <c r="O695" t="s">
        <v>20</v>
      </c>
      <c r="P695" t="s">
        <v>21</v>
      </c>
      <c r="Q695">
        <f t="shared" si="50"/>
        <v>17</v>
      </c>
      <c r="R695" s="4">
        <f>RANK(N695,$N$2:N$2800,0)</f>
        <v>1</v>
      </c>
      <c r="S695">
        <f t="shared" si="51"/>
        <v>1.6363636363636365</v>
      </c>
      <c r="T695" t="str">
        <f t="shared" si="52"/>
        <v>Good</v>
      </c>
      <c r="U695" t="str" cm="1">
        <f t="array" ref="U695">_xlfn.LET(_xlpm.roles,_xlfn.UNIQUE(D695:D3493),_xlpm.kills, SUMIF(D695:D3493,_xlpm.roles,G695:G3493),INDEX(_xlpm.roles,MATCH(MAX(_xlpm.kills),_xlpm.kills,0)))</f>
        <v>Entry Fragger</v>
      </c>
      <c r="V695" t="str">
        <f t="shared" si="53"/>
        <v>Medium Accuracy</v>
      </c>
      <c r="W695" t="str" cm="1">
        <f t="array" ref="W695">_xlfn.LET(_xlpm.roles,_xlfn.UNIQUE(D695:D3493), _xlpm.counts,COUNTIF(D695:D3493,_xlpm.roles), INDEX(_xlpm.roles,MATCH(MAX(_xlpm.counts),_xlpm.counts,0)))</f>
        <v>Entry Fragger</v>
      </c>
      <c r="X695" s="2">
        <f t="shared" si="54"/>
        <v>13.135802469135802</v>
      </c>
    </row>
    <row r="696" spans="1:24" x14ac:dyDescent="0.3">
      <c r="A696">
        <v>881</v>
      </c>
      <c r="B696">
        <v>121</v>
      </c>
      <c r="C696" t="s">
        <v>39</v>
      </c>
      <c r="D696" t="s">
        <v>17</v>
      </c>
      <c r="E696" t="s">
        <v>33</v>
      </c>
      <c r="F696" t="s">
        <v>24</v>
      </c>
      <c r="G696">
        <v>16</v>
      </c>
      <c r="H696">
        <v>10</v>
      </c>
      <c r="I696">
        <v>5</v>
      </c>
      <c r="J696">
        <v>55.41</v>
      </c>
      <c r="K696">
        <v>221.76</v>
      </c>
      <c r="L696">
        <v>0.08</v>
      </c>
      <c r="M696">
        <v>63.91</v>
      </c>
      <c r="N696">
        <v>1</v>
      </c>
      <c r="O696" t="s">
        <v>20</v>
      </c>
      <c r="P696" t="s">
        <v>38</v>
      </c>
      <c r="Q696">
        <f t="shared" si="50"/>
        <v>21</v>
      </c>
      <c r="R696" s="4">
        <f>RANK(N696,$N$2:N$2800,0)</f>
        <v>1</v>
      </c>
      <c r="S696">
        <f t="shared" si="51"/>
        <v>3.2</v>
      </c>
      <c r="T696" t="str">
        <f t="shared" si="52"/>
        <v>Good</v>
      </c>
      <c r="U696" t="str" cm="1">
        <f t="array" ref="U696">_xlfn.LET(_xlpm.roles,_xlfn.UNIQUE(D696:D3494),_xlpm.kills, SUMIF(D696:D3494,_xlpm.roles,G696:G3494),INDEX(_xlpm.roles,MATCH(MAX(_xlpm.kills),_xlpm.kills,0)))</f>
        <v>Entry Fragger</v>
      </c>
      <c r="V696" t="str">
        <f t="shared" si="53"/>
        <v>High Accuracy</v>
      </c>
      <c r="W696" t="str" cm="1">
        <f t="array" ref="W696">_xlfn.LET(_xlpm.roles,_xlfn.UNIQUE(D696:D3494), _xlpm.counts,COUNTIF(D696:D3494,_xlpm.roles), INDEX(_xlpm.roles,MATCH(MAX(_xlpm.counts),_xlpm.counts,0)))</f>
        <v>Entry Fragger</v>
      </c>
      <c r="X696" s="2">
        <f t="shared" si="54"/>
        <v>13.103594080338267</v>
      </c>
    </row>
    <row r="697" spans="1:24" x14ac:dyDescent="0.3">
      <c r="A697">
        <v>1068</v>
      </c>
      <c r="B697">
        <v>121</v>
      </c>
      <c r="C697" t="s">
        <v>35</v>
      </c>
      <c r="D697" t="s">
        <v>31</v>
      </c>
      <c r="E697" t="s">
        <v>29</v>
      </c>
      <c r="F697" t="s">
        <v>34</v>
      </c>
      <c r="G697">
        <v>12</v>
      </c>
      <c r="H697">
        <v>12</v>
      </c>
      <c r="I697">
        <v>11</v>
      </c>
      <c r="J697">
        <v>51.67</v>
      </c>
      <c r="K697">
        <v>223.01</v>
      </c>
      <c r="L697">
        <v>0.51</v>
      </c>
      <c r="M697">
        <v>45.73</v>
      </c>
      <c r="N697">
        <v>1</v>
      </c>
      <c r="O697" t="s">
        <v>20</v>
      </c>
      <c r="P697" t="s">
        <v>21</v>
      </c>
      <c r="Q697">
        <f t="shared" si="50"/>
        <v>13</v>
      </c>
      <c r="R697" s="4">
        <f>RANK(N697,$N$2:N$2800,0)</f>
        <v>1</v>
      </c>
      <c r="S697">
        <f t="shared" si="51"/>
        <v>1.0909090909090908</v>
      </c>
      <c r="T697" t="str">
        <f t="shared" si="52"/>
        <v>Low</v>
      </c>
      <c r="U697" t="str" cm="1">
        <f t="array" ref="U697">_xlfn.LET(_xlpm.roles,_xlfn.UNIQUE(D697:D3495),_xlpm.kills, SUMIF(D697:D3495,_xlpm.roles,G697:G3495),INDEX(_xlpm.roles,MATCH(MAX(_xlpm.kills),_xlpm.kills,0)))</f>
        <v>Entry Fragger</v>
      </c>
      <c r="V697" t="str">
        <f t="shared" si="53"/>
        <v>High Accuracy</v>
      </c>
      <c r="W697" t="str" cm="1">
        <f t="array" ref="W697">_xlfn.LET(_xlpm.roles,_xlfn.UNIQUE(D697:D3495), _xlpm.counts,COUNTIF(D697:D3495,_xlpm.roles), INDEX(_xlpm.roles,MATCH(MAX(_xlpm.counts),_xlpm.counts,0)))</f>
        <v>Entry Fragger</v>
      </c>
      <c r="X697" s="2">
        <f t="shared" si="54"/>
        <v>12.599585062240664</v>
      </c>
    </row>
    <row r="698" spans="1:24" x14ac:dyDescent="0.3">
      <c r="A698">
        <v>1536</v>
      </c>
      <c r="B698">
        <v>121</v>
      </c>
      <c r="C698" t="s">
        <v>25</v>
      </c>
      <c r="D698" t="s">
        <v>31</v>
      </c>
      <c r="E698" t="s">
        <v>29</v>
      </c>
      <c r="F698" t="s">
        <v>24</v>
      </c>
      <c r="G698">
        <v>12</v>
      </c>
      <c r="H698">
        <v>8</v>
      </c>
      <c r="I698">
        <v>9</v>
      </c>
      <c r="J698">
        <v>58.24</v>
      </c>
      <c r="K698">
        <v>225.28</v>
      </c>
      <c r="L698">
        <v>0.19</v>
      </c>
      <c r="M698">
        <v>50.22</v>
      </c>
      <c r="N698">
        <v>0.93</v>
      </c>
      <c r="O698" t="s">
        <v>20</v>
      </c>
      <c r="P698" t="s">
        <v>21</v>
      </c>
      <c r="Q698">
        <f t="shared" si="50"/>
        <v>11</v>
      </c>
      <c r="R698" s="4">
        <f>RANK(N698,$N$2:N$2800,0)</f>
        <v>1505</v>
      </c>
      <c r="S698">
        <f t="shared" si="51"/>
        <v>1.3333333333333333</v>
      </c>
      <c r="T698" t="str">
        <f t="shared" si="52"/>
        <v>Low</v>
      </c>
      <c r="U698" t="str" cm="1">
        <f t="array" ref="U698">_xlfn.LET(_xlpm.roles,_xlfn.UNIQUE(D698:D3496),_xlpm.kills, SUMIF(D698:D3496,_xlpm.roles,G698:G3496),INDEX(_xlpm.roles,MATCH(MAX(_xlpm.kills),_xlpm.kills,0)))</f>
        <v>Entry Fragger</v>
      </c>
      <c r="V698" t="str">
        <f t="shared" si="53"/>
        <v>High Accuracy</v>
      </c>
      <c r="W698" t="str" cm="1">
        <f t="array" ref="W698">_xlfn.LET(_xlpm.roles,_xlfn.UNIQUE(D698:D3496), _xlpm.counts,COUNTIF(D698:D3496,_xlpm.roles), INDEX(_xlpm.roles,MATCH(MAX(_xlpm.counts),_xlpm.counts,0)))</f>
        <v>Entry Fragger</v>
      </c>
      <c r="X698" s="2">
        <f t="shared" si="54"/>
        <v>12.809421841541756</v>
      </c>
    </row>
    <row r="699" spans="1:24" x14ac:dyDescent="0.3">
      <c r="A699">
        <v>1763</v>
      </c>
      <c r="B699">
        <v>121</v>
      </c>
      <c r="C699" t="s">
        <v>39</v>
      </c>
      <c r="D699" t="s">
        <v>17</v>
      </c>
      <c r="E699" t="s">
        <v>32</v>
      </c>
      <c r="F699" t="s">
        <v>24</v>
      </c>
      <c r="G699">
        <v>12</v>
      </c>
      <c r="H699">
        <v>5</v>
      </c>
      <c r="I699">
        <v>7</v>
      </c>
      <c r="J699">
        <v>43.31</v>
      </c>
      <c r="K699">
        <v>249.41</v>
      </c>
      <c r="L699">
        <v>0.55000000000000004</v>
      </c>
      <c r="M699">
        <v>38.159999999999997</v>
      </c>
      <c r="N699">
        <v>0.83</v>
      </c>
      <c r="O699" t="s">
        <v>20</v>
      </c>
      <c r="P699" t="s">
        <v>21</v>
      </c>
      <c r="Q699">
        <f t="shared" si="50"/>
        <v>10</v>
      </c>
      <c r="R699" s="4">
        <f>RANK(N699,$N$2:N$2800,0)</f>
        <v>2218</v>
      </c>
      <c r="S699">
        <f t="shared" si="51"/>
        <v>1.7142857142857142</v>
      </c>
      <c r="T699" t="str">
        <f t="shared" si="52"/>
        <v>Low</v>
      </c>
      <c r="U699" t="str" cm="1">
        <f t="array" ref="U699">_xlfn.LET(_xlpm.roles,_xlfn.UNIQUE(D699:D3497),_xlpm.kills, SUMIF(D699:D3497,_xlpm.roles,G699:G3497),INDEX(_xlpm.roles,MATCH(MAX(_xlpm.kills),_xlpm.kills,0)))</f>
        <v>Entry Fragger</v>
      </c>
      <c r="V699" t="str">
        <f t="shared" si="53"/>
        <v>Medium Accuracy</v>
      </c>
      <c r="W699" t="str" cm="1">
        <f t="array" ref="W699">_xlfn.LET(_xlpm.roles,_xlfn.UNIQUE(D699:D3497), _xlpm.counts,COUNTIF(D699:D3497,_xlpm.roles), INDEX(_xlpm.roles,MATCH(MAX(_xlpm.counts),_xlpm.counts,0)))</f>
        <v>Entry Fragger</v>
      </c>
      <c r="X699" s="2">
        <f t="shared" si="54"/>
        <v>13.103594080338267</v>
      </c>
    </row>
    <row r="700" spans="1:24" x14ac:dyDescent="0.3">
      <c r="A700">
        <v>1775</v>
      </c>
      <c r="B700">
        <v>121</v>
      </c>
      <c r="C700" t="s">
        <v>27</v>
      </c>
      <c r="D700" t="s">
        <v>28</v>
      </c>
      <c r="E700" t="s">
        <v>23</v>
      </c>
      <c r="F700" t="s">
        <v>34</v>
      </c>
      <c r="G700">
        <v>9</v>
      </c>
      <c r="H700">
        <v>6</v>
      </c>
      <c r="I700">
        <v>5</v>
      </c>
      <c r="J700">
        <v>49.19</v>
      </c>
      <c r="K700">
        <v>243.65</v>
      </c>
      <c r="L700">
        <v>0.81</v>
      </c>
      <c r="M700">
        <v>35.49</v>
      </c>
      <c r="N700">
        <v>0.66</v>
      </c>
      <c r="O700" t="s">
        <v>20</v>
      </c>
      <c r="P700" t="s">
        <v>21</v>
      </c>
      <c r="Q700">
        <f t="shared" si="50"/>
        <v>10</v>
      </c>
      <c r="R700" s="4">
        <f>RANK(N700,$N$2:N$2800,0)</f>
        <v>2746</v>
      </c>
      <c r="S700">
        <f t="shared" si="51"/>
        <v>1.8</v>
      </c>
      <c r="T700" t="str">
        <f t="shared" si="52"/>
        <v>Low</v>
      </c>
      <c r="U700" t="str" cm="1">
        <f t="array" ref="U700">_xlfn.LET(_xlpm.roles,_xlfn.UNIQUE(D700:D3498),_xlpm.kills, SUMIF(D700:D3498,_xlpm.roles,G700:G3498),INDEX(_xlpm.roles,MATCH(MAX(_xlpm.kills),_xlpm.kills,0)))</f>
        <v>Entry Fragger</v>
      </c>
      <c r="V700" t="str">
        <f t="shared" si="53"/>
        <v>Medium Accuracy</v>
      </c>
      <c r="W700" t="str" cm="1">
        <f t="array" ref="W700">_xlfn.LET(_xlpm.roles,_xlfn.UNIQUE(D700:D3498), _xlpm.counts,COUNTIF(D700:D3498,_xlpm.roles), INDEX(_xlpm.roles,MATCH(MAX(_xlpm.counts),_xlpm.counts,0)))</f>
        <v>Entry Fragger</v>
      </c>
      <c r="X700" s="2">
        <f t="shared" si="54"/>
        <v>13.057077625570777</v>
      </c>
    </row>
    <row r="701" spans="1:24" x14ac:dyDescent="0.3">
      <c r="A701">
        <v>1826</v>
      </c>
      <c r="B701">
        <v>121</v>
      </c>
      <c r="C701" t="s">
        <v>39</v>
      </c>
      <c r="D701" t="s">
        <v>28</v>
      </c>
      <c r="E701" t="s">
        <v>18</v>
      </c>
      <c r="F701" t="s">
        <v>24</v>
      </c>
      <c r="G701">
        <v>14</v>
      </c>
      <c r="H701">
        <v>11</v>
      </c>
      <c r="I701">
        <v>7</v>
      </c>
      <c r="J701">
        <v>43.44</v>
      </c>
      <c r="K701">
        <v>227.16</v>
      </c>
      <c r="L701">
        <v>0.84</v>
      </c>
      <c r="M701">
        <v>45.32</v>
      </c>
      <c r="N701">
        <v>1</v>
      </c>
      <c r="O701" t="s">
        <v>20</v>
      </c>
      <c r="P701" t="s">
        <v>21</v>
      </c>
      <c r="Q701">
        <f t="shared" si="50"/>
        <v>18</v>
      </c>
      <c r="R701" s="4">
        <f>RANK(N701,$N$2:N$2800,0)</f>
        <v>1</v>
      </c>
      <c r="S701">
        <f t="shared" si="51"/>
        <v>2</v>
      </c>
      <c r="T701" t="str">
        <f t="shared" si="52"/>
        <v>Good</v>
      </c>
      <c r="U701" t="str" cm="1">
        <f t="array" ref="U701">_xlfn.LET(_xlpm.roles,_xlfn.UNIQUE(D701:D3499),_xlpm.kills, SUMIF(D701:D3499,_xlpm.roles,G701:G3499),INDEX(_xlpm.roles,MATCH(MAX(_xlpm.kills),_xlpm.kills,0)))</f>
        <v>Entry Fragger</v>
      </c>
      <c r="V701" t="str">
        <f t="shared" si="53"/>
        <v>Medium Accuracy</v>
      </c>
      <c r="W701" t="str" cm="1">
        <f t="array" ref="W701">_xlfn.LET(_xlpm.roles,_xlfn.UNIQUE(D701:D3499), _xlpm.counts,COUNTIF(D701:D3499,_xlpm.roles), INDEX(_xlpm.roles,MATCH(MAX(_xlpm.counts),_xlpm.counts,0)))</f>
        <v>Entry Fragger</v>
      </c>
      <c r="X701" s="2">
        <f t="shared" si="54"/>
        <v>13.103594080338267</v>
      </c>
    </row>
    <row r="702" spans="1:24" x14ac:dyDescent="0.3">
      <c r="A702">
        <v>2063</v>
      </c>
      <c r="B702">
        <v>121</v>
      </c>
      <c r="C702" t="s">
        <v>30</v>
      </c>
      <c r="D702" t="s">
        <v>36</v>
      </c>
      <c r="E702" t="s">
        <v>18</v>
      </c>
      <c r="F702" t="s">
        <v>26</v>
      </c>
      <c r="G702">
        <v>13</v>
      </c>
      <c r="H702">
        <v>6</v>
      </c>
      <c r="I702">
        <v>7</v>
      </c>
      <c r="J702">
        <v>28.52</v>
      </c>
      <c r="K702">
        <v>187.07</v>
      </c>
      <c r="L702">
        <v>0.04</v>
      </c>
      <c r="M702">
        <v>38.86</v>
      </c>
      <c r="N702">
        <v>0.81</v>
      </c>
      <c r="O702" t="s">
        <v>20</v>
      </c>
      <c r="P702" t="s">
        <v>21</v>
      </c>
      <c r="Q702">
        <f t="shared" si="50"/>
        <v>12</v>
      </c>
      <c r="R702" s="4">
        <f>RANK(N702,$N$2:N$2800,0)</f>
        <v>2341</v>
      </c>
      <c r="S702">
        <f t="shared" si="51"/>
        <v>1.8571428571428572</v>
      </c>
      <c r="T702" t="str">
        <f t="shared" si="52"/>
        <v>Low</v>
      </c>
      <c r="U702" t="str" cm="1">
        <f t="array" ref="U702">_xlfn.LET(_xlpm.roles,_xlfn.UNIQUE(D702:D3500),_xlpm.kills, SUMIF(D702:D3500,_xlpm.roles,G702:G3500),INDEX(_xlpm.roles,MATCH(MAX(_xlpm.kills),_xlpm.kills,0)))</f>
        <v>Entry Fragger</v>
      </c>
      <c r="V702" t="str">
        <f t="shared" si="53"/>
        <v>Low Accuracy</v>
      </c>
      <c r="W702" t="str" cm="1">
        <f t="array" ref="W702">_xlfn.LET(_xlpm.roles,_xlfn.UNIQUE(D702:D3500), _xlpm.counts,COUNTIF(D702:D3500,_xlpm.roles), INDEX(_xlpm.roles,MATCH(MAX(_xlpm.counts),_xlpm.counts,0)))</f>
        <v>Entry Fragger</v>
      </c>
      <c r="X702" s="2">
        <f t="shared" si="54"/>
        <v>13.135802469135802</v>
      </c>
    </row>
    <row r="703" spans="1:24" x14ac:dyDescent="0.3">
      <c r="A703">
        <v>2281</v>
      </c>
      <c r="B703">
        <v>121</v>
      </c>
      <c r="C703" t="s">
        <v>16</v>
      </c>
      <c r="D703" t="s">
        <v>17</v>
      </c>
      <c r="E703" t="s">
        <v>29</v>
      </c>
      <c r="F703" t="s">
        <v>26</v>
      </c>
      <c r="G703">
        <v>14</v>
      </c>
      <c r="H703">
        <v>16</v>
      </c>
      <c r="I703">
        <v>11</v>
      </c>
      <c r="J703">
        <v>41.92</v>
      </c>
      <c r="K703">
        <v>187.96</v>
      </c>
      <c r="L703">
        <v>0.42</v>
      </c>
      <c r="M703">
        <v>49.76</v>
      </c>
      <c r="N703">
        <v>0.91</v>
      </c>
      <c r="O703" t="s">
        <v>20</v>
      </c>
      <c r="P703" t="s">
        <v>21</v>
      </c>
      <c r="Q703">
        <f t="shared" si="50"/>
        <v>19</v>
      </c>
      <c r="R703" s="4">
        <f>RANK(N703,$N$2:N$2800,0)</f>
        <v>1665</v>
      </c>
      <c r="S703">
        <f t="shared" si="51"/>
        <v>1.2727272727272727</v>
      </c>
      <c r="T703" t="str">
        <f t="shared" si="52"/>
        <v>Good</v>
      </c>
      <c r="U703" t="str" cm="1">
        <f t="array" ref="U703">_xlfn.LET(_xlpm.roles,_xlfn.UNIQUE(D703:D3501),_xlpm.kills, SUMIF(D703:D3501,_xlpm.roles,G703:G3501),INDEX(_xlpm.roles,MATCH(MAX(_xlpm.kills),_xlpm.kills,0)))</f>
        <v>Entry Fragger</v>
      </c>
      <c r="V703" t="str">
        <f t="shared" si="53"/>
        <v>Medium Accuracy</v>
      </c>
      <c r="W703" t="str" cm="1">
        <f t="array" ref="W703">_xlfn.LET(_xlpm.roles,_xlfn.UNIQUE(D703:D3501), _xlpm.counts,COUNTIF(D703:D3501,_xlpm.roles), INDEX(_xlpm.roles,MATCH(MAX(_xlpm.counts),_xlpm.counts,0)))</f>
        <v>Entry Fragger</v>
      </c>
      <c r="X703" s="2">
        <f t="shared" si="54"/>
        <v>12.520971302428256</v>
      </c>
    </row>
    <row r="704" spans="1:24" x14ac:dyDescent="0.3">
      <c r="A704">
        <v>100</v>
      </c>
      <c r="B704">
        <v>122</v>
      </c>
      <c r="C704" t="s">
        <v>27</v>
      </c>
      <c r="D704" t="s">
        <v>31</v>
      </c>
      <c r="E704" t="s">
        <v>23</v>
      </c>
      <c r="F704" t="s">
        <v>34</v>
      </c>
      <c r="G704">
        <v>16</v>
      </c>
      <c r="H704">
        <v>5</v>
      </c>
      <c r="I704">
        <v>12</v>
      </c>
      <c r="J704">
        <v>48.16</v>
      </c>
      <c r="K704">
        <v>216.37</v>
      </c>
      <c r="L704">
        <v>0.33</v>
      </c>
      <c r="M704">
        <v>45.78</v>
      </c>
      <c r="N704">
        <v>1</v>
      </c>
      <c r="O704" t="s">
        <v>20</v>
      </c>
      <c r="P704" t="s">
        <v>21</v>
      </c>
      <c r="Q704">
        <f t="shared" si="50"/>
        <v>9</v>
      </c>
      <c r="R704" s="4">
        <f>RANK(N704,$N$2:N$2800,0)</f>
        <v>1</v>
      </c>
      <c r="S704">
        <f t="shared" si="51"/>
        <v>1.3333333333333333</v>
      </c>
      <c r="T704" t="str">
        <f t="shared" si="52"/>
        <v>Low</v>
      </c>
      <c r="U704" t="str" cm="1">
        <f t="array" ref="U704">_xlfn.LET(_xlpm.roles,_xlfn.UNIQUE(D704:D3502),_xlpm.kills, SUMIF(D704:D3502,_xlpm.roles,G704:G3502),INDEX(_xlpm.roles,MATCH(MAX(_xlpm.kills),_xlpm.kills,0)))</f>
        <v>Entry Fragger</v>
      </c>
      <c r="V704" t="str">
        <f t="shared" si="53"/>
        <v>Medium Accuracy</v>
      </c>
      <c r="W704" t="str" cm="1">
        <f t="array" ref="W704">_xlfn.LET(_xlpm.roles,_xlfn.UNIQUE(D704:D3502), _xlpm.counts,COUNTIF(D704:D3502,_xlpm.roles), INDEX(_xlpm.roles,MATCH(MAX(_xlpm.counts),_xlpm.counts,0)))</f>
        <v>Entry Fragger</v>
      </c>
      <c r="X704" s="2">
        <f t="shared" si="54"/>
        <v>13.057077625570777</v>
      </c>
    </row>
    <row r="705" spans="1:24" x14ac:dyDescent="0.3">
      <c r="A705">
        <v>1269</v>
      </c>
      <c r="B705">
        <v>122</v>
      </c>
      <c r="C705" t="s">
        <v>25</v>
      </c>
      <c r="D705" t="s">
        <v>31</v>
      </c>
      <c r="E705" t="s">
        <v>23</v>
      </c>
      <c r="F705" t="s">
        <v>19</v>
      </c>
      <c r="G705">
        <v>18</v>
      </c>
      <c r="H705">
        <v>10</v>
      </c>
      <c r="I705">
        <v>11</v>
      </c>
      <c r="J705">
        <v>36.950000000000003</v>
      </c>
      <c r="K705">
        <v>278.18</v>
      </c>
      <c r="L705">
        <v>0.02</v>
      </c>
      <c r="M705">
        <v>53.27</v>
      </c>
      <c r="N705">
        <v>1</v>
      </c>
      <c r="O705" t="s">
        <v>20</v>
      </c>
      <c r="P705" t="s">
        <v>21</v>
      </c>
      <c r="Q705">
        <f t="shared" si="50"/>
        <v>17</v>
      </c>
      <c r="R705" s="4">
        <f>RANK(N705,$N$2:N$2800,0)</f>
        <v>1</v>
      </c>
      <c r="S705">
        <f t="shared" si="51"/>
        <v>1.6363636363636365</v>
      </c>
      <c r="T705" t="str">
        <f t="shared" si="52"/>
        <v>Good</v>
      </c>
      <c r="U705" t="str" cm="1">
        <f t="array" ref="U705">_xlfn.LET(_xlpm.roles,_xlfn.UNIQUE(D705:D3503),_xlpm.kills, SUMIF(D705:D3503,_xlpm.roles,G705:G3503),INDEX(_xlpm.roles,MATCH(MAX(_xlpm.kills),_xlpm.kills,0)))</f>
        <v>Entry Fragger</v>
      </c>
      <c r="V705" t="str">
        <f t="shared" si="53"/>
        <v>Medium Accuracy</v>
      </c>
      <c r="W705" t="str" cm="1">
        <f t="array" ref="W705">_xlfn.LET(_xlpm.roles,_xlfn.UNIQUE(D705:D3503), _xlpm.counts,COUNTIF(D705:D3503,_xlpm.roles), INDEX(_xlpm.roles,MATCH(MAX(_xlpm.counts),_xlpm.counts,0)))</f>
        <v>Entry Fragger</v>
      </c>
      <c r="X705" s="2">
        <f t="shared" si="54"/>
        <v>12.809421841541756</v>
      </c>
    </row>
    <row r="706" spans="1:24" x14ac:dyDescent="0.3">
      <c r="A706">
        <v>1570</v>
      </c>
      <c r="B706">
        <v>122</v>
      </c>
      <c r="C706" t="s">
        <v>35</v>
      </c>
      <c r="D706" t="s">
        <v>31</v>
      </c>
      <c r="E706" t="s">
        <v>33</v>
      </c>
      <c r="F706" t="s">
        <v>19</v>
      </c>
      <c r="G706">
        <v>13</v>
      </c>
      <c r="H706">
        <v>7</v>
      </c>
      <c r="I706">
        <v>10</v>
      </c>
      <c r="J706">
        <v>41.68</v>
      </c>
      <c r="K706">
        <v>198.04</v>
      </c>
      <c r="L706">
        <v>0.32</v>
      </c>
      <c r="M706">
        <v>40.64</v>
      </c>
      <c r="N706">
        <v>1</v>
      </c>
      <c r="O706" t="s">
        <v>20</v>
      </c>
      <c r="P706" t="s">
        <v>21</v>
      </c>
      <c r="Q706">
        <f t="shared" si="50"/>
        <v>10</v>
      </c>
      <c r="R706" s="4">
        <f>RANK(N706,$N$2:N$2800,0)</f>
        <v>1</v>
      </c>
      <c r="S706">
        <f t="shared" si="51"/>
        <v>1.3</v>
      </c>
      <c r="T706" t="str">
        <f t="shared" si="52"/>
        <v>Low</v>
      </c>
      <c r="U706" t="str" cm="1">
        <f t="array" ref="U706">_xlfn.LET(_xlpm.roles,_xlfn.UNIQUE(D706:D3504),_xlpm.kills, SUMIF(D706:D3504,_xlpm.roles,G706:G3504),INDEX(_xlpm.roles,MATCH(MAX(_xlpm.kills),_xlpm.kills,0)))</f>
        <v>Entry Fragger</v>
      </c>
      <c r="V706" t="str">
        <f t="shared" si="53"/>
        <v>Medium Accuracy</v>
      </c>
      <c r="W706" t="str" cm="1">
        <f t="array" ref="W706">_xlfn.LET(_xlpm.roles,_xlfn.UNIQUE(D706:D3504), _xlpm.counts,COUNTIF(D706:D3504,_xlpm.roles), INDEX(_xlpm.roles,MATCH(MAX(_xlpm.counts),_xlpm.counts,0)))</f>
        <v>Entry Fragger</v>
      </c>
      <c r="X706" s="2">
        <f t="shared" si="54"/>
        <v>12.599585062240664</v>
      </c>
    </row>
    <row r="707" spans="1:24" x14ac:dyDescent="0.3">
      <c r="A707">
        <v>2655</v>
      </c>
      <c r="B707">
        <v>122</v>
      </c>
      <c r="C707" t="s">
        <v>27</v>
      </c>
      <c r="D707" t="s">
        <v>22</v>
      </c>
      <c r="E707" t="s">
        <v>33</v>
      </c>
      <c r="F707" t="s">
        <v>37</v>
      </c>
      <c r="G707">
        <v>17</v>
      </c>
      <c r="H707">
        <v>7</v>
      </c>
      <c r="I707">
        <v>6</v>
      </c>
      <c r="J707">
        <v>47.74</v>
      </c>
      <c r="K707">
        <v>246.68</v>
      </c>
      <c r="L707">
        <v>0.97</v>
      </c>
      <c r="M707">
        <v>49.17</v>
      </c>
      <c r="N707">
        <v>0.96</v>
      </c>
      <c r="O707" t="s">
        <v>20</v>
      </c>
      <c r="P707" t="s">
        <v>21</v>
      </c>
      <c r="Q707">
        <f t="shared" ref="Q707:Q770" si="55">G707+H707-I707</f>
        <v>18</v>
      </c>
      <c r="R707" s="4">
        <f>RANK(N707,$N$2:N$2800,0)</f>
        <v>1301</v>
      </c>
      <c r="S707">
        <f t="shared" ref="S707:S770" si="56">G707/I707</f>
        <v>2.8333333333333335</v>
      </c>
      <c r="T707" t="str">
        <f t="shared" ref="T707:T770" si="57">IF(Q707&lt;15,"Low",IF(Q707&lt;25,"Good","Excellent"))</f>
        <v>Good</v>
      </c>
      <c r="U707" t="str" cm="1">
        <f t="array" ref="U707">_xlfn.LET(_xlpm.roles,_xlfn.UNIQUE(D707:D3505),_xlpm.kills, SUMIF(D707:D3505,_xlpm.roles,G707:G3505),INDEX(_xlpm.roles,MATCH(MAX(_xlpm.kills),_xlpm.kills,0)))</f>
        <v>Entry Fragger</v>
      </c>
      <c r="V707" t="str">
        <f t="shared" ref="V707:V770" si="58">IF(J707&gt;=50,"High Accuracy",IF(J707&gt;=30,"Medium Accuracy","Low Accuracy"))</f>
        <v>Medium Accuracy</v>
      </c>
      <c r="W707" t="str" cm="1">
        <f t="array" ref="W707">_xlfn.LET(_xlpm.roles,_xlfn.UNIQUE(D707:D3505), _xlpm.counts,COUNTIF(D707:D3505,_xlpm.roles), INDEX(_xlpm.roles,MATCH(MAX(_xlpm.counts),_xlpm.counts,0)))</f>
        <v>Entry Fragger</v>
      </c>
      <c r="X707" s="2">
        <f t="shared" ref="X707:X770" si="59">AVERAGEIF($C$2:$C$2800,C707,$Q$2:$Q$2800)</f>
        <v>13.057077625570777</v>
      </c>
    </row>
    <row r="708" spans="1:24" x14ac:dyDescent="0.3">
      <c r="A708">
        <v>717</v>
      </c>
      <c r="B708">
        <v>123</v>
      </c>
      <c r="C708" t="s">
        <v>39</v>
      </c>
      <c r="D708" t="s">
        <v>36</v>
      </c>
      <c r="E708" t="s">
        <v>32</v>
      </c>
      <c r="F708" t="s">
        <v>26</v>
      </c>
      <c r="G708">
        <v>7</v>
      </c>
      <c r="H708">
        <v>11</v>
      </c>
      <c r="I708">
        <v>16</v>
      </c>
      <c r="J708">
        <v>40.17</v>
      </c>
      <c r="K708">
        <v>172.93</v>
      </c>
      <c r="L708">
        <v>0.24</v>
      </c>
      <c r="M708">
        <v>26.69</v>
      </c>
      <c r="N708">
        <v>0.88</v>
      </c>
      <c r="O708" t="s">
        <v>20</v>
      </c>
      <c r="P708" t="s">
        <v>21</v>
      </c>
      <c r="Q708">
        <f t="shared" si="55"/>
        <v>2</v>
      </c>
      <c r="R708" s="4">
        <f>RANK(N708,$N$2:N$2800,0)</f>
        <v>1894</v>
      </c>
      <c r="S708">
        <f t="shared" si="56"/>
        <v>0.4375</v>
      </c>
      <c r="T708" t="str">
        <f t="shared" si="57"/>
        <v>Low</v>
      </c>
      <c r="U708" t="str" cm="1">
        <f t="array" ref="U708">_xlfn.LET(_xlpm.roles,_xlfn.UNIQUE(D708:D3506),_xlpm.kills, SUMIF(D708:D3506,_xlpm.roles,G708:G3506),INDEX(_xlpm.roles,MATCH(MAX(_xlpm.kills),_xlpm.kills,0)))</f>
        <v>Entry Fragger</v>
      </c>
      <c r="V708" t="str">
        <f t="shared" si="58"/>
        <v>Medium Accuracy</v>
      </c>
      <c r="W708" t="str" cm="1">
        <f t="array" ref="W708">_xlfn.LET(_xlpm.roles,_xlfn.UNIQUE(D708:D3506), _xlpm.counts,COUNTIF(D708:D3506,_xlpm.roles), INDEX(_xlpm.roles,MATCH(MAX(_xlpm.counts),_xlpm.counts,0)))</f>
        <v>Entry Fragger</v>
      </c>
      <c r="X708" s="2">
        <f t="shared" si="59"/>
        <v>13.103594080338267</v>
      </c>
    </row>
    <row r="709" spans="1:24" x14ac:dyDescent="0.3">
      <c r="A709">
        <v>1979</v>
      </c>
      <c r="B709">
        <v>123</v>
      </c>
      <c r="C709" t="s">
        <v>39</v>
      </c>
      <c r="D709" t="s">
        <v>22</v>
      </c>
      <c r="E709" t="s">
        <v>18</v>
      </c>
      <c r="F709" t="s">
        <v>24</v>
      </c>
      <c r="G709">
        <v>15</v>
      </c>
      <c r="H709">
        <v>8</v>
      </c>
      <c r="I709">
        <v>14</v>
      </c>
      <c r="J709">
        <v>48.72</v>
      </c>
      <c r="K709">
        <v>235.85</v>
      </c>
      <c r="L709">
        <v>0.13</v>
      </c>
      <c r="M709">
        <v>47.06</v>
      </c>
      <c r="N709">
        <v>1</v>
      </c>
      <c r="O709" t="s">
        <v>20</v>
      </c>
      <c r="P709" t="s">
        <v>21</v>
      </c>
      <c r="Q709">
        <f t="shared" si="55"/>
        <v>9</v>
      </c>
      <c r="R709" s="4">
        <f>RANK(N709,$N$2:N$2800,0)</f>
        <v>1</v>
      </c>
      <c r="S709">
        <f t="shared" si="56"/>
        <v>1.0714285714285714</v>
      </c>
      <c r="T709" t="str">
        <f t="shared" si="57"/>
        <v>Low</v>
      </c>
      <c r="U709" t="str" cm="1">
        <f t="array" ref="U709">_xlfn.LET(_xlpm.roles,_xlfn.UNIQUE(D709:D3507),_xlpm.kills, SUMIF(D709:D3507,_xlpm.roles,G709:G3507),INDEX(_xlpm.roles,MATCH(MAX(_xlpm.kills),_xlpm.kills,0)))</f>
        <v>Entry Fragger</v>
      </c>
      <c r="V709" t="str">
        <f t="shared" si="58"/>
        <v>Medium Accuracy</v>
      </c>
      <c r="W709" t="str" cm="1">
        <f t="array" ref="W709">_xlfn.LET(_xlpm.roles,_xlfn.UNIQUE(D709:D3507), _xlpm.counts,COUNTIF(D709:D3507,_xlpm.roles), INDEX(_xlpm.roles,MATCH(MAX(_xlpm.counts),_xlpm.counts,0)))</f>
        <v>Entry Fragger</v>
      </c>
      <c r="X709" s="2">
        <f t="shared" si="59"/>
        <v>13.103594080338267</v>
      </c>
    </row>
    <row r="710" spans="1:24" x14ac:dyDescent="0.3">
      <c r="A710">
        <v>545</v>
      </c>
      <c r="B710">
        <v>124</v>
      </c>
      <c r="C710" t="s">
        <v>16</v>
      </c>
      <c r="D710" t="s">
        <v>28</v>
      </c>
      <c r="E710" t="s">
        <v>32</v>
      </c>
      <c r="F710" t="s">
        <v>34</v>
      </c>
      <c r="G710">
        <v>13</v>
      </c>
      <c r="H710">
        <v>11</v>
      </c>
      <c r="I710">
        <v>10</v>
      </c>
      <c r="J710">
        <v>40.22</v>
      </c>
      <c r="K710">
        <v>237</v>
      </c>
      <c r="L710">
        <v>0.26</v>
      </c>
      <c r="M710">
        <v>44.51</v>
      </c>
      <c r="N710">
        <v>0.74</v>
      </c>
      <c r="O710" t="s">
        <v>20</v>
      </c>
      <c r="P710" t="s">
        <v>21</v>
      </c>
      <c r="Q710">
        <f t="shared" si="55"/>
        <v>14</v>
      </c>
      <c r="R710" s="4">
        <f>RANK(N710,$N$2:N$2800,0)</f>
        <v>2613</v>
      </c>
      <c r="S710">
        <f t="shared" si="56"/>
        <v>1.3</v>
      </c>
      <c r="T710" t="str">
        <f t="shared" si="57"/>
        <v>Low</v>
      </c>
      <c r="U710" t="str" cm="1">
        <f t="array" ref="U710">_xlfn.LET(_xlpm.roles,_xlfn.UNIQUE(D710:D3508),_xlpm.kills, SUMIF(D710:D3508,_xlpm.roles,G710:G3508),INDEX(_xlpm.roles,MATCH(MAX(_xlpm.kills),_xlpm.kills,0)))</f>
        <v>Entry Fragger</v>
      </c>
      <c r="V710" t="str">
        <f t="shared" si="58"/>
        <v>Medium Accuracy</v>
      </c>
      <c r="W710" t="str" cm="1">
        <f t="array" ref="W710">_xlfn.LET(_xlpm.roles,_xlfn.UNIQUE(D710:D3508), _xlpm.counts,COUNTIF(D710:D3508,_xlpm.roles), INDEX(_xlpm.roles,MATCH(MAX(_xlpm.counts),_xlpm.counts,0)))</f>
        <v>Entry Fragger</v>
      </c>
      <c r="X710" s="2">
        <f t="shared" si="59"/>
        <v>12.520971302428256</v>
      </c>
    </row>
    <row r="711" spans="1:24" x14ac:dyDescent="0.3">
      <c r="A711">
        <v>565</v>
      </c>
      <c r="B711">
        <v>124</v>
      </c>
      <c r="C711" t="s">
        <v>16</v>
      </c>
      <c r="D711" t="s">
        <v>36</v>
      </c>
      <c r="E711" t="s">
        <v>18</v>
      </c>
      <c r="F711" t="s">
        <v>24</v>
      </c>
      <c r="G711">
        <v>10</v>
      </c>
      <c r="H711">
        <v>12</v>
      </c>
      <c r="I711">
        <v>9</v>
      </c>
      <c r="J711">
        <v>44.46</v>
      </c>
      <c r="K711">
        <v>236.55</v>
      </c>
      <c r="L711">
        <v>0.76</v>
      </c>
      <c r="M711">
        <v>37.630000000000003</v>
      </c>
      <c r="N711">
        <v>0.79</v>
      </c>
      <c r="O711" t="s">
        <v>20</v>
      </c>
      <c r="P711" t="s">
        <v>21</v>
      </c>
      <c r="Q711">
        <f t="shared" si="55"/>
        <v>13</v>
      </c>
      <c r="R711" s="4">
        <f>RANK(N711,$N$2:N$2800,0)</f>
        <v>2436</v>
      </c>
      <c r="S711">
        <f t="shared" si="56"/>
        <v>1.1111111111111112</v>
      </c>
      <c r="T711" t="str">
        <f t="shared" si="57"/>
        <v>Low</v>
      </c>
      <c r="U711" t="str" cm="1">
        <f t="array" ref="U711">_xlfn.LET(_xlpm.roles,_xlfn.UNIQUE(D711:D3509),_xlpm.kills, SUMIF(D711:D3509,_xlpm.roles,G711:G3509),INDEX(_xlpm.roles,MATCH(MAX(_xlpm.kills),_xlpm.kills,0)))</f>
        <v>Entry Fragger</v>
      </c>
      <c r="V711" t="str">
        <f t="shared" si="58"/>
        <v>Medium Accuracy</v>
      </c>
      <c r="W711" t="str" cm="1">
        <f t="array" ref="W711">_xlfn.LET(_xlpm.roles,_xlfn.UNIQUE(D711:D3509), _xlpm.counts,COUNTIF(D711:D3509,_xlpm.roles), INDEX(_xlpm.roles,MATCH(MAX(_xlpm.counts),_xlpm.counts,0)))</f>
        <v>Entry Fragger</v>
      </c>
      <c r="X711" s="2">
        <f t="shared" si="59"/>
        <v>12.520971302428256</v>
      </c>
    </row>
    <row r="712" spans="1:24" x14ac:dyDescent="0.3">
      <c r="A712">
        <v>778</v>
      </c>
      <c r="B712">
        <v>124</v>
      </c>
      <c r="C712" t="s">
        <v>39</v>
      </c>
      <c r="D712" t="s">
        <v>17</v>
      </c>
      <c r="E712" t="s">
        <v>23</v>
      </c>
      <c r="F712" t="s">
        <v>24</v>
      </c>
      <c r="G712">
        <v>15</v>
      </c>
      <c r="H712">
        <v>13</v>
      </c>
      <c r="I712">
        <v>10</v>
      </c>
      <c r="J712">
        <v>48.31</v>
      </c>
      <c r="K712">
        <v>280.67</v>
      </c>
      <c r="L712">
        <v>0.39</v>
      </c>
      <c r="M712">
        <v>53.26</v>
      </c>
      <c r="N712">
        <v>1</v>
      </c>
      <c r="O712" t="s">
        <v>20</v>
      </c>
      <c r="P712" t="s">
        <v>21</v>
      </c>
      <c r="Q712">
        <f t="shared" si="55"/>
        <v>18</v>
      </c>
      <c r="R712" s="4">
        <f>RANK(N712,$N$2:N$2800,0)</f>
        <v>1</v>
      </c>
      <c r="S712">
        <f t="shared" si="56"/>
        <v>1.5</v>
      </c>
      <c r="T712" t="str">
        <f t="shared" si="57"/>
        <v>Good</v>
      </c>
      <c r="U712" t="str" cm="1">
        <f t="array" ref="U712">_xlfn.LET(_xlpm.roles,_xlfn.UNIQUE(D712:D3510),_xlpm.kills, SUMIF(D712:D3510,_xlpm.roles,G712:G3510),INDEX(_xlpm.roles,MATCH(MAX(_xlpm.kills),_xlpm.kills,0)))</f>
        <v>Entry Fragger</v>
      </c>
      <c r="V712" t="str">
        <f t="shared" si="58"/>
        <v>Medium Accuracy</v>
      </c>
      <c r="W712" t="str" cm="1">
        <f t="array" ref="W712">_xlfn.LET(_xlpm.roles,_xlfn.UNIQUE(D712:D3510), _xlpm.counts,COUNTIF(D712:D3510,_xlpm.roles), INDEX(_xlpm.roles,MATCH(MAX(_xlpm.counts),_xlpm.counts,0)))</f>
        <v>Entry Fragger</v>
      </c>
      <c r="X712" s="2">
        <f t="shared" si="59"/>
        <v>13.103594080338267</v>
      </c>
    </row>
    <row r="713" spans="1:24" x14ac:dyDescent="0.3">
      <c r="A713">
        <v>1054</v>
      </c>
      <c r="B713">
        <v>124</v>
      </c>
      <c r="C713" t="s">
        <v>27</v>
      </c>
      <c r="D713" t="s">
        <v>17</v>
      </c>
      <c r="E713" t="s">
        <v>29</v>
      </c>
      <c r="F713" t="s">
        <v>37</v>
      </c>
      <c r="G713">
        <v>14</v>
      </c>
      <c r="H713">
        <v>8</v>
      </c>
      <c r="I713">
        <v>8</v>
      </c>
      <c r="J713">
        <v>42.61</v>
      </c>
      <c r="K713">
        <v>236.25</v>
      </c>
      <c r="L713">
        <v>0.18</v>
      </c>
      <c r="M713">
        <v>47.51</v>
      </c>
      <c r="N713">
        <v>0.9</v>
      </c>
      <c r="O713" t="s">
        <v>20</v>
      </c>
      <c r="P713" t="s">
        <v>21</v>
      </c>
      <c r="Q713">
        <f t="shared" si="55"/>
        <v>14</v>
      </c>
      <c r="R713" s="4">
        <f>RANK(N713,$N$2:N$2800,0)</f>
        <v>1738</v>
      </c>
      <c r="S713">
        <f t="shared" si="56"/>
        <v>1.75</v>
      </c>
      <c r="T713" t="str">
        <f t="shared" si="57"/>
        <v>Low</v>
      </c>
      <c r="U713" t="str" cm="1">
        <f t="array" ref="U713">_xlfn.LET(_xlpm.roles,_xlfn.UNIQUE(D713:D3511),_xlpm.kills, SUMIF(D713:D3511,_xlpm.roles,G713:G3511),INDEX(_xlpm.roles,MATCH(MAX(_xlpm.kills),_xlpm.kills,0)))</f>
        <v>Entry Fragger</v>
      </c>
      <c r="V713" t="str">
        <f t="shared" si="58"/>
        <v>Medium Accuracy</v>
      </c>
      <c r="W713" t="str" cm="1">
        <f t="array" ref="W713">_xlfn.LET(_xlpm.roles,_xlfn.UNIQUE(D713:D3511), _xlpm.counts,COUNTIF(D713:D3511,_xlpm.roles), INDEX(_xlpm.roles,MATCH(MAX(_xlpm.counts),_xlpm.counts,0)))</f>
        <v>Entry Fragger</v>
      </c>
      <c r="X713" s="2">
        <f t="shared" si="59"/>
        <v>13.057077625570777</v>
      </c>
    </row>
    <row r="714" spans="1:24" x14ac:dyDescent="0.3">
      <c r="A714">
        <v>1971</v>
      </c>
      <c r="B714">
        <v>124</v>
      </c>
      <c r="C714" t="s">
        <v>16</v>
      </c>
      <c r="D714" t="s">
        <v>31</v>
      </c>
      <c r="E714" t="s">
        <v>18</v>
      </c>
      <c r="F714" t="s">
        <v>19</v>
      </c>
      <c r="G714">
        <v>12</v>
      </c>
      <c r="H714">
        <v>8</v>
      </c>
      <c r="I714">
        <v>7</v>
      </c>
      <c r="J714">
        <v>47.27</v>
      </c>
      <c r="K714">
        <v>277.52999999999997</v>
      </c>
      <c r="L714">
        <v>0.43</v>
      </c>
      <c r="M714">
        <v>44.34</v>
      </c>
      <c r="N714">
        <v>0.88</v>
      </c>
      <c r="O714" t="s">
        <v>20</v>
      </c>
      <c r="P714" t="s">
        <v>21</v>
      </c>
      <c r="Q714">
        <f t="shared" si="55"/>
        <v>13</v>
      </c>
      <c r="R714" s="4">
        <f>RANK(N714,$N$2:N$2800,0)</f>
        <v>1894</v>
      </c>
      <c r="S714">
        <f t="shared" si="56"/>
        <v>1.7142857142857142</v>
      </c>
      <c r="T714" t="str">
        <f t="shared" si="57"/>
        <v>Low</v>
      </c>
      <c r="U714" t="str" cm="1">
        <f t="array" ref="U714">_xlfn.LET(_xlpm.roles,_xlfn.UNIQUE(D714:D3512),_xlpm.kills, SUMIF(D714:D3512,_xlpm.roles,G714:G3512),INDEX(_xlpm.roles,MATCH(MAX(_xlpm.kills),_xlpm.kills,0)))</f>
        <v>Entry Fragger</v>
      </c>
      <c r="V714" t="str">
        <f t="shared" si="58"/>
        <v>Medium Accuracy</v>
      </c>
      <c r="W714" t="str" cm="1">
        <f t="array" ref="W714">_xlfn.LET(_xlpm.roles,_xlfn.UNIQUE(D714:D3512), _xlpm.counts,COUNTIF(D714:D3512,_xlpm.roles), INDEX(_xlpm.roles,MATCH(MAX(_xlpm.counts),_xlpm.counts,0)))</f>
        <v>Entry Fragger</v>
      </c>
      <c r="X714" s="2">
        <f t="shared" si="59"/>
        <v>12.520971302428256</v>
      </c>
    </row>
    <row r="715" spans="1:24" x14ac:dyDescent="0.3">
      <c r="A715">
        <v>2366</v>
      </c>
      <c r="B715">
        <v>124</v>
      </c>
      <c r="C715" t="s">
        <v>25</v>
      </c>
      <c r="D715" t="s">
        <v>17</v>
      </c>
      <c r="E715" t="s">
        <v>33</v>
      </c>
      <c r="F715" t="s">
        <v>26</v>
      </c>
      <c r="G715">
        <v>12</v>
      </c>
      <c r="H715">
        <v>11</v>
      </c>
      <c r="I715">
        <v>8</v>
      </c>
      <c r="J715">
        <v>47.88</v>
      </c>
      <c r="K715">
        <v>242.52</v>
      </c>
      <c r="L715">
        <v>0.33</v>
      </c>
      <c r="M715">
        <v>47.64</v>
      </c>
      <c r="N715">
        <v>0.93</v>
      </c>
      <c r="O715" t="s">
        <v>20</v>
      </c>
      <c r="P715" t="s">
        <v>21</v>
      </c>
      <c r="Q715">
        <f t="shared" si="55"/>
        <v>15</v>
      </c>
      <c r="R715" s="4">
        <f>RANK(N715,$N$2:N$2800,0)</f>
        <v>1505</v>
      </c>
      <c r="S715">
        <f t="shared" si="56"/>
        <v>1.5</v>
      </c>
      <c r="T715" t="str">
        <f t="shared" si="57"/>
        <v>Good</v>
      </c>
      <c r="U715" t="str" cm="1">
        <f t="array" ref="U715">_xlfn.LET(_xlpm.roles,_xlfn.UNIQUE(D715:D3513),_xlpm.kills, SUMIF(D715:D3513,_xlpm.roles,G715:G3513),INDEX(_xlpm.roles,MATCH(MAX(_xlpm.kills),_xlpm.kills,0)))</f>
        <v>Entry Fragger</v>
      </c>
      <c r="V715" t="str">
        <f t="shared" si="58"/>
        <v>Medium Accuracy</v>
      </c>
      <c r="W715" t="str" cm="1">
        <f t="array" ref="W715">_xlfn.LET(_xlpm.roles,_xlfn.UNIQUE(D715:D3513), _xlpm.counts,COUNTIF(D715:D3513,_xlpm.roles), INDEX(_xlpm.roles,MATCH(MAX(_xlpm.counts),_xlpm.counts,0)))</f>
        <v>Entry Fragger</v>
      </c>
      <c r="X715" s="2">
        <f t="shared" si="59"/>
        <v>12.809421841541756</v>
      </c>
    </row>
    <row r="716" spans="1:24" x14ac:dyDescent="0.3">
      <c r="A716">
        <v>2425</v>
      </c>
      <c r="B716">
        <v>124</v>
      </c>
      <c r="C716" t="s">
        <v>16</v>
      </c>
      <c r="D716" t="s">
        <v>17</v>
      </c>
      <c r="E716" t="s">
        <v>18</v>
      </c>
      <c r="F716" t="s">
        <v>24</v>
      </c>
      <c r="G716">
        <v>5</v>
      </c>
      <c r="H716">
        <v>7</v>
      </c>
      <c r="I716">
        <v>8</v>
      </c>
      <c r="J716">
        <v>46.08</v>
      </c>
      <c r="K716">
        <v>252.93</v>
      </c>
      <c r="L716">
        <v>0.28000000000000003</v>
      </c>
      <c r="M716">
        <v>29.24</v>
      </c>
      <c r="N716">
        <v>0.72</v>
      </c>
      <c r="O716" t="s">
        <v>20</v>
      </c>
      <c r="P716" t="s">
        <v>21</v>
      </c>
      <c r="Q716">
        <f t="shared" si="55"/>
        <v>4</v>
      </c>
      <c r="R716" s="4">
        <f>RANK(N716,$N$2:N$2800,0)</f>
        <v>2663</v>
      </c>
      <c r="S716">
        <f t="shared" si="56"/>
        <v>0.625</v>
      </c>
      <c r="T716" t="str">
        <f t="shared" si="57"/>
        <v>Low</v>
      </c>
      <c r="U716" t="str" cm="1">
        <f t="array" ref="U716">_xlfn.LET(_xlpm.roles,_xlfn.UNIQUE(D716:D3514),_xlpm.kills, SUMIF(D716:D3514,_xlpm.roles,G716:G3514),INDEX(_xlpm.roles,MATCH(MAX(_xlpm.kills),_xlpm.kills,0)))</f>
        <v>Entry Fragger</v>
      </c>
      <c r="V716" t="str">
        <f t="shared" si="58"/>
        <v>Medium Accuracy</v>
      </c>
      <c r="W716" t="str" cm="1">
        <f t="array" ref="W716">_xlfn.LET(_xlpm.roles,_xlfn.UNIQUE(D716:D3514), _xlpm.counts,COUNTIF(D716:D3514,_xlpm.roles), INDEX(_xlpm.roles,MATCH(MAX(_xlpm.counts),_xlpm.counts,0)))</f>
        <v>Entry Fragger</v>
      </c>
      <c r="X716" s="2">
        <f t="shared" si="59"/>
        <v>12.520971302428256</v>
      </c>
    </row>
    <row r="717" spans="1:24" x14ac:dyDescent="0.3">
      <c r="A717">
        <v>2443</v>
      </c>
      <c r="B717">
        <v>124</v>
      </c>
      <c r="C717" t="s">
        <v>39</v>
      </c>
      <c r="D717" t="s">
        <v>22</v>
      </c>
      <c r="E717" t="s">
        <v>33</v>
      </c>
      <c r="F717" t="s">
        <v>34</v>
      </c>
      <c r="G717">
        <v>23</v>
      </c>
      <c r="H717">
        <v>11</v>
      </c>
      <c r="I717">
        <v>11</v>
      </c>
      <c r="J717">
        <v>34.29</v>
      </c>
      <c r="K717">
        <v>195.69</v>
      </c>
      <c r="L717">
        <v>0.56999999999999995</v>
      </c>
      <c r="M717">
        <v>57.44</v>
      </c>
      <c r="N717">
        <v>1</v>
      </c>
      <c r="O717" t="s">
        <v>20</v>
      </c>
      <c r="P717" t="s">
        <v>21</v>
      </c>
      <c r="Q717">
        <f t="shared" si="55"/>
        <v>23</v>
      </c>
      <c r="R717" s="4">
        <f>RANK(N717,$N$2:N$2800,0)</f>
        <v>1</v>
      </c>
      <c r="S717">
        <f t="shared" si="56"/>
        <v>2.0909090909090908</v>
      </c>
      <c r="T717" t="str">
        <f t="shared" si="57"/>
        <v>Good</v>
      </c>
      <c r="U717" t="str" cm="1">
        <f t="array" ref="U717">_xlfn.LET(_xlpm.roles,_xlfn.UNIQUE(D717:D3515),_xlpm.kills, SUMIF(D717:D3515,_xlpm.roles,G717:G3515),INDEX(_xlpm.roles,MATCH(MAX(_xlpm.kills),_xlpm.kills,0)))</f>
        <v>Entry Fragger</v>
      </c>
      <c r="V717" t="str">
        <f t="shared" si="58"/>
        <v>Medium Accuracy</v>
      </c>
      <c r="W717" t="str" cm="1">
        <f t="array" ref="W717">_xlfn.LET(_xlpm.roles,_xlfn.UNIQUE(D717:D3515), _xlpm.counts,COUNTIF(D717:D3515,_xlpm.roles), INDEX(_xlpm.roles,MATCH(MAX(_xlpm.counts),_xlpm.counts,0)))</f>
        <v>Entry Fragger</v>
      </c>
      <c r="X717" s="2">
        <f t="shared" si="59"/>
        <v>13.103594080338267</v>
      </c>
    </row>
    <row r="718" spans="1:24" x14ac:dyDescent="0.3">
      <c r="A718">
        <v>2532</v>
      </c>
      <c r="B718">
        <v>124</v>
      </c>
      <c r="C718" t="s">
        <v>30</v>
      </c>
      <c r="D718" t="s">
        <v>28</v>
      </c>
      <c r="E718" t="s">
        <v>18</v>
      </c>
      <c r="F718" t="s">
        <v>34</v>
      </c>
      <c r="G718">
        <v>12</v>
      </c>
      <c r="H718">
        <v>7</v>
      </c>
      <c r="I718">
        <v>7</v>
      </c>
      <c r="J718">
        <v>52.4</v>
      </c>
      <c r="K718">
        <v>212.05</v>
      </c>
      <c r="L718">
        <v>0.39</v>
      </c>
      <c r="M718">
        <v>46.3</v>
      </c>
      <c r="N718">
        <v>0.87</v>
      </c>
      <c r="O718" t="s">
        <v>20</v>
      </c>
      <c r="P718" t="s">
        <v>21</v>
      </c>
      <c r="Q718">
        <f t="shared" si="55"/>
        <v>12</v>
      </c>
      <c r="R718" s="4">
        <f>RANK(N718,$N$2:N$2800,0)</f>
        <v>1965</v>
      </c>
      <c r="S718">
        <f t="shared" si="56"/>
        <v>1.7142857142857142</v>
      </c>
      <c r="T718" t="str">
        <f t="shared" si="57"/>
        <v>Low</v>
      </c>
      <c r="U718" t="str" cm="1">
        <f t="array" ref="U718">_xlfn.LET(_xlpm.roles,_xlfn.UNIQUE(D718:D3516),_xlpm.kills, SUMIF(D718:D3516,_xlpm.roles,G718:G3516),INDEX(_xlpm.roles,MATCH(MAX(_xlpm.kills),_xlpm.kills,0)))</f>
        <v>Entry Fragger</v>
      </c>
      <c r="V718" t="str">
        <f t="shared" si="58"/>
        <v>High Accuracy</v>
      </c>
      <c r="W718" t="str" cm="1">
        <f t="array" ref="W718">_xlfn.LET(_xlpm.roles,_xlfn.UNIQUE(D718:D3516), _xlpm.counts,COUNTIF(D718:D3516,_xlpm.roles), INDEX(_xlpm.roles,MATCH(MAX(_xlpm.counts),_xlpm.counts,0)))</f>
        <v>Entry Fragger</v>
      </c>
      <c r="X718" s="2">
        <f t="shared" si="59"/>
        <v>13.135802469135802</v>
      </c>
    </row>
    <row r="719" spans="1:24" x14ac:dyDescent="0.3">
      <c r="A719">
        <v>250</v>
      </c>
      <c r="B719">
        <v>125</v>
      </c>
      <c r="C719" t="s">
        <v>25</v>
      </c>
      <c r="D719" t="s">
        <v>36</v>
      </c>
      <c r="E719" t="s">
        <v>23</v>
      </c>
      <c r="F719" t="s">
        <v>24</v>
      </c>
      <c r="G719">
        <v>12</v>
      </c>
      <c r="H719">
        <v>10</v>
      </c>
      <c r="I719">
        <v>13</v>
      </c>
      <c r="J719">
        <v>63.46</v>
      </c>
      <c r="K719">
        <v>246.9</v>
      </c>
      <c r="L719">
        <v>1</v>
      </c>
      <c r="M719">
        <v>42.73</v>
      </c>
      <c r="N719">
        <v>0.76</v>
      </c>
      <c r="O719" t="s">
        <v>20</v>
      </c>
      <c r="P719" t="s">
        <v>21</v>
      </c>
      <c r="Q719">
        <f t="shared" si="55"/>
        <v>9</v>
      </c>
      <c r="R719" s="4">
        <f>RANK(N719,$N$2:N$2800,0)</f>
        <v>2547</v>
      </c>
      <c r="S719">
        <f t="shared" si="56"/>
        <v>0.92307692307692313</v>
      </c>
      <c r="T719" t="str">
        <f t="shared" si="57"/>
        <v>Low</v>
      </c>
      <c r="U719" t="str" cm="1">
        <f t="array" ref="U719">_xlfn.LET(_xlpm.roles,_xlfn.UNIQUE(D719:D3517),_xlpm.kills, SUMIF(D719:D3517,_xlpm.roles,G719:G3517),INDEX(_xlpm.roles,MATCH(MAX(_xlpm.kills),_xlpm.kills,0)))</f>
        <v>Entry Fragger</v>
      </c>
      <c r="V719" t="str">
        <f t="shared" si="58"/>
        <v>High Accuracy</v>
      </c>
      <c r="W719" t="str" cm="1">
        <f t="array" ref="W719">_xlfn.LET(_xlpm.roles,_xlfn.UNIQUE(D719:D3517), _xlpm.counts,COUNTIF(D719:D3517,_xlpm.roles), INDEX(_xlpm.roles,MATCH(MAX(_xlpm.counts),_xlpm.counts,0)))</f>
        <v>Entry Fragger</v>
      </c>
      <c r="X719" s="2">
        <f t="shared" si="59"/>
        <v>12.809421841541756</v>
      </c>
    </row>
    <row r="720" spans="1:24" x14ac:dyDescent="0.3">
      <c r="A720">
        <v>403</v>
      </c>
      <c r="B720">
        <v>125</v>
      </c>
      <c r="C720" t="s">
        <v>30</v>
      </c>
      <c r="D720" t="s">
        <v>22</v>
      </c>
      <c r="E720" t="s">
        <v>29</v>
      </c>
      <c r="F720" t="s">
        <v>26</v>
      </c>
      <c r="G720">
        <v>14</v>
      </c>
      <c r="H720">
        <v>9</v>
      </c>
      <c r="I720">
        <v>12</v>
      </c>
      <c r="J720">
        <v>44.13</v>
      </c>
      <c r="K720">
        <v>208.65</v>
      </c>
      <c r="L720">
        <v>0.54</v>
      </c>
      <c r="M720">
        <v>41.66</v>
      </c>
      <c r="N720">
        <v>0.96</v>
      </c>
      <c r="O720" t="s">
        <v>20</v>
      </c>
      <c r="P720" t="s">
        <v>21</v>
      </c>
      <c r="Q720">
        <f t="shared" si="55"/>
        <v>11</v>
      </c>
      <c r="R720" s="4">
        <f>RANK(N720,$N$2:N$2800,0)</f>
        <v>1301</v>
      </c>
      <c r="S720">
        <f t="shared" si="56"/>
        <v>1.1666666666666667</v>
      </c>
      <c r="T720" t="str">
        <f t="shared" si="57"/>
        <v>Low</v>
      </c>
      <c r="U720" t="str" cm="1">
        <f t="array" ref="U720">_xlfn.LET(_xlpm.roles,_xlfn.UNIQUE(D720:D3518),_xlpm.kills, SUMIF(D720:D3518,_xlpm.roles,G720:G3518),INDEX(_xlpm.roles,MATCH(MAX(_xlpm.kills),_xlpm.kills,0)))</f>
        <v>Entry Fragger</v>
      </c>
      <c r="V720" t="str">
        <f t="shared" si="58"/>
        <v>Medium Accuracy</v>
      </c>
      <c r="W720" t="str" cm="1">
        <f t="array" ref="W720">_xlfn.LET(_xlpm.roles,_xlfn.UNIQUE(D720:D3518), _xlpm.counts,COUNTIF(D720:D3518,_xlpm.roles), INDEX(_xlpm.roles,MATCH(MAX(_xlpm.counts),_xlpm.counts,0)))</f>
        <v>Entry Fragger</v>
      </c>
      <c r="X720" s="2">
        <f t="shared" si="59"/>
        <v>13.135802469135802</v>
      </c>
    </row>
    <row r="721" spans="1:24" x14ac:dyDescent="0.3">
      <c r="A721">
        <v>758</v>
      </c>
      <c r="B721">
        <v>125</v>
      </c>
      <c r="C721" t="s">
        <v>16</v>
      </c>
      <c r="D721" t="s">
        <v>28</v>
      </c>
      <c r="E721" t="s">
        <v>23</v>
      </c>
      <c r="F721" t="s">
        <v>24</v>
      </c>
      <c r="G721">
        <v>10</v>
      </c>
      <c r="H721">
        <v>10</v>
      </c>
      <c r="I721">
        <v>9</v>
      </c>
      <c r="J721">
        <v>44.23</v>
      </c>
      <c r="K721">
        <v>185.95</v>
      </c>
      <c r="L721">
        <v>0.2</v>
      </c>
      <c r="M721">
        <v>41.11</v>
      </c>
      <c r="N721">
        <v>0.86</v>
      </c>
      <c r="O721" t="s">
        <v>20</v>
      </c>
      <c r="P721" t="s">
        <v>21</v>
      </c>
      <c r="Q721">
        <f t="shared" si="55"/>
        <v>11</v>
      </c>
      <c r="R721" s="4">
        <f>RANK(N721,$N$2:N$2800,0)</f>
        <v>2040</v>
      </c>
      <c r="S721">
        <f t="shared" si="56"/>
        <v>1.1111111111111112</v>
      </c>
      <c r="T721" t="str">
        <f t="shared" si="57"/>
        <v>Low</v>
      </c>
      <c r="U721" t="str" cm="1">
        <f t="array" ref="U721">_xlfn.LET(_xlpm.roles,_xlfn.UNIQUE(D721:D3519),_xlpm.kills, SUMIF(D721:D3519,_xlpm.roles,G721:G3519),INDEX(_xlpm.roles,MATCH(MAX(_xlpm.kills),_xlpm.kills,0)))</f>
        <v>Entry Fragger</v>
      </c>
      <c r="V721" t="str">
        <f t="shared" si="58"/>
        <v>Medium Accuracy</v>
      </c>
      <c r="W721" t="str" cm="1">
        <f t="array" ref="W721">_xlfn.LET(_xlpm.roles,_xlfn.UNIQUE(D721:D3519), _xlpm.counts,COUNTIF(D721:D3519,_xlpm.roles), INDEX(_xlpm.roles,MATCH(MAX(_xlpm.counts),_xlpm.counts,0)))</f>
        <v>Entry Fragger</v>
      </c>
      <c r="X721" s="2">
        <f t="shared" si="59"/>
        <v>12.520971302428256</v>
      </c>
    </row>
    <row r="722" spans="1:24" x14ac:dyDescent="0.3">
      <c r="A722">
        <v>825</v>
      </c>
      <c r="B722">
        <v>125</v>
      </c>
      <c r="C722" t="s">
        <v>16</v>
      </c>
      <c r="D722" t="s">
        <v>36</v>
      </c>
      <c r="E722" t="s">
        <v>18</v>
      </c>
      <c r="F722" t="s">
        <v>34</v>
      </c>
      <c r="G722">
        <v>19</v>
      </c>
      <c r="H722">
        <v>8</v>
      </c>
      <c r="I722">
        <v>7</v>
      </c>
      <c r="J722">
        <v>35.67</v>
      </c>
      <c r="K722">
        <v>292.10000000000002</v>
      </c>
      <c r="L722">
        <v>0.66</v>
      </c>
      <c r="M722">
        <v>50.23</v>
      </c>
      <c r="N722">
        <v>1</v>
      </c>
      <c r="O722" t="s">
        <v>20</v>
      </c>
      <c r="P722" t="s">
        <v>21</v>
      </c>
      <c r="Q722">
        <f t="shared" si="55"/>
        <v>20</v>
      </c>
      <c r="R722" s="4">
        <f>RANK(N722,$N$2:N$2800,0)</f>
        <v>1</v>
      </c>
      <c r="S722">
        <f t="shared" si="56"/>
        <v>2.7142857142857144</v>
      </c>
      <c r="T722" t="str">
        <f t="shared" si="57"/>
        <v>Good</v>
      </c>
      <c r="U722" t="str" cm="1">
        <f t="array" ref="U722">_xlfn.LET(_xlpm.roles,_xlfn.UNIQUE(D722:D3520),_xlpm.kills, SUMIF(D722:D3520,_xlpm.roles,G722:G3520),INDEX(_xlpm.roles,MATCH(MAX(_xlpm.kills),_xlpm.kills,0)))</f>
        <v>Entry Fragger</v>
      </c>
      <c r="V722" t="str">
        <f t="shared" si="58"/>
        <v>Medium Accuracy</v>
      </c>
      <c r="W722" t="str" cm="1">
        <f t="array" ref="W722">_xlfn.LET(_xlpm.roles,_xlfn.UNIQUE(D722:D3520), _xlpm.counts,COUNTIF(D722:D3520,_xlpm.roles), INDEX(_xlpm.roles,MATCH(MAX(_xlpm.counts),_xlpm.counts,0)))</f>
        <v>Entry Fragger</v>
      </c>
      <c r="X722" s="2">
        <f t="shared" si="59"/>
        <v>12.520971302428256</v>
      </c>
    </row>
    <row r="723" spans="1:24" x14ac:dyDescent="0.3">
      <c r="A723">
        <v>1437</v>
      </c>
      <c r="B723">
        <v>125</v>
      </c>
      <c r="C723" t="s">
        <v>25</v>
      </c>
      <c r="D723" t="s">
        <v>31</v>
      </c>
      <c r="E723" t="s">
        <v>18</v>
      </c>
      <c r="F723" t="s">
        <v>37</v>
      </c>
      <c r="G723">
        <v>17</v>
      </c>
      <c r="H723">
        <v>7</v>
      </c>
      <c r="I723">
        <v>12</v>
      </c>
      <c r="J723">
        <v>36.380000000000003</v>
      </c>
      <c r="K723">
        <v>228.06</v>
      </c>
      <c r="L723">
        <v>0.4</v>
      </c>
      <c r="M723">
        <v>43.19</v>
      </c>
      <c r="N723">
        <v>0.91</v>
      </c>
      <c r="O723" t="s">
        <v>20</v>
      </c>
      <c r="P723" t="s">
        <v>21</v>
      </c>
      <c r="Q723">
        <f t="shared" si="55"/>
        <v>12</v>
      </c>
      <c r="R723" s="4">
        <f>RANK(N723,$N$2:N$2800,0)</f>
        <v>1665</v>
      </c>
      <c r="S723">
        <f t="shared" si="56"/>
        <v>1.4166666666666667</v>
      </c>
      <c r="T723" t="str">
        <f t="shared" si="57"/>
        <v>Low</v>
      </c>
      <c r="U723" t="str" cm="1">
        <f t="array" ref="U723">_xlfn.LET(_xlpm.roles,_xlfn.UNIQUE(D723:D3521),_xlpm.kills, SUMIF(D723:D3521,_xlpm.roles,G723:G3521),INDEX(_xlpm.roles,MATCH(MAX(_xlpm.kills),_xlpm.kills,0)))</f>
        <v>Entry Fragger</v>
      </c>
      <c r="V723" t="str">
        <f t="shared" si="58"/>
        <v>Medium Accuracy</v>
      </c>
      <c r="W723" t="str" cm="1">
        <f t="array" ref="W723">_xlfn.LET(_xlpm.roles,_xlfn.UNIQUE(D723:D3521), _xlpm.counts,COUNTIF(D723:D3521,_xlpm.roles), INDEX(_xlpm.roles,MATCH(MAX(_xlpm.counts),_xlpm.counts,0)))</f>
        <v>Entry Fragger</v>
      </c>
      <c r="X723" s="2">
        <f t="shared" si="59"/>
        <v>12.809421841541756</v>
      </c>
    </row>
    <row r="724" spans="1:24" x14ac:dyDescent="0.3">
      <c r="A724">
        <v>2045</v>
      </c>
      <c r="B724">
        <v>125</v>
      </c>
      <c r="C724" t="s">
        <v>27</v>
      </c>
      <c r="D724" t="s">
        <v>31</v>
      </c>
      <c r="E724" t="s">
        <v>33</v>
      </c>
      <c r="F724" t="s">
        <v>26</v>
      </c>
      <c r="G724">
        <v>12</v>
      </c>
      <c r="H724">
        <v>4</v>
      </c>
      <c r="I724">
        <v>9</v>
      </c>
      <c r="J724">
        <v>53.09</v>
      </c>
      <c r="K724">
        <v>231.29</v>
      </c>
      <c r="L724">
        <v>0.63</v>
      </c>
      <c r="M724">
        <v>39.25</v>
      </c>
      <c r="N724">
        <v>1</v>
      </c>
      <c r="O724" t="s">
        <v>20</v>
      </c>
      <c r="P724" t="s">
        <v>21</v>
      </c>
      <c r="Q724">
        <f t="shared" si="55"/>
        <v>7</v>
      </c>
      <c r="R724" s="4">
        <f>RANK(N724,$N$2:N$2800,0)</f>
        <v>1</v>
      </c>
      <c r="S724">
        <f t="shared" si="56"/>
        <v>1.3333333333333333</v>
      </c>
      <c r="T724" t="str">
        <f t="shared" si="57"/>
        <v>Low</v>
      </c>
      <c r="U724" t="str" cm="1">
        <f t="array" ref="U724">_xlfn.LET(_xlpm.roles,_xlfn.UNIQUE(D724:D3522),_xlpm.kills, SUMIF(D724:D3522,_xlpm.roles,G724:G3522),INDEX(_xlpm.roles,MATCH(MAX(_xlpm.kills),_xlpm.kills,0)))</f>
        <v>Entry Fragger</v>
      </c>
      <c r="V724" t="str">
        <f t="shared" si="58"/>
        <v>High Accuracy</v>
      </c>
      <c r="W724" t="str" cm="1">
        <f t="array" ref="W724">_xlfn.LET(_xlpm.roles,_xlfn.UNIQUE(D724:D3522), _xlpm.counts,COUNTIF(D724:D3522,_xlpm.roles), INDEX(_xlpm.roles,MATCH(MAX(_xlpm.counts),_xlpm.counts,0)))</f>
        <v>Entry Fragger</v>
      </c>
      <c r="X724" s="2">
        <f t="shared" si="59"/>
        <v>13.057077625570777</v>
      </c>
    </row>
    <row r="725" spans="1:24" x14ac:dyDescent="0.3">
      <c r="A725">
        <v>29</v>
      </c>
      <c r="B725">
        <v>126</v>
      </c>
      <c r="C725" t="s">
        <v>30</v>
      </c>
      <c r="D725" t="s">
        <v>28</v>
      </c>
      <c r="E725" t="s">
        <v>18</v>
      </c>
      <c r="F725" t="s">
        <v>37</v>
      </c>
      <c r="G725">
        <v>12</v>
      </c>
      <c r="H725">
        <v>14</v>
      </c>
      <c r="I725">
        <v>11</v>
      </c>
      <c r="J725">
        <v>47.66</v>
      </c>
      <c r="K725">
        <v>197.55</v>
      </c>
      <c r="L725">
        <v>0.52</v>
      </c>
      <c r="M725">
        <v>45.63</v>
      </c>
      <c r="N725">
        <v>0.97</v>
      </c>
      <c r="O725" t="s">
        <v>20</v>
      </c>
      <c r="P725" t="s">
        <v>21</v>
      </c>
      <c r="Q725">
        <f t="shared" si="55"/>
        <v>15</v>
      </c>
      <c r="R725" s="4">
        <f>RANK(N725,$N$2:N$2800,0)</f>
        <v>1243</v>
      </c>
      <c r="S725">
        <f t="shared" si="56"/>
        <v>1.0909090909090908</v>
      </c>
      <c r="T725" t="str">
        <f t="shared" si="57"/>
        <v>Good</v>
      </c>
      <c r="U725" t="str" cm="1">
        <f t="array" ref="U725">_xlfn.LET(_xlpm.roles,_xlfn.UNIQUE(D725:D3523),_xlpm.kills, SUMIF(D725:D3523,_xlpm.roles,G725:G3523),INDEX(_xlpm.roles,MATCH(MAX(_xlpm.kills),_xlpm.kills,0)))</f>
        <v>Entry Fragger</v>
      </c>
      <c r="V725" t="str">
        <f t="shared" si="58"/>
        <v>Medium Accuracy</v>
      </c>
      <c r="W725" t="str" cm="1">
        <f t="array" ref="W725">_xlfn.LET(_xlpm.roles,_xlfn.UNIQUE(D725:D3523), _xlpm.counts,COUNTIF(D725:D3523,_xlpm.roles), INDEX(_xlpm.roles,MATCH(MAX(_xlpm.counts),_xlpm.counts,0)))</f>
        <v>Entry Fragger</v>
      </c>
      <c r="X725" s="2">
        <f t="shared" si="59"/>
        <v>13.135802469135802</v>
      </c>
    </row>
    <row r="726" spans="1:24" x14ac:dyDescent="0.3">
      <c r="A726">
        <v>1286</v>
      </c>
      <c r="B726">
        <v>126</v>
      </c>
      <c r="C726" t="s">
        <v>16</v>
      </c>
      <c r="D726" t="s">
        <v>36</v>
      </c>
      <c r="E726" t="s">
        <v>33</v>
      </c>
      <c r="F726" t="s">
        <v>24</v>
      </c>
      <c r="G726">
        <v>15</v>
      </c>
      <c r="H726">
        <v>5</v>
      </c>
      <c r="I726">
        <v>6</v>
      </c>
      <c r="J726">
        <v>43.52</v>
      </c>
      <c r="K726">
        <v>211.87</v>
      </c>
      <c r="L726">
        <v>0.15</v>
      </c>
      <c r="M726">
        <v>49.26</v>
      </c>
      <c r="N726">
        <v>1</v>
      </c>
      <c r="O726" t="s">
        <v>20</v>
      </c>
      <c r="P726" t="s">
        <v>21</v>
      </c>
      <c r="Q726">
        <f t="shared" si="55"/>
        <v>14</v>
      </c>
      <c r="R726" s="4">
        <f>RANK(N726,$N$2:N$2800,0)</f>
        <v>1</v>
      </c>
      <c r="S726">
        <f t="shared" si="56"/>
        <v>2.5</v>
      </c>
      <c r="T726" t="str">
        <f t="shared" si="57"/>
        <v>Low</v>
      </c>
      <c r="U726" t="str" cm="1">
        <f t="array" ref="U726">_xlfn.LET(_xlpm.roles,_xlfn.UNIQUE(D726:D3524),_xlpm.kills, SUMIF(D726:D3524,_xlpm.roles,G726:G3524),INDEX(_xlpm.roles,MATCH(MAX(_xlpm.kills),_xlpm.kills,0)))</f>
        <v>Entry Fragger</v>
      </c>
      <c r="V726" t="str">
        <f t="shared" si="58"/>
        <v>Medium Accuracy</v>
      </c>
      <c r="W726" t="str" cm="1">
        <f t="array" ref="W726">_xlfn.LET(_xlpm.roles,_xlfn.UNIQUE(D726:D3524), _xlpm.counts,COUNTIF(D726:D3524,_xlpm.roles), INDEX(_xlpm.roles,MATCH(MAX(_xlpm.counts),_xlpm.counts,0)))</f>
        <v>Entry Fragger</v>
      </c>
      <c r="X726" s="2">
        <f t="shared" si="59"/>
        <v>12.520971302428256</v>
      </c>
    </row>
    <row r="727" spans="1:24" x14ac:dyDescent="0.3">
      <c r="A727">
        <v>1495</v>
      </c>
      <c r="B727">
        <v>126</v>
      </c>
      <c r="C727" t="s">
        <v>35</v>
      </c>
      <c r="D727" t="s">
        <v>31</v>
      </c>
      <c r="E727" t="s">
        <v>18</v>
      </c>
      <c r="F727" t="s">
        <v>34</v>
      </c>
      <c r="G727">
        <v>17</v>
      </c>
      <c r="H727">
        <v>8</v>
      </c>
      <c r="I727">
        <v>11</v>
      </c>
      <c r="J727">
        <v>51.96</v>
      </c>
      <c r="K727">
        <v>167.69</v>
      </c>
      <c r="L727">
        <v>0.39</v>
      </c>
      <c r="M727">
        <v>53.08</v>
      </c>
      <c r="N727">
        <v>0.95</v>
      </c>
      <c r="O727" t="s">
        <v>20</v>
      </c>
      <c r="P727" t="s">
        <v>21</v>
      </c>
      <c r="Q727">
        <f t="shared" si="55"/>
        <v>14</v>
      </c>
      <c r="R727" s="4">
        <f>RANK(N727,$N$2:N$2800,0)</f>
        <v>1367</v>
      </c>
      <c r="S727">
        <f t="shared" si="56"/>
        <v>1.5454545454545454</v>
      </c>
      <c r="T727" t="str">
        <f t="shared" si="57"/>
        <v>Low</v>
      </c>
      <c r="U727" t="str" cm="1">
        <f t="array" ref="U727">_xlfn.LET(_xlpm.roles,_xlfn.UNIQUE(D727:D3525),_xlpm.kills, SUMIF(D727:D3525,_xlpm.roles,G727:G3525),INDEX(_xlpm.roles,MATCH(MAX(_xlpm.kills),_xlpm.kills,0)))</f>
        <v>Entry Fragger</v>
      </c>
      <c r="V727" t="str">
        <f t="shared" si="58"/>
        <v>High Accuracy</v>
      </c>
      <c r="W727" t="str" cm="1">
        <f t="array" ref="W727">_xlfn.LET(_xlpm.roles,_xlfn.UNIQUE(D727:D3525), _xlpm.counts,COUNTIF(D727:D3525,_xlpm.roles), INDEX(_xlpm.roles,MATCH(MAX(_xlpm.counts),_xlpm.counts,0)))</f>
        <v>Entry Fragger</v>
      </c>
      <c r="X727" s="2">
        <f t="shared" si="59"/>
        <v>12.599585062240664</v>
      </c>
    </row>
    <row r="728" spans="1:24" x14ac:dyDescent="0.3">
      <c r="A728">
        <v>1828</v>
      </c>
      <c r="B728">
        <v>126</v>
      </c>
      <c r="C728" t="s">
        <v>16</v>
      </c>
      <c r="D728" t="s">
        <v>17</v>
      </c>
      <c r="E728" t="s">
        <v>33</v>
      </c>
      <c r="F728" t="s">
        <v>24</v>
      </c>
      <c r="G728">
        <v>16</v>
      </c>
      <c r="H728">
        <v>4</v>
      </c>
      <c r="I728">
        <v>9</v>
      </c>
      <c r="J728">
        <v>48.45</v>
      </c>
      <c r="K728">
        <v>243.6</v>
      </c>
      <c r="L728">
        <v>0.15</v>
      </c>
      <c r="M728">
        <v>49.73</v>
      </c>
      <c r="N728">
        <v>1</v>
      </c>
      <c r="O728" t="s">
        <v>20</v>
      </c>
      <c r="P728" t="s">
        <v>21</v>
      </c>
      <c r="Q728">
        <f t="shared" si="55"/>
        <v>11</v>
      </c>
      <c r="R728" s="4">
        <f>RANK(N728,$N$2:N$2800,0)</f>
        <v>1</v>
      </c>
      <c r="S728">
        <f t="shared" si="56"/>
        <v>1.7777777777777777</v>
      </c>
      <c r="T728" t="str">
        <f t="shared" si="57"/>
        <v>Low</v>
      </c>
      <c r="U728" t="str" cm="1">
        <f t="array" ref="U728">_xlfn.LET(_xlpm.roles,_xlfn.UNIQUE(D728:D3526),_xlpm.kills, SUMIF(D728:D3526,_xlpm.roles,G728:G3526),INDEX(_xlpm.roles,MATCH(MAX(_xlpm.kills),_xlpm.kills,0)))</f>
        <v>Entry Fragger</v>
      </c>
      <c r="V728" t="str">
        <f t="shared" si="58"/>
        <v>Medium Accuracy</v>
      </c>
      <c r="W728" t="str" cm="1">
        <f t="array" ref="W728">_xlfn.LET(_xlpm.roles,_xlfn.UNIQUE(D728:D3526), _xlpm.counts,COUNTIF(D728:D3526,_xlpm.roles), INDEX(_xlpm.roles,MATCH(MAX(_xlpm.counts),_xlpm.counts,0)))</f>
        <v>Entry Fragger</v>
      </c>
      <c r="X728" s="2">
        <f t="shared" si="59"/>
        <v>12.520971302428256</v>
      </c>
    </row>
    <row r="729" spans="1:24" x14ac:dyDescent="0.3">
      <c r="A729">
        <v>1842</v>
      </c>
      <c r="B729">
        <v>126</v>
      </c>
      <c r="C729" t="s">
        <v>35</v>
      </c>
      <c r="D729" t="s">
        <v>22</v>
      </c>
      <c r="E729" t="s">
        <v>29</v>
      </c>
      <c r="F729" t="s">
        <v>19</v>
      </c>
      <c r="G729">
        <v>10</v>
      </c>
      <c r="H729">
        <v>6</v>
      </c>
      <c r="I729">
        <v>12</v>
      </c>
      <c r="J729">
        <v>47.58</v>
      </c>
      <c r="K729">
        <v>238.43</v>
      </c>
      <c r="L729">
        <v>1</v>
      </c>
      <c r="M729">
        <v>27.79</v>
      </c>
      <c r="N729">
        <v>0.8</v>
      </c>
      <c r="O729" t="s">
        <v>20</v>
      </c>
      <c r="P729" t="s">
        <v>21</v>
      </c>
      <c r="Q729">
        <f t="shared" si="55"/>
        <v>4</v>
      </c>
      <c r="R729" s="4">
        <f>RANK(N729,$N$2:N$2800,0)</f>
        <v>2393</v>
      </c>
      <c r="S729">
        <f t="shared" si="56"/>
        <v>0.83333333333333337</v>
      </c>
      <c r="T729" t="str">
        <f t="shared" si="57"/>
        <v>Low</v>
      </c>
      <c r="U729" t="str" cm="1">
        <f t="array" ref="U729">_xlfn.LET(_xlpm.roles,_xlfn.UNIQUE(D729:D3527),_xlpm.kills, SUMIF(D729:D3527,_xlpm.roles,G729:G3527),INDEX(_xlpm.roles,MATCH(MAX(_xlpm.kills),_xlpm.kills,0)))</f>
        <v>Entry Fragger</v>
      </c>
      <c r="V729" t="str">
        <f t="shared" si="58"/>
        <v>Medium Accuracy</v>
      </c>
      <c r="W729" t="str" cm="1">
        <f t="array" ref="W729">_xlfn.LET(_xlpm.roles,_xlfn.UNIQUE(D729:D3527), _xlpm.counts,COUNTIF(D729:D3527,_xlpm.roles), INDEX(_xlpm.roles,MATCH(MAX(_xlpm.counts),_xlpm.counts,0)))</f>
        <v>Entry Fragger</v>
      </c>
      <c r="X729" s="2">
        <f t="shared" si="59"/>
        <v>12.599585062240664</v>
      </c>
    </row>
    <row r="730" spans="1:24" x14ac:dyDescent="0.3">
      <c r="A730">
        <v>2151</v>
      </c>
      <c r="B730">
        <v>126</v>
      </c>
      <c r="C730" t="s">
        <v>39</v>
      </c>
      <c r="D730" t="s">
        <v>31</v>
      </c>
      <c r="E730" t="s">
        <v>32</v>
      </c>
      <c r="F730" t="s">
        <v>37</v>
      </c>
      <c r="G730">
        <v>17</v>
      </c>
      <c r="H730">
        <v>9</v>
      </c>
      <c r="I730">
        <v>9</v>
      </c>
      <c r="J730">
        <v>39.35</v>
      </c>
      <c r="K730">
        <v>195.95</v>
      </c>
      <c r="L730">
        <v>0.94</v>
      </c>
      <c r="M730">
        <v>44.27</v>
      </c>
      <c r="N730">
        <v>1</v>
      </c>
      <c r="O730" t="s">
        <v>20</v>
      </c>
      <c r="P730" t="s">
        <v>21</v>
      </c>
      <c r="Q730">
        <f t="shared" si="55"/>
        <v>17</v>
      </c>
      <c r="R730" s="4">
        <f>RANK(N730,$N$2:N$2800,0)</f>
        <v>1</v>
      </c>
      <c r="S730">
        <f t="shared" si="56"/>
        <v>1.8888888888888888</v>
      </c>
      <c r="T730" t="str">
        <f t="shared" si="57"/>
        <v>Good</v>
      </c>
      <c r="U730" t="str" cm="1">
        <f t="array" ref="U730">_xlfn.LET(_xlpm.roles,_xlfn.UNIQUE(D730:D3528),_xlpm.kills, SUMIF(D730:D3528,_xlpm.roles,G730:G3528),INDEX(_xlpm.roles,MATCH(MAX(_xlpm.kills),_xlpm.kills,0)))</f>
        <v>Entry Fragger</v>
      </c>
      <c r="V730" t="str">
        <f t="shared" si="58"/>
        <v>Medium Accuracy</v>
      </c>
      <c r="W730" t="str" cm="1">
        <f t="array" ref="W730">_xlfn.LET(_xlpm.roles,_xlfn.UNIQUE(D730:D3528), _xlpm.counts,COUNTIF(D730:D3528,_xlpm.roles), INDEX(_xlpm.roles,MATCH(MAX(_xlpm.counts),_xlpm.counts,0)))</f>
        <v>Entry Fragger</v>
      </c>
      <c r="X730" s="2">
        <f t="shared" si="59"/>
        <v>13.103594080338267</v>
      </c>
    </row>
    <row r="731" spans="1:24" x14ac:dyDescent="0.3">
      <c r="A731">
        <v>2183</v>
      </c>
      <c r="B731">
        <v>126</v>
      </c>
      <c r="C731" t="s">
        <v>16</v>
      </c>
      <c r="D731" t="s">
        <v>17</v>
      </c>
      <c r="E731" t="s">
        <v>32</v>
      </c>
      <c r="F731" t="s">
        <v>34</v>
      </c>
      <c r="G731">
        <v>12</v>
      </c>
      <c r="H731">
        <v>5</v>
      </c>
      <c r="I731">
        <v>12</v>
      </c>
      <c r="J731">
        <v>47.25</v>
      </c>
      <c r="K731">
        <v>178.12</v>
      </c>
      <c r="L731">
        <v>0.6</v>
      </c>
      <c r="M731">
        <v>34.619999999999997</v>
      </c>
      <c r="N731">
        <v>0.86</v>
      </c>
      <c r="O731" t="s">
        <v>20</v>
      </c>
      <c r="P731" t="s">
        <v>21</v>
      </c>
      <c r="Q731">
        <f t="shared" si="55"/>
        <v>5</v>
      </c>
      <c r="R731" s="4">
        <f>RANK(N731,$N$2:N$2800,0)</f>
        <v>2040</v>
      </c>
      <c r="S731">
        <f t="shared" si="56"/>
        <v>1</v>
      </c>
      <c r="T731" t="str">
        <f t="shared" si="57"/>
        <v>Low</v>
      </c>
      <c r="U731" t="str" cm="1">
        <f t="array" ref="U731">_xlfn.LET(_xlpm.roles,_xlfn.UNIQUE(D731:D3529),_xlpm.kills, SUMIF(D731:D3529,_xlpm.roles,G731:G3529),INDEX(_xlpm.roles,MATCH(MAX(_xlpm.kills),_xlpm.kills,0)))</f>
        <v>Entry Fragger</v>
      </c>
      <c r="V731" t="str">
        <f t="shared" si="58"/>
        <v>Medium Accuracy</v>
      </c>
      <c r="W731" t="str" cm="1">
        <f t="array" ref="W731">_xlfn.LET(_xlpm.roles,_xlfn.UNIQUE(D731:D3529), _xlpm.counts,COUNTIF(D731:D3529,_xlpm.roles), INDEX(_xlpm.roles,MATCH(MAX(_xlpm.counts),_xlpm.counts,0)))</f>
        <v>Entry Fragger</v>
      </c>
      <c r="X731" s="2">
        <f t="shared" si="59"/>
        <v>12.520971302428256</v>
      </c>
    </row>
    <row r="732" spans="1:24" x14ac:dyDescent="0.3">
      <c r="A732">
        <v>2621</v>
      </c>
      <c r="B732">
        <v>126</v>
      </c>
      <c r="C732" t="s">
        <v>30</v>
      </c>
      <c r="D732" t="s">
        <v>17</v>
      </c>
      <c r="E732" t="s">
        <v>33</v>
      </c>
      <c r="F732" t="s">
        <v>34</v>
      </c>
      <c r="G732">
        <v>22</v>
      </c>
      <c r="H732">
        <v>9</v>
      </c>
      <c r="I732">
        <v>5</v>
      </c>
      <c r="J732">
        <v>45.99</v>
      </c>
      <c r="K732">
        <v>245.75</v>
      </c>
      <c r="L732">
        <v>0.6</v>
      </c>
      <c r="M732">
        <v>65</v>
      </c>
      <c r="N732">
        <v>1</v>
      </c>
      <c r="O732" t="s">
        <v>20</v>
      </c>
      <c r="P732" t="s">
        <v>38</v>
      </c>
      <c r="Q732">
        <f t="shared" si="55"/>
        <v>26</v>
      </c>
      <c r="R732" s="4">
        <f>RANK(N732,$N$2:N$2800,0)</f>
        <v>1</v>
      </c>
      <c r="S732">
        <f t="shared" si="56"/>
        <v>4.4000000000000004</v>
      </c>
      <c r="T732" t="str">
        <f t="shared" si="57"/>
        <v>Excellent</v>
      </c>
      <c r="U732" t="str" cm="1">
        <f t="array" ref="U732">_xlfn.LET(_xlpm.roles,_xlfn.UNIQUE(D732:D3530),_xlpm.kills, SUMIF(D732:D3530,_xlpm.roles,G732:G3530),INDEX(_xlpm.roles,MATCH(MAX(_xlpm.kills),_xlpm.kills,0)))</f>
        <v>Entry Fragger</v>
      </c>
      <c r="V732" t="str">
        <f t="shared" si="58"/>
        <v>Medium Accuracy</v>
      </c>
      <c r="W732" t="str" cm="1">
        <f t="array" ref="W732">_xlfn.LET(_xlpm.roles,_xlfn.UNIQUE(D732:D3530), _xlpm.counts,COUNTIF(D732:D3530,_xlpm.roles), INDEX(_xlpm.roles,MATCH(MAX(_xlpm.counts),_xlpm.counts,0)))</f>
        <v>Entry Fragger</v>
      </c>
      <c r="X732" s="2">
        <f t="shared" si="59"/>
        <v>13.135802469135802</v>
      </c>
    </row>
    <row r="733" spans="1:24" x14ac:dyDescent="0.3">
      <c r="A733">
        <v>700</v>
      </c>
      <c r="B733">
        <v>127</v>
      </c>
      <c r="C733" t="s">
        <v>35</v>
      </c>
      <c r="D733" t="s">
        <v>17</v>
      </c>
      <c r="E733" t="s">
        <v>33</v>
      </c>
      <c r="F733" t="s">
        <v>24</v>
      </c>
      <c r="G733">
        <v>12</v>
      </c>
      <c r="H733">
        <v>3</v>
      </c>
      <c r="I733">
        <v>10</v>
      </c>
      <c r="J733">
        <v>56.99</v>
      </c>
      <c r="K733">
        <v>207.35</v>
      </c>
      <c r="L733">
        <v>7.0000000000000007E-2</v>
      </c>
      <c r="M733">
        <v>44.8</v>
      </c>
      <c r="N733">
        <v>1</v>
      </c>
      <c r="O733" t="s">
        <v>20</v>
      </c>
      <c r="P733" t="s">
        <v>21</v>
      </c>
      <c r="Q733">
        <f t="shared" si="55"/>
        <v>5</v>
      </c>
      <c r="R733" s="4">
        <f>RANK(N733,$N$2:N$2800,0)</f>
        <v>1</v>
      </c>
      <c r="S733">
        <f t="shared" si="56"/>
        <v>1.2</v>
      </c>
      <c r="T733" t="str">
        <f t="shared" si="57"/>
        <v>Low</v>
      </c>
      <c r="U733" t="str" cm="1">
        <f t="array" ref="U733">_xlfn.LET(_xlpm.roles,_xlfn.UNIQUE(D733:D3531),_xlpm.kills, SUMIF(D733:D3531,_xlpm.roles,G733:G3531),INDEX(_xlpm.roles,MATCH(MAX(_xlpm.kills),_xlpm.kills,0)))</f>
        <v>Entry Fragger</v>
      </c>
      <c r="V733" t="str">
        <f t="shared" si="58"/>
        <v>High Accuracy</v>
      </c>
      <c r="W733" t="str" cm="1">
        <f t="array" ref="W733">_xlfn.LET(_xlpm.roles,_xlfn.UNIQUE(D733:D3531), _xlpm.counts,COUNTIF(D733:D3531,_xlpm.roles), INDEX(_xlpm.roles,MATCH(MAX(_xlpm.counts),_xlpm.counts,0)))</f>
        <v>Entry Fragger</v>
      </c>
      <c r="X733" s="2">
        <f t="shared" si="59"/>
        <v>12.599585062240664</v>
      </c>
    </row>
    <row r="734" spans="1:24" x14ac:dyDescent="0.3">
      <c r="A734">
        <v>708</v>
      </c>
      <c r="B734">
        <v>127</v>
      </c>
      <c r="C734" t="s">
        <v>27</v>
      </c>
      <c r="D734" t="s">
        <v>36</v>
      </c>
      <c r="E734" t="s">
        <v>23</v>
      </c>
      <c r="F734" t="s">
        <v>26</v>
      </c>
      <c r="G734">
        <v>21</v>
      </c>
      <c r="H734">
        <v>7</v>
      </c>
      <c r="I734">
        <v>7</v>
      </c>
      <c r="J734">
        <v>33.700000000000003</v>
      </c>
      <c r="K734">
        <v>253.92</v>
      </c>
      <c r="L734">
        <v>0.42</v>
      </c>
      <c r="M734">
        <v>54.65</v>
      </c>
      <c r="N734">
        <v>1</v>
      </c>
      <c r="O734" t="s">
        <v>20</v>
      </c>
      <c r="P734" t="s">
        <v>21</v>
      </c>
      <c r="Q734">
        <f t="shared" si="55"/>
        <v>21</v>
      </c>
      <c r="R734" s="4">
        <f>RANK(N734,$N$2:N$2800,0)</f>
        <v>1</v>
      </c>
      <c r="S734">
        <f t="shared" si="56"/>
        <v>3</v>
      </c>
      <c r="T734" t="str">
        <f t="shared" si="57"/>
        <v>Good</v>
      </c>
      <c r="U734" t="str" cm="1">
        <f t="array" ref="U734">_xlfn.LET(_xlpm.roles,_xlfn.UNIQUE(D734:D3532),_xlpm.kills, SUMIF(D734:D3532,_xlpm.roles,G734:G3532),INDEX(_xlpm.roles,MATCH(MAX(_xlpm.kills),_xlpm.kills,0)))</f>
        <v>Entry Fragger</v>
      </c>
      <c r="V734" t="str">
        <f t="shared" si="58"/>
        <v>Medium Accuracy</v>
      </c>
      <c r="W734" t="str" cm="1">
        <f t="array" ref="W734">_xlfn.LET(_xlpm.roles,_xlfn.UNIQUE(D734:D3532), _xlpm.counts,COUNTIF(D734:D3532,_xlpm.roles), INDEX(_xlpm.roles,MATCH(MAX(_xlpm.counts),_xlpm.counts,0)))</f>
        <v>Entry Fragger</v>
      </c>
      <c r="X734" s="2">
        <f t="shared" si="59"/>
        <v>13.057077625570777</v>
      </c>
    </row>
    <row r="735" spans="1:24" x14ac:dyDescent="0.3">
      <c r="A735">
        <v>1048</v>
      </c>
      <c r="B735">
        <v>127</v>
      </c>
      <c r="C735" t="s">
        <v>35</v>
      </c>
      <c r="D735" t="s">
        <v>36</v>
      </c>
      <c r="E735" t="s">
        <v>23</v>
      </c>
      <c r="F735" t="s">
        <v>26</v>
      </c>
      <c r="G735">
        <v>23</v>
      </c>
      <c r="H735">
        <v>9</v>
      </c>
      <c r="I735">
        <v>12</v>
      </c>
      <c r="J735">
        <v>44.91</v>
      </c>
      <c r="K735">
        <v>229.8</v>
      </c>
      <c r="L735">
        <v>0.27</v>
      </c>
      <c r="M735">
        <v>62.75</v>
      </c>
      <c r="N735">
        <v>1</v>
      </c>
      <c r="O735" t="s">
        <v>20</v>
      </c>
      <c r="P735" t="s">
        <v>38</v>
      </c>
      <c r="Q735">
        <f t="shared" si="55"/>
        <v>20</v>
      </c>
      <c r="R735" s="4">
        <f>RANK(N735,$N$2:N$2800,0)</f>
        <v>1</v>
      </c>
      <c r="S735">
        <f t="shared" si="56"/>
        <v>1.9166666666666667</v>
      </c>
      <c r="T735" t="str">
        <f t="shared" si="57"/>
        <v>Good</v>
      </c>
      <c r="U735" t="str" cm="1">
        <f t="array" ref="U735">_xlfn.LET(_xlpm.roles,_xlfn.UNIQUE(D735:D3533),_xlpm.kills, SUMIF(D735:D3533,_xlpm.roles,G735:G3533),INDEX(_xlpm.roles,MATCH(MAX(_xlpm.kills),_xlpm.kills,0)))</f>
        <v>Entry Fragger</v>
      </c>
      <c r="V735" t="str">
        <f t="shared" si="58"/>
        <v>Medium Accuracy</v>
      </c>
      <c r="W735" t="str" cm="1">
        <f t="array" ref="W735">_xlfn.LET(_xlpm.roles,_xlfn.UNIQUE(D735:D3533), _xlpm.counts,COUNTIF(D735:D3533,_xlpm.roles), INDEX(_xlpm.roles,MATCH(MAX(_xlpm.counts),_xlpm.counts,0)))</f>
        <v>Entry Fragger</v>
      </c>
      <c r="X735" s="2">
        <f t="shared" si="59"/>
        <v>12.599585062240664</v>
      </c>
    </row>
    <row r="736" spans="1:24" x14ac:dyDescent="0.3">
      <c r="A736">
        <v>2553</v>
      </c>
      <c r="B736">
        <v>127</v>
      </c>
      <c r="C736" t="s">
        <v>35</v>
      </c>
      <c r="D736" t="s">
        <v>36</v>
      </c>
      <c r="E736" t="s">
        <v>33</v>
      </c>
      <c r="F736" t="s">
        <v>37</v>
      </c>
      <c r="G736">
        <v>7</v>
      </c>
      <c r="H736">
        <v>7</v>
      </c>
      <c r="I736">
        <v>14</v>
      </c>
      <c r="J736">
        <v>57.73</v>
      </c>
      <c r="K736">
        <v>251.62</v>
      </c>
      <c r="L736">
        <v>0.4</v>
      </c>
      <c r="M736">
        <v>31.86</v>
      </c>
      <c r="N736">
        <v>0.84</v>
      </c>
      <c r="O736" t="s">
        <v>20</v>
      </c>
      <c r="P736" t="s">
        <v>21</v>
      </c>
      <c r="Q736">
        <f t="shared" si="55"/>
        <v>0</v>
      </c>
      <c r="R736" s="4">
        <f>RANK(N736,$N$2:N$2800,0)</f>
        <v>2156</v>
      </c>
      <c r="S736">
        <f t="shared" si="56"/>
        <v>0.5</v>
      </c>
      <c r="T736" t="str">
        <f t="shared" si="57"/>
        <v>Low</v>
      </c>
      <c r="U736" t="str" cm="1">
        <f t="array" ref="U736">_xlfn.LET(_xlpm.roles,_xlfn.UNIQUE(D736:D3534),_xlpm.kills, SUMIF(D736:D3534,_xlpm.roles,G736:G3534),INDEX(_xlpm.roles,MATCH(MAX(_xlpm.kills),_xlpm.kills,0)))</f>
        <v>Entry Fragger</v>
      </c>
      <c r="V736" t="str">
        <f t="shared" si="58"/>
        <v>High Accuracy</v>
      </c>
      <c r="W736" t="str" cm="1">
        <f t="array" ref="W736">_xlfn.LET(_xlpm.roles,_xlfn.UNIQUE(D736:D3534), _xlpm.counts,COUNTIF(D736:D3534,_xlpm.roles), INDEX(_xlpm.roles,MATCH(MAX(_xlpm.counts),_xlpm.counts,0)))</f>
        <v>Entry Fragger</v>
      </c>
      <c r="X736" s="2">
        <f t="shared" si="59"/>
        <v>12.599585062240664</v>
      </c>
    </row>
    <row r="737" spans="1:24" x14ac:dyDescent="0.3">
      <c r="A737">
        <v>792</v>
      </c>
      <c r="B737">
        <v>128</v>
      </c>
      <c r="C737" t="s">
        <v>27</v>
      </c>
      <c r="D737" t="s">
        <v>31</v>
      </c>
      <c r="E737" t="s">
        <v>18</v>
      </c>
      <c r="F737" t="s">
        <v>26</v>
      </c>
      <c r="G737">
        <v>13</v>
      </c>
      <c r="H737">
        <v>11</v>
      </c>
      <c r="I737">
        <v>10</v>
      </c>
      <c r="J737">
        <v>42.01</v>
      </c>
      <c r="K737">
        <v>203.39</v>
      </c>
      <c r="L737">
        <v>0.94</v>
      </c>
      <c r="M737">
        <v>38.6</v>
      </c>
      <c r="N737">
        <v>0.87</v>
      </c>
      <c r="O737" t="s">
        <v>20</v>
      </c>
      <c r="P737" t="s">
        <v>21</v>
      </c>
      <c r="Q737">
        <f t="shared" si="55"/>
        <v>14</v>
      </c>
      <c r="R737" s="4">
        <f>RANK(N737,$N$2:N$2800,0)</f>
        <v>1965</v>
      </c>
      <c r="S737">
        <f t="shared" si="56"/>
        <v>1.3</v>
      </c>
      <c r="T737" t="str">
        <f t="shared" si="57"/>
        <v>Low</v>
      </c>
      <c r="U737" t="str" cm="1">
        <f t="array" ref="U737">_xlfn.LET(_xlpm.roles,_xlfn.UNIQUE(D737:D3535),_xlpm.kills, SUMIF(D737:D3535,_xlpm.roles,G737:G3535),INDEX(_xlpm.roles,MATCH(MAX(_xlpm.kills),_xlpm.kills,0)))</f>
        <v>Entry Fragger</v>
      </c>
      <c r="V737" t="str">
        <f t="shared" si="58"/>
        <v>Medium Accuracy</v>
      </c>
      <c r="W737" t="str" cm="1">
        <f t="array" ref="W737">_xlfn.LET(_xlpm.roles,_xlfn.UNIQUE(D737:D3535), _xlpm.counts,COUNTIF(D737:D3535,_xlpm.roles), INDEX(_xlpm.roles,MATCH(MAX(_xlpm.counts),_xlpm.counts,0)))</f>
        <v>Entry Fragger</v>
      </c>
      <c r="X737" s="2">
        <f t="shared" si="59"/>
        <v>13.057077625570777</v>
      </c>
    </row>
    <row r="738" spans="1:24" x14ac:dyDescent="0.3">
      <c r="A738">
        <v>1264</v>
      </c>
      <c r="B738">
        <v>128</v>
      </c>
      <c r="C738" t="s">
        <v>27</v>
      </c>
      <c r="D738" t="s">
        <v>22</v>
      </c>
      <c r="E738" t="s">
        <v>33</v>
      </c>
      <c r="F738" t="s">
        <v>37</v>
      </c>
      <c r="G738">
        <v>9</v>
      </c>
      <c r="H738">
        <v>6</v>
      </c>
      <c r="I738">
        <v>4</v>
      </c>
      <c r="J738">
        <v>58.7</v>
      </c>
      <c r="K738">
        <v>237.76</v>
      </c>
      <c r="L738">
        <v>0.43</v>
      </c>
      <c r="M738">
        <v>45.05</v>
      </c>
      <c r="N738">
        <v>0.95</v>
      </c>
      <c r="O738" t="s">
        <v>20</v>
      </c>
      <c r="P738" t="s">
        <v>21</v>
      </c>
      <c r="Q738">
        <f t="shared" si="55"/>
        <v>11</v>
      </c>
      <c r="R738" s="4">
        <f>RANK(N738,$N$2:N$2800,0)</f>
        <v>1367</v>
      </c>
      <c r="S738">
        <f t="shared" si="56"/>
        <v>2.25</v>
      </c>
      <c r="T738" t="str">
        <f t="shared" si="57"/>
        <v>Low</v>
      </c>
      <c r="U738" t="str" cm="1">
        <f t="array" ref="U738">_xlfn.LET(_xlpm.roles,_xlfn.UNIQUE(D738:D3536),_xlpm.kills, SUMIF(D738:D3536,_xlpm.roles,G738:G3536),INDEX(_xlpm.roles,MATCH(MAX(_xlpm.kills),_xlpm.kills,0)))</f>
        <v>Entry Fragger</v>
      </c>
      <c r="V738" t="str">
        <f t="shared" si="58"/>
        <v>High Accuracy</v>
      </c>
      <c r="W738" t="str" cm="1">
        <f t="array" ref="W738">_xlfn.LET(_xlpm.roles,_xlfn.UNIQUE(D738:D3536), _xlpm.counts,COUNTIF(D738:D3536,_xlpm.roles), INDEX(_xlpm.roles,MATCH(MAX(_xlpm.counts),_xlpm.counts,0)))</f>
        <v>Entry Fragger</v>
      </c>
      <c r="X738" s="2">
        <f t="shared" si="59"/>
        <v>13.057077625570777</v>
      </c>
    </row>
    <row r="739" spans="1:24" x14ac:dyDescent="0.3">
      <c r="A739">
        <v>1452</v>
      </c>
      <c r="B739">
        <v>128</v>
      </c>
      <c r="C739" t="s">
        <v>16</v>
      </c>
      <c r="D739" t="s">
        <v>17</v>
      </c>
      <c r="E739" t="s">
        <v>32</v>
      </c>
      <c r="F739" t="s">
        <v>26</v>
      </c>
      <c r="G739">
        <v>18</v>
      </c>
      <c r="H739">
        <v>4</v>
      </c>
      <c r="I739">
        <v>12</v>
      </c>
      <c r="J739">
        <v>33.43</v>
      </c>
      <c r="K739">
        <v>216.83</v>
      </c>
      <c r="L739">
        <v>0.71</v>
      </c>
      <c r="M739">
        <v>37.619999999999997</v>
      </c>
      <c r="N739">
        <v>0.8</v>
      </c>
      <c r="O739" t="s">
        <v>20</v>
      </c>
      <c r="P739" t="s">
        <v>21</v>
      </c>
      <c r="Q739">
        <f t="shared" si="55"/>
        <v>10</v>
      </c>
      <c r="R739" s="4">
        <f>RANK(N739,$N$2:N$2800,0)</f>
        <v>2393</v>
      </c>
      <c r="S739">
        <f t="shared" si="56"/>
        <v>1.5</v>
      </c>
      <c r="T739" t="str">
        <f t="shared" si="57"/>
        <v>Low</v>
      </c>
      <c r="U739" t="str" cm="1">
        <f t="array" ref="U739">_xlfn.LET(_xlpm.roles,_xlfn.UNIQUE(D739:D3537),_xlpm.kills, SUMIF(D739:D3537,_xlpm.roles,G739:G3537),INDEX(_xlpm.roles,MATCH(MAX(_xlpm.kills),_xlpm.kills,0)))</f>
        <v>Entry Fragger</v>
      </c>
      <c r="V739" t="str">
        <f t="shared" si="58"/>
        <v>Medium Accuracy</v>
      </c>
      <c r="W739" t="str" cm="1">
        <f t="array" ref="W739">_xlfn.LET(_xlpm.roles,_xlfn.UNIQUE(D739:D3537), _xlpm.counts,COUNTIF(D739:D3537,_xlpm.roles), INDEX(_xlpm.roles,MATCH(MAX(_xlpm.counts),_xlpm.counts,0)))</f>
        <v>Entry Fragger</v>
      </c>
      <c r="X739" s="2">
        <f t="shared" si="59"/>
        <v>12.520971302428256</v>
      </c>
    </row>
    <row r="740" spans="1:24" x14ac:dyDescent="0.3">
      <c r="A740">
        <v>1544</v>
      </c>
      <c r="B740">
        <v>128</v>
      </c>
      <c r="C740" t="s">
        <v>16</v>
      </c>
      <c r="D740" t="s">
        <v>22</v>
      </c>
      <c r="E740" t="s">
        <v>29</v>
      </c>
      <c r="F740" t="s">
        <v>26</v>
      </c>
      <c r="G740">
        <v>12</v>
      </c>
      <c r="H740">
        <v>7</v>
      </c>
      <c r="I740">
        <v>9</v>
      </c>
      <c r="J740">
        <v>28.57</v>
      </c>
      <c r="K740">
        <v>220.2</v>
      </c>
      <c r="L740">
        <v>0.65</v>
      </c>
      <c r="M740">
        <v>29.78</v>
      </c>
      <c r="N740">
        <v>0.76</v>
      </c>
      <c r="O740" t="s">
        <v>20</v>
      </c>
      <c r="P740" t="s">
        <v>21</v>
      </c>
      <c r="Q740">
        <f t="shared" si="55"/>
        <v>10</v>
      </c>
      <c r="R740" s="4">
        <f>RANK(N740,$N$2:N$2800,0)</f>
        <v>2547</v>
      </c>
      <c r="S740">
        <f t="shared" si="56"/>
        <v>1.3333333333333333</v>
      </c>
      <c r="T740" t="str">
        <f t="shared" si="57"/>
        <v>Low</v>
      </c>
      <c r="U740" t="str" cm="1">
        <f t="array" ref="U740">_xlfn.LET(_xlpm.roles,_xlfn.UNIQUE(D740:D3538),_xlpm.kills, SUMIF(D740:D3538,_xlpm.roles,G740:G3538),INDEX(_xlpm.roles,MATCH(MAX(_xlpm.kills),_xlpm.kills,0)))</f>
        <v>Entry Fragger</v>
      </c>
      <c r="V740" t="str">
        <f t="shared" si="58"/>
        <v>Low Accuracy</v>
      </c>
      <c r="W740" t="str" cm="1">
        <f t="array" ref="W740">_xlfn.LET(_xlpm.roles,_xlfn.UNIQUE(D740:D3538), _xlpm.counts,COUNTIF(D740:D3538,_xlpm.roles), INDEX(_xlpm.roles,MATCH(MAX(_xlpm.counts),_xlpm.counts,0)))</f>
        <v>Entry Fragger</v>
      </c>
      <c r="X740" s="2">
        <f t="shared" si="59"/>
        <v>12.520971302428256</v>
      </c>
    </row>
    <row r="741" spans="1:24" x14ac:dyDescent="0.3">
      <c r="A741">
        <v>2068</v>
      </c>
      <c r="B741">
        <v>128</v>
      </c>
      <c r="C741" t="s">
        <v>30</v>
      </c>
      <c r="D741" t="s">
        <v>36</v>
      </c>
      <c r="E741" t="s">
        <v>18</v>
      </c>
      <c r="F741" t="s">
        <v>19</v>
      </c>
      <c r="G741">
        <v>16</v>
      </c>
      <c r="H741">
        <v>8</v>
      </c>
      <c r="I741">
        <v>8</v>
      </c>
      <c r="J741">
        <v>44.17</v>
      </c>
      <c r="K741">
        <v>159.91</v>
      </c>
      <c r="L741">
        <v>0.74</v>
      </c>
      <c r="M741">
        <v>46.69</v>
      </c>
      <c r="N741">
        <v>0.93</v>
      </c>
      <c r="O741" t="s">
        <v>20</v>
      </c>
      <c r="P741" t="s">
        <v>21</v>
      </c>
      <c r="Q741">
        <f t="shared" si="55"/>
        <v>16</v>
      </c>
      <c r="R741" s="4">
        <f>RANK(N741,$N$2:N$2800,0)</f>
        <v>1505</v>
      </c>
      <c r="S741">
        <f t="shared" si="56"/>
        <v>2</v>
      </c>
      <c r="T741" t="str">
        <f t="shared" si="57"/>
        <v>Good</v>
      </c>
      <c r="U741" t="str" cm="1">
        <f t="array" ref="U741">_xlfn.LET(_xlpm.roles,_xlfn.UNIQUE(D741:D3539),_xlpm.kills, SUMIF(D741:D3539,_xlpm.roles,G741:G3539),INDEX(_xlpm.roles,MATCH(MAX(_xlpm.kills),_xlpm.kills,0)))</f>
        <v>Entry Fragger</v>
      </c>
      <c r="V741" t="str">
        <f t="shared" si="58"/>
        <v>Medium Accuracy</v>
      </c>
      <c r="W741" t="str" cm="1">
        <f t="array" ref="W741">_xlfn.LET(_xlpm.roles,_xlfn.UNIQUE(D741:D3539), _xlpm.counts,COUNTIF(D741:D3539,_xlpm.roles), INDEX(_xlpm.roles,MATCH(MAX(_xlpm.counts),_xlpm.counts,0)))</f>
        <v>Entry Fragger</v>
      </c>
      <c r="X741" s="2">
        <f t="shared" si="59"/>
        <v>13.135802469135802</v>
      </c>
    </row>
    <row r="742" spans="1:24" x14ac:dyDescent="0.3">
      <c r="A742">
        <v>2251</v>
      </c>
      <c r="B742">
        <v>128</v>
      </c>
      <c r="C742" t="s">
        <v>25</v>
      </c>
      <c r="D742" t="s">
        <v>31</v>
      </c>
      <c r="E742" t="s">
        <v>29</v>
      </c>
      <c r="F742" t="s">
        <v>34</v>
      </c>
      <c r="G742">
        <v>7</v>
      </c>
      <c r="H742">
        <v>11</v>
      </c>
      <c r="I742">
        <v>13</v>
      </c>
      <c r="J742">
        <v>48.67</v>
      </c>
      <c r="K742">
        <v>263.44</v>
      </c>
      <c r="L742">
        <v>0.44</v>
      </c>
      <c r="M742">
        <v>31.94</v>
      </c>
      <c r="N742">
        <v>1</v>
      </c>
      <c r="O742" t="s">
        <v>20</v>
      </c>
      <c r="P742" t="s">
        <v>21</v>
      </c>
      <c r="Q742">
        <f t="shared" si="55"/>
        <v>5</v>
      </c>
      <c r="R742" s="4">
        <f>RANK(N742,$N$2:N$2800,0)</f>
        <v>1</v>
      </c>
      <c r="S742">
        <f t="shared" si="56"/>
        <v>0.53846153846153844</v>
      </c>
      <c r="T742" t="str">
        <f t="shared" si="57"/>
        <v>Low</v>
      </c>
      <c r="U742" t="str" cm="1">
        <f t="array" ref="U742">_xlfn.LET(_xlpm.roles,_xlfn.UNIQUE(D742:D3540),_xlpm.kills, SUMIF(D742:D3540,_xlpm.roles,G742:G3540),INDEX(_xlpm.roles,MATCH(MAX(_xlpm.kills),_xlpm.kills,0)))</f>
        <v>Entry Fragger</v>
      </c>
      <c r="V742" t="str">
        <f t="shared" si="58"/>
        <v>Medium Accuracy</v>
      </c>
      <c r="W742" t="str" cm="1">
        <f t="array" ref="W742">_xlfn.LET(_xlpm.roles,_xlfn.UNIQUE(D742:D3540), _xlpm.counts,COUNTIF(D742:D3540,_xlpm.roles), INDEX(_xlpm.roles,MATCH(MAX(_xlpm.counts),_xlpm.counts,0)))</f>
        <v>Entry Fragger</v>
      </c>
      <c r="X742" s="2">
        <f t="shared" si="59"/>
        <v>12.809421841541756</v>
      </c>
    </row>
    <row r="743" spans="1:24" x14ac:dyDescent="0.3">
      <c r="A743">
        <v>2484</v>
      </c>
      <c r="B743">
        <v>128</v>
      </c>
      <c r="C743" t="s">
        <v>16</v>
      </c>
      <c r="D743" t="s">
        <v>17</v>
      </c>
      <c r="E743" t="s">
        <v>23</v>
      </c>
      <c r="F743" t="s">
        <v>19</v>
      </c>
      <c r="G743">
        <v>12</v>
      </c>
      <c r="H743">
        <v>11</v>
      </c>
      <c r="I743">
        <v>14</v>
      </c>
      <c r="J743">
        <v>44.24</v>
      </c>
      <c r="K743">
        <v>220.9</v>
      </c>
      <c r="L743">
        <v>0.03</v>
      </c>
      <c r="M743">
        <v>42.82</v>
      </c>
      <c r="N743">
        <v>0.96</v>
      </c>
      <c r="O743" t="s">
        <v>20</v>
      </c>
      <c r="P743" t="s">
        <v>21</v>
      </c>
      <c r="Q743">
        <f t="shared" si="55"/>
        <v>9</v>
      </c>
      <c r="R743" s="4">
        <f>RANK(N743,$N$2:N$2800,0)</f>
        <v>1301</v>
      </c>
      <c r="S743">
        <f t="shared" si="56"/>
        <v>0.8571428571428571</v>
      </c>
      <c r="T743" t="str">
        <f t="shared" si="57"/>
        <v>Low</v>
      </c>
      <c r="U743" t="str" cm="1">
        <f t="array" ref="U743">_xlfn.LET(_xlpm.roles,_xlfn.UNIQUE(D743:D3541),_xlpm.kills, SUMIF(D743:D3541,_xlpm.roles,G743:G3541),INDEX(_xlpm.roles,MATCH(MAX(_xlpm.kills),_xlpm.kills,0)))</f>
        <v>Entry Fragger</v>
      </c>
      <c r="V743" t="str">
        <f t="shared" si="58"/>
        <v>Medium Accuracy</v>
      </c>
      <c r="W743" t="str" cm="1">
        <f t="array" ref="W743">_xlfn.LET(_xlpm.roles,_xlfn.UNIQUE(D743:D3541), _xlpm.counts,COUNTIF(D743:D3541,_xlpm.roles), INDEX(_xlpm.roles,MATCH(MAX(_xlpm.counts),_xlpm.counts,0)))</f>
        <v>Entry Fragger</v>
      </c>
      <c r="X743" s="2">
        <f t="shared" si="59"/>
        <v>12.520971302428256</v>
      </c>
    </row>
    <row r="744" spans="1:24" x14ac:dyDescent="0.3">
      <c r="A744">
        <v>1229</v>
      </c>
      <c r="B744">
        <v>129</v>
      </c>
      <c r="C744" t="s">
        <v>39</v>
      </c>
      <c r="D744" t="s">
        <v>31</v>
      </c>
      <c r="E744" t="s">
        <v>18</v>
      </c>
      <c r="F744" t="s">
        <v>34</v>
      </c>
      <c r="G744">
        <v>11</v>
      </c>
      <c r="H744">
        <v>5</v>
      </c>
      <c r="I744">
        <v>14</v>
      </c>
      <c r="J744">
        <v>32.15</v>
      </c>
      <c r="K744">
        <v>217.72</v>
      </c>
      <c r="L744">
        <v>0.77</v>
      </c>
      <c r="M744">
        <v>21.38</v>
      </c>
      <c r="N744">
        <v>0.8</v>
      </c>
      <c r="O744" t="s">
        <v>20</v>
      </c>
      <c r="P744" t="s">
        <v>21</v>
      </c>
      <c r="Q744">
        <f t="shared" si="55"/>
        <v>2</v>
      </c>
      <c r="R744" s="4">
        <f>RANK(N744,$N$2:N$2800,0)</f>
        <v>2393</v>
      </c>
      <c r="S744">
        <f t="shared" si="56"/>
        <v>0.7857142857142857</v>
      </c>
      <c r="T744" t="str">
        <f t="shared" si="57"/>
        <v>Low</v>
      </c>
      <c r="U744" t="str" cm="1">
        <f t="array" ref="U744">_xlfn.LET(_xlpm.roles,_xlfn.UNIQUE(D744:D3542),_xlpm.kills, SUMIF(D744:D3542,_xlpm.roles,G744:G3542),INDEX(_xlpm.roles,MATCH(MAX(_xlpm.kills),_xlpm.kills,0)))</f>
        <v>Entry Fragger</v>
      </c>
      <c r="V744" t="str">
        <f t="shared" si="58"/>
        <v>Medium Accuracy</v>
      </c>
      <c r="W744" t="str" cm="1">
        <f t="array" ref="W744">_xlfn.LET(_xlpm.roles,_xlfn.UNIQUE(D744:D3542), _xlpm.counts,COUNTIF(D744:D3542,_xlpm.roles), INDEX(_xlpm.roles,MATCH(MAX(_xlpm.counts),_xlpm.counts,0)))</f>
        <v>Entry Fragger</v>
      </c>
      <c r="X744" s="2">
        <f t="shared" si="59"/>
        <v>13.103594080338267</v>
      </c>
    </row>
    <row r="745" spans="1:24" x14ac:dyDescent="0.3">
      <c r="A745">
        <v>1324</v>
      </c>
      <c r="B745">
        <v>129</v>
      </c>
      <c r="C745" t="s">
        <v>16</v>
      </c>
      <c r="D745" t="s">
        <v>31</v>
      </c>
      <c r="E745" t="s">
        <v>23</v>
      </c>
      <c r="F745" t="s">
        <v>37</v>
      </c>
      <c r="G745">
        <v>22</v>
      </c>
      <c r="H745">
        <v>10</v>
      </c>
      <c r="I745">
        <v>17</v>
      </c>
      <c r="J745">
        <v>50.15</v>
      </c>
      <c r="K745">
        <v>183.96</v>
      </c>
      <c r="L745">
        <v>0.05</v>
      </c>
      <c r="M745">
        <v>61.58</v>
      </c>
      <c r="N745">
        <v>1</v>
      </c>
      <c r="O745" t="s">
        <v>20</v>
      </c>
      <c r="P745" t="s">
        <v>38</v>
      </c>
      <c r="Q745">
        <f t="shared" si="55"/>
        <v>15</v>
      </c>
      <c r="R745" s="4">
        <f>RANK(N745,$N$2:N$2800,0)</f>
        <v>1</v>
      </c>
      <c r="S745">
        <f t="shared" si="56"/>
        <v>1.2941176470588236</v>
      </c>
      <c r="T745" t="str">
        <f t="shared" si="57"/>
        <v>Good</v>
      </c>
      <c r="U745" t="str" cm="1">
        <f t="array" ref="U745">_xlfn.LET(_xlpm.roles,_xlfn.UNIQUE(D745:D3543),_xlpm.kills, SUMIF(D745:D3543,_xlpm.roles,G745:G3543),INDEX(_xlpm.roles,MATCH(MAX(_xlpm.kills),_xlpm.kills,0)))</f>
        <v>Entry Fragger</v>
      </c>
      <c r="V745" t="str">
        <f t="shared" si="58"/>
        <v>High Accuracy</v>
      </c>
      <c r="W745" t="str" cm="1">
        <f t="array" ref="W745">_xlfn.LET(_xlpm.roles,_xlfn.UNIQUE(D745:D3543), _xlpm.counts,COUNTIF(D745:D3543,_xlpm.roles), INDEX(_xlpm.roles,MATCH(MAX(_xlpm.counts),_xlpm.counts,0)))</f>
        <v>Entry Fragger</v>
      </c>
      <c r="X745" s="2">
        <f t="shared" si="59"/>
        <v>12.520971302428256</v>
      </c>
    </row>
    <row r="746" spans="1:24" x14ac:dyDescent="0.3">
      <c r="A746">
        <v>2107</v>
      </c>
      <c r="B746">
        <v>129</v>
      </c>
      <c r="C746" t="s">
        <v>30</v>
      </c>
      <c r="D746" t="s">
        <v>28</v>
      </c>
      <c r="E746" t="s">
        <v>23</v>
      </c>
      <c r="F746" t="s">
        <v>37</v>
      </c>
      <c r="G746">
        <v>15</v>
      </c>
      <c r="H746">
        <v>8</v>
      </c>
      <c r="I746">
        <v>13</v>
      </c>
      <c r="J746">
        <v>35.86</v>
      </c>
      <c r="K746">
        <v>227.94</v>
      </c>
      <c r="L746">
        <v>0.52</v>
      </c>
      <c r="M746">
        <v>37.729999999999997</v>
      </c>
      <c r="N746">
        <v>0.79</v>
      </c>
      <c r="O746" t="s">
        <v>20</v>
      </c>
      <c r="P746" t="s">
        <v>21</v>
      </c>
      <c r="Q746">
        <f t="shared" si="55"/>
        <v>10</v>
      </c>
      <c r="R746" s="4">
        <f>RANK(N746,$N$2:N$2800,0)</f>
        <v>2436</v>
      </c>
      <c r="S746">
        <f t="shared" si="56"/>
        <v>1.1538461538461537</v>
      </c>
      <c r="T746" t="str">
        <f t="shared" si="57"/>
        <v>Low</v>
      </c>
      <c r="U746" t="str" cm="1">
        <f t="array" ref="U746">_xlfn.LET(_xlpm.roles,_xlfn.UNIQUE(D746:D3544),_xlpm.kills, SUMIF(D746:D3544,_xlpm.roles,G746:G3544),INDEX(_xlpm.roles,MATCH(MAX(_xlpm.kills),_xlpm.kills,0)))</f>
        <v>Entry Fragger</v>
      </c>
      <c r="V746" t="str">
        <f t="shared" si="58"/>
        <v>Medium Accuracy</v>
      </c>
      <c r="W746" t="str" cm="1">
        <f t="array" ref="W746">_xlfn.LET(_xlpm.roles,_xlfn.UNIQUE(D746:D3544), _xlpm.counts,COUNTIF(D746:D3544,_xlpm.roles), INDEX(_xlpm.roles,MATCH(MAX(_xlpm.counts),_xlpm.counts,0)))</f>
        <v>Entry Fragger</v>
      </c>
      <c r="X746" s="2">
        <f t="shared" si="59"/>
        <v>13.135802469135802</v>
      </c>
    </row>
    <row r="747" spans="1:24" x14ac:dyDescent="0.3">
      <c r="A747">
        <v>2618</v>
      </c>
      <c r="B747">
        <v>129</v>
      </c>
      <c r="C747" t="s">
        <v>35</v>
      </c>
      <c r="D747" t="s">
        <v>17</v>
      </c>
      <c r="E747" t="s">
        <v>29</v>
      </c>
      <c r="F747" t="s">
        <v>37</v>
      </c>
      <c r="G747">
        <v>14</v>
      </c>
      <c r="H747">
        <v>10</v>
      </c>
      <c r="I747">
        <v>9</v>
      </c>
      <c r="J747">
        <v>51.78</v>
      </c>
      <c r="K747">
        <v>238.06</v>
      </c>
      <c r="L747">
        <v>0.28999999999999998</v>
      </c>
      <c r="M747">
        <v>51.99</v>
      </c>
      <c r="N747">
        <v>1</v>
      </c>
      <c r="O747" t="s">
        <v>20</v>
      </c>
      <c r="P747" t="s">
        <v>21</v>
      </c>
      <c r="Q747">
        <f t="shared" si="55"/>
        <v>15</v>
      </c>
      <c r="R747" s="4">
        <f>RANK(N747,$N$2:N$2800,0)</f>
        <v>1</v>
      </c>
      <c r="S747">
        <f t="shared" si="56"/>
        <v>1.5555555555555556</v>
      </c>
      <c r="T747" t="str">
        <f t="shared" si="57"/>
        <v>Good</v>
      </c>
      <c r="U747" t="str" cm="1">
        <f t="array" ref="U747">_xlfn.LET(_xlpm.roles,_xlfn.UNIQUE(D747:D3545),_xlpm.kills, SUMIF(D747:D3545,_xlpm.roles,G747:G3545),INDEX(_xlpm.roles,MATCH(MAX(_xlpm.kills),_xlpm.kills,0)))</f>
        <v>Entry Fragger</v>
      </c>
      <c r="V747" t="str">
        <f t="shared" si="58"/>
        <v>High Accuracy</v>
      </c>
      <c r="W747" t="str" cm="1">
        <f t="array" ref="W747">_xlfn.LET(_xlpm.roles,_xlfn.UNIQUE(D747:D3545), _xlpm.counts,COUNTIF(D747:D3545,_xlpm.roles), INDEX(_xlpm.roles,MATCH(MAX(_xlpm.counts),_xlpm.counts,0)))</f>
        <v>Entry Fragger</v>
      </c>
      <c r="X747" s="2">
        <f t="shared" si="59"/>
        <v>12.599585062240664</v>
      </c>
    </row>
    <row r="748" spans="1:24" x14ac:dyDescent="0.3">
      <c r="A748">
        <v>2625</v>
      </c>
      <c r="B748">
        <v>129</v>
      </c>
      <c r="C748" t="s">
        <v>30</v>
      </c>
      <c r="D748" t="s">
        <v>31</v>
      </c>
      <c r="E748" t="s">
        <v>18</v>
      </c>
      <c r="F748" t="s">
        <v>26</v>
      </c>
      <c r="G748">
        <v>17</v>
      </c>
      <c r="H748">
        <v>4</v>
      </c>
      <c r="I748">
        <v>10</v>
      </c>
      <c r="J748">
        <v>46.8</v>
      </c>
      <c r="K748">
        <v>277.77999999999997</v>
      </c>
      <c r="L748">
        <v>0.96</v>
      </c>
      <c r="M748">
        <v>41.8</v>
      </c>
      <c r="N748">
        <v>1</v>
      </c>
      <c r="O748" t="s">
        <v>20</v>
      </c>
      <c r="P748" t="s">
        <v>21</v>
      </c>
      <c r="Q748">
        <f t="shared" si="55"/>
        <v>11</v>
      </c>
      <c r="R748" s="4">
        <f>RANK(N748,$N$2:N$2800,0)</f>
        <v>1</v>
      </c>
      <c r="S748">
        <f t="shared" si="56"/>
        <v>1.7</v>
      </c>
      <c r="T748" t="str">
        <f t="shared" si="57"/>
        <v>Low</v>
      </c>
      <c r="U748" t="str" cm="1">
        <f t="array" ref="U748">_xlfn.LET(_xlpm.roles,_xlfn.UNIQUE(D748:D3546),_xlpm.kills, SUMIF(D748:D3546,_xlpm.roles,G748:G3546),INDEX(_xlpm.roles,MATCH(MAX(_xlpm.kills),_xlpm.kills,0)))</f>
        <v>Entry Fragger</v>
      </c>
      <c r="V748" t="str">
        <f t="shared" si="58"/>
        <v>Medium Accuracy</v>
      </c>
      <c r="W748" t="str" cm="1">
        <f t="array" ref="W748">_xlfn.LET(_xlpm.roles,_xlfn.UNIQUE(D748:D3546), _xlpm.counts,COUNTIF(D748:D3546,_xlpm.roles), INDEX(_xlpm.roles,MATCH(MAX(_xlpm.counts),_xlpm.counts,0)))</f>
        <v>Entry Fragger</v>
      </c>
      <c r="X748" s="2">
        <f t="shared" si="59"/>
        <v>13.135802469135802</v>
      </c>
    </row>
    <row r="749" spans="1:24" x14ac:dyDescent="0.3">
      <c r="A749">
        <v>39</v>
      </c>
      <c r="B749">
        <v>130</v>
      </c>
      <c r="C749" t="s">
        <v>16</v>
      </c>
      <c r="D749" t="s">
        <v>28</v>
      </c>
      <c r="E749" t="s">
        <v>18</v>
      </c>
      <c r="F749" t="s">
        <v>37</v>
      </c>
      <c r="G749">
        <v>19</v>
      </c>
      <c r="H749">
        <v>9</v>
      </c>
      <c r="I749">
        <v>13</v>
      </c>
      <c r="J749">
        <v>39.590000000000003</v>
      </c>
      <c r="K749">
        <v>153.09</v>
      </c>
      <c r="L749">
        <v>0.3</v>
      </c>
      <c r="M749">
        <v>50.8</v>
      </c>
      <c r="N749">
        <v>1</v>
      </c>
      <c r="O749" t="s">
        <v>20</v>
      </c>
      <c r="P749" t="s">
        <v>21</v>
      </c>
      <c r="Q749">
        <f t="shared" si="55"/>
        <v>15</v>
      </c>
      <c r="R749" s="4">
        <f>RANK(N749,$N$2:N$2800,0)</f>
        <v>1</v>
      </c>
      <c r="S749">
        <f t="shared" si="56"/>
        <v>1.4615384615384615</v>
      </c>
      <c r="T749" t="str">
        <f t="shared" si="57"/>
        <v>Good</v>
      </c>
      <c r="U749" t="str" cm="1">
        <f t="array" ref="U749">_xlfn.LET(_xlpm.roles,_xlfn.UNIQUE(D749:D3547),_xlpm.kills, SUMIF(D749:D3547,_xlpm.roles,G749:G3547),INDEX(_xlpm.roles,MATCH(MAX(_xlpm.kills),_xlpm.kills,0)))</f>
        <v>Entry Fragger</v>
      </c>
      <c r="V749" t="str">
        <f t="shared" si="58"/>
        <v>Medium Accuracy</v>
      </c>
      <c r="W749" t="str" cm="1">
        <f t="array" ref="W749">_xlfn.LET(_xlpm.roles,_xlfn.UNIQUE(D749:D3547), _xlpm.counts,COUNTIF(D749:D3547,_xlpm.roles), INDEX(_xlpm.roles,MATCH(MAX(_xlpm.counts),_xlpm.counts,0)))</f>
        <v>Entry Fragger</v>
      </c>
      <c r="X749" s="2">
        <f t="shared" si="59"/>
        <v>12.520971302428256</v>
      </c>
    </row>
    <row r="750" spans="1:24" x14ac:dyDescent="0.3">
      <c r="A750">
        <v>327</v>
      </c>
      <c r="B750">
        <v>130</v>
      </c>
      <c r="C750" t="s">
        <v>30</v>
      </c>
      <c r="D750" t="s">
        <v>17</v>
      </c>
      <c r="E750" t="s">
        <v>32</v>
      </c>
      <c r="F750" t="s">
        <v>26</v>
      </c>
      <c r="G750">
        <v>13</v>
      </c>
      <c r="H750">
        <v>3</v>
      </c>
      <c r="I750">
        <v>11</v>
      </c>
      <c r="J750">
        <v>27.57</v>
      </c>
      <c r="K750">
        <v>204.12</v>
      </c>
      <c r="L750">
        <v>0.11</v>
      </c>
      <c r="M750">
        <v>30.68</v>
      </c>
      <c r="N750">
        <v>0.84</v>
      </c>
      <c r="O750" t="s">
        <v>20</v>
      </c>
      <c r="P750" t="s">
        <v>21</v>
      </c>
      <c r="Q750">
        <f t="shared" si="55"/>
        <v>5</v>
      </c>
      <c r="R750" s="4">
        <f>RANK(N750,$N$2:N$2800,0)</f>
        <v>2156</v>
      </c>
      <c r="S750">
        <f t="shared" si="56"/>
        <v>1.1818181818181819</v>
      </c>
      <c r="T750" t="str">
        <f t="shared" si="57"/>
        <v>Low</v>
      </c>
      <c r="U750" t="str" cm="1">
        <f t="array" ref="U750">_xlfn.LET(_xlpm.roles,_xlfn.UNIQUE(D750:D3548),_xlpm.kills, SUMIF(D750:D3548,_xlpm.roles,G750:G3548),INDEX(_xlpm.roles,MATCH(MAX(_xlpm.kills),_xlpm.kills,0)))</f>
        <v>Entry Fragger</v>
      </c>
      <c r="V750" t="str">
        <f t="shared" si="58"/>
        <v>Low Accuracy</v>
      </c>
      <c r="W750" t="str" cm="1">
        <f t="array" ref="W750">_xlfn.LET(_xlpm.roles,_xlfn.UNIQUE(D750:D3548), _xlpm.counts,COUNTIF(D750:D3548,_xlpm.roles), INDEX(_xlpm.roles,MATCH(MAX(_xlpm.counts),_xlpm.counts,0)))</f>
        <v>Entry Fragger</v>
      </c>
      <c r="X750" s="2">
        <f t="shared" si="59"/>
        <v>13.135802469135802</v>
      </c>
    </row>
    <row r="751" spans="1:24" x14ac:dyDescent="0.3">
      <c r="A751">
        <v>1706</v>
      </c>
      <c r="B751">
        <v>130</v>
      </c>
      <c r="C751" t="s">
        <v>35</v>
      </c>
      <c r="D751" t="s">
        <v>28</v>
      </c>
      <c r="E751" t="s">
        <v>33</v>
      </c>
      <c r="F751" t="s">
        <v>26</v>
      </c>
      <c r="G751">
        <v>16</v>
      </c>
      <c r="H751">
        <v>12</v>
      </c>
      <c r="I751">
        <v>11</v>
      </c>
      <c r="J751">
        <v>51.84</v>
      </c>
      <c r="K751">
        <v>246.8</v>
      </c>
      <c r="L751">
        <v>0.59</v>
      </c>
      <c r="M751">
        <v>53.02</v>
      </c>
      <c r="N751">
        <v>0.89</v>
      </c>
      <c r="O751" t="s">
        <v>20</v>
      </c>
      <c r="P751" t="s">
        <v>21</v>
      </c>
      <c r="Q751">
        <f t="shared" si="55"/>
        <v>17</v>
      </c>
      <c r="R751" s="4">
        <f>RANK(N751,$N$2:N$2800,0)</f>
        <v>1815</v>
      </c>
      <c r="S751">
        <f t="shared" si="56"/>
        <v>1.4545454545454546</v>
      </c>
      <c r="T751" t="str">
        <f t="shared" si="57"/>
        <v>Good</v>
      </c>
      <c r="U751" t="str" cm="1">
        <f t="array" ref="U751">_xlfn.LET(_xlpm.roles,_xlfn.UNIQUE(D751:D3549),_xlpm.kills, SUMIF(D751:D3549,_xlpm.roles,G751:G3549),INDEX(_xlpm.roles,MATCH(MAX(_xlpm.kills),_xlpm.kills,0)))</f>
        <v>Entry Fragger</v>
      </c>
      <c r="V751" t="str">
        <f t="shared" si="58"/>
        <v>High Accuracy</v>
      </c>
      <c r="W751" t="str" cm="1">
        <f t="array" ref="W751">_xlfn.LET(_xlpm.roles,_xlfn.UNIQUE(D751:D3549), _xlpm.counts,COUNTIF(D751:D3549,_xlpm.roles), INDEX(_xlpm.roles,MATCH(MAX(_xlpm.counts),_xlpm.counts,0)))</f>
        <v>Entry Fragger</v>
      </c>
      <c r="X751" s="2">
        <f t="shared" si="59"/>
        <v>12.599585062240664</v>
      </c>
    </row>
    <row r="752" spans="1:24" x14ac:dyDescent="0.3">
      <c r="A752">
        <v>2442</v>
      </c>
      <c r="B752">
        <v>130</v>
      </c>
      <c r="C752" t="s">
        <v>16</v>
      </c>
      <c r="D752" t="s">
        <v>31</v>
      </c>
      <c r="E752" t="s">
        <v>23</v>
      </c>
      <c r="F752" t="s">
        <v>26</v>
      </c>
      <c r="G752">
        <v>12</v>
      </c>
      <c r="H752">
        <v>7</v>
      </c>
      <c r="I752">
        <v>7</v>
      </c>
      <c r="J752">
        <v>56.06</v>
      </c>
      <c r="K752">
        <v>199.16</v>
      </c>
      <c r="L752">
        <v>0.28000000000000003</v>
      </c>
      <c r="M752">
        <v>49.23</v>
      </c>
      <c r="N752">
        <v>1</v>
      </c>
      <c r="O752" t="s">
        <v>20</v>
      </c>
      <c r="P752" t="s">
        <v>21</v>
      </c>
      <c r="Q752">
        <f t="shared" si="55"/>
        <v>12</v>
      </c>
      <c r="R752" s="4">
        <f>RANK(N752,$N$2:N$2800,0)</f>
        <v>1</v>
      </c>
      <c r="S752">
        <f t="shared" si="56"/>
        <v>1.7142857142857142</v>
      </c>
      <c r="T752" t="str">
        <f t="shared" si="57"/>
        <v>Low</v>
      </c>
      <c r="U752" t="str" cm="1">
        <f t="array" ref="U752">_xlfn.LET(_xlpm.roles,_xlfn.UNIQUE(D752:D3550),_xlpm.kills, SUMIF(D752:D3550,_xlpm.roles,G752:G3550),INDEX(_xlpm.roles,MATCH(MAX(_xlpm.kills),_xlpm.kills,0)))</f>
        <v>Entry Fragger</v>
      </c>
      <c r="V752" t="str">
        <f t="shared" si="58"/>
        <v>High Accuracy</v>
      </c>
      <c r="W752" t="str" cm="1">
        <f t="array" ref="W752">_xlfn.LET(_xlpm.roles,_xlfn.UNIQUE(D752:D3550), _xlpm.counts,COUNTIF(D752:D3550,_xlpm.roles), INDEX(_xlpm.roles,MATCH(MAX(_xlpm.counts),_xlpm.counts,0)))</f>
        <v>Entry Fragger</v>
      </c>
      <c r="X752" s="2">
        <f t="shared" si="59"/>
        <v>12.520971302428256</v>
      </c>
    </row>
    <row r="753" spans="1:24" x14ac:dyDescent="0.3">
      <c r="A753">
        <v>2480</v>
      </c>
      <c r="B753">
        <v>130</v>
      </c>
      <c r="C753" t="s">
        <v>30</v>
      </c>
      <c r="D753" t="s">
        <v>28</v>
      </c>
      <c r="E753" t="s">
        <v>29</v>
      </c>
      <c r="F753" t="s">
        <v>19</v>
      </c>
      <c r="G753">
        <v>17</v>
      </c>
      <c r="H753">
        <v>10</v>
      </c>
      <c r="I753">
        <v>7</v>
      </c>
      <c r="J753">
        <v>58.02</v>
      </c>
      <c r="K753">
        <v>230.79</v>
      </c>
      <c r="L753">
        <v>0.22</v>
      </c>
      <c r="M753">
        <v>63.81</v>
      </c>
      <c r="N753">
        <v>1</v>
      </c>
      <c r="O753" t="s">
        <v>20</v>
      </c>
      <c r="P753" t="s">
        <v>38</v>
      </c>
      <c r="Q753">
        <f t="shared" si="55"/>
        <v>20</v>
      </c>
      <c r="R753" s="4">
        <f>RANK(N753,$N$2:N$2800,0)</f>
        <v>1</v>
      </c>
      <c r="S753">
        <f t="shared" si="56"/>
        <v>2.4285714285714284</v>
      </c>
      <c r="T753" t="str">
        <f t="shared" si="57"/>
        <v>Good</v>
      </c>
      <c r="U753" t="str" cm="1">
        <f t="array" ref="U753">_xlfn.LET(_xlpm.roles,_xlfn.UNIQUE(D753:D3551),_xlpm.kills, SUMIF(D753:D3551,_xlpm.roles,G753:G3551),INDEX(_xlpm.roles,MATCH(MAX(_xlpm.kills),_xlpm.kills,0)))</f>
        <v>Entry Fragger</v>
      </c>
      <c r="V753" t="str">
        <f t="shared" si="58"/>
        <v>High Accuracy</v>
      </c>
      <c r="W753" t="str" cm="1">
        <f t="array" ref="W753">_xlfn.LET(_xlpm.roles,_xlfn.UNIQUE(D753:D3551), _xlpm.counts,COUNTIF(D753:D3551,_xlpm.roles), INDEX(_xlpm.roles,MATCH(MAX(_xlpm.counts),_xlpm.counts,0)))</f>
        <v>Entry Fragger</v>
      </c>
      <c r="X753" s="2">
        <f t="shared" si="59"/>
        <v>13.135802469135802</v>
      </c>
    </row>
    <row r="754" spans="1:24" x14ac:dyDescent="0.3">
      <c r="A754">
        <v>124</v>
      </c>
      <c r="B754">
        <v>131</v>
      </c>
      <c r="C754" t="s">
        <v>30</v>
      </c>
      <c r="D754" t="s">
        <v>22</v>
      </c>
      <c r="E754" t="s">
        <v>23</v>
      </c>
      <c r="F754" t="s">
        <v>37</v>
      </c>
      <c r="G754">
        <v>13</v>
      </c>
      <c r="H754">
        <v>7</v>
      </c>
      <c r="I754">
        <v>9</v>
      </c>
      <c r="J754">
        <v>27.33</v>
      </c>
      <c r="K754">
        <v>226.2</v>
      </c>
      <c r="L754">
        <v>0.87</v>
      </c>
      <c r="M754">
        <v>28.96</v>
      </c>
      <c r="N754">
        <v>0.87</v>
      </c>
      <c r="O754" t="s">
        <v>20</v>
      </c>
      <c r="P754" t="s">
        <v>21</v>
      </c>
      <c r="Q754">
        <f t="shared" si="55"/>
        <v>11</v>
      </c>
      <c r="R754" s="4">
        <f>RANK(N754,$N$2:N$2800,0)</f>
        <v>1965</v>
      </c>
      <c r="S754">
        <f t="shared" si="56"/>
        <v>1.4444444444444444</v>
      </c>
      <c r="T754" t="str">
        <f t="shared" si="57"/>
        <v>Low</v>
      </c>
      <c r="U754" t="str" cm="1">
        <f t="array" ref="U754">_xlfn.LET(_xlpm.roles,_xlfn.UNIQUE(D754:D3552),_xlpm.kills, SUMIF(D754:D3552,_xlpm.roles,G754:G3552),INDEX(_xlpm.roles,MATCH(MAX(_xlpm.kills),_xlpm.kills,0)))</f>
        <v>Entry Fragger</v>
      </c>
      <c r="V754" t="str">
        <f t="shared" si="58"/>
        <v>Low Accuracy</v>
      </c>
      <c r="W754" t="str" cm="1">
        <f t="array" ref="W754">_xlfn.LET(_xlpm.roles,_xlfn.UNIQUE(D754:D3552), _xlpm.counts,COUNTIF(D754:D3552,_xlpm.roles), INDEX(_xlpm.roles,MATCH(MAX(_xlpm.counts),_xlpm.counts,0)))</f>
        <v>Entry Fragger</v>
      </c>
      <c r="X754" s="2">
        <f t="shared" si="59"/>
        <v>13.135802469135802</v>
      </c>
    </row>
    <row r="755" spans="1:24" x14ac:dyDescent="0.3">
      <c r="A755">
        <v>809</v>
      </c>
      <c r="B755">
        <v>131</v>
      </c>
      <c r="C755" t="s">
        <v>25</v>
      </c>
      <c r="D755" t="s">
        <v>28</v>
      </c>
      <c r="E755" t="s">
        <v>33</v>
      </c>
      <c r="F755" t="s">
        <v>37</v>
      </c>
      <c r="G755">
        <v>11</v>
      </c>
      <c r="H755">
        <v>7</v>
      </c>
      <c r="I755">
        <v>6</v>
      </c>
      <c r="J755">
        <v>40.11</v>
      </c>
      <c r="K755">
        <v>243.63</v>
      </c>
      <c r="L755">
        <v>0.8</v>
      </c>
      <c r="M755">
        <v>35.049999999999997</v>
      </c>
      <c r="N755">
        <v>0.71</v>
      </c>
      <c r="O755" t="s">
        <v>20</v>
      </c>
      <c r="P755" t="s">
        <v>21</v>
      </c>
      <c r="Q755">
        <f t="shared" si="55"/>
        <v>12</v>
      </c>
      <c r="R755" s="4">
        <f>RANK(N755,$N$2:N$2800,0)</f>
        <v>2688</v>
      </c>
      <c r="S755">
        <f t="shared" si="56"/>
        <v>1.8333333333333333</v>
      </c>
      <c r="T755" t="str">
        <f t="shared" si="57"/>
        <v>Low</v>
      </c>
      <c r="U755" t="str" cm="1">
        <f t="array" ref="U755">_xlfn.LET(_xlpm.roles,_xlfn.UNIQUE(D755:D3553),_xlpm.kills, SUMIF(D755:D3553,_xlpm.roles,G755:G3553),INDEX(_xlpm.roles,MATCH(MAX(_xlpm.kills),_xlpm.kills,0)))</f>
        <v>Entry Fragger</v>
      </c>
      <c r="V755" t="str">
        <f t="shared" si="58"/>
        <v>Medium Accuracy</v>
      </c>
      <c r="W755" t="str" cm="1">
        <f t="array" ref="W755">_xlfn.LET(_xlpm.roles,_xlfn.UNIQUE(D755:D3553), _xlpm.counts,COUNTIF(D755:D3553,_xlpm.roles), INDEX(_xlpm.roles,MATCH(MAX(_xlpm.counts),_xlpm.counts,0)))</f>
        <v>Entry Fragger</v>
      </c>
      <c r="X755" s="2">
        <f t="shared" si="59"/>
        <v>12.809421841541756</v>
      </c>
    </row>
    <row r="756" spans="1:24" x14ac:dyDescent="0.3">
      <c r="A756">
        <v>1026</v>
      </c>
      <c r="B756">
        <v>131</v>
      </c>
      <c r="C756" t="s">
        <v>16</v>
      </c>
      <c r="D756" t="s">
        <v>31</v>
      </c>
      <c r="E756" t="s">
        <v>32</v>
      </c>
      <c r="F756" t="s">
        <v>24</v>
      </c>
      <c r="G756">
        <v>14</v>
      </c>
      <c r="H756">
        <v>5</v>
      </c>
      <c r="I756">
        <v>7</v>
      </c>
      <c r="J756">
        <v>38.54</v>
      </c>
      <c r="K756">
        <v>254.59</v>
      </c>
      <c r="L756">
        <v>0.72</v>
      </c>
      <c r="M756">
        <v>38.07</v>
      </c>
      <c r="N756">
        <v>0.81</v>
      </c>
      <c r="O756" t="s">
        <v>20</v>
      </c>
      <c r="P756" t="s">
        <v>21</v>
      </c>
      <c r="Q756">
        <f t="shared" si="55"/>
        <v>12</v>
      </c>
      <c r="R756" s="4">
        <f>RANK(N756,$N$2:N$2800,0)</f>
        <v>2341</v>
      </c>
      <c r="S756">
        <f t="shared" si="56"/>
        <v>2</v>
      </c>
      <c r="T756" t="str">
        <f t="shared" si="57"/>
        <v>Low</v>
      </c>
      <c r="U756" t="str" cm="1">
        <f t="array" ref="U756">_xlfn.LET(_xlpm.roles,_xlfn.UNIQUE(D756:D3554),_xlpm.kills, SUMIF(D756:D3554,_xlpm.roles,G756:G3554),INDEX(_xlpm.roles,MATCH(MAX(_xlpm.kills),_xlpm.kills,0)))</f>
        <v>Entry Fragger</v>
      </c>
      <c r="V756" t="str">
        <f t="shared" si="58"/>
        <v>Medium Accuracy</v>
      </c>
      <c r="W756" t="str" cm="1">
        <f t="array" ref="W756">_xlfn.LET(_xlpm.roles,_xlfn.UNIQUE(D756:D3554), _xlpm.counts,COUNTIF(D756:D3554,_xlpm.roles), INDEX(_xlpm.roles,MATCH(MAX(_xlpm.counts),_xlpm.counts,0)))</f>
        <v>Entry Fragger</v>
      </c>
      <c r="X756" s="2">
        <f t="shared" si="59"/>
        <v>12.520971302428256</v>
      </c>
    </row>
    <row r="757" spans="1:24" x14ac:dyDescent="0.3">
      <c r="A757">
        <v>1194</v>
      </c>
      <c r="B757">
        <v>131</v>
      </c>
      <c r="C757" t="s">
        <v>30</v>
      </c>
      <c r="D757" t="s">
        <v>28</v>
      </c>
      <c r="E757" t="s">
        <v>32</v>
      </c>
      <c r="F757" t="s">
        <v>19</v>
      </c>
      <c r="G757">
        <v>21</v>
      </c>
      <c r="H757">
        <v>4</v>
      </c>
      <c r="I757">
        <v>11</v>
      </c>
      <c r="J757">
        <v>45.86</v>
      </c>
      <c r="K757">
        <v>159.34</v>
      </c>
      <c r="L757">
        <v>0.71</v>
      </c>
      <c r="M757">
        <v>50.83</v>
      </c>
      <c r="N757">
        <v>1</v>
      </c>
      <c r="O757" t="s">
        <v>20</v>
      </c>
      <c r="P757" t="s">
        <v>21</v>
      </c>
      <c r="Q757">
        <f t="shared" si="55"/>
        <v>14</v>
      </c>
      <c r="R757" s="4">
        <f>RANK(N757,$N$2:N$2800,0)</f>
        <v>1</v>
      </c>
      <c r="S757">
        <f t="shared" si="56"/>
        <v>1.9090909090909092</v>
      </c>
      <c r="T757" t="str">
        <f t="shared" si="57"/>
        <v>Low</v>
      </c>
      <c r="U757" t="str" cm="1">
        <f t="array" ref="U757">_xlfn.LET(_xlpm.roles,_xlfn.UNIQUE(D757:D3555),_xlpm.kills, SUMIF(D757:D3555,_xlpm.roles,G757:G3555),INDEX(_xlpm.roles,MATCH(MAX(_xlpm.kills),_xlpm.kills,0)))</f>
        <v>Entry Fragger</v>
      </c>
      <c r="V757" t="str">
        <f t="shared" si="58"/>
        <v>Medium Accuracy</v>
      </c>
      <c r="W757" t="str" cm="1">
        <f t="array" ref="W757">_xlfn.LET(_xlpm.roles,_xlfn.UNIQUE(D757:D3555), _xlpm.counts,COUNTIF(D757:D3555,_xlpm.roles), INDEX(_xlpm.roles,MATCH(MAX(_xlpm.counts),_xlpm.counts,0)))</f>
        <v>Entry Fragger</v>
      </c>
      <c r="X757" s="2">
        <f t="shared" si="59"/>
        <v>13.135802469135802</v>
      </c>
    </row>
    <row r="758" spans="1:24" x14ac:dyDescent="0.3">
      <c r="A758">
        <v>1920</v>
      </c>
      <c r="B758">
        <v>131</v>
      </c>
      <c r="C758" t="s">
        <v>25</v>
      </c>
      <c r="D758" t="s">
        <v>28</v>
      </c>
      <c r="E758" t="s">
        <v>32</v>
      </c>
      <c r="F758" t="s">
        <v>26</v>
      </c>
      <c r="G758">
        <v>15</v>
      </c>
      <c r="H758">
        <v>7</v>
      </c>
      <c r="I758">
        <v>8</v>
      </c>
      <c r="J758">
        <v>29.61</v>
      </c>
      <c r="K758">
        <v>266.39999999999998</v>
      </c>
      <c r="L758">
        <v>0.82</v>
      </c>
      <c r="M758">
        <v>35.61</v>
      </c>
      <c r="N758">
        <v>0.78</v>
      </c>
      <c r="O758" t="s">
        <v>20</v>
      </c>
      <c r="P758" t="s">
        <v>21</v>
      </c>
      <c r="Q758">
        <f t="shared" si="55"/>
        <v>14</v>
      </c>
      <c r="R758" s="4">
        <f>RANK(N758,$N$2:N$2800,0)</f>
        <v>2469</v>
      </c>
      <c r="S758">
        <f t="shared" si="56"/>
        <v>1.875</v>
      </c>
      <c r="T758" t="str">
        <f t="shared" si="57"/>
        <v>Low</v>
      </c>
      <c r="U758" t="str" cm="1">
        <f t="array" ref="U758">_xlfn.LET(_xlpm.roles,_xlfn.UNIQUE(D758:D3556),_xlpm.kills, SUMIF(D758:D3556,_xlpm.roles,G758:G3556),INDEX(_xlpm.roles,MATCH(MAX(_xlpm.kills),_xlpm.kills,0)))</f>
        <v>Entry Fragger</v>
      </c>
      <c r="V758" t="str">
        <f t="shared" si="58"/>
        <v>Low Accuracy</v>
      </c>
      <c r="W758" t="str" cm="1">
        <f t="array" ref="W758">_xlfn.LET(_xlpm.roles,_xlfn.UNIQUE(D758:D3556), _xlpm.counts,COUNTIF(D758:D3556,_xlpm.roles), INDEX(_xlpm.roles,MATCH(MAX(_xlpm.counts),_xlpm.counts,0)))</f>
        <v>Entry Fragger</v>
      </c>
      <c r="X758" s="2">
        <f t="shared" si="59"/>
        <v>12.809421841541756</v>
      </c>
    </row>
    <row r="759" spans="1:24" x14ac:dyDescent="0.3">
      <c r="A759">
        <v>1978</v>
      </c>
      <c r="B759">
        <v>131</v>
      </c>
      <c r="C759" t="s">
        <v>16</v>
      </c>
      <c r="D759" t="s">
        <v>22</v>
      </c>
      <c r="E759" t="s">
        <v>18</v>
      </c>
      <c r="F759" t="s">
        <v>24</v>
      </c>
      <c r="G759">
        <v>18</v>
      </c>
      <c r="H759">
        <v>11</v>
      </c>
      <c r="I759">
        <v>9</v>
      </c>
      <c r="J759">
        <v>51.36</v>
      </c>
      <c r="K759">
        <v>231.59</v>
      </c>
      <c r="L759">
        <v>0.34</v>
      </c>
      <c r="M759">
        <v>60.28</v>
      </c>
      <c r="N759">
        <v>1</v>
      </c>
      <c r="O759" t="s">
        <v>20</v>
      </c>
      <c r="P759" t="s">
        <v>38</v>
      </c>
      <c r="Q759">
        <f t="shared" si="55"/>
        <v>20</v>
      </c>
      <c r="R759" s="4">
        <f>RANK(N759,$N$2:N$2800,0)</f>
        <v>1</v>
      </c>
      <c r="S759">
        <f t="shared" si="56"/>
        <v>2</v>
      </c>
      <c r="T759" t="str">
        <f t="shared" si="57"/>
        <v>Good</v>
      </c>
      <c r="U759" t="str" cm="1">
        <f t="array" ref="U759">_xlfn.LET(_xlpm.roles,_xlfn.UNIQUE(D759:D3557),_xlpm.kills, SUMIF(D759:D3557,_xlpm.roles,G759:G3557),INDEX(_xlpm.roles,MATCH(MAX(_xlpm.kills),_xlpm.kills,0)))</f>
        <v>Entry Fragger</v>
      </c>
      <c r="V759" t="str">
        <f t="shared" si="58"/>
        <v>High Accuracy</v>
      </c>
      <c r="W759" t="str" cm="1">
        <f t="array" ref="W759">_xlfn.LET(_xlpm.roles,_xlfn.UNIQUE(D759:D3557), _xlpm.counts,COUNTIF(D759:D3557,_xlpm.roles), INDEX(_xlpm.roles,MATCH(MAX(_xlpm.counts),_xlpm.counts,0)))</f>
        <v>Entry Fragger</v>
      </c>
      <c r="X759" s="2">
        <f t="shared" si="59"/>
        <v>12.520971302428256</v>
      </c>
    </row>
    <row r="760" spans="1:24" x14ac:dyDescent="0.3">
      <c r="A760">
        <v>2232</v>
      </c>
      <c r="B760">
        <v>131</v>
      </c>
      <c r="C760" t="s">
        <v>39</v>
      </c>
      <c r="D760" t="s">
        <v>36</v>
      </c>
      <c r="E760" t="s">
        <v>18</v>
      </c>
      <c r="F760" t="s">
        <v>37</v>
      </c>
      <c r="G760">
        <v>22</v>
      </c>
      <c r="H760">
        <v>7</v>
      </c>
      <c r="I760">
        <v>7</v>
      </c>
      <c r="J760">
        <v>43.15</v>
      </c>
      <c r="K760">
        <v>265.74</v>
      </c>
      <c r="L760">
        <v>0.73</v>
      </c>
      <c r="M760">
        <v>58.28</v>
      </c>
      <c r="N760">
        <v>1</v>
      </c>
      <c r="O760" t="s">
        <v>20</v>
      </c>
      <c r="P760" t="s">
        <v>21</v>
      </c>
      <c r="Q760">
        <f t="shared" si="55"/>
        <v>22</v>
      </c>
      <c r="R760" s="4">
        <f>RANK(N760,$N$2:N$2800,0)</f>
        <v>1</v>
      </c>
      <c r="S760">
        <f t="shared" si="56"/>
        <v>3.1428571428571428</v>
      </c>
      <c r="T760" t="str">
        <f t="shared" si="57"/>
        <v>Good</v>
      </c>
      <c r="U760" t="str" cm="1">
        <f t="array" ref="U760">_xlfn.LET(_xlpm.roles,_xlfn.UNIQUE(D760:D3558),_xlpm.kills, SUMIF(D760:D3558,_xlpm.roles,G760:G3558),INDEX(_xlpm.roles,MATCH(MAX(_xlpm.kills),_xlpm.kills,0)))</f>
        <v>Entry Fragger</v>
      </c>
      <c r="V760" t="str">
        <f t="shared" si="58"/>
        <v>Medium Accuracy</v>
      </c>
      <c r="W760" t="str" cm="1">
        <f t="array" ref="W760">_xlfn.LET(_xlpm.roles,_xlfn.UNIQUE(D760:D3558), _xlpm.counts,COUNTIF(D760:D3558,_xlpm.roles), INDEX(_xlpm.roles,MATCH(MAX(_xlpm.counts),_xlpm.counts,0)))</f>
        <v>Entry Fragger</v>
      </c>
      <c r="X760" s="2">
        <f t="shared" si="59"/>
        <v>13.103594080338267</v>
      </c>
    </row>
    <row r="761" spans="1:24" x14ac:dyDescent="0.3">
      <c r="A761">
        <v>2287</v>
      </c>
      <c r="B761">
        <v>131</v>
      </c>
      <c r="C761" t="s">
        <v>35</v>
      </c>
      <c r="D761" t="s">
        <v>17</v>
      </c>
      <c r="E761" t="s">
        <v>33</v>
      </c>
      <c r="F761" t="s">
        <v>24</v>
      </c>
      <c r="G761">
        <v>19</v>
      </c>
      <c r="H761">
        <v>4</v>
      </c>
      <c r="I761">
        <v>9</v>
      </c>
      <c r="J761">
        <v>38.89</v>
      </c>
      <c r="K761">
        <v>215.73</v>
      </c>
      <c r="L761">
        <v>0.75</v>
      </c>
      <c r="M761">
        <v>44.95</v>
      </c>
      <c r="N761">
        <v>0.86</v>
      </c>
      <c r="O761" t="s">
        <v>20</v>
      </c>
      <c r="P761" t="s">
        <v>21</v>
      </c>
      <c r="Q761">
        <f t="shared" si="55"/>
        <v>14</v>
      </c>
      <c r="R761" s="4">
        <f>RANK(N761,$N$2:N$2800,0)</f>
        <v>2040</v>
      </c>
      <c r="S761">
        <f t="shared" si="56"/>
        <v>2.1111111111111112</v>
      </c>
      <c r="T761" t="str">
        <f t="shared" si="57"/>
        <v>Low</v>
      </c>
      <c r="U761" t="str" cm="1">
        <f t="array" ref="U761">_xlfn.LET(_xlpm.roles,_xlfn.UNIQUE(D761:D3559),_xlpm.kills, SUMIF(D761:D3559,_xlpm.roles,G761:G3559),INDEX(_xlpm.roles,MATCH(MAX(_xlpm.kills),_xlpm.kills,0)))</f>
        <v>Entry Fragger</v>
      </c>
      <c r="V761" t="str">
        <f t="shared" si="58"/>
        <v>Medium Accuracy</v>
      </c>
      <c r="W761" t="str" cm="1">
        <f t="array" ref="W761">_xlfn.LET(_xlpm.roles,_xlfn.UNIQUE(D761:D3559), _xlpm.counts,COUNTIF(D761:D3559,_xlpm.roles), INDEX(_xlpm.roles,MATCH(MAX(_xlpm.counts),_xlpm.counts,0)))</f>
        <v>Entry Fragger</v>
      </c>
      <c r="X761" s="2">
        <f t="shared" si="59"/>
        <v>12.599585062240664</v>
      </c>
    </row>
    <row r="762" spans="1:24" x14ac:dyDescent="0.3">
      <c r="A762">
        <v>2350</v>
      </c>
      <c r="B762">
        <v>131</v>
      </c>
      <c r="C762" t="s">
        <v>30</v>
      </c>
      <c r="D762" t="s">
        <v>28</v>
      </c>
      <c r="E762" t="s">
        <v>18</v>
      </c>
      <c r="F762" t="s">
        <v>24</v>
      </c>
      <c r="G762">
        <v>21</v>
      </c>
      <c r="H762">
        <v>6</v>
      </c>
      <c r="I762">
        <v>12</v>
      </c>
      <c r="J762">
        <v>42.81</v>
      </c>
      <c r="K762">
        <v>250.86</v>
      </c>
      <c r="L762">
        <v>0.99</v>
      </c>
      <c r="M762">
        <v>47.51</v>
      </c>
      <c r="N762">
        <v>0.91</v>
      </c>
      <c r="O762" t="s">
        <v>20</v>
      </c>
      <c r="P762" t="s">
        <v>21</v>
      </c>
      <c r="Q762">
        <f t="shared" si="55"/>
        <v>15</v>
      </c>
      <c r="R762" s="4">
        <f>RANK(N762,$N$2:N$2800,0)</f>
        <v>1665</v>
      </c>
      <c r="S762">
        <f t="shared" si="56"/>
        <v>1.75</v>
      </c>
      <c r="T762" t="str">
        <f t="shared" si="57"/>
        <v>Good</v>
      </c>
      <c r="U762" t="str" cm="1">
        <f t="array" ref="U762">_xlfn.LET(_xlpm.roles,_xlfn.UNIQUE(D762:D3560),_xlpm.kills, SUMIF(D762:D3560,_xlpm.roles,G762:G3560),INDEX(_xlpm.roles,MATCH(MAX(_xlpm.kills),_xlpm.kills,0)))</f>
        <v>Entry Fragger</v>
      </c>
      <c r="V762" t="str">
        <f t="shared" si="58"/>
        <v>Medium Accuracy</v>
      </c>
      <c r="W762" t="str" cm="1">
        <f t="array" ref="W762">_xlfn.LET(_xlpm.roles,_xlfn.UNIQUE(D762:D3560), _xlpm.counts,COUNTIF(D762:D3560,_xlpm.roles), INDEX(_xlpm.roles,MATCH(MAX(_xlpm.counts),_xlpm.counts,0)))</f>
        <v>Entry Fragger</v>
      </c>
      <c r="X762" s="2">
        <f t="shared" si="59"/>
        <v>13.135802469135802</v>
      </c>
    </row>
    <row r="763" spans="1:24" x14ac:dyDescent="0.3">
      <c r="A763">
        <v>552</v>
      </c>
      <c r="B763">
        <v>132</v>
      </c>
      <c r="C763" t="s">
        <v>35</v>
      </c>
      <c r="D763" t="s">
        <v>31</v>
      </c>
      <c r="E763" t="s">
        <v>32</v>
      </c>
      <c r="F763" t="s">
        <v>26</v>
      </c>
      <c r="G763">
        <v>20</v>
      </c>
      <c r="H763">
        <v>11</v>
      </c>
      <c r="I763">
        <v>10</v>
      </c>
      <c r="J763">
        <v>43.01</v>
      </c>
      <c r="K763">
        <v>240.46</v>
      </c>
      <c r="L763">
        <v>0.71</v>
      </c>
      <c r="M763">
        <v>55.4</v>
      </c>
      <c r="N763">
        <v>1</v>
      </c>
      <c r="O763" t="s">
        <v>20</v>
      </c>
      <c r="P763" t="s">
        <v>21</v>
      </c>
      <c r="Q763">
        <f t="shared" si="55"/>
        <v>21</v>
      </c>
      <c r="R763" s="4">
        <f>RANK(N763,$N$2:N$2800,0)</f>
        <v>1</v>
      </c>
      <c r="S763">
        <f t="shared" si="56"/>
        <v>2</v>
      </c>
      <c r="T763" t="str">
        <f t="shared" si="57"/>
        <v>Good</v>
      </c>
      <c r="U763" t="str" cm="1">
        <f t="array" ref="U763">_xlfn.LET(_xlpm.roles,_xlfn.UNIQUE(D763:D3561),_xlpm.kills, SUMIF(D763:D3561,_xlpm.roles,G763:G3561),INDEX(_xlpm.roles,MATCH(MAX(_xlpm.kills),_xlpm.kills,0)))</f>
        <v>Entry Fragger</v>
      </c>
      <c r="V763" t="str">
        <f t="shared" si="58"/>
        <v>Medium Accuracy</v>
      </c>
      <c r="W763" t="str" cm="1">
        <f t="array" ref="W763">_xlfn.LET(_xlpm.roles,_xlfn.UNIQUE(D763:D3561), _xlpm.counts,COUNTIF(D763:D3561,_xlpm.roles), INDEX(_xlpm.roles,MATCH(MAX(_xlpm.counts),_xlpm.counts,0)))</f>
        <v>Entry Fragger</v>
      </c>
      <c r="X763" s="2">
        <f t="shared" si="59"/>
        <v>12.599585062240664</v>
      </c>
    </row>
    <row r="764" spans="1:24" x14ac:dyDescent="0.3">
      <c r="A764">
        <v>659</v>
      </c>
      <c r="B764">
        <v>132</v>
      </c>
      <c r="C764" t="s">
        <v>30</v>
      </c>
      <c r="D764" t="s">
        <v>36</v>
      </c>
      <c r="E764" t="s">
        <v>23</v>
      </c>
      <c r="F764" t="s">
        <v>34</v>
      </c>
      <c r="G764">
        <v>14</v>
      </c>
      <c r="H764">
        <v>10</v>
      </c>
      <c r="I764">
        <v>10</v>
      </c>
      <c r="J764">
        <v>40.49</v>
      </c>
      <c r="K764">
        <v>198.94</v>
      </c>
      <c r="L764">
        <v>0.83</v>
      </c>
      <c r="M764">
        <v>39.950000000000003</v>
      </c>
      <c r="N764">
        <v>0.98</v>
      </c>
      <c r="O764" t="s">
        <v>20</v>
      </c>
      <c r="P764" t="s">
        <v>21</v>
      </c>
      <c r="Q764">
        <f t="shared" si="55"/>
        <v>14</v>
      </c>
      <c r="R764" s="4">
        <f>RANK(N764,$N$2:N$2800,0)</f>
        <v>1157</v>
      </c>
      <c r="S764">
        <f t="shared" si="56"/>
        <v>1.4</v>
      </c>
      <c r="T764" t="str">
        <f t="shared" si="57"/>
        <v>Low</v>
      </c>
      <c r="U764" t="str" cm="1">
        <f t="array" ref="U764">_xlfn.LET(_xlpm.roles,_xlfn.UNIQUE(D764:D3562),_xlpm.kills, SUMIF(D764:D3562,_xlpm.roles,G764:G3562),INDEX(_xlpm.roles,MATCH(MAX(_xlpm.kills),_xlpm.kills,0)))</f>
        <v>Entry Fragger</v>
      </c>
      <c r="V764" t="str">
        <f t="shared" si="58"/>
        <v>Medium Accuracy</v>
      </c>
      <c r="W764" t="str" cm="1">
        <f t="array" ref="W764">_xlfn.LET(_xlpm.roles,_xlfn.UNIQUE(D764:D3562), _xlpm.counts,COUNTIF(D764:D3562,_xlpm.roles), INDEX(_xlpm.roles,MATCH(MAX(_xlpm.counts),_xlpm.counts,0)))</f>
        <v>Entry Fragger</v>
      </c>
      <c r="X764" s="2">
        <f t="shared" si="59"/>
        <v>13.135802469135802</v>
      </c>
    </row>
    <row r="765" spans="1:24" x14ac:dyDescent="0.3">
      <c r="A765">
        <v>2110</v>
      </c>
      <c r="B765">
        <v>132</v>
      </c>
      <c r="C765" t="s">
        <v>39</v>
      </c>
      <c r="D765" t="s">
        <v>31</v>
      </c>
      <c r="E765" t="s">
        <v>33</v>
      </c>
      <c r="F765" t="s">
        <v>19</v>
      </c>
      <c r="G765">
        <v>21</v>
      </c>
      <c r="H765">
        <v>14</v>
      </c>
      <c r="I765">
        <v>13</v>
      </c>
      <c r="J765">
        <v>49.78</v>
      </c>
      <c r="K765">
        <v>213.26</v>
      </c>
      <c r="L765">
        <v>0.37</v>
      </c>
      <c r="M765">
        <v>64.19</v>
      </c>
      <c r="N765">
        <v>1</v>
      </c>
      <c r="O765" t="s">
        <v>20</v>
      </c>
      <c r="P765" t="s">
        <v>38</v>
      </c>
      <c r="Q765">
        <f t="shared" si="55"/>
        <v>22</v>
      </c>
      <c r="R765" s="4">
        <f>RANK(N765,$N$2:N$2800,0)</f>
        <v>1</v>
      </c>
      <c r="S765">
        <f t="shared" si="56"/>
        <v>1.6153846153846154</v>
      </c>
      <c r="T765" t="str">
        <f t="shared" si="57"/>
        <v>Good</v>
      </c>
      <c r="U765" t="str" cm="1">
        <f t="array" ref="U765">_xlfn.LET(_xlpm.roles,_xlfn.UNIQUE(D765:D3563),_xlpm.kills, SUMIF(D765:D3563,_xlpm.roles,G765:G3563),INDEX(_xlpm.roles,MATCH(MAX(_xlpm.kills),_xlpm.kills,0)))</f>
        <v>Entry Fragger</v>
      </c>
      <c r="V765" t="str">
        <f t="shared" si="58"/>
        <v>Medium Accuracy</v>
      </c>
      <c r="W765" t="str" cm="1">
        <f t="array" ref="W765">_xlfn.LET(_xlpm.roles,_xlfn.UNIQUE(D765:D3563), _xlpm.counts,COUNTIF(D765:D3563,_xlpm.roles), INDEX(_xlpm.roles,MATCH(MAX(_xlpm.counts),_xlpm.counts,0)))</f>
        <v>Entry Fragger</v>
      </c>
      <c r="X765" s="2">
        <f t="shared" si="59"/>
        <v>13.103594080338267</v>
      </c>
    </row>
    <row r="766" spans="1:24" x14ac:dyDescent="0.3">
      <c r="A766">
        <v>2187</v>
      </c>
      <c r="B766">
        <v>132</v>
      </c>
      <c r="C766" t="s">
        <v>39</v>
      </c>
      <c r="D766" t="s">
        <v>28</v>
      </c>
      <c r="E766" t="s">
        <v>23</v>
      </c>
      <c r="F766" t="s">
        <v>26</v>
      </c>
      <c r="G766">
        <v>14</v>
      </c>
      <c r="H766">
        <v>7</v>
      </c>
      <c r="I766">
        <v>8</v>
      </c>
      <c r="J766">
        <v>48.76</v>
      </c>
      <c r="K766">
        <v>231.48</v>
      </c>
      <c r="L766">
        <v>0.41</v>
      </c>
      <c r="M766">
        <v>47.28</v>
      </c>
      <c r="N766">
        <v>1</v>
      </c>
      <c r="O766" t="s">
        <v>20</v>
      </c>
      <c r="P766" t="s">
        <v>21</v>
      </c>
      <c r="Q766">
        <f t="shared" si="55"/>
        <v>13</v>
      </c>
      <c r="R766" s="4">
        <f>RANK(N766,$N$2:N$2800,0)</f>
        <v>1</v>
      </c>
      <c r="S766">
        <f t="shared" si="56"/>
        <v>1.75</v>
      </c>
      <c r="T766" t="str">
        <f t="shared" si="57"/>
        <v>Low</v>
      </c>
      <c r="U766" t="str" cm="1">
        <f t="array" ref="U766">_xlfn.LET(_xlpm.roles,_xlfn.UNIQUE(D766:D3564),_xlpm.kills, SUMIF(D766:D3564,_xlpm.roles,G766:G3564),INDEX(_xlpm.roles,MATCH(MAX(_xlpm.kills),_xlpm.kills,0)))</f>
        <v>Entry Fragger</v>
      </c>
      <c r="V766" t="str">
        <f t="shared" si="58"/>
        <v>Medium Accuracy</v>
      </c>
      <c r="W766" t="str" cm="1">
        <f t="array" ref="W766">_xlfn.LET(_xlpm.roles,_xlfn.UNIQUE(D766:D3564), _xlpm.counts,COUNTIF(D766:D3564,_xlpm.roles), INDEX(_xlpm.roles,MATCH(MAX(_xlpm.counts),_xlpm.counts,0)))</f>
        <v>Entry Fragger</v>
      </c>
      <c r="X766" s="2">
        <f t="shared" si="59"/>
        <v>13.103594080338267</v>
      </c>
    </row>
    <row r="767" spans="1:24" x14ac:dyDescent="0.3">
      <c r="A767">
        <v>2531</v>
      </c>
      <c r="B767">
        <v>132</v>
      </c>
      <c r="C767" t="s">
        <v>27</v>
      </c>
      <c r="D767" t="s">
        <v>22</v>
      </c>
      <c r="E767" t="s">
        <v>18</v>
      </c>
      <c r="F767" t="s">
        <v>19</v>
      </c>
      <c r="G767">
        <v>15</v>
      </c>
      <c r="H767">
        <v>9</v>
      </c>
      <c r="I767">
        <v>6</v>
      </c>
      <c r="J767">
        <v>36.72</v>
      </c>
      <c r="K767">
        <v>187.15</v>
      </c>
      <c r="L767">
        <v>0.33</v>
      </c>
      <c r="M767">
        <v>48.06</v>
      </c>
      <c r="N767">
        <v>0.87</v>
      </c>
      <c r="O767" t="s">
        <v>20</v>
      </c>
      <c r="P767" t="s">
        <v>21</v>
      </c>
      <c r="Q767">
        <f t="shared" si="55"/>
        <v>18</v>
      </c>
      <c r="R767" s="4">
        <f>RANK(N767,$N$2:N$2800,0)</f>
        <v>1965</v>
      </c>
      <c r="S767">
        <f t="shared" si="56"/>
        <v>2.5</v>
      </c>
      <c r="T767" t="str">
        <f t="shared" si="57"/>
        <v>Good</v>
      </c>
      <c r="U767" t="str" cm="1">
        <f t="array" ref="U767">_xlfn.LET(_xlpm.roles,_xlfn.UNIQUE(D767:D3565),_xlpm.kills, SUMIF(D767:D3565,_xlpm.roles,G767:G3565),INDEX(_xlpm.roles,MATCH(MAX(_xlpm.kills),_xlpm.kills,0)))</f>
        <v>Entry Fragger</v>
      </c>
      <c r="V767" t="str">
        <f t="shared" si="58"/>
        <v>Medium Accuracy</v>
      </c>
      <c r="W767" t="str" cm="1">
        <f t="array" ref="W767">_xlfn.LET(_xlpm.roles,_xlfn.UNIQUE(D767:D3565), _xlpm.counts,COUNTIF(D767:D3565,_xlpm.roles), INDEX(_xlpm.roles,MATCH(MAX(_xlpm.counts),_xlpm.counts,0)))</f>
        <v>Entry Fragger</v>
      </c>
      <c r="X767" s="2">
        <f t="shared" si="59"/>
        <v>13.057077625570777</v>
      </c>
    </row>
    <row r="768" spans="1:24" x14ac:dyDescent="0.3">
      <c r="A768">
        <v>40</v>
      </c>
      <c r="B768">
        <v>133</v>
      </c>
      <c r="C768" t="s">
        <v>39</v>
      </c>
      <c r="D768" t="s">
        <v>28</v>
      </c>
      <c r="E768" t="s">
        <v>29</v>
      </c>
      <c r="F768" t="s">
        <v>26</v>
      </c>
      <c r="G768">
        <v>12</v>
      </c>
      <c r="H768">
        <v>9</v>
      </c>
      <c r="I768">
        <v>11</v>
      </c>
      <c r="J768">
        <v>58.41</v>
      </c>
      <c r="K768">
        <v>225.46</v>
      </c>
      <c r="L768">
        <v>0.15</v>
      </c>
      <c r="M768">
        <v>49.7</v>
      </c>
      <c r="N768">
        <v>1</v>
      </c>
      <c r="O768" t="s">
        <v>20</v>
      </c>
      <c r="P768" t="s">
        <v>21</v>
      </c>
      <c r="Q768">
        <f t="shared" si="55"/>
        <v>10</v>
      </c>
      <c r="R768" s="4">
        <f>RANK(N768,$N$2:N$2800,0)</f>
        <v>1</v>
      </c>
      <c r="S768">
        <f t="shared" si="56"/>
        <v>1.0909090909090908</v>
      </c>
      <c r="T768" t="str">
        <f t="shared" si="57"/>
        <v>Low</v>
      </c>
      <c r="U768" t="str" cm="1">
        <f t="array" ref="U768">_xlfn.LET(_xlpm.roles,_xlfn.UNIQUE(D768:D3566),_xlpm.kills, SUMIF(D768:D3566,_xlpm.roles,G768:G3566),INDEX(_xlpm.roles,MATCH(MAX(_xlpm.kills),_xlpm.kills,0)))</f>
        <v>Entry Fragger</v>
      </c>
      <c r="V768" t="str">
        <f t="shared" si="58"/>
        <v>High Accuracy</v>
      </c>
      <c r="W768" t="str" cm="1">
        <f t="array" ref="W768">_xlfn.LET(_xlpm.roles,_xlfn.UNIQUE(D768:D3566), _xlpm.counts,COUNTIF(D768:D3566,_xlpm.roles), INDEX(_xlpm.roles,MATCH(MAX(_xlpm.counts),_xlpm.counts,0)))</f>
        <v>Entry Fragger</v>
      </c>
      <c r="X768" s="2">
        <f t="shared" si="59"/>
        <v>13.103594080338267</v>
      </c>
    </row>
    <row r="769" spans="1:24" x14ac:dyDescent="0.3">
      <c r="A769">
        <v>375</v>
      </c>
      <c r="B769">
        <v>133</v>
      </c>
      <c r="C769" t="s">
        <v>16</v>
      </c>
      <c r="D769" t="s">
        <v>31</v>
      </c>
      <c r="E769" t="s">
        <v>18</v>
      </c>
      <c r="F769" t="s">
        <v>26</v>
      </c>
      <c r="G769">
        <v>14</v>
      </c>
      <c r="H769">
        <v>11</v>
      </c>
      <c r="I769">
        <v>11</v>
      </c>
      <c r="J769">
        <v>43.62</v>
      </c>
      <c r="K769">
        <v>239.16</v>
      </c>
      <c r="L769">
        <v>0.73</v>
      </c>
      <c r="M769">
        <v>42.51</v>
      </c>
      <c r="N769">
        <v>1</v>
      </c>
      <c r="O769" t="s">
        <v>20</v>
      </c>
      <c r="P769" t="s">
        <v>21</v>
      </c>
      <c r="Q769">
        <f t="shared" si="55"/>
        <v>14</v>
      </c>
      <c r="R769" s="4">
        <f>RANK(N769,$N$2:N$2800,0)</f>
        <v>1</v>
      </c>
      <c r="S769">
        <f t="shared" si="56"/>
        <v>1.2727272727272727</v>
      </c>
      <c r="T769" t="str">
        <f t="shared" si="57"/>
        <v>Low</v>
      </c>
      <c r="U769" t="str" cm="1">
        <f t="array" ref="U769">_xlfn.LET(_xlpm.roles,_xlfn.UNIQUE(D769:D3567),_xlpm.kills, SUMIF(D769:D3567,_xlpm.roles,G769:G3567),INDEX(_xlpm.roles,MATCH(MAX(_xlpm.kills),_xlpm.kills,0)))</f>
        <v>Entry Fragger</v>
      </c>
      <c r="V769" t="str">
        <f t="shared" si="58"/>
        <v>Medium Accuracy</v>
      </c>
      <c r="W769" t="str" cm="1">
        <f t="array" ref="W769">_xlfn.LET(_xlpm.roles,_xlfn.UNIQUE(D769:D3567), _xlpm.counts,COUNTIF(D769:D3567,_xlpm.roles), INDEX(_xlpm.roles,MATCH(MAX(_xlpm.counts),_xlpm.counts,0)))</f>
        <v>Entry Fragger</v>
      </c>
      <c r="X769" s="2">
        <f t="shared" si="59"/>
        <v>12.520971302428256</v>
      </c>
    </row>
    <row r="770" spans="1:24" x14ac:dyDescent="0.3">
      <c r="A770">
        <v>1332</v>
      </c>
      <c r="B770">
        <v>133</v>
      </c>
      <c r="C770" t="s">
        <v>16</v>
      </c>
      <c r="D770" t="s">
        <v>22</v>
      </c>
      <c r="E770" t="s">
        <v>32</v>
      </c>
      <c r="F770" t="s">
        <v>19</v>
      </c>
      <c r="G770">
        <v>10</v>
      </c>
      <c r="H770">
        <v>6</v>
      </c>
      <c r="I770">
        <v>4</v>
      </c>
      <c r="J770">
        <v>53.61</v>
      </c>
      <c r="K770">
        <v>185.94</v>
      </c>
      <c r="L770">
        <v>0.56999999999999995</v>
      </c>
      <c r="M770">
        <v>43.11</v>
      </c>
      <c r="N770">
        <v>0.67</v>
      </c>
      <c r="O770" t="s">
        <v>20</v>
      </c>
      <c r="P770" t="s">
        <v>21</v>
      </c>
      <c r="Q770">
        <f t="shared" si="55"/>
        <v>12</v>
      </c>
      <c r="R770" s="4">
        <f>RANK(N770,$N$2:N$2800,0)</f>
        <v>2731</v>
      </c>
      <c r="S770">
        <f t="shared" si="56"/>
        <v>2.5</v>
      </c>
      <c r="T770" t="str">
        <f t="shared" si="57"/>
        <v>Low</v>
      </c>
      <c r="U770" t="str" cm="1">
        <f t="array" ref="U770">_xlfn.LET(_xlpm.roles,_xlfn.UNIQUE(D770:D3568),_xlpm.kills, SUMIF(D770:D3568,_xlpm.roles,G770:G3568),INDEX(_xlpm.roles,MATCH(MAX(_xlpm.kills),_xlpm.kills,0)))</f>
        <v>Entry Fragger</v>
      </c>
      <c r="V770" t="str">
        <f t="shared" si="58"/>
        <v>High Accuracy</v>
      </c>
      <c r="W770" t="str" cm="1">
        <f t="array" ref="W770">_xlfn.LET(_xlpm.roles,_xlfn.UNIQUE(D770:D3568), _xlpm.counts,COUNTIF(D770:D3568,_xlpm.roles), INDEX(_xlpm.roles,MATCH(MAX(_xlpm.counts),_xlpm.counts,0)))</f>
        <v>Entry Fragger</v>
      </c>
      <c r="X770" s="2">
        <f t="shared" si="59"/>
        <v>12.520971302428256</v>
      </c>
    </row>
    <row r="771" spans="1:24" x14ac:dyDescent="0.3">
      <c r="A771">
        <v>1368</v>
      </c>
      <c r="B771">
        <v>133</v>
      </c>
      <c r="C771" t="s">
        <v>35</v>
      </c>
      <c r="D771" t="s">
        <v>28</v>
      </c>
      <c r="E771" t="s">
        <v>18</v>
      </c>
      <c r="F771" t="s">
        <v>24</v>
      </c>
      <c r="G771">
        <v>17</v>
      </c>
      <c r="H771">
        <v>7</v>
      </c>
      <c r="I771">
        <v>12</v>
      </c>
      <c r="J771">
        <v>43.89</v>
      </c>
      <c r="K771">
        <v>215.85</v>
      </c>
      <c r="L771">
        <v>0.84</v>
      </c>
      <c r="M771">
        <v>42.55</v>
      </c>
      <c r="N771">
        <v>0.86</v>
      </c>
      <c r="O771" t="s">
        <v>20</v>
      </c>
      <c r="P771" t="s">
        <v>21</v>
      </c>
      <c r="Q771">
        <f t="shared" ref="Q771:Q834" si="60">G771+H771-I771</f>
        <v>12</v>
      </c>
      <c r="R771" s="4">
        <f>RANK(N771,$N$2:N$2800,0)</f>
        <v>2040</v>
      </c>
      <c r="S771">
        <f t="shared" ref="S771:S834" si="61">G771/I771</f>
        <v>1.4166666666666667</v>
      </c>
      <c r="T771" t="str">
        <f t="shared" ref="T771:T834" si="62">IF(Q771&lt;15,"Low",IF(Q771&lt;25,"Good","Excellent"))</f>
        <v>Low</v>
      </c>
      <c r="U771" t="str" cm="1">
        <f t="array" ref="U771">_xlfn.LET(_xlpm.roles,_xlfn.UNIQUE(D771:D3569),_xlpm.kills, SUMIF(D771:D3569,_xlpm.roles,G771:G3569),INDEX(_xlpm.roles,MATCH(MAX(_xlpm.kills),_xlpm.kills,0)))</f>
        <v>Entry Fragger</v>
      </c>
      <c r="V771" t="str">
        <f t="shared" ref="V771:V834" si="63">IF(J771&gt;=50,"High Accuracy",IF(J771&gt;=30,"Medium Accuracy","Low Accuracy"))</f>
        <v>Medium Accuracy</v>
      </c>
      <c r="W771" t="str" cm="1">
        <f t="array" ref="W771">_xlfn.LET(_xlpm.roles,_xlfn.UNIQUE(D771:D3569), _xlpm.counts,COUNTIF(D771:D3569,_xlpm.roles), INDEX(_xlpm.roles,MATCH(MAX(_xlpm.counts),_xlpm.counts,0)))</f>
        <v>Entry Fragger</v>
      </c>
      <c r="X771" s="2">
        <f t="shared" ref="X771:X834" si="64">AVERAGEIF($C$2:$C$2800,C771,$Q$2:$Q$2800)</f>
        <v>12.599585062240664</v>
      </c>
    </row>
    <row r="772" spans="1:24" x14ac:dyDescent="0.3">
      <c r="A772">
        <v>1534</v>
      </c>
      <c r="B772">
        <v>133</v>
      </c>
      <c r="C772" t="s">
        <v>39</v>
      </c>
      <c r="D772" t="s">
        <v>22</v>
      </c>
      <c r="E772" t="s">
        <v>18</v>
      </c>
      <c r="F772" t="s">
        <v>26</v>
      </c>
      <c r="G772">
        <v>12</v>
      </c>
      <c r="H772">
        <v>11</v>
      </c>
      <c r="I772">
        <v>14</v>
      </c>
      <c r="J772">
        <v>43.73</v>
      </c>
      <c r="K772">
        <v>217.15</v>
      </c>
      <c r="L772">
        <v>0.72</v>
      </c>
      <c r="M772">
        <v>35.659999999999997</v>
      </c>
      <c r="N772">
        <v>0.98</v>
      </c>
      <c r="O772" t="s">
        <v>20</v>
      </c>
      <c r="P772" t="s">
        <v>21</v>
      </c>
      <c r="Q772">
        <f t="shared" si="60"/>
        <v>9</v>
      </c>
      <c r="R772" s="4">
        <f>RANK(N772,$N$2:N$2800,0)</f>
        <v>1157</v>
      </c>
      <c r="S772">
        <f t="shared" si="61"/>
        <v>0.8571428571428571</v>
      </c>
      <c r="T772" t="str">
        <f t="shared" si="62"/>
        <v>Low</v>
      </c>
      <c r="U772" t="str" cm="1">
        <f t="array" ref="U772">_xlfn.LET(_xlpm.roles,_xlfn.UNIQUE(D772:D3570),_xlpm.kills, SUMIF(D772:D3570,_xlpm.roles,G772:G3570),INDEX(_xlpm.roles,MATCH(MAX(_xlpm.kills),_xlpm.kills,0)))</f>
        <v>Entry Fragger</v>
      </c>
      <c r="V772" t="str">
        <f t="shared" si="63"/>
        <v>Medium Accuracy</v>
      </c>
      <c r="W772" t="str" cm="1">
        <f t="array" ref="W772">_xlfn.LET(_xlpm.roles,_xlfn.UNIQUE(D772:D3570), _xlpm.counts,COUNTIF(D772:D3570,_xlpm.roles), INDEX(_xlpm.roles,MATCH(MAX(_xlpm.counts),_xlpm.counts,0)))</f>
        <v>Entry Fragger</v>
      </c>
      <c r="X772" s="2">
        <f t="shared" si="64"/>
        <v>13.103594080338267</v>
      </c>
    </row>
    <row r="773" spans="1:24" x14ac:dyDescent="0.3">
      <c r="A773">
        <v>2783</v>
      </c>
      <c r="B773">
        <v>133</v>
      </c>
      <c r="C773" t="s">
        <v>35</v>
      </c>
      <c r="D773" t="s">
        <v>36</v>
      </c>
      <c r="E773" t="s">
        <v>29</v>
      </c>
      <c r="F773" t="s">
        <v>19</v>
      </c>
      <c r="G773">
        <v>12</v>
      </c>
      <c r="H773">
        <v>6</v>
      </c>
      <c r="I773">
        <v>6</v>
      </c>
      <c r="J773">
        <v>56.41</v>
      </c>
      <c r="K773">
        <v>192.13</v>
      </c>
      <c r="L773">
        <v>0.49</v>
      </c>
      <c r="M773">
        <v>47.3</v>
      </c>
      <c r="N773">
        <v>0.98</v>
      </c>
      <c r="O773" t="s">
        <v>20</v>
      </c>
      <c r="P773" t="s">
        <v>21</v>
      </c>
      <c r="Q773">
        <f t="shared" si="60"/>
        <v>12</v>
      </c>
      <c r="R773" s="4">
        <f>RANK(N773,$N$2:N$2800,0)</f>
        <v>1157</v>
      </c>
      <c r="S773">
        <f t="shared" si="61"/>
        <v>2</v>
      </c>
      <c r="T773" t="str">
        <f t="shared" si="62"/>
        <v>Low</v>
      </c>
      <c r="U773" t="str" cm="1">
        <f t="array" ref="U773">_xlfn.LET(_xlpm.roles,_xlfn.UNIQUE(D773:D3571),_xlpm.kills, SUMIF(D773:D3571,_xlpm.roles,G773:G3571),INDEX(_xlpm.roles,MATCH(MAX(_xlpm.kills),_xlpm.kills,0)))</f>
        <v>Entry Fragger</v>
      </c>
      <c r="V773" t="str">
        <f t="shared" si="63"/>
        <v>High Accuracy</v>
      </c>
      <c r="W773" t="str" cm="1">
        <f t="array" ref="W773">_xlfn.LET(_xlpm.roles,_xlfn.UNIQUE(D773:D3571), _xlpm.counts,COUNTIF(D773:D3571,_xlpm.roles), INDEX(_xlpm.roles,MATCH(MAX(_xlpm.counts),_xlpm.counts,0)))</f>
        <v>Entry Fragger</v>
      </c>
      <c r="X773" s="2">
        <f t="shared" si="64"/>
        <v>12.599585062240664</v>
      </c>
    </row>
    <row r="774" spans="1:24" x14ac:dyDescent="0.3">
      <c r="A774">
        <v>342</v>
      </c>
      <c r="B774">
        <v>134</v>
      </c>
      <c r="C774" t="s">
        <v>16</v>
      </c>
      <c r="D774" t="s">
        <v>31</v>
      </c>
      <c r="E774" t="s">
        <v>23</v>
      </c>
      <c r="F774" t="s">
        <v>19</v>
      </c>
      <c r="G774">
        <v>9</v>
      </c>
      <c r="H774">
        <v>12</v>
      </c>
      <c r="I774">
        <v>15</v>
      </c>
      <c r="J774">
        <v>31.46</v>
      </c>
      <c r="K774">
        <v>223.88</v>
      </c>
      <c r="L774">
        <v>0.94</v>
      </c>
      <c r="M774">
        <v>21.33</v>
      </c>
      <c r="N774">
        <v>0.51</v>
      </c>
      <c r="O774" t="s">
        <v>40</v>
      </c>
      <c r="P774" t="s">
        <v>21</v>
      </c>
      <c r="Q774">
        <f t="shared" si="60"/>
        <v>6</v>
      </c>
      <c r="R774" s="4">
        <f>RANK(N774,$N$2:N$2800,0)</f>
        <v>2796</v>
      </c>
      <c r="S774">
        <f t="shared" si="61"/>
        <v>0.6</v>
      </c>
      <c r="T774" t="str">
        <f t="shared" si="62"/>
        <v>Low</v>
      </c>
      <c r="U774" t="str" cm="1">
        <f t="array" ref="U774">_xlfn.LET(_xlpm.roles,_xlfn.UNIQUE(D774:D3572),_xlpm.kills, SUMIF(D774:D3572,_xlpm.roles,G774:G3572),INDEX(_xlpm.roles,MATCH(MAX(_xlpm.kills),_xlpm.kills,0)))</f>
        <v>Entry Fragger</v>
      </c>
      <c r="V774" t="str">
        <f t="shared" si="63"/>
        <v>Medium Accuracy</v>
      </c>
      <c r="W774" t="str" cm="1">
        <f t="array" ref="W774">_xlfn.LET(_xlpm.roles,_xlfn.UNIQUE(D774:D3572), _xlpm.counts,COUNTIF(D774:D3572,_xlpm.roles), INDEX(_xlpm.roles,MATCH(MAX(_xlpm.counts),_xlpm.counts,0)))</f>
        <v>Entry Fragger</v>
      </c>
      <c r="X774" s="2">
        <f t="shared" si="64"/>
        <v>12.520971302428256</v>
      </c>
    </row>
    <row r="775" spans="1:24" x14ac:dyDescent="0.3">
      <c r="A775">
        <v>760</v>
      </c>
      <c r="B775">
        <v>134</v>
      </c>
      <c r="C775" t="s">
        <v>16</v>
      </c>
      <c r="D775" t="s">
        <v>28</v>
      </c>
      <c r="E775" t="s">
        <v>23</v>
      </c>
      <c r="F775" t="s">
        <v>26</v>
      </c>
      <c r="G775">
        <v>10</v>
      </c>
      <c r="H775">
        <v>8</v>
      </c>
      <c r="I775">
        <v>4</v>
      </c>
      <c r="J775">
        <v>42.31</v>
      </c>
      <c r="K775">
        <v>221.59</v>
      </c>
      <c r="L775">
        <v>0.57999999999999996</v>
      </c>
      <c r="M775">
        <v>39.36</v>
      </c>
      <c r="N775">
        <v>0.87</v>
      </c>
      <c r="O775" t="s">
        <v>20</v>
      </c>
      <c r="P775" t="s">
        <v>21</v>
      </c>
      <c r="Q775">
        <f t="shared" si="60"/>
        <v>14</v>
      </c>
      <c r="R775" s="4">
        <f>RANK(N775,$N$2:N$2800,0)</f>
        <v>1965</v>
      </c>
      <c r="S775">
        <f t="shared" si="61"/>
        <v>2.5</v>
      </c>
      <c r="T775" t="str">
        <f t="shared" si="62"/>
        <v>Low</v>
      </c>
      <c r="U775" t="str" cm="1">
        <f t="array" ref="U775">_xlfn.LET(_xlpm.roles,_xlfn.UNIQUE(D775:D3573),_xlpm.kills, SUMIF(D775:D3573,_xlpm.roles,G775:G3573),INDEX(_xlpm.roles,MATCH(MAX(_xlpm.kills),_xlpm.kills,0)))</f>
        <v>Entry Fragger</v>
      </c>
      <c r="V775" t="str">
        <f t="shared" si="63"/>
        <v>Medium Accuracy</v>
      </c>
      <c r="W775" t="str" cm="1">
        <f t="array" ref="W775">_xlfn.LET(_xlpm.roles,_xlfn.UNIQUE(D775:D3573), _xlpm.counts,COUNTIF(D775:D3573,_xlpm.roles), INDEX(_xlpm.roles,MATCH(MAX(_xlpm.counts),_xlpm.counts,0)))</f>
        <v>Entry Fragger</v>
      </c>
      <c r="X775" s="2">
        <f t="shared" si="64"/>
        <v>12.520971302428256</v>
      </c>
    </row>
    <row r="776" spans="1:24" x14ac:dyDescent="0.3">
      <c r="A776">
        <v>815</v>
      </c>
      <c r="B776">
        <v>134</v>
      </c>
      <c r="C776" t="s">
        <v>27</v>
      </c>
      <c r="D776" t="s">
        <v>36</v>
      </c>
      <c r="E776" t="s">
        <v>23</v>
      </c>
      <c r="F776" t="s">
        <v>19</v>
      </c>
      <c r="G776">
        <v>14</v>
      </c>
      <c r="H776">
        <v>5</v>
      </c>
      <c r="I776">
        <v>14</v>
      </c>
      <c r="J776">
        <v>48.71</v>
      </c>
      <c r="K776">
        <v>184.97</v>
      </c>
      <c r="L776">
        <v>0.68</v>
      </c>
      <c r="M776">
        <v>36.56</v>
      </c>
      <c r="N776">
        <v>0.81</v>
      </c>
      <c r="O776" t="s">
        <v>20</v>
      </c>
      <c r="P776" t="s">
        <v>21</v>
      </c>
      <c r="Q776">
        <f t="shared" si="60"/>
        <v>5</v>
      </c>
      <c r="R776" s="4">
        <f>RANK(N776,$N$2:N$2800,0)</f>
        <v>2341</v>
      </c>
      <c r="S776">
        <f t="shared" si="61"/>
        <v>1</v>
      </c>
      <c r="T776" t="str">
        <f t="shared" si="62"/>
        <v>Low</v>
      </c>
      <c r="U776" t="str" cm="1">
        <f t="array" ref="U776">_xlfn.LET(_xlpm.roles,_xlfn.UNIQUE(D776:D3574),_xlpm.kills, SUMIF(D776:D3574,_xlpm.roles,G776:G3574),INDEX(_xlpm.roles,MATCH(MAX(_xlpm.kills),_xlpm.kills,0)))</f>
        <v>Entry Fragger</v>
      </c>
      <c r="V776" t="str">
        <f t="shared" si="63"/>
        <v>Medium Accuracy</v>
      </c>
      <c r="W776" t="str" cm="1">
        <f t="array" ref="W776">_xlfn.LET(_xlpm.roles,_xlfn.UNIQUE(D776:D3574), _xlpm.counts,COUNTIF(D776:D3574,_xlpm.roles), INDEX(_xlpm.roles,MATCH(MAX(_xlpm.counts),_xlpm.counts,0)))</f>
        <v>Entry Fragger</v>
      </c>
      <c r="X776" s="2">
        <f t="shared" si="64"/>
        <v>13.057077625570777</v>
      </c>
    </row>
    <row r="777" spans="1:24" x14ac:dyDescent="0.3">
      <c r="A777">
        <v>850</v>
      </c>
      <c r="B777">
        <v>134</v>
      </c>
      <c r="C777" t="s">
        <v>35</v>
      </c>
      <c r="D777" t="s">
        <v>17</v>
      </c>
      <c r="E777" t="s">
        <v>23</v>
      </c>
      <c r="F777" t="s">
        <v>19</v>
      </c>
      <c r="G777">
        <v>13</v>
      </c>
      <c r="H777">
        <v>14</v>
      </c>
      <c r="I777">
        <v>10</v>
      </c>
      <c r="J777">
        <v>44</v>
      </c>
      <c r="K777">
        <v>212.92</v>
      </c>
      <c r="L777">
        <v>0.75</v>
      </c>
      <c r="M777">
        <v>44.5</v>
      </c>
      <c r="N777">
        <v>1</v>
      </c>
      <c r="O777" t="s">
        <v>20</v>
      </c>
      <c r="P777" t="s">
        <v>21</v>
      </c>
      <c r="Q777">
        <f t="shared" si="60"/>
        <v>17</v>
      </c>
      <c r="R777" s="4">
        <f>RANK(N777,$N$2:N$2800,0)</f>
        <v>1</v>
      </c>
      <c r="S777">
        <f t="shared" si="61"/>
        <v>1.3</v>
      </c>
      <c r="T777" t="str">
        <f t="shared" si="62"/>
        <v>Good</v>
      </c>
      <c r="U777" t="str" cm="1">
        <f t="array" ref="U777">_xlfn.LET(_xlpm.roles,_xlfn.UNIQUE(D777:D3575),_xlpm.kills, SUMIF(D777:D3575,_xlpm.roles,G777:G3575),INDEX(_xlpm.roles,MATCH(MAX(_xlpm.kills),_xlpm.kills,0)))</f>
        <v>Entry Fragger</v>
      </c>
      <c r="V777" t="str">
        <f t="shared" si="63"/>
        <v>Medium Accuracy</v>
      </c>
      <c r="W777" t="str" cm="1">
        <f t="array" ref="W777">_xlfn.LET(_xlpm.roles,_xlfn.UNIQUE(D777:D3575), _xlpm.counts,COUNTIF(D777:D3575,_xlpm.roles), INDEX(_xlpm.roles,MATCH(MAX(_xlpm.counts),_xlpm.counts,0)))</f>
        <v>Entry Fragger</v>
      </c>
      <c r="X777" s="2">
        <f t="shared" si="64"/>
        <v>12.599585062240664</v>
      </c>
    </row>
    <row r="778" spans="1:24" x14ac:dyDescent="0.3">
      <c r="A778">
        <v>1238</v>
      </c>
      <c r="B778">
        <v>134</v>
      </c>
      <c r="C778" t="s">
        <v>39</v>
      </c>
      <c r="D778" t="s">
        <v>36</v>
      </c>
      <c r="E778" t="s">
        <v>32</v>
      </c>
      <c r="F778" t="s">
        <v>26</v>
      </c>
      <c r="G778">
        <v>20</v>
      </c>
      <c r="H778">
        <v>7</v>
      </c>
      <c r="I778">
        <v>9</v>
      </c>
      <c r="J778">
        <v>52.49</v>
      </c>
      <c r="K778">
        <v>258.56</v>
      </c>
      <c r="L778">
        <v>0.97</v>
      </c>
      <c r="M778">
        <v>54.55</v>
      </c>
      <c r="N778">
        <v>0.93</v>
      </c>
      <c r="O778" t="s">
        <v>20</v>
      </c>
      <c r="P778" t="s">
        <v>21</v>
      </c>
      <c r="Q778">
        <f t="shared" si="60"/>
        <v>18</v>
      </c>
      <c r="R778" s="4">
        <f>RANK(N778,$N$2:N$2800,0)</f>
        <v>1505</v>
      </c>
      <c r="S778">
        <f t="shared" si="61"/>
        <v>2.2222222222222223</v>
      </c>
      <c r="T778" t="str">
        <f t="shared" si="62"/>
        <v>Good</v>
      </c>
      <c r="U778" t="str" cm="1">
        <f t="array" ref="U778">_xlfn.LET(_xlpm.roles,_xlfn.UNIQUE(D778:D3576),_xlpm.kills, SUMIF(D778:D3576,_xlpm.roles,G778:G3576),INDEX(_xlpm.roles,MATCH(MAX(_xlpm.kills),_xlpm.kills,0)))</f>
        <v>Entry Fragger</v>
      </c>
      <c r="V778" t="str">
        <f t="shared" si="63"/>
        <v>High Accuracy</v>
      </c>
      <c r="W778" t="str" cm="1">
        <f t="array" ref="W778">_xlfn.LET(_xlpm.roles,_xlfn.UNIQUE(D778:D3576), _xlpm.counts,COUNTIF(D778:D3576,_xlpm.roles), INDEX(_xlpm.roles,MATCH(MAX(_xlpm.counts),_xlpm.counts,0)))</f>
        <v>Entry Fragger</v>
      </c>
      <c r="X778" s="2">
        <f t="shared" si="64"/>
        <v>13.103594080338267</v>
      </c>
    </row>
    <row r="779" spans="1:24" x14ac:dyDescent="0.3">
      <c r="A779">
        <v>215</v>
      </c>
      <c r="B779">
        <v>135</v>
      </c>
      <c r="C779" t="s">
        <v>35</v>
      </c>
      <c r="D779" t="s">
        <v>36</v>
      </c>
      <c r="E779" t="s">
        <v>32</v>
      </c>
      <c r="F779" t="s">
        <v>24</v>
      </c>
      <c r="G779">
        <v>16</v>
      </c>
      <c r="H779">
        <v>10</v>
      </c>
      <c r="I779">
        <v>13</v>
      </c>
      <c r="J779">
        <v>37.380000000000003</v>
      </c>
      <c r="K779">
        <v>199.69</v>
      </c>
      <c r="L779">
        <v>0.77</v>
      </c>
      <c r="M779">
        <v>39.99</v>
      </c>
      <c r="N779">
        <v>0.96</v>
      </c>
      <c r="O779" t="s">
        <v>20</v>
      </c>
      <c r="P779" t="s">
        <v>21</v>
      </c>
      <c r="Q779">
        <f t="shared" si="60"/>
        <v>13</v>
      </c>
      <c r="R779" s="4">
        <f>RANK(N779,$N$2:N$2800,0)</f>
        <v>1301</v>
      </c>
      <c r="S779">
        <f t="shared" si="61"/>
        <v>1.2307692307692308</v>
      </c>
      <c r="T779" t="str">
        <f t="shared" si="62"/>
        <v>Low</v>
      </c>
      <c r="U779" t="str" cm="1">
        <f t="array" ref="U779">_xlfn.LET(_xlpm.roles,_xlfn.UNIQUE(D779:D3577),_xlpm.kills, SUMIF(D779:D3577,_xlpm.roles,G779:G3577),INDEX(_xlpm.roles,MATCH(MAX(_xlpm.kills),_xlpm.kills,0)))</f>
        <v>Entry Fragger</v>
      </c>
      <c r="V779" t="str">
        <f t="shared" si="63"/>
        <v>Medium Accuracy</v>
      </c>
      <c r="W779" t="str" cm="1">
        <f t="array" ref="W779">_xlfn.LET(_xlpm.roles,_xlfn.UNIQUE(D779:D3577), _xlpm.counts,COUNTIF(D779:D3577,_xlpm.roles), INDEX(_xlpm.roles,MATCH(MAX(_xlpm.counts),_xlpm.counts,0)))</f>
        <v>Entry Fragger</v>
      </c>
      <c r="X779" s="2">
        <f t="shared" si="64"/>
        <v>12.599585062240664</v>
      </c>
    </row>
    <row r="780" spans="1:24" x14ac:dyDescent="0.3">
      <c r="A780">
        <v>1165</v>
      </c>
      <c r="B780">
        <v>135</v>
      </c>
      <c r="C780" t="s">
        <v>35</v>
      </c>
      <c r="D780" t="s">
        <v>17</v>
      </c>
      <c r="E780" t="s">
        <v>18</v>
      </c>
      <c r="F780" t="s">
        <v>19</v>
      </c>
      <c r="G780">
        <v>18</v>
      </c>
      <c r="H780">
        <v>6</v>
      </c>
      <c r="I780">
        <v>9</v>
      </c>
      <c r="J780">
        <v>34.32</v>
      </c>
      <c r="K780">
        <v>188.72</v>
      </c>
      <c r="L780">
        <v>0.21</v>
      </c>
      <c r="M780">
        <v>48.06</v>
      </c>
      <c r="N780">
        <v>1</v>
      </c>
      <c r="O780" t="s">
        <v>20</v>
      </c>
      <c r="P780" t="s">
        <v>21</v>
      </c>
      <c r="Q780">
        <f t="shared" si="60"/>
        <v>15</v>
      </c>
      <c r="R780" s="4">
        <f>RANK(N780,$N$2:N$2800,0)</f>
        <v>1</v>
      </c>
      <c r="S780">
        <f t="shared" si="61"/>
        <v>2</v>
      </c>
      <c r="T780" t="str">
        <f t="shared" si="62"/>
        <v>Good</v>
      </c>
      <c r="U780" t="str" cm="1">
        <f t="array" ref="U780">_xlfn.LET(_xlpm.roles,_xlfn.UNIQUE(D780:D3578),_xlpm.kills, SUMIF(D780:D3578,_xlpm.roles,G780:G3578),INDEX(_xlpm.roles,MATCH(MAX(_xlpm.kills),_xlpm.kills,0)))</f>
        <v>Entry Fragger</v>
      </c>
      <c r="V780" t="str">
        <f t="shared" si="63"/>
        <v>Medium Accuracy</v>
      </c>
      <c r="W780" t="str" cm="1">
        <f t="array" ref="W780">_xlfn.LET(_xlpm.roles,_xlfn.UNIQUE(D780:D3578), _xlpm.counts,COUNTIF(D780:D3578,_xlpm.roles), INDEX(_xlpm.roles,MATCH(MAX(_xlpm.counts),_xlpm.counts,0)))</f>
        <v>Entry Fragger</v>
      </c>
      <c r="X780" s="2">
        <f t="shared" si="64"/>
        <v>12.599585062240664</v>
      </c>
    </row>
    <row r="781" spans="1:24" x14ac:dyDescent="0.3">
      <c r="A781">
        <v>1910</v>
      </c>
      <c r="B781">
        <v>135</v>
      </c>
      <c r="C781" t="s">
        <v>39</v>
      </c>
      <c r="D781" t="s">
        <v>31</v>
      </c>
      <c r="E781" t="s">
        <v>32</v>
      </c>
      <c r="F781" t="s">
        <v>24</v>
      </c>
      <c r="G781">
        <v>18</v>
      </c>
      <c r="H781">
        <v>7</v>
      </c>
      <c r="I781">
        <v>9</v>
      </c>
      <c r="J781">
        <v>35.32</v>
      </c>
      <c r="K781">
        <v>210.45</v>
      </c>
      <c r="L781">
        <v>0.98</v>
      </c>
      <c r="M781">
        <v>41.86</v>
      </c>
      <c r="N781">
        <v>1</v>
      </c>
      <c r="O781" t="s">
        <v>20</v>
      </c>
      <c r="P781" t="s">
        <v>21</v>
      </c>
      <c r="Q781">
        <f t="shared" si="60"/>
        <v>16</v>
      </c>
      <c r="R781" s="4">
        <f>RANK(N781,$N$2:N$2800,0)</f>
        <v>1</v>
      </c>
      <c r="S781">
        <f t="shared" si="61"/>
        <v>2</v>
      </c>
      <c r="T781" t="str">
        <f t="shared" si="62"/>
        <v>Good</v>
      </c>
      <c r="U781" t="str" cm="1">
        <f t="array" ref="U781">_xlfn.LET(_xlpm.roles,_xlfn.UNIQUE(D781:D3579),_xlpm.kills, SUMIF(D781:D3579,_xlpm.roles,G781:G3579),INDEX(_xlpm.roles,MATCH(MAX(_xlpm.kills),_xlpm.kills,0)))</f>
        <v>Entry Fragger</v>
      </c>
      <c r="V781" t="str">
        <f t="shared" si="63"/>
        <v>Medium Accuracy</v>
      </c>
      <c r="W781" t="str" cm="1">
        <f t="array" ref="W781">_xlfn.LET(_xlpm.roles,_xlfn.UNIQUE(D781:D3579), _xlpm.counts,COUNTIF(D781:D3579,_xlpm.roles), INDEX(_xlpm.roles,MATCH(MAX(_xlpm.counts),_xlpm.counts,0)))</f>
        <v>Entry Fragger</v>
      </c>
      <c r="X781" s="2">
        <f t="shared" si="64"/>
        <v>13.103594080338267</v>
      </c>
    </row>
    <row r="782" spans="1:24" x14ac:dyDescent="0.3">
      <c r="A782">
        <v>2530</v>
      </c>
      <c r="B782">
        <v>135</v>
      </c>
      <c r="C782" t="s">
        <v>30</v>
      </c>
      <c r="D782" t="s">
        <v>22</v>
      </c>
      <c r="E782" t="s">
        <v>18</v>
      </c>
      <c r="F782" t="s">
        <v>34</v>
      </c>
      <c r="G782">
        <v>9</v>
      </c>
      <c r="H782">
        <v>8</v>
      </c>
      <c r="I782">
        <v>11</v>
      </c>
      <c r="J782">
        <v>48.25</v>
      </c>
      <c r="K782">
        <v>244.6</v>
      </c>
      <c r="L782">
        <v>0.63</v>
      </c>
      <c r="M782">
        <v>32.83</v>
      </c>
      <c r="N782">
        <v>0.92</v>
      </c>
      <c r="O782" t="s">
        <v>20</v>
      </c>
      <c r="P782" t="s">
        <v>21</v>
      </c>
      <c r="Q782">
        <f t="shared" si="60"/>
        <v>6</v>
      </c>
      <c r="R782" s="4">
        <f>RANK(N782,$N$2:N$2800,0)</f>
        <v>1585</v>
      </c>
      <c r="S782">
        <f t="shared" si="61"/>
        <v>0.81818181818181823</v>
      </c>
      <c r="T782" t="str">
        <f t="shared" si="62"/>
        <v>Low</v>
      </c>
      <c r="U782" t="str" cm="1">
        <f t="array" ref="U782">_xlfn.LET(_xlpm.roles,_xlfn.UNIQUE(D782:D3580),_xlpm.kills, SUMIF(D782:D3580,_xlpm.roles,G782:G3580),INDEX(_xlpm.roles,MATCH(MAX(_xlpm.kills),_xlpm.kills,0)))</f>
        <v>Entry Fragger</v>
      </c>
      <c r="V782" t="str">
        <f t="shared" si="63"/>
        <v>Medium Accuracy</v>
      </c>
      <c r="W782" t="str" cm="1">
        <f t="array" ref="W782">_xlfn.LET(_xlpm.roles,_xlfn.UNIQUE(D782:D3580), _xlpm.counts,COUNTIF(D782:D3580,_xlpm.roles), INDEX(_xlpm.roles,MATCH(MAX(_xlpm.counts),_xlpm.counts,0)))</f>
        <v>Entry Fragger</v>
      </c>
      <c r="X782" s="2">
        <f t="shared" si="64"/>
        <v>13.135802469135802</v>
      </c>
    </row>
    <row r="783" spans="1:24" x14ac:dyDescent="0.3">
      <c r="A783">
        <v>2723</v>
      </c>
      <c r="B783">
        <v>135</v>
      </c>
      <c r="C783" t="s">
        <v>39</v>
      </c>
      <c r="D783" t="s">
        <v>36</v>
      </c>
      <c r="E783" t="s">
        <v>29</v>
      </c>
      <c r="F783" t="s">
        <v>26</v>
      </c>
      <c r="G783">
        <v>12</v>
      </c>
      <c r="H783">
        <v>13</v>
      </c>
      <c r="I783">
        <v>6</v>
      </c>
      <c r="J783">
        <v>36.549999999999997</v>
      </c>
      <c r="K783">
        <v>207.92</v>
      </c>
      <c r="L783">
        <v>0.72</v>
      </c>
      <c r="M783">
        <v>42.08</v>
      </c>
      <c r="N783">
        <v>1</v>
      </c>
      <c r="O783" t="s">
        <v>20</v>
      </c>
      <c r="P783" t="s">
        <v>21</v>
      </c>
      <c r="Q783">
        <f t="shared" si="60"/>
        <v>19</v>
      </c>
      <c r="R783" s="4">
        <f>RANK(N783,$N$2:N$2800,0)</f>
        <v>1</v>
      </c>
      <c r="S783">
        <f t="shared" si="61"/>
        <v>2</v>
      </c>
      <c r="T783" t="str">
        <f t="shared" si="62"/>
        <v>Good</v>
      </c>
      <c r="U783" t="str" cm="1">
        <f t="array" ref="U783">_xlfn.LET(_xlpm.roles,_xlfn.UNIQUE(D783:D3581),_xlpm.kills, SUMIF(D783:D3581,_xlpm.roles,G783:G3581),INDEX(_xlpm.roles,MATCH(MAX(_xlpm.kills),_xlpm.kills,0)))</f>
        <v>Entry Fragger</v>
      </c>
      <c r="V783" t="str">
        <f t="shared" si="63"/>
        <v>Medium Accuracy</v>
      </c>
      <c r="W783" t="str" cm="1">
        <f t="array" ref="W783">_xlfn.LET(_xlpm.roles,_xlfn.UNIQUE(D783:D3581), _xlpm.counts,COUNTIF(D783:D3581,_xlpm.roles), INDEX(_xlpm.roles,MATCH(MAX(_xlpm.counts),_xlpm.counts,0)))</f>
        <v>Entry Fragger</v>
      </c>
      <c r="X783" s="2">
        <f t="shared" si="64"/>
        <v>13.103594080338267</v>
      </c>
    </row>
    <row r="784" spans="1:24" x14ac:dyDescent="0.3">
      <c r="A784">
        <v>551</v>
      </c>
      <c r="B784">
        <v>136</v>
      </c>
      <c r="C784" t="s">
        <v>16</v>
      </c>
      <c r="D784" t="s">
        <v>22</v>
      </c>
      <c r="E784" t="s">
        <v>33</v>
      </c>
      <c r="F784" t="s">
        <v>34</v>
      </c>
      <c r="G784">
        <v>13</v>
      </c>
      <c r="H784">
        <v>9</v>
      </c>
      <c r="I784">
        <v>11</v>
      </c>
      <c r="J784">
        <v>38.97</v>
      </c>
      <c r="K784">
        <v>216.59</v>
      </c>
      <c r="L784">
        <v>0.79</v>
      </c>
      <c r="M784">
        <v>35.590000000000003</v>
      </c>
      <c r="N784">
        <v>0.78</v>
      </c>
      <c r="O784" t="s">
        <v>20</v>
      </c>
      <c r="P784" t="s">
        <v>21</v>
      </c>
      <c r="Q784">
        <f t="shared" si="60"/>
        <v>11</v>
      </c>
      <c r="R784" s="4">
        <f>RANK(N784,$N$2:N$2800,0)</f>
        <v>2469</v>
      </c>
      <c r="S784">
        <f t="shared" si="61"/>
        <v>1.1818181818181819</v>
      </c>
      <c r="T784" t="str">
        <f t="shared" si="62"/>
        <v>Low</v>
      </c>
      <c r="U784" t="str" cm="1">
        <f t="array" ref="U784">_xlfn.LET(_xlpm.roles,_xlfn.UNIQUE(D784:D3582),_xlpm.kills, SUMIF(D784:D3582,_xlpm.roles,G784:G3582),INDEX(_xlpm.roles,MATCH(MAX(_xlpm.kills),_xlpm.kills,0)))</f>
        <v>Entry Fragger</v>
      </c>
      <c r="V784" t="str">
        <f t="shared" si="63"/>
        <v>Medium Accuracy</v>
      </c>
      <c r="W784" t="str" cm="1">
        <f t="array" ref="W784">_xlfn.LET(_xlpm.roles,_xlfn.UNIQUE(D784:D3582), _xlpm.counts,COUNTIF(D784:D3582,_xlpm.roles), INDEX(_xlpm.roles,MATCH(MAX(_xlpm.counts),_xlpm.counts,0)))</f>
        <v>Entry Fragger</v>
      </c>
      <c r="X784" s="2">
        <f t="shared" si="64"/>
        <v>12.520971302428256</v>
      </c>
    </row>
    <row r="785" spans="1:24" x14ac:dyDescent="0.3">
      <c r="A785">
        <v>1309</v>
      </c>
      <c r="B785">
        <v>136</v>
      </c>
      <c r="C785" t="s">
        <v>25</v>
      </c>
      <c r="D785" t="s">
        <v>36</v>
      </c>
      <c r="E785" t="s">
        <v>33</v>
      </c>
      <c r="F785" t="s">
        <v>19</v>
      </c>
      <c r="G785">
        <v>12</v>
      </c>
      <c r="H785">
        <v>7</v>
      </c>
      <c r="I785">
        <v>8</v>
      </c>
      <c r="J785">
        <v>42.47</v>
      </c>
      <c r="K785">
        <v>215.72</v>
      </c>
      <c r="L785">
        <v>0.37</v>
      </c>
      <c r="M785">
        <v>40.53</v>
      </c>
      <c r="N785">
        <v>0.89</v>
      </c>
      <c r="O785" t="s">
        <v>20</v>
      </c>
      <c r="P785" t="s">
        <v>21</v>
      </c>
      <c r="Q785">
        <f t="shared" si="60"/>
        <v>11</v>
      </c>
      <c r="R785" s="4">
        <f>RANK(N785,$N$2:N$2800,0)</f>
        <v>1815</v>
      </c>
      <c r="S785">
        <f t="shared" si="61"/>
        <v>1.5</v>
      </c>
      <c r="T785" t="str">
        <f t="shared" si="62"/>
        <v>Low</v>
      </c>
      <c r="U785" t="str" cm="1">
        <f t="array" ref="U785">_xlfn.LET(_xlpm.roles,_xlfn.UNIQUE(D785:D3583),_xlpm.kills, SUMIF(D785:D3583,_xlpm.roles,G785:G3583),INDEX(_xlpm.roles,MATCH(MAX(_xlpm.kills),_xlpm.kills,0)))</f>
        <v>Entry Fragger</v>
      </c>
      <c r="V785" t="str">
        <f t="shared" si="63"/>
        <v>Medium Accuracy</v>
      </c>
      <c r="W785" t="str" cm="1">
        <f t="array" ref="W785">_xlfn.LET(_xlpm.roles,_xlfn.UNIQUE(D785:D3583), _xlpm.counts,COUNTIF(D785:D3583,_xlpm.roles), INDEX(_xlpm.roles,MATCH(MAX(_xlpm.counts),_xlpm.counts,0)))</f>
        <v>Entry Fragger</v>
      </c>
      <c r="X785" s="2">
        <f t="shared" si="64"/>
        <v>12.809421841541756</v>
      </c>
    </row>
    <row r="786" spans="1:24" x14ac:dyDescent="0.3">
      <c r="A786">
        <v>1322</v>
      </c>
      <c r="B786">
        <v>136</v>
      </c>
      <c r="C786" t="s">
        <v>30</v>
      </c>
      <c r="D786" t="s">
        <v>31</v>
      </c>
      <c r="E786" t="s">
        <v>23</v>
      </c>
      <c r="F786" t="s">
        <v>37</v>
      </c>
      <c r="G786">
        <v>13</v>
      </c>
      <c r="H786">
        <v>13</v>
      </c>
      <c r="I786">
        <v>6</v>
      </c>
      <c r="J786">
        <v>29.4</v>
      </c>
      <c r="K786">
        <v>215.77</v>
      </c>
      <c r="L786">
        <v>0.88</v>
      </c>
      <c r="M786">
        <v>38.9</v>
      </c>
      <c r="N786">
        <v>0.93</v>
      </c>
      <c r="O786" t="s">
        <v>20</v>
      </c>
      <c r="P786" t="s">
        <v>21</v>
      </c>
      <c r="Q786">
        <f t="shared" si="60"/>
        <v>20</v>
      </c>
      <c r="R786" s="4">
        <f>RANK(N786,$N$2:N$2800,0)</f>
        <v>1505</v>
      </c>
      <c r="S786">
        <f t="shared" si="61"/>
        <v>2.1666666666666665</v>
      </c>
      <c r="T786" t="str">
        <f t="shared" si="62"/>
        <v>Good</v>
      </c>
      <c r="U786" t="str" cm="1">
        <f t="array" ref="U786">_xlfn.LET(_xlpm.roles,_xlfn.UNIQUE(D786:D3584),_xlpm.kills, SUMIF(D786:D3584,_xlpm.roles,G786:G3584),INDEX(_xlpm.roles,MATCH(MAX(_xlpm.kills),_xlpm.kills,0)))</f>
        <v>Entry Fragger</v>
      </c>
      <c r="V786" t="str">
        <f t="shared" si="63"/>
        <v>Low Accuracy</v>
      </c>
      <c r="W786" t="str" cm="1">
        <f t="array" ref="W786">_xlfn.LET(_xlpm.roles,_xlfn.UNIQUE(D786:D3584), _xlpm.counts,COUNTIF(D786:D3584,_xlpm.roles), INDEX(_xlpm.roles,MATCH(MAX(_xlpm.counts),_xlpm.counts,0)))</f>
        <v>Entry Fragger</v>
      </c>
      <c r="X786" s="2">
        <f t="shared" si="64"/>
        <v>13.135802469135802</v>
      </c>
    </row>
    <row r="787" spans="1:24" x14ac:dyDescent="0.3">
      <c r="A787">
        <v>1841</v>
      </c>
      <c r="B787">
        <v>136</v>
      </c>
      <c r="C787" t="s">
        <v>39</v>
      </c>
      <c r="D787" t="s">
        <v>28</v>
      </c>
      <c r="E787" t="s">
        <v>18</v>
      </c>
      <c r="F787" t="s">
        <v>19</v>
      </c>
      <c r="G787">
        <v>17</v>
      </c>
      <c r="H787">
        <v>6</v>
      </c>
      <c r="I787">
        <v>8</v>
      </c>
      <c r="J787">
        <v>49.65</v>
      </c>
      <c r="K787">
        <v>244.04</v>
      </c>
      <c r="L787">
        <v>0.59</v>
      </c>
      <c r="M787">
        <v>50.93</v>
      </c>
      <c r="N787">
        <v>0.9</v>
      </c>
      <c r="O787" t="s">
        <v>20</v>
      </c>
      <c r="P787" t="s">
        <v>21</v>
      </c>
      <c r="Q787">
        <f t="shared" si="60"/>
        <v>15</v>
      </c>
      <c r="R787" s="4">
        <f>RANK(N787,$N$2:N$2800,0)</f>
        <v>1738</v>
      </c>
      <c r="S787">
        <f t="shared" si="61"/>
        <v>2.125</v>
      </c>
      <c r="T787" t="str">
        <f t="shared" si="62"/>
        <v>Good</v>
      </c>
      <c r="U787" t="str" cm="1">
        <f t="array" ref="U787">_xlfn.LET(_xlpm.roles,_xlfn.UNIQUE(D787:D3585),_xlpm.kills, SUMIF(D787:D3585,_xlpm.roles,G787:G3585),INDEX(_xlpm.roles,MATCH(MAX(_xlpm.kills),_xlpm.kills,0)))</f>
        <v>Entry Fragger</v>
      </c>
      <c r="V787" t="str">
        <f t="shared" si="63"/>
        <v>Medium Accuracy</v>
      </c>
      <c r="W787" t="str" cm="1">
        <f t="array" ref="W787">_xlfn.LET(_xlpm.roles,_xlfn.UNIQUE(D787:D3585), _xlpm.counts,COUNTIF(D787:D3585,_xlpm.roles), INDEX(_xlpm.roles,MATCH(MAX(_xlpm.counts),_xlpm.counts,0)))</f>
        <v>Entry Fragger</v>
      </c>
      <c r="X787" s="2">
        <f t="shared" si="64"/>
        <v>13.103594080338267</v>
      </c>
    </row>
    <row r="788" spans="1:24" x14ac:dyDescent="0.3">
      <c r="A788">
        <v>1904</v>
      </c>
      <c r="B788">
        <v>136</v>
      </c>
      <c r="C788" t="s">
        <v>16</v>
      </c>
      <c r="D788" t="s">
        <v>28</v>
      </c>
      <c r="E788" t="s">
        <v>33</v>
      </c>
      <c r="F788" t="s">
        <v>37</v>
      </c>
      <c r="G788">
        <v>13</v>
      </c>
      <c r="H788">
        <v>5</v>
      </c>
      <c r="I788">
        <v>11</v>
      </c>
      <c r="J788">
        <v>39.909999999999997</v>
      </c>
      <c r="K788">
        <v>220.71</v>
      </c>
      <c r="L788">
        <v>0.86</v>
      </c>
      <c r="M788">
        <v>31.35</v>
      </c>
      <c r="N788">
        <v>0.82</v>
      </c>
      <c r="O788" t="s">
        <v>20</v>
      </c>
      <c r="P788" t="s">
        <v>21</v>
      </c>
      <c r="Q788">
        <f t="shared" si="60"/>
        <v>7</v>
      </c>
      <c r="R788" s="4">
        <f>RANK(N788,$N$2:N$2800,0)</f>
        <v>2275</v>
      </c>
      <c r="S788">
        <f t="shared" si="61"/>
        <v>1.1818181818181819</v>
      </c>
      <c r="T788" t="str">
        <f t="shared" si="62"/>
        <v>Low</v>
      </c>
      <c r="U788" t="str" cm="1">
        <f t="array" ref="U788">_xlfn.LET(_xlpm.roles,_xlfn.UNIQUE(D788:D3586),_xlpm.kills, SUMIF(D788:D3586,_xlpm.roles,G788:G3586),INDEX(_xlpm.roles,MATCH(MAX(_xlpm.kills),_xlpm.kills,0)))</f>
        <v>Entry Fragger</v>
      </c>
      <c r="V788" t="str">
        <f t="shared" si="63"/>
        <v>Medium Accuracy</v>
      </c>
      <c r="W788" t="str" cm="1">
        <f t="array" ref="W788">_xlfn.LET(_xlpm.roles,_xlfn.UNIQUE(D788:D3586), _xlpm.counts,COUNTIF(D788:D3586,_xlpm.roles), INDEX(_xlpm.roles,MATCH(MAX(_xlpm.counts),_xlpm.counts,0)))</f>
        <v>Entry Fragger</v>
      </c>
      <c r="X788" s="2">
        <f t="shared" si="64"/>
        <v>12.520971302428256</v>
      </c>
    </row>
    <row r="789" spans="1:24" x14ac:dyDescent="0.3">
      <c r="A789">
        <v>79</v>
      </c>
      <c r="B789">
        <v>137</v>
      </c>
      <c r="C789" t="s">
        <v>27</v>
      </c>
      <c r="D789" t="s">
        <v>17</v>
      </c>
      <c r="E789" t="s">
        <v>33</v>
      </c>
      <c r="F789" t="s">
        <v>24</v>
      </c>
      <c r="G789">
        <v>12</v>
      </c>
      <c r="H789">
        <v>8</v>
      </c>
      <c r="I789">
        <v>10</v>
      </c>
      <c r="J789">
        <v>35.75</v>
      </c>
      <c r="K789">
        <v>174.02</v>
      </c>
      <c r="L789">
        <v>0.4</v>
      </c>
      <c r="M789">
        <v>35.880000000000003</v>
      </c>
      <c r="N789">
        <v>0.96</v>
      </c>
      <c r="O789" t="s">
        <v>20</v>
      </c>
      <c r="P789" t="s">
        <v>21</v>
      </c>
      <c r="Q789">
        <f t="shared" si="60"/>
        <v>10</v>
      </c>
      <c r="R789" s="4">
        <f>RANK(N789,$N$2:N$2800,0)</f>
        <v>1301</v>
      </c>
      <c r="S789">
        <f t="shared" si="61"/>
        <v>1.2</v>
      </c>
      <c r="T789" t="str">
        <f t="shared" si="62"/>
        <v>Low</v>
      </c>
      <c r="U789" t="str" cm="1">
        <f t="array" ref="U789">_xlfn.LET(_xlpm.roles,_xlfn.UNIQUE(D789:D3587),_xlpm.kills, SUMIF(D789:D3587,_xlpm.roles,G789:G3587),INDEX(_xlpm.roles,MATCH(MAX(_xlpm.kills),_xlpm.kills,0)))</f>
        <v>Entry Fragger</v>
      </c>
      <c r="V789" t="str">
        <f t="shared" si="63"/>
        <v>Medium Accuracy</v>
      </c>
      <c r="W789" t="str" cm="1">
        <f t="array" ref="W789">_xlfn.LET(_xlpm.roles,_xlfn.UNIQUE(D789:D3587), _xlpm.counts,COUNTIF(D789:D3587,_xlpm.roles), INDEX(_xlpm.roles,MATCH(MAX(_xlpm.counts),_xlpm.counts,0)))</f>
        <v>Entry Fragger</v>
      </c>
      <c r="X789" s="2">
        <f t="shared" si="64"/>
        <v>13.057077625570777</v>
      </c>
    </row>
    <row r="790" spans="1:24" x14ac:dyDescent="0.3">
      <c r="A790">
        <v>747</v>
      </c>
      <c r="B790">
        <v>137</v>
      </c>
      <c r="C790" t="s">
        <v>27</v>
      </c>
      <c r="D790" t="s">
        <v>31</v>
      </c>
      <c r="E790" t="s">
        <v>23</v>
      </c>
      <c r="F790" t="s">
        <v>26</v>
      </c>
      <c r="G790">
        <v>21</v>
      </c>
      <c r="H790">
        <v>17</v>
      </c>
      <c r="I790">
        <v>13</v>
      </c>
      <c r="J790">
        <v>34.54</v>
      </c>
      <c r="K790">
        <v>225.58</v>
      </c>
      <c r="L790">
        <v>0.35</v>
      </c>
      <c r="M790">
        <v>59.77</v>
      </c>
      <c r="N790">
        <v>1</v>
      </c>
      <c r="O790" t="s">
        <v>20</v>
      </c>
      <c r="P790" t="s">
        <v>21</v>
      </c>
      <c r="Q790">
        <f t="shared" si="60"/>
        <v>25</v>
      </c>
      <c r="R790" s="4">
        <f>RANK(N790,$N$2:N$2800,0)</f>
        <v>1</v>
      </c>
      <c r="S790">
        <f t="shared" si="61"/>
        <v>1.6153846153846154</v>
      </c>
      <c r="T790" t="str">
        <f t="shared" si="62"/>
        <v>Excellent</v>
      </c>
      <c r="U790" t="str" cm="1">
        <f t="array" ref="U790">_xlfn.LET(_xlpm.roles,_xlfn.UNIQUE(D790:D3588),_xlpm.kills, SUMIF(D790:D3588,_xlpm.roles,G790:G3588),INDEX(_xlpm.roles,MATCH(MAX(_xlpm.kills),_xlpm.kills,0)))</f>
        <v>Entry Fragger</v>
      </c>
      <c r="V790" t="str">
        <f t="shared" si="63"/>
        <v>Medium Accuracy</v>
      </c>
      <c r="W790" t="str" cm="1">
        <f t="array" ref="W790">_xlfn.LET(_xlpm.roles,_xlfn.UNIQUE(D790:D3588), _xlpm.counts,COUNTIF(D790:D3588,_xlpm.roles), INDEX(_xlpm.roles,MATCH(MAX(_xlpm.counts),_xlpm.counts,0)))</f>
        <v>Entry Fragger</v>
      </c>
      <c r="X790" s="2">
        <f t="shared" si="64"/>
        <v>13.057077625570777</v>
      </c>
    </row>
    <row r="791" spans="1:24" x14ac:dyDescent="0.3">
      <c r="A791">
        <v>2610</v>
      </c>
      <c r="B791">
        <v>137</v>
      </c>
      <c r="C791" t="s">
        <v>39</v>
      </c>
      <c r="D791" t="s">
        <v>28</v>
      </c>
      <c r="E791" t="s">
        <v>32</v>
      </c>
      <c r="F791" t="s">
        <v>37</v>
      </c>
      <c r="G791">
        <v>8</v>
      </c>
      <c r="H791">
        <v>9</v>
      </c>
      <c r="I791">
        <v>11</v>
      </c>
      <c r="J791">
        <v>51.4</v>
      </c>
      <c r="K791">
        <v>257.41000000000003</v>
      </c>
      <c r="L791">
        <v>0.03</v>
      </c>
      <c r="M791">
        <v>39.4</v>
      </c>
      <c r="N791">
        <v>1</v>
      </c>
      <c r="O791" t="s">
        <v>20</v>
      </c>
      <c r="P791" t="s">
        <v>21</v>
      </c>
      <c r="Q791">
        <f t="shared" si="60"/>
        <v>6</v>
      </c>
      <c r="R791" s="4">
        <f>RANK(N791,$N$2:N$2800,0)</f>
        <v>1</v>
      </c>
      <c r="S791">
        <f t="shared" si="61"/>
        <v>0.72727272727272729</v>
      </c>
      <c r="T791" t="str">
        <f t="shared" si="62"/>
        <v>Low</v>
      </c>
      <c r="U791" t="str" cm="1">
        <f t="array" ref="U791">_xlfn.LET(_xlpm.roles,_xlfn.UNIQUE(D791:D3589),_xlpm.kills, SUMIF(D791:D3589,_xlpm.roles,G791:G3589),INDEX(_xlpm.roles,MATCH(MAX(_xlpm.kills),_xlpm.kills,0)))</f>
        <v>Entry Fragger</v>
      </c>
      <c r="V791" t="str">
        <f t="shared" si="63"/>
        <v>High Accuracy</v>
      </c>
      <c r="W791" t="str" cm="1">
        <f t="array" ref="W791">_xlfn.LET(_xlpm.roles,_xlfn.UNIQUE(D791:D3589), _xlpm.counts,COUNTIF(D791:D3589,_xlpm.roles), INDEX(_xlpm.roles,MATCH(MAX(_xlpm.counts),_xlpm.counts,0)))</f>
        <v>Entry Fragger</v>
      </c>
      <c r="X791" s="2">
        <f t="shared" si="64"/>
        <v>13.103594080338267</v>
      </c>
    </row>
    <row r="792" spans="1:24" x14ac:dyDescent="0.3">
      <c r="A792">
        <v>492</v>
      </c>
      <c r="B792">
        <v>138</v>
      </c>
      <c r="C792" t="s">
        <v>27</v>
      </c>
      <c r="D792" t="s">
        <v>36</v>
      </c>
      <c r="E792" t="s">
        <v>18</v>
      </c>
      <c r="F792" t="s">
        <v>37</v>
      </c>
      <c r="G792">
        <v>15</v>
      </c>
      <c r="H792">
        <v>12</v>
      </c>
      <c r="I792">
        <v>5</v>
      </c>
      <c r="J792">
        <v>38.33</v>
      </c>
      <c r="K792">
        <v>187.38</v>
      </c>
      <c r="L792">
        <v>0.7</v>
      </c>
      <c r="M792">
        <v>49.16</v>
      </c>
      <c r="N792">
        <v>1</v>
      </c>
      <c r="O792" t="s">
        <v>20</v>
      </c>
      <c r="P792" t="s">
        <v>21</v>
      </c>
      <c r="Q792">
        <f t="shared" si="60"/>
        <v>22</v>
      </c>
      <c r="R792" s="4">
        <f>RANK(N792,$N$2:N$2800,0)</f>
        <v>1</v>
      </c>
      <c r="S792">
        <f t="shared" si="61"/>
        <v>3</v>
      </c>
      <c r="T792" t="str">
        <f t="shared" si="62"/>
        <v>Good</v>
      </c>
      <c r="U792" t="str" cm="1">
        <f t="array" ref="U792">_xlfn.LET(_xlpm.roles,_xlfn.UNIQUE(D792:D3590),_xlpm.kills, SUMIF(D792:D3590,_xlpm.roles,G792:G3590),INDEX(_xlpm.roles,MATCH(MAX(_xlpm.kills),_xlpm.kills,0)))</f>
        <v>Entry Fragger</v>
      </c>
      <c r="V792" t="str">
        <f t="shared" si="63"/>
        <v>Medium Accuracy</v>
      </c>
      <c r="W792" t="str" cm="1">
        <f t="array" ref="W792">_xlfn.LET(_xlpm.roles,_xlfn.UNIQUE(D792:D3590), _xlpm.counts,COUNTIF(D792:D3590,_xlpm.roles), INDEX(_xlpm.roles,MATCH(MAX(_xlpm.counts),_xlpm.counts,0)))</f>
        <v>Entry Fragger</v>
      </c>
      <c r="X792" s="2">
        <f t="shared" si="64"/>
        <v>13.057077625570777</v>
      </c>
    </row>
    <row r="793" spans="1:24" x14ac:dyDescent="0.3">
      <c r="A793">
        <v>577</v>
      </c>
      <c r="B793">
        <v>138</v>
      </c>
      <c r="C793" t="s">
        <v>16</v>
      </c>
      <c r="D793" t="s">
        <v>17</v>
      </c>
      <c r="E793" t="s">
        <v>33</v>
      </c>
      <c r="F793" t="s">
        <v>24</v>
      </c>
      <c r="G793">
        <v>10</v>
      </c>
      <c r="H793">
        <v>11</v>
      </c>
      <c r="I793">
        <v>14</v>
      </c>
      <c r="J793">
        <v>45.01</v>
      </c>
      <c r="K793">
        <v>199.79</v>
      </c>
      <c r="L793">
        <v>0.37</v>
      </c>
      <c r="M793">
        <v>35.799999999999997</v>
      </c>
      <c r="N793">
        <v>0.98</v>
      </c>
      <c r="O793" t="s">
        <v>20</v>
      </c>
      <c r="P793" t="s">
        <v>21</v>
      </c>
      <c r="Q793">
        <f t="shared" si="60"/>
        <v>7</v>
      </c>
      <c r="R793" s="4">
        <f>RANK(N793,$N$2:N$2800,0)</f>
        <v>1157</v>
      </c>
      <c r="S793">
        <f t="shared" si="61"/>
        <v>0.7142857142857143</v>
      </c>
      <c r="T793" t="str">
        <f t="shared" si="62"/>
        <v>Low</v>
      </c>
      <c r="U793" t="str" cm="1">
        <f t="array" ref="U793">_xlfn.LET(_xlpm.roles,_xlfn.UNIQUE(D793:D3591),_xlpm.kills, SUMIF(D793:D3591,_xlpm.roles,G793:G3591),INDEX(_xlpm.roles,MATCH(MAX(_xlpm.kills),_xlpm.kills,0)))</f>
        <v>Entry Fragger</v>
      </c>
      <c r="V793" t="str">
        <f t="shared" si="63"/>
        <v>Medium Accuracy</v>
      </c>
      <c r="W793" t="str" cm="1">
        <f t="array" ref="W793">_xlfn.LET(_xlpm.roles,_xlfn.UNIQUE(D793:D3591), _xlpm.counts,COUNTIF(D793:D3591,_xlpm.roles), INDEX(_xlpm.roles,MATCH(MAX(_xlpm.counts),_xlpm.counts,0)))</f>
        <v>Entry Fragger</v>
      </c>
      <c r="X793" s="2">
        <f t="shared" si="64"/>
        <v>12.520971302428256</v>
      </c>
    </row>
    <row r="794" spans="1:24" x14ac:dyDescent="0.3">
      <c r="A794">
        <v>603</v>
      </c>
      <c r="B794">
        <v>138</v>
      </c>
      <c r="C794" t="s">
        <v>39</v>
      </c>
      <c r="D794" t="s">
        <v>22</v>
      </c>
      <c r="E794" t="s">
        <v>18</v>
      </c>
      <c r="F794" t="s">
        <v>19</v>
      </c>
      <c r="G794">
        <v>23</v>
      </c>
      <c r="H794">
        <v>8</v>
      </c>
      <c r="I794">
        <v>8</v>
      </c>
      <c r="J794">
        <v>38.99</v>
      </c>
      <c r="K794">
        <v>235.43</v>
      </c>
      <c r="L794">
        <v>0.56999999999999995</v>
      </c>
      <c r="M794">
        <v>59.8</v>
      </c>
      <c r="N794">
        <v>1</v>
      </c>
      <c r="O794" t="s">
        <v>20</v>
      </c>
      <c r="P794" t="s">
        <v>21</v>
      </c>
      <c r="Q794">
        <f t="shared" si="60"/>
        <v>23</v>
      </c>
      <c r="R794" s="4">
        <f>RANK(N794,$N$2:N$2800,0)</f>
        <v>1</v>
      </c>
      <c r="S794">
        <f t="shared" si="61"/>
        <v>2.875</v>
      </c>
      <c r="T794" t="str">
        <f t="shared" si="62"/>
        <v>Good</v>
      </c>
      <c r="U794" t="str" cm="1">
        <f t="array" ref="U794">_xlfn.LET(_xlpm.roles,_xlfn.UNIQUE(D794:D3592),_xlpm.kills, SUMIF(D794:D3592,_xlpm.roles,G794:G3592),INDEX(_xlpm.roles,MATCH(MAX(_xlpm.kills),_xlpm.kills,0)))</f>
        <v>Entry Fragger</v>
      </c>
      <c r="V794" t="str">
        <f t="shared" si="63"/>
        <v>Medium Accuracy</v>
      </c>
      <c r="W794" t="str" cm="1">
        <f t="array" ref="W794">_xlfn.LET(_xlpm.roles,_xlfn.UNIQUE(D794:D3592), _xlpm.counts,COUNTIF(D794:D3592,_xlpm.roles), INDEX(_xlpm.roles,MATCH(MAX(_xlpm.counts),_xlpm.counts,0)))</f>
        <v>Entry Fragger</v>
      </c>
      <c r="X794" s="2">
        <f t="shared" si="64"/>
        <v>13.103594080338267</v>
      </c>
    </row>
    <row r="795" spans="1:24" x14ac:dyDescent="0.3">
      <c r="A795">
        <v>1377</v>
      </c>
      <c r="B795">
        <v>138</v>
      </c>
      <c r="C795" t="s">
        <v>25</v>
      </c>
      <c r="D795" t="s">
        <v>31</v>
      </c>
      <c r="E795" t="s">
        <v>23</v>
      </c>
      <c r="F795" t="s">
        <v>19</v>
      </c>
      <c r="G795">
        <v>13</v>
      </c>
      <c r="H795">
        <v>7</v>
      </c>
      <c r="I795">
        <v>7</v>
      </c>
      <c r="J795">
        <v>38.61</v>
      </c>
      <c r="K795">
        <v>269.64999999999998</v>
      </c>
      <c r="L795">
        <v>0.78</v>
      </c>
      <c r="M795">
        <v>37.5</v>
      </c>
      <c r="N795">
        <v>0.79</v>
      </c>
      <c r="O795" t="s">
        <v>20</v>
      </c>
      <c r="P795" t="s">
        <v>21</v>
      </c>
      <c r="Q795">
        <f t="shared" si="60"/>
        <v>13</v>
      </c>
      <c r="R795" s="4">
        <f>RANK(N795,$N$2:N$2800,0)</f>
        <v>2436</v>
      </c>
      <c r="S795">
        <f t="shared" si="61"/>
        <v>1.8571428571428572</v>
      </c>
      <c r="T795" t="str">
        <f t="shared" si="62"/>
        <v>Low</v>
      </c>
      <c r="U795" t="str" cm="1">
        <f t="array" ref="U795">_xlfn.LET(_xlpm.roles,_xlfn.UNIQUE(D795:D3593),_xlpm.kills, SUMIF(D795:D3593,_xlpm.roles,G795:G3593),INDEX(_xlpm.roles,MATCH(MAX(_xlpm.kills),_xlpm.kills,0)))</f>
        <v>Entry Fragger</v>
      </c>
      <c r="V795" t="str">
        <f t="shared" si="63"/>
        <v>Medium Accuracy</v>
      </c>
      <c r="W795" t="str" cm="1">
        <f t="array" ref="W795">_xlfn.LET(_xlpm.roles,_xlfn.UNIQUE(D795:D3593), _xlpm.counts,COUNTIF(D795:D3593,_xlpm.roles), INDEX(_xlpm.roles,MATCH(MAX(_xlpm.counts),_xlpm.counts,0)))</f>
        <v>Entry Fragger</v>
      </c>
      <c r="X795" s="2">
        <f t="shared" si="64"/>
        <v>12.809421841541756</v>
      </c>
    </row>
    <row r="796" spans="1:24" x14ac:dyDescent="0.3">
      <c r="A796">
        <v>1387</v>
      </c>
      <c r="B796">
        <v>138</v>
      </c>
      <c r="C796" t="s">
        <v>16</v>
      </c>
      <c r="D796" t="s">
        <v>17</v>
      </c>
      <c r="E796" t="s">
        <v>18</v>
      </c>
      <c r="F796" t="s">
        <v>34</v>
      </c>
      <c r="G796">
        <v>11</v>
      </c>
      <c r="H796">
        <v>6</v>
      </c>
      <c r="I796">
        <v>8</v>
      </c>
      <c r="J796">
        <v>41.53</v>
      </c>
      <c r="K796">
        <v>237.02</v>
      </c>
      <c r="L796">
        <v>0.31</v>
      </c>
      <c r="M796">
        <v>37.659999999999997</v>
      </c>
      <c r="N796">
        <v>0.82</v>
      </c>
      <c r="O796" t="s">
        <v>20</v>
      </c>
      <c r="P796" t="s">
        <v>21</v>
      </c>
      <c r="Q796">
        <f t="shared" si="60"/>
        <v>9</v>
      </c>
      <c r="R796" s="4">
        <f>RANK(N796,$N$2:N$2800,0)</f>
        <v>2275</v>
      </c>
      <c r="S796">
        <f t="shared" si="61"/>
        <v>1.375</v>
      </c>
      <c r="T796" t="str">
        <f t="shared" si="62"/>
        <v>Low</v>
      </c>
      <c r="U796" t="str" cm="1">
        <f t="array" ref="U796">_xlfn.LET(_xlpm.roles,_xlfn.UNIQUE(D796:D3594),_xlpm.kills, SUMIF(D796:D3594,_xlpm.roles,G796:G3594),INDEX(_xlpm.roles,MATCH(MAX(_xlpm.kills),_xlpm.kills,0)))</f>
        <v>Entry Fragger</v>
      </c>
      <c r="V796" t="str">
        <f t="shared" si="63"/>
        <v>Medium Accuracy</v>
      </c>
      <c r="W796" t="str" cm="1">
        <f t="array" ref="W796">_xlfn.LET(_xlpm.roles,_xlfn.UNIQUE(D796:D3594), _xlpm.counts,COUNTIF(D796:D3594,_xlpm.roles), INDEX(_xlpm.roles,MATCH(MAX(_xlpm.counts),_xlpm.counts,0)))</f>
        <v>Entry Fragger</v>
      </c>
      <c r="X796" s="2">
        <f t="shared" si="64"/>
        <v>12.520971302428256</v>
      </c>
    </row>
    <row r="797" spans="1:24" x14ac:dyDescent="0.3">
      <c r="A797">
        <v>1848</v>
      </c>
      <c r="B797">
        <v>138</v>
      </c>
      <c r="C797" t="s">
        <v>35</v>
      </c>
      <c r="D797" t="s">
        <v>28</v>
      </c>
      <c r="E797" t="s">
        <v>23</v>
      </c>
      <c r="F797" t="s">
        <v>26</v>
      </c>
      <c r="G797">
        <v>14</v>
      </c>
      <c r="H797">
        <v>6</v>
      </c>
      <c r="I797">
        <v>11</v>
      </c>
      <c r="J797">
        <v>50.09</v>
      </c>
      <c r="K797">
        <v>276.75</v>
      </c>
      <c r="L797">
        <v>0.12</v>
      </c>
      <c r="M797">
        <v>46.84</v>
      </c>
      <c r="N797">
        <v>1</v>
      </c>
      <c r="O797" t="s">
        <v>20</v>
      </c>
      <c r="P797" t="s">
        <v>21</v>
      </c>
      <c r="Q797">
        <f t="shared" si="60"/>
        <v>9</v>
      </c>
      <c r="R797" s="4">
        <f>RANK(N797,$N$2:N$2800,0)</f>
        <v>1</v>
      </c>
      <c r="S797">
        <f t="shared" si="61"/>
        <v>1.2727272727272727</v>
      </c>
      <c r="T797" t="str">
        <f t="shared" si="62"/>
        <v>Low</v>
      </c>
      <c r="U797" t="str" cm="1">
        <f t="array" ref="U797">_xlfn.LET(_xlpm.roles,_xlfn.UNIQUE(D797:D3595),_xlpm.kills, SUMIF(D797:D3595,_xlpm.roles,G797:G3595),INDEX(_xlpm.roles,MATCH(MAX(_xlpm.kills),_xlpm.kills,0)))</f>
        <v>Entry Fragger</v>
      </c>
      <c r="V797" t="str">
        <f t="shared" si="63"/>
        <v>High Accuracy</v>
      </c>
      <c r="W797" t="str" cm="1">
        <f t="array" ref="W797">_xlfn.LET(_xlpm.roles,_xlfn.UNIQUE(D797:D3595), _xlpm.counts,COUNTIF(D797:D3595,_xlpm.roles), INDEX(_xlpm.roles,MATCH(MAX(_xlpm.counts),_xlpm.counts,0)))</f>
        <v>Entry Fragger</v>
      </c>
      <c r="X797" s="2">
        <f t="shared" si="64"/>
        <v>12.599585062240664</v>
      </c>
    </row>
    <row r="798" spans="1:24" x14ac:dyDescent="0.3">
      <c r="A798">
        <v>2799</v>
      </c>
      <c r="B798">
        <v>138</v>
      </c>
      <c r="C798" t="s">
        <v>39</v>
      </c>
      <c r="D798" t="s">
        <v>31</v>
      </c>
      <c r="E798" t="s">
        <v>32</v>
      </c>
      <c r="F798" t="s">
        <v>26</v>
      </c>
      <c r="G798">
        <v>14</v>
      </c>
      <c r="H798">
        <v>9</v>
      </c>
      <c r="I798">
        <v>10</v>
      </c>
      <c r="J798">
        <v>56.56</v>
      </c>
      <c r="K798">
        <v>174.82</v>
      </c>
      <c r="L798">
        <v>0.35</v>
      </c>
      <c r="M798">
        <v>51.78</v>
      </c>
      <c r="N798">
        <v>1</v>
      </c>
      <c r="O798" t="s">
        <v>20</v>
      </c>
      <c r="P798" t="s">
        <v>21</v>
      </c>
      <c r="Q798">
        <f t="shared" si="60"/>
        <v>13</v>
      </c>
      <c r="R798" s="4">
        <f>RANK(N798,$N$2:N$2800,0)</f>
        <v>1</v>
      </c>
      <c r="S798">
        <f t="shared" si="61"/>
        <v>1.4</v>
      </c>
      <c r="T798" t="str">
        <f t="shared" si="62"/>
        <v>Low</v>
      </c>
      <c r="U798" t="str" cm="1">
        <f t="array" ref="U798">_xlfn.LET(_xlpm.roles,_xlfn.UNIQUE(D798:D3596),_xlpm.kills, SUMIF(D798:D3596,_xlpm.roles,G798:G3596),INDEX(_xlpm.roles,MATCH(MAX(_xlpm.kills),_xlpm.kills,0)))</f>
        <v>Entry Fragger</v>
      </c>
      <c r="V798" t="str">
        <f t="shared" si="63"/>
        <v>High Accuracy</v>
      </c>
      <c r="W798" t="str" cm="1">
        <f t="array" ref="W798">_xlfn.LET(_xlpm.roles,_xlfn.UNIQUE(D798:D3596), _xlpm.counts,COUNTIF(D798:D3596,_xlpm.roles), INDEX(_xlpm.roles,MATCH(MAX(_xlpm.counts),_xlpm.counts,0)))</f>
        <v>Entry Fragger</v>
      </c>
      <c r="X798" s="2">
        <f t="shared" si="64"/>
        <v>13.103594080338267</v>
      </c>
    </row>
    <row r="799" spans="1:24" x14ac:dyDescent="0.3">
      <c r="A799">
        <v>417</v>
      </c>
      <c r="B799">
        <v>139</v>
      </c>
      <c r="C799" t="s">
        <v>39</v>
      </c>
      <c r="D799" t="s">
        <v>36</v>
      </c>
      <c r="E799" t="s">
        <v>29</v>
      </c>
      <c r="F799" t="s">
        <v>26</v>
      </c>
      <c r="G799">
        <v>12</v>
      </c>
      <c r="H799">
        <v>4</v>
      </c>
      <c r="I799">
        <v>10</v>
      </c>
      <c r="J799">
        <v>29.48</v>
      </c>
      <c r="K799">
        <v>246.7</v>
      </c>
      <c r="L799">
        <v>0.38</v>
      </c>
      <c r="M799">
        <v>28.94</v>
      </c>
      <c r="N799">
        <v>0.95</v>
      </c>
      <c r="O799" t="s">
        <v>20</v>
      </c>
      <c r="P799" t="s">
        <v>21</v>
      </c>
      <c r="Q799">
        <f t="shared" si="60"/>
        <v>6</v>
      </c>
      <c r="R799" s="4">
        <f>RANK(N799,$N$2:N$2800,0)</f>
        <v>1367</v>
      </c>
      <c r="S799">
        <f t="shared" si="61"/>
        <v>1.2</v>
      </c>
      <c r="T799" t="str">
        <f t="shared" si="62"/>
        <v>Low</v>
      </c>
      <c r="U799" t="str" cm="1">
        <f t="array" ref="U799">_xlfn.LET(_xlpm.roles,_xlfn.UNIQUE(D799:D3597),_xlpm.kills, SUMIF(D799:D3597,_xlpm.roles,G799:G3597),INDEX(_xlpm.roles,MATCH(MAX(_xlpm.kills),_xlpm.kills,0)))</f>
        <v>Entry Fragger</v>
      </c>
      <c r="V799" t="str">
        <f t="shared" si="63"/>
        <v>Low Accuracy</v>
      </c>
      <c r="W799" t="str" cm="1">
        <f t="array" ref="W799">_xlfn.LET(_xlpm.roles,_xlfn.UNIQUE(D799:D3597), _xlpm.counts,COUNTIF(D799:D3597,_xlpm.roles), INDEX(_xlpm.roles,MATCH(MAX(_xlpm.counts),_xlpm.counts,0)))</f>
        <v>Entry Fragger</v>
      </c>
      <c r="X799" s="2">
        <f t="shared" si="64"/>
        <v>13.103594080338267</v>
      </c>
    </row>
    <row r="800" spans="1:24" x14ac:dyDescent="0.3">
      <c r="A800">
        <v>1187</v>
      </c>
      <c r="B800">
        <v>139</v>
      </c>
      <c r="C800" t="s">
        <v>30</v>
      </c>
      <c r="D800" t="s">
        <v>17</v>
      </c>
      <c r="E800" t="s">
        <v>32</v>
      </c>
      <c r="F800" t="s">
        <v>34</v>
      </c>
      <c r="G800">
        <v>15</v>
      </c>
      <c r="H800">
        <v>8</v>
      </c>
      <c r="I800">
        <v>13</v>
      </c>
      <c r="J800">
        <v>35.25</v>
      </c>
      <c r="K800">
        <v>255.83</v>
      </c>
      <c r="L800">
        <v>0.41</v>
      </c>
      <c r="M800">
        <v>38.520000000000003</v>
      </c>
      <c r="N800">
        <v>0.9</v>
      </c>
      <c r="O800" t="s">
        <v>20</v>
      </c>
      <c r="P800" t="s">
        <v>21</v>
      </c>
      <c r="Q800">
        <f t="shared" si="60"/>
        <v>10</v>
      </c>
      <c r="R800" s="4">
        <f>RANK(N800,$N$2:N$2800,0)</f>
        <v>1738</v>
      </c>
      <c r="S800">
        <f t="shared" si="61"/>
        <v>1.1538461538461537</v>
      </c>
      <c r="T800" t="str">
        <f t="shared" si="62"/>
        <v>Low</v>
      </c>
      <c r="U800" t="str" cm="1">
        <f t="array" ref="U800">_xlfn.LET(_xlpm.roles,_xlfn.UNIQUE(D800:D3598),_xlpm.kills, SUMIF(D800:D3598,_xlpm.roles,G800:G3598),INDEX(_xlpm.roles,MATCH(MAX(_xlpm.kills),_xlpm.kills,0)))</f>
        <v>Entry Fragger</v>
      </c>
      <c r="V800" t="str">
        <f t="shared" si="63"/>
        <v>Medium Accuracy</v>
      </c>
      <c r="W800" t="str" cm="1">
        <f t="array" ref="W800">_xlfn.LET(_xlpm.roles,_xlfn.UNIQUE(D800:D3598), _xlpm.counts,COUNTIF(D800:D3598,_xlpm.roles), INDEX(_xlpm.roles,MATCH(MAX(_xlpm.counts),_xlpm.counts,0)))</f>
        <v>Entry Fragger</v>
      </c>
      <c r="X800" s="2">
        <f t="shared" si="64"/>
        <v>13.135802469135802</v>
      </c>
    </row>
    <row r="801" spans="1:24" x14ac:dyDescent="0.3">
      <c r="A801">
        <v>1435</v>
      </c>
      <c r="B801">
        <v>139</v>
      </c>
      <c r="C801" t="s">
        <v>25</v>
      </c>
      <c r="D801" t="s">
        <v>17</v>
      </c>
      <c r="E801" t="s">
        <v>32</v>
      </c>
      <c r="F801" t="s">
        <v>26</v>
      </c>
      <c r="G801">
        <v>19</v>
      </c>
      <c r="H801">
        <v>9</v>
      </c>
      <c r="I801">
        <v>17</v>
      </c>
      <c r="J801">
        <v>48.54</v>
      </c>
      <c r="K801">
        <v>198.93</v>
      </c>
      <c r="L801">
        <v>0.04</v>
      </c>
      <c r="M801">
        <v>53.87</v>
      </c>
      <c r="N801">
        <v>1</v>
      </c>
      <c r="O801" t="s">
        <v>20</v>
      </c>
      <c r="P801" t="s">
        <v>21</v>
      </c>
      <c r="Q801">
        <f t="shared" si="60"/>
        <v>11</v>
      </c>
      <c r="R801" s="4">
        <f>RANK(N801,$N$2:N$2800,0)</f>
        <v>1</v>
      </c>
      <c r="S801">
        <f t="shared" si="61"/>
        <v>1.1176470588235294</v>
      </c>
      <c r="T801" t="str">
        <f t="shared" si="62"/>
        <v>Low</v>
      </c>
      <c r="U801" t="str" cm="1">
        <f t="array" ref="U801">_xlfn.LET(_xlpm.roles,_xlfn.UNIQUE(D801:D3599),_xlpm.kills, SUMIF(D801:D3599,_xlpm.roles,G801:G3599),INDEX(_xlpm.roles,MATCH(MAX(_xlpm.kills),_xlpm.kills,0)))</f>
        <v>Entry Fragger</v>
      </c>
      <c r="V801" t="str">
        <f t="shared" si="63"/>
        <v>Medium Accuracy</v>
      </c>
      <c r="W801" t="str" cm="1">
        <f t="array" ref="W801">_xlfn.LET(_xlpm.roles,_xlfn.UNIQUE(D801:D3599), _xlpm.counts,COUNTIF(D801:D3599,_xlpm.roles), INDEX(_xlpm.roles,MATCH(MAX(_xlpm.counts),_xlpm.counts,0)))</f>
        <v>Entry Fragger</v>
      </c>
      <c r="X801" s="2">
        <f t="shared" si="64"/>
        <v>12.809421841541756</v>
      </c>
    </row>
    <row r="802" spans="1:24" x14ac:dyDescent="0.3">
      <c r="A802">
        <v>1512</v>
      </c>
      <c r="B802">
        <v>139</v>
      </c>
      <c r="C802" t="s">
        <v>16</v>
      </c>
      <c r="D802" t="s">
        <v>31</v>
      </c>
      <c r="E802" t="s">
        <v>29</v>
      </c>
      <c r="F802" t="s">
        <v>19</v>
      </c>
      <c r="G802">
        <v>18</v>
      </c>
      <c r="H802">
        <v>5</v>
      </c>
      <c r="I802">
        <v>8</v>
      </c>
      <c r="J802">
        <v>21.94</v>
      </c>
      <c r="K802">
        <v>249.43</v>
      </c>
      <c r="L802">
        <v>0.19</v>
      </c>
      <c r="M802">
        <v>42.07</v>
      </c>
      <c r="N802">
        <v>0.97</v>
      </c>
      <c r="O802" t="s">
        <v>20</v>
      </c>
      <c r="P802" t="s">
        <v>21</v>
      </c>
      <c r="Q802">
        <f t="shared" si="60"/>
        <v>15</v>
      </c>
      <c r="R802" s="4">
        <f>RANK(N802,$N$2:N$2800,0)</f>
        <v>1243</v>
      </c>
      <c r="S802">
        <f t="shared" si="61"/>
        <v>2.25</v>
      </c>
      <c r="T802" t="str">
        <f t="shared" si="62"/>
        <v>Good</v>
      </c>
      <c r="U802" t="str" cm="1">
        <f t="array" ref="U802">_xlfn.LET(_xlpm.roles,_xlfn.UNIQUE(D802:D3600),_xlpm.kills, SUMIF(D802:D3600,_xlpm.roles,G802:G3600),INDEX(_xlpm.roles,MATCH(MAX(_xlpm.kills),_xlpm.kills,0)))</f>
        <v>Entry Fragger</v>
      </c>
      <c r="V802" t="str">
        <f t="shared" si="63"/>
        <v>Low Accuracy</v>
      </c>
      <c r="W802" t="str" cm="1">
        <f t="array" ref="W802">_xlfn.LET(_xlpm.roles,_xlfn.UNIQUE(D802:D3600), _xlpm.counts,COUNTIF(D802:D3600,_xlpm.roles), INDEX(_xlpm.roles,MATCH(MAX(_xlpm.counts),_xlpm.counts,0)))</f>
        <v>Entry Fragger</v>
      </c>
      <c r="X802" s="2">
        <f t="shared" si="64"/>
        <v>12.520971302428256</v>
      </c>
    </row>
    <row r="803" spans="1:24" x14ac:dyDescent="0.3">
      <c r="A803">
        <v>1591</v>
      </c>
      <c r="B803">
        <v>139</v>
      </c>
      <c r="C803" t="s">
        <v>30</v>
      </c>
      <c r="D803" t="s">
        <v>31</v>
      </c>
      <c r="E803" t="s">
        <v>29</v>
      </c>
      <c r="F803" t="s">
        <v>34</v>
      </c>
      <c r="G803">
        <v>16</v>
      </c>
      <c r="H803">
        <v>14</v>
      </c>
      <c r="I803">
        <v>11</v>
      </c>
      <c r="J803">
        <v>49.01</v>
      </c>
      <c r="K803">
        <v>189.69</v>
      </c>
      <c r="L803">
        <v>0.82</v>
      </c>
      <c r="M803">
        <v>51.3</v>
      </c>
      <c r="N803">
        <v>0.94</v>
      </c>
      <c r="O803" t="s">
        <v>20</v>
      </c>
      <c r="P803" t="s">
        <v>21</v>
      </c>
      <c r="Q803">
        <f t="shared" si="60"/>
        <v>19</v>
      </c>
      <c r="R803" s="4">
        <f>RANK(N803,$N$2:N$2800,0)</f>
        <v>1431</v>
      </c>
      <c r="S803">
        <f t="shared" si="61"/>
        <v>1.4545454545454546</v>
      </c>
      <c r="T803" t="str">
        <f t="shared" si="62"/>
        <v>Good</v>
      </c>
      <c r="U803" t="str" cm="1">
        <f t="array" ref="U803">_xlfn.LET(_xlpm.roles,_xlfn.UNIQUE(D803:D3601),_xlpm.kills, SUMIF(D803:D3601,_xlpm.roles,G803:G3601),INDEX(_xlpm.roles,MATCH(MAX(_xlpm.kills),_xlpm.kills,0)))</f>
        <v>Entry Fragger</v>
      </c>
      <c r="V803" t="str">
        <f t="shared" si="63"/>
        <v>Medium Accuracy</v>
      </c>
      <c r="W803" t="str" cm="1">
        <f t="array" ref="W803">_xlfn.LET(_xlpm.roles,_xlfn.UNIQUE(D803:D3601), _xlpm.counts,COUNTIF(D803:D3601,_xlpm.roles), INDEX(_xlpm.roles,MATCH(MAX(_xlpm.counts),_xlpm.counts,0)))</f>
        <v>Entry Fragger</v>
      </c>
      <c r="X803" s="2">
        <f t="shared" si="64"/>
        <v>13.135802469135802</v>
      </c>
    </row>
    <row r="804" spans="1:24" x14ac:dyDescent="0.3">
      <c r="A804">
        <v>1615</v>
      </c>
      <c r="B804">
        <v>139</v>
      </c>
      <c r="C804" t="s">
        <v>35</v>
      </c>
      <c r="D804" t="s">
        <v>31</v>
      </c>
      <c r="E804" t="s">
        <v>23</v>
      </c>
      <c r="F804" t="s">
        <v>26</v>
      </c>
      <c r="G804">
        <v>11</v>
      </c>
      <c r="H804">
        <v>5</v>
      </c>
      <c r="I804">
        <v>10</v>
      </c>
      <c r="J804">
        <v>54.91</v>
      </c>
      <c r="K804">
        <v>202.82</v>
      </c>
      <c r="L804">
        <v>7.0000000000000007E-2</v>
      </c>
      <c r="M804">
        <v>43.75</v>
      </c>
      <c r="N804">
        <v>0.93</v>
      </c>
      <c r="O804" t="s">
        <v>20</v>
      </c>
      <c r="P804" t="s">
        <v>21</v>
      </c>
      <c r="Q804">
        <f t="shared" si="60"/>
        <v>6</v>
      </c>
      <c r="R804" s="4">
        <f>RANK(N804,$N$2:N$2800,0)</f>
        <v>1505</v>
      </c>
      <c r="S804">
        <f t="shared" si="61"/>
        <v>1.1000000000000001</v>
      </c>
      <c r="T804" t="str">
        <f t="shared" si="62"/>
        <v>Low</v>
      </c>
      <c r="U804" t="str" cm="1">
        <f t="array" ref="U804">_xlfn.LET(_xlpm.roles,_xlfn.UNIQUE(D804:D3602),_xlpm.kills, SUMIF(D804:D3602,_xlpm.roles,G804:G3602),INDEX(_xlpm.roles,MATCH(MAX(_xlpm.kills),_xlpm.kills,0)))</f>
        <v>Entry Fragger</v>
      </c>
      <c r="V804" t="str">
        <f t="shared" si="63"/>
        <v>High Accuracy</v>
      </c>
      <c r="W804" t="str" cm="1">
        <f t="array" ref="W804">_xlfn.LET(_xlpm.roles,_xlfn.UNIQUE(D804:D3602), _xlpm.counts,COUNTIF(D804:D3602,_xlpm.roles), INDEX(_xlpm.roles,MATCH(MAX(_xlpm.counts),_xlpm.counts,0)))</f>
        <v>Entry Fragger</v>
      </c>
      <c r="X804" s="2">
        <f t="shared" si="64"/>
        <v>12.599585062240664</v>
      </c>
    </row>
    <row r="805" spans="1:24" x14ac:dyDescent="0.3">
      <c r="A805">
        <v>1929</v>
      </c>
      <c r="B805">
        <v>139</v>
      </c>
      <c r="C805" t="s">
        <v>35</v>
      </c>
      <c r="D805" t="s">
        <v>31</v>
      </c>
      <c r="E805" t="s">
        <v>29</v>
      </c>
      <c r="F805" t="s">
        <v>19</v>
      </c>
      <c r="G805">
        <v>16</v>
      </c>
      <c r="H805">
        <v>11</v>
      </c>
      <c r="I805">
        <v>17</v>
      </c>
      <c r="J805">
        <v>50.11</v>
      </c>
      <c r="K805">
        <v>219.69</v>
      </c>
      <c r="L805">
        <v>0.48</v>
      </c>
      <c r="M805">
        <v>46.26</v>
      </c>
      <c r="N805">
        <v>0.78</v>
      </c>
      <c r="O805" t="s">
        <v>20</v>
      </c>
      <c r="P805" t="s">
        <v>21</v>
      </c>
      <c r="Q805">
        <f t="shared" si="60"/>
        <v>10</v>
      </c>
      <c r="R805" s="4">
        <f>RANK(N805,$N$2:N$2800,0)</f>
        <v>2469</v>
      </c>
      <c r="S805">
        <f t="shared" si="61"/>
        <v>0.94117647058823528</v>
      </c>
      <c r="T805" t="str">
        <f t="shared" si="62"/>
        <v>Low</v>
      </c>
      <c r="U805" t="str" cm="1">
        <f t="array" ref="U805">_xlfn.LET(_xlpm.roles,_xlfn.UNIQUE(D805:D3603),_xlpm.kills, SUMIF(D805:D3603,_xlpm.roles,G805:G3603),INDEX(_xlpm.roles,MATCH(MAX(_xlpm.kills),_xlpm.kills,0)))</f>
        <v>Entry Fragger</v>
      </c>
      <c r="V805" t="str">
        <f t="shared" si="63"/>
        <v>High Accuracy</v>
      </c>
      <c r="W805" t="str" cm="1">
        <f t="array" ref="W805">_xlfn.LET(_xlpm.roles,_xlfn.UNIQUE(D805:D3603), _xlpm.counts,COUNTIF(D805:D3603,_xlpm.roles), INDEX(_xlpm.roles,MATCH(MAX(_xlpm.counts),_xlpm.counts,0)))</f>
        <v>Entry Fragger</v>
      </c>
      <c r="X805" s="2">
        <f t="shared" si="64"/>
        <v>12.599585062240664</v>
      </c>
    </row>
    <row r="806" spans="1:24" x14ac:dyDescent="0.3">
      <c r="A806">
        <v>2494</v>
      </c>
      <c r="B806">
        <v>139</v>
      </c>
      <c r="C806" t="s">
        <v>30</v>
      </c>
      <c r="D806" t="s">
        <v>31</v>
      </c>
      <c r="E806" t="s">
        <v>29</v>
      </c>
      <c r="F806" t="s">
        <v>37</v>
      </c>
      <c r="G806">
        <v>9</v>
      </c>
      <c r="H806">
        <v>6</v>
      </c>
      <c r="I806">
        <v>5</v>
      </c>
      <c r="J806">
        <v>36.21</v>
      </c>
      <c r="K806">
        <v>205.15</v>
      </c>
      <c r="L806">
        <v>0.87</v>
      </c>
      <c r="M806">
        <v>28.41</v>
      </c>
      <c r="N806">
        <v>0.76</v>
      </c>
      <c r="O806" t="s">
        <v>20</v>
      </c>
      <c r="P806" t="s">
        <v>21</v>
      </c>
      <c r="Q806">
        <f t="shared" si="60"/>
        <v>10</v>
      </c>
      <c r="R806" s="4">
        <f>RANK(N806,$N$2:N$2800,0)</f>
        <v>2547</v>
      </c>
      <c r="S806">
        <f t="shared" si="61"/>
        <v>1.8</v>
      </c>
      <c r="T806" t="str">
        <f t="shared" si="62"/>
        <v>Low</v>
      </c>
      <c r="U806" t="str" cm="1">
        <f t="array" ref="U806">_xlfn.LET(_xlpm.roles,_xlfn.UNIQUE(D806:D3604),_xlpm.kills, SUMIF(D806:D3604,_xlpm.roles,G806:G3604),INDEX(_xlpm.roles,MATCH(MAX(_xlpm.kills),_xlpm.kills,0)))</f>
        <v>Entry Fragger</v>
      </c>
      <c r="V806" t="str">
        <f t="shared" si="63"/>
        <v>Medium Accuracy</v>
      </c>
      <c r="W806" t="str" cm="1">
        <f t="array" ref="W806">_xlfn.LET(_xlpm.roles,_xlfn.UNIQUE(D806:D3604), _xlpm.counts,COUNTIF(D806:D3604,_xlpm.roles), INDEX(_xlpm.roles,MATCH(MAX(_xlpm.counts),_xlpm.counts,0)))</f>
        <v>Entry Fragger</v>
      </c>
      <c r="X806" s="2">
        <f t="shared" si="64"/>
        <v>13.135802469135802</v>
      </c>
    </row>
    <row r="807" spans="1:24" x14ac:dyDescent="0.3">
      <c r="A807">
        <v>587</v>
      </c>
      <c r="B807">
        <v>140</v>
      </c>
      <c r="C807" t="s">
        <v>35</v>
      </c>
      <c r="D807" t="s">
        <v>28</v>
      </c>
      <c r="E807" t="s">
        <v>32</v>
      </c>
      <c r="F807" t="s">
        <v>24</v>
      </c>
      <c r="G807">
        <v>15</v>
      </c>
      <c r="H807">
        <v>12</v>
      </c>
      <c r="I807">
        <v>11</v>
      </c>
      <c r="J807">
        <v>55.17</v>
      </c>
      <c r="K807">
        <v>216.45</v>
      </c>
      <c r="L807">
        <v>0.02</v>
      </c>
      <c r="M807">
        <v>58.38</v>
      </c>
      <c r="N807">
        <v>1</v>
      </c>
      <c r="O807" t="s">
        <v>20</v>
      </c>
      <c r="P807" t="s">
        <v>21</v>
      </c>
      <c r="Q807">
        <f t="shared" si="60"/>
        <v>16</v>
      </c>
      <c r="R807" s="4">
        <f>RANK(N807,$N$2:N$2800,0)</f>
        <v>1</v>
      </c>
      <c r="S807">
        <f t="shared" si="61"/>
        <v>1.3636363636363635</v>
      </c>
      <c r="T807" t="str">
        <f t="shared" si="62"/>
        <v>Good</v>
      </c>
      <c r="U807" t="str" cm="1">
        <f t="array" ref="U807">_xlfn.LET(_xlpm.roles,_xlfn.UNIQUE(D807:D3605),_xlpm.kills, SUMIF(D807:D3605,_xlpm.roles,G807:G3605),INDEX(_xlpm.roles,MATCH(MAX(_xlpm.kills),_xlpm.kills,0)))</f>
        <v>Entry Fragger</v>
      </c>
      <c r="V807" t="str">
        <f t="shared" si="63"/>
        <v>High Accuracy</v>
      </c>
      <c r="W807" t="str" cm="1">
        <f t="array" ref="W807">_xlfn.LET(_xlpm.roles,_xlfn.UNIQUE(D807:D3605), _xlpm.counts,COUNTIF(D807:D3605,_xlpm.roles), INDEX(_xlpm.roles,MATCH(MAX(_xlpm.counts),_xlpm.counts,0)))</f>
        <v>Entry Fragger</v>
      </c>
      <c r="X807" s="2">
        <f t="shared" si="64"/>
        <v>12.599585062240664</v>
      </c>
    </row>
    <row r="808" spans="1:24" x14ac:dyDescent="0.3">
      <c r="A808">
        <v>782</v>
      </c>
      <c r="B808">
        <v>140</v>
      </c>
      <c r="C808" t="s">
        <v>25</v>
      </c>
      <c r="D808" t="s">
        <v>36</v>
      </c>
      <c r="E808" t="s">
        <v>29</v>
      </c>
      <c r="F808" t="s">
        <v>24</v>
      </c>
      <c r="G808">
        <v>9</v>
      </c>
      <c r="H808">
        <v>12</v>
      </c>
      <c r="I808">
        <v>14</v>
      </c>
      <c r="J808">
        <v>32.369999999999997</v>
      </c>
      <c r="K808">
        <v>226.52</v>
      </c>
      <c r="L808">
        <v>0.81</v>
      </c>
      <c r="M808">
        <v>24.09</v>
      </c>
      <c r="N808">
        <v>0.83</v>
      </c>
      <c r="O808" t="s">
        <v>20</v>
      </c>
      <c r="P808" t="s">
        <v>21</v>
      </c>
      <c r="Q808">
        <f t="shared" si="60"/>
        <v>7</v>
      </c>
      <c r="R808" s="4">
        <f>RANK(N808,$N$2:N$2800,0)</f>
        <v>2218</v>
      </c>
      <c r="S808">
        <f t="shared" si="61"/>
        <v>0.6428571428571429</v>
      </c>
      <c r="T808" t="str">
        <f t="shared" si="62"/>
        <v>Low</v>
      </c>
      <c r="U808" t="str" cm="1">
        <f t="array" ref="U808">_xlfn.LET(_xlpm.roles,_xlfn.UNIQUE(D808:D3606),_xlpm.kills, SUMIF(D808:D3606,_xlpm.roles,G808:G3606),INDEX(_xlpm.roles,MATCH(MAX(_xlpm.kills),_xlpm.kills,0)))</f>
        <v>Entry Fragger</v>
      </c>
      <c r="V808" t="str">
        <f t="shared" si="63"/>
        <v>Medium Accuracy</v>
      </c>
      <c r="W808" t="str" cm="1">
        <f t="array" ref="W808">_xlfn.LET(_xlpm.roles,_xlfn.UNIQUE(D808:D3606), _xlpm.counts,COUNTIF(D808:D3606,_xlpm.roles), INDEX(_xlpm.roles,MATCH(MAX(_xlpm.counts),_xlpm.counts,0)))</f>
        <v>Entry Fragger</v>
      </c>
      <c r="X808" s="2">
        <f t="shared" si="64"/>
        <v>12.809421841541756</v>
      </c>
    </row>
    <row r="809" spans="1:24" x14ac:dyDescent="0.3">
      <c r="A809">
        <v>1474</v>
      </c>
      <c r="B809">
        <v>140</v>
      </c>
      <c r="C809" t="s">
        <v>35</v>
      </c>
      <c r="D809" t="s">
        <v>28</v>
      </c>
      <c r="E809" t="s">
        <v>32</v>
      </c>
      <c r="F809" t="s">
        <v>34</v>
      </c>
      <c r="G809">
        <v>11</v>
      </c>
      <c r="H809">
        <v>8</v>
      </c>
      <c r="I809">
        <v>12</v>
      </c>
      <c r="J809">
        <v>40.19</v>
      </c>
      <c r="K809">
        <v>223.77</v>
      </c>
      <c r="L809">
        <v>0.23</v>
      </c>
      <c r="M809">
        <v>35.799999999999997</v>
      </c>
      <c r="N809">
        <v>0.75</v>
      </c>
      <c r="O809" t="s">
        <v>20</v>
      </c>
      <c r="P809" t="s">
        <v>21</v>
      </c>
      <c r="Q809">
        <f t="shared" si="60"/>
        <v>7</v>
      </c>
      <c r="R809" s="4">
        <f>RANK(N809,$N$2:N$2800,0)</f>
        <v>2586</v>
      </c>
      <c r="S809">
        <f t="shared" si="61"/>
        <v>0.91666666666666663</v>
      </c>
      <c r="T809" t="str">
        <f t="shared" si="62"/>
        <v>Low</v>
      </c>
      <c r="U809" t="str" cm="1">
        <f t="array" ref="U809">_xlfn.LET(_xlpm.roles,_xlfn.UNIQUE(D809:D3607),_xlpm.kills, SUMIF(D809:D3607,_xlpm.roles,G809:G3607),INDEX(_xlpm.roles,MATCH(MAX(_xlpm.kills),_xlpm.kills,0)))</f>
        <v>Entry Fragger</v>
      </c>
      <c r="V809" t="str">
        <f t="shared" si="63"/>
        <v>Medium Accuracy</v>
      </c>
      <c r="W809" t="str" cm="1">
        <f t="array" ref="W809">_xlfn.LET(_xlpm.roles,_xlfn.UNIQUE(D809:D3607), _xlpm.counts,COUNTIF(D809:D3607,_xlpm.roles), INDEX(_xlpm.roles,MATCH(MAX(_xlpm.counts),_xlpm.counts,0)))</f>
        <v>Entry Fragger</v>
      </c>
      <c r="X809" s="2">
        <f t="shared" si="64"/>
        <v>12.599585062240664</v>
      </c>
    </row>
    <row r="810" spans="1:24" x14ac:dyDescent="0.3">
      <c r="A810">
        <v>1896</v>
      </c>
      <c r="B810">
        <v>140</v>
      </c>
      <c r="C810" t="s">
        <v>25</v>
      </c>
      <c r="D810" t="s">
        <v>36</v>
      </c>
      <c r="E810" t="s">
        <v>29</v>
      </c>
      <c r="F810" t="s">
        <v>19</v>
      </c>
      <c r="G810">
        <v>14</v>
      </c>
      <c r="H810">
        <v>5</v>
      </c>
      <c r="I810">
        <v>16</v>
      </c>
      <c r="J810">
        <v>53.76</v>
      </c>
      <c r="K810">
        <v>251.97</v>
      </c>
      <c r="L810">
        <v>0.31</v>
      </c>
      <c r="M810">
        <v>40.78</v>
      </c>
      <c r="N810">
        <v>0.95</v>
      </c>
      <c r="O810" t="s">
        <v>20</v>
      </c>
      <c r="P810" t="s">
        <v>21</v>
      </c>
      <c r="Q810">
        <f t="shared" si="60"/>
        <v>3</v>
      </c>
      <c r="R810" s="4">
        <f>RANK(N810,$N$2:N$2800,0)</f>
        <v>1367</v>
      </c>
      <c r="S810">
        <f t="shared" si="61"/>
        <v>0.875</v>
      </c>
      <c r="T810" t="str">
        <f t="shared" si="62"/>
        <v>Low</v>
      </c>
      <c r="U810" t="str" cm="1">
        <f t="array" ref="U810">_xlfn.LET(_xlpm.roles,_xlfn.UNIQUE(D810:D3608),_xlpm.kills, SUMIF(D810:D3608,_xlpm.roles,G810:G3608),INDEX(_xlpm.roles,MATCH(MAX(_xlpm.kills),_xlpm.kills,0)))</f>
        <v>Entry Fragger</v>
      </c>
      <c r="V810" t="str">
        <f t="shared" si="63"/>
        <v>High Accuracy</v>
      </c>
      <c r="W810" t="str" cm="1">
        <f t="array" ref="W810">_xlfn.LET(_xlpm.roles,_xlfn.UNIQUE(D810:D3608), _xlpm.counts,COUNTIF(D810:D3608,_xlpm.roles), INDEX(_xlpm.roles,MATCH(MAX(_xlpm.counts),_xlpm.counts,0)))</f>
        <v>Entry Fragger</v>
      </c>
      <c r="X810" s="2">
        <f t="shared" si="64"/>
        <v>12.809421841541756</v>
      </c>
    </row>
    <row r="811" spans="1:24" x14ac:dyDescent="0.3">
      <c r="A811">
        <v>1949</v>
      </c>
      <c r="B811">
        <v>140</v>
      </c>
      <c r="C811" t="s">
        <v>25</v>
      </c>
      <c r="D811" t="s">
        <v>28</v>
      </c>
      <c r="E811" t="s">
        <v>29</v>
      </c>
      <c r="F811" t="s">
        <v>19</v>
      </c>
      <c r="G811">
        <v>23</v>
      </c>
      <c r="H811">
        <v>8</v>
      </c>
      <c r="I811">
        <v>12</v>
      </c>
      <c r="J811">
        <v>39.67</v>
      </c>
      <c r="K811">
        <v>206.74</v>
      </c>
      <c r="L811">
        <v>0.1</v>
      </c>
      <c r="M811">
        <v>60.84</v>
      </c>
      <c r="N811">
        <v>1</v>
      </c>
      <c r="O811" t="s">
        <v>20</v>
      </c>
      <c r="P811" t="s">
        <v>38</v>
      </c>
      <c r="Q811">
        <f t="shared" si="60"/>
        <v>19</v>
      </c>
      <c r="R811" s="4">
        <f>RANK(N811,$N$2:N$2800,0)</f>
        <v>1</v>
      </c>
      <c r="S811">
        <f t="shared" si="61"/>
        <v>1.9166666666666667</v>
      </c>
      <c r="T811" t="str">
        <f t="shared" si="62"/>
        <v>Good</v>
      </c>
      <c r="U811" t="str" cm="1">
        <f t="array" ref="U811">_xlfn.LET(_xlpm.roles,_xlfn.UNIQUE(D811:D3609),_xlpm.kills, SUMIF(D811:D3609,_xlpm.roles,G811:G3609),INDEX(_xlpm.roles,MATCH(MAX(_xlpm.kills),_xlpm.kills,0)))</f>
        <v>Entry Fragger</v>
      </c>
      <c r="V811" t="str">
        <f t="shared" si="63"/>
        <v>Medium Accuracy</v>
      </c>
      <c r="W811" t="str" cm="1">
        <f t="array" ref="W811">_xlfn.LET(_xlpm.roles,_xlfn.UNIQUE(D811:D3609), _xlpm.counts,COUNTIF(D811:D3609,_xlpm.roles), INDEX(_xlpm.roles,MATCH(MAX(_xlpm.counts),_xlpm.counts,0)))</f>
        <v>Entry Fragger</v>
      </c>
      <c r="X811" s="2">
        <f t="shared" si="64"/>
        <v>12.809421841541756</v>
      </c>
    </row>
    <row r="812" spans="1:24" x14ac:dyDescent="0.3">
      <c r="A812">
        <v>334</v>
      </c>
      <c r="B812">
        <v>141</v>
      </c>
      <c r="C812" t="s">
        <v>27</v>
      </c>
      <c r="D812" t="s">
        <v>36</v>
      </c>
      <c r="E812" t="s">
        <v>29</v>
      </c>
      <c r="F812" t="s">
        <v>37</v>
      </c>
      <c r="G812">
        <v>15</v>
      </c>
      <c r="H812">
        <v>7</v>
      </c>
      <c r="I812">
        <v>6</v>
      </c>
      <c r="J812">
        <v>46.91</v>
      </c>
      <c r="K812">
        <v>220.09</v>
      </c>
      <c r="L812">
        <v>0.98</v>
      </c>
      <c r="M812">
        <v>44.66</v>
      </c>
      <c r="N812">
        <v>1</v>
      </c>
      <c r="O812" t="s">
        <v>20</v>
      </c>
      <c r="P812" t="s">
        <v>21</v>
      </c>
      <c r="Q812">
        <f t="shared" si="60"/>
        <v>16</v>
      </c>
      <c r="R812" s="4">
        <f>RANK(N812,$N$2:N$2800,0)</f>
        <v>1</v>
      </c>
      <c r="S812">
        <f t="shared" si="61"/>
        <v>2.5</v>
      </c>
      <c r="T812" t="str">
        <f t="shared" si="62"/>
        <v>Good</v>
      </c>
      <c r="U812" t="str" cm="1">
        <f t="array" ref="U812">_xlfn.LET(_xlpm.roles,_xlfn.UNIQUE(D812:D3610),_xlpm.kills, SUMIF(D812:D3610,_xlpm.roles,G812:G3610),INDEX(_xlpm.roles,MATCH(MAX(_xlpm.kills),_xlpm.kills,0)))</f>
        <v>Entry Fragger</v>
      </c>
      <c r="V812" t="str">
        <f t="shared" si="63"/>
        <v>Medium Accuracy</v>
      </c>
      <c r="W812" t="str" cm="1">
        <f t="array" ref="W812">_xlfn.LET(_xlpm.roles,_xlfn.UNIQUE(D812:D3610), _xlpm.counts,COUNTIF(D812:D3610,_xlpm.roles), INDEX(_xlpm.roles,MATCH(MAX(_xlpm.counts),_xlpm.counts,0)))</f>
        <v>Entry Fragger</v>
      </c>
      <c r="X812" s="2">
        <f t="shared" si="64"/>
        <v>13.057077625570777</v>
      </c>
    </row>
    <row r="813" spans="1:24" x14ac:dyDescent="0.3">
      <c r="A813">
        <v>2035</v>
      </c>
      <c r="B813">
        <v>141</v>
      </c>
      <c r="C813" t="s">
        <v>39</v>
      </c>
      <c r="D813" t="s">
        <v>36</v>
      </c>
      <c r="E813" t="s">
        <v>18</v>
      </c>
      <c r="F813" t="s">
        <v>26</v>
      </c>
      <c r="G813">
        <v>17</v>
      </c>
      <c r="H813">
        <v>12</v>
      </c>
      <c r="I813">
        <v>9</v>
      </c>
      <c r="J813">
        <v>36.840000000000003</v>
      </c>
      <c r="K813">
        <v>264.58</v>
      </c>
      <c r="L813">
        <v>0.87</v>
      </c>
      <c r="M813">
        <v>46.72</v>
      </c>
      <c r="N813">
        <v>0.92</v>
      </c>
      <c r="O813" t="s">
        <v>20</v>
      </c>
      <c r="P813" t="s">
        <v>21</v>
      </c>
      <c r="Q813">
        <f t="shared" si="60"/>
        <v>20</v>
      </c>
      <c r="R813" s="4">
        <f>RANK(N813,$N$2:N$2800,0)</f>
        <v>1585</v>
      </c>
      <c r="S813">
        <f t="shared" si="61"/>
        <v>1.8888888888888888</v>
      </c>
      <c r="T813" t="str">
        <f t="shared" si="62"/>
        <v>Good</v>
      </c>
      <c r="U813" t="str" cm="1">
        <f t="array" ref="U813">_xlfn.LET(_xlpm.roles,_xlfn.UNIQUE(D813:D3611),_xlpm.kills, SUMIF(D813:D3611,_xlpm.roles,G813:G3611),INDEX(_xlpm.roles,MATCH(MAX(_xlpm.kills),_xlpm.kills,0)))</f>
        <v>Entry Fragger</v>
      </c>
      <c r="V813" t="str">
        <f t="shared" si="63"/>
        <v>Medium Accuracy</v>
      </c>
      <c r="W813" t="str" cm="1">
        <f t="array" ref="W813">_xlfn.LET(_xlpm.roles,_xlfn.UNIQUE(D813:D3611), _xlpm.counts,COUNTIF(D813:D3611,_xlpm.roles), INDEX(_xlpm.roles,MATCH(MAX(_xlpm.counts),_xlpm.counts,0)))</f>
        <v>Entry Fragger</v>
      </c>
      <c r="X813" s="2">
        <f t="shared" si="64"/>
        <v>13.103594080338267</v>
      </c>
    </row>
    <row r="814" spans="1:24" x14ac:dyDescent="0.3">
      <c r="A814">
        <v>2173</v>
      </c>
      <c r="B814">
        <v>141</v>
      </c>
      <c r="C814" t="s">
        <v>27</v>
      </c>
      <c r="D814" t="s">
        <v>28</v>
      </c>
      <c r="E814" t="s">
        <v>33</v>
      </c>
      <c r="F814" t="s">
        <v>24</v>
      </c>
      <c r="G814">
        <v>14</v>
      </c>
      <c r="H814">
        <v>5</v>
      </c>
      <c r="I814">
        <v>14</v>
      </c>
      <c r="J814">
        <v>61.43</v>
      </c>
      <c r="K814">
        <v>220.01</v>
      </c>
      <c r="L814">
        <v>0.11</v>
      </c>
      <c r="M814">
        <v>48.62</v>
      </c>
      <c r="N814">
        <v>0.9</v>
      </c>
      <c r="O814" t="s">
        <v>20</v>
      </c>
      <c r="P814" t="s">
        <v>21</v>
      </c>
      <c r="Q814">
        <f t="shared" si="60"/>
        <v>5</v>
      </c>
      <c r="R814" s="4">
        <f>RANK(N814,$N$2:N$2800,0)</f>
        <v>1738</v>
      </c>
      <c r="S814">
        <f t="shared" si="61"/>
        <v>1</v>
      </c>
      <c r="T814" t="str">
        <f t="shared" si="62"/>
        <v>Low</v>
      </c>
      <c r="U814" t="str" cm="1">
        <f t="array" ref="U814">_xlfn.LET(_xlpm.roles,_xlfn.UNIQUE(D814:D3612),_xlpm.kills, SUMIF(D814:D3612,_xlpm.roles,G814:G3612),INDEX(_xlpm.roles,MATCH(MAX(_xlpm.kills),_xlpm.kills,0)))</f>
        <v>Entry Fragger</v>
      </c>
      <c r="V814" t="str">
        <f t="shared" si="63"/>
        <v>High Accuracy</v>
      </c>
      <c r="W814" t="str" cm="1">
        <f t="array" ref="W814">_xlfn.LET(_xlpm.roles,_xlfn.UNIQUE(D814:D3612), _xlpm.counts,COUNTIF(D814:D3612,_xlpm.roles), INDEX(_xlpm.roles,MATCH(MAX(_xlpm.counts),_xlpm.counts,0)))</f>
        <v>Entry Fragger</v>
      </c>
      <c r="X814" s="2">
        <f t="shared" si="64"/>
        <v>13.057077625570777</v>
      </c>
    </row>
    <row r="815" spans="1:24" x14ac:dyDescent="0.3">
      <c r="A815">
        <v>2609</v>
      </c>
      <c r="B815">
        <v>141</v>
      </c>
      <c r="C815" t="s">
        <v>35</v>
      </c>
      <c r="D815" t="s">
        <v>36</v>
      </c>
      <c r="E815" t="s">
        <v>29</v>
      </c>
      <c r="F815" t="s">
        <v>19</v>
      </c>
      <c r="G815">
        <v>18</v>
      </c>
      <c r="H815">
        <v>9</v>
      </c>
      <c r="I815">
        <v>11</v>
      </c>
      <c r="J815">
        <v>37.47</v>
      </c>
      <c r="K815">
        <v>236.69</v>
      </c>
      <c r="L815">
        <v>0.28999999999999998</v>
      </c>
      <c r="M815">
        <v>49.84</v>
      </c>
      <c r="N815">
        <v>1</v>
      </c>
      <c r="O815" t="s">
        <v>20</v>
      </c>
      <c r="P815" t="s">
        <v>21</v>
      </c>
      <c r="Q815">
        <f t="shared" si="60"/>
        <v>16</v>
      </c>
      <c r="R815" s="4">
        <f>RANK(N815,$N$2:N$2800,0)</f>
        <v>1</v>
      </c>
      <c r="S815">
        <f t="shared" si="61"/>
        <v>1.6363636363636365</v>
      </c>
      <c r="T815" t="str">
        <f t="shared" si="62"/>
        <v>Good</v>
      </c>
      <c r="U815" t="str" cm="1">
        <f t="array" ref="U815">_xlfn.LET(_xlpm.roles,_xlfn.UNIQUE(D815:D3613),_xlpm.kills, SUMIF(D815:D3613,_xlpm.roles,G815:G3613),INDEX(_xlpm.roles,MATCH(MAX(_xlpm.kills),_xlpm.kills,0)))</f>
        <v>Entry Fragger</v>
      </c>
      <c r="V815" t="str">
        <f t="shared" si="63"/>
        <v>Medium Accuracy</v>
      </c>
      <c r="W815" t="str" cm="1">
        <f t="array" ref="W815">_xlfn.LET(_xlpm.roles,_xlfn.UNIQUE(D815:D3613), _xlpm.counts,COUNTIF(D815:D3613,_xlpm.roles), INDEX(_xlpm.roles,MATCH(MAX(_xlpm.counts),_xlpm.counts,0)))</f>
        <v>Entry Fragger</v>
      </c>
      <c r="X815" s="2">
        <f t="shared" si="64"/>
        <v>12.599585062240664</v>
      </c>
    </row>
    <row r="816" spans="1:24" x14ac:dyDescent="0.3">
      <c r="A816">
        <v>402</v>
      </c>
      <c r="B816">
        <v>142</v>
      </c>
      <c r="C816" t="s">
        <v>35</v>
      </c>
      <c r="D816" t="s">
        <v>36</v>
      </c>
      <c r="E816" t="s">
        <v>33</v>
      </c>
      <c r="F816" t="s">
        <v>34</v>
      </c>
      <c r="G816">
        <v>14</v>
      </c>
      <c r="H816">
        <v>4</v>
      </c>
      <c r="I816">
        <v>13</v>
      </c>
      <c r="J816">
        <v>31.26</v>
      </c>
      <c r="K816">
        <v>235.93</v>
      </c>
      <c r="L816">
        <v>0.95</v>
      </c>
      <c r="M816">
        <v>25.13</v>
      </c>
      <c r="N816">
        <v>0.84</v>
      </c>
      <c r="O816" t="s">
        <v>20</v>
      </c>
      <c r="P816" t="s">
        <v>21</v>
      </c>
      <c r="Q816">
        <f t="shared" si="60"/>
        <v>5</v>
      </c>
      <c r="R816" s="4">
        <f>RANK(N816,$N$2:N$2800,0)</f>
        <v>2156</v>
      </c>
      <c r="S816">
        <f t="shared" si="61"/>
        <v>1.0769230769230769</v>
      </c>
      <c r="T816" t="str">
        <f t="shared" si="62"/>
        <v>Low</v>
      </c>
      <c r="U816" t="str" cm="1">
        <f t="array" ref="U816">_xlfn.LET(_xlpm.roles,_xlfn.UNIQUE(D816:D3614),_xlpm.kills, SUMIF(D816:D3614,_xlpm.roles,G816:G3614),INDEX(_xlpm.roles,MATCH(MAX(_xlpm.kills),_xlpm.kills,0)))</f>
        <v>Entry Fragger</v>
      </c>
      <c r="V816" t="str">
        <f t="shared" si="63"/>
        <v>Medium Accuracy</v>
      </c>
      <c r="W816" t="str" cm="1">
        <f t="array" ref="W816">_xlfn.LET(_xlpm.roles,_xlfn.UNIQUE(D816:D3614), _xlpm.counts,COUNTIF(D816:D3614,_xlpm.roles), INDEX(_xlpm.roles,MATCH(MAX(_xlpm.counts),_xlpm.counts,0)))</f>
        <v>Entry Fragger</v>
      </c>
      <c r="X816" s="2">
        <f t="shared" si="64"/>
        <v>12.599585062240664</v>
      </c>
    </row>
    <row r="817" spans="1:24" x14ac:dyDescent="0.3">
      <c r="A817">
        <v>933</v>
      </c>
      <c r="B817">
        <v>142</v>
      </c>
      <c r="C817" t="s">
        <v>27</v>
      </c>
      <c r="D817" t="s">
        <v>36</v>
      </c>
      <c r="E817" t="s">
        <v>29</v>
      </c>
      <c r="F817" t="s">
        <v>24</v>
      </c>
      <c r="G817">
        <v>13</v>
      </c>
      <c r="H817">
        <v>10</v>
      </c>
      <c r="I817">
        <v>12</v>
      </c>
      <c r="J817">
        <v>44.85</v>
      </c>
      <c r="K817">
        <v>246</v>
      </c>
      <c r="L817">
        <v>0.45</v>
      </c>
      <c r="M817">
        <v>41.92</v>
      </c>
      <c r="N817">
        <v>0.83</v>
      </c>
      <c r="O817" t="s">
        <v>20</v>
      </c>
      <c r="P817" t="s">
        <v>21</v>
      </c>
      <c r="Q817">
        <f t="shared" si="60"/>
        <v>11</v>
      </c>
      <c r="R817" s="4">
        <f>RANK(N817,$N$2:N$2800,0)</f>
        <v>2218</v>
      </c>
      <c r="S817">
        <f t="shared" si="61"/>
        <v>1.0833333333333333</v>
      </c>
      <c r="T817" t="str">
        <f t="shared" si="62"/>
        <v>Low</v>
      </c>
      <c r="U817" t="str" cm="1">
        <f t="array" ref="U817">_xlfn.LET(_xlpm.roles,_xlfn.UNIQUE(D817:D3615),_xlpm.kills, SUMIF(D817:D3615,_xlpm.roles,G817:G3615),INDEX(_xlpm.roles,MATCH(MAX(_xlpm.kills),_xlpm.kills,0)))</f>
        <v>Entry Fragger</v>
      </c>
      <c r="V817" t="str">
        <f t="shared" si="63"/>
        <v>Medium Accuracy</v>
      </c>
      <c r="W817" t="str" cm="1">
        <f t="array" ref="W817">_xlfn.LET(_xlpm.roles,_xlfn.UNIQUE(D817:D3615), _xlpm.counts,COUNTIF(D817:D3615,_xlpm.roles), INDEX(_xlpm.roles,MATCH(MAX(_xlpm.counts),_xlpm.counts,0)))</f>
        <v>Entry Fragger</v>
      </c>
      <c r="X817" s="2">
        <f t="shared" si="64"/>
        <v>13.057077625570777</v>
      </c>
    </row>
    <row r="818" spans="1:24" x14ac:dyDescent="0.3">
      <c r="A818">
        <v>1055</v>
      </c>
      <c r="B818">
        <v>142</v>
      </c>
      <c r="C818" t="s">
        <v>25</v>
      </c>
      <c r="D818" t="s">
        <v>31</v>
      </c>
      <c r="E818" t="s">
        <v>33</v>
      </c>
      <c r="F818" t="s">
        <v>37</v>
      </c>
      <c r="G818">
        <v>13</v>
      </c>
      <c r="H818">
        <v>7</v>
      </c>
      <c r="I818">
        <v>6</v>
      </c>
      <c r="J818">
        <v>50.79</v>
      </c>
      <c r="K818">
        <v>211.41</v>
      </c>
      <c r="L818">
        <v>0.74</v>
      </c>
      <c r="M818">
        <v>44.99</v>
      </c>
      <c r="N818">
        <v>0.96</v>
      </c>
      <c r="O818" t="s">
        <v>20</v>
      </c>
      <c r="P818" t="s">
        <v>21</v>
      </c>
      <c r="Q818">
        <f t="shared" si="60"/>
        <v>14</v>
      </c>
      <c r="R818" s="4">
        <f>RANK(N818,$N$2:N$2800,0)</f>
        <v>1301</v>
      </c>
      <c r="S818">
        <f t="shared" si="61"/>
        <v>2.1666666666666665</v>
      </c>
      <c r="T818" t="str">
        <f t="shared" si="62"/>
        <v>Low</v>
      </c>
      <c r="U818" t="str" cm="1">
        <f t="array" ref="U818">_xlfn.LET(_xlpm.roles,_xlfn.UNIQUE(D818:D3616),_xlpm.kills, SUMIF(D818:D3616,_xlpm.roles,G818:G3616),INDEX(_xlpm.roles,MATCH(MAX(_xlpm.kills),_xlpm.kills,0)))</f>
        <v>Entry Fragger</v>
      </c>
      <c r="V818" t="str">
        <f t="shared" si="63"/>
        <v>High Accuracy</v>
      </c>
      <c r="W818" t="str" cm="1">
        <f t="array" ref="W818">_xlfn.LET(_xlpm.roles,_xlfn.UNIQUE(D818:D3616), _xlpm.counts,COUNTIF(D818:D3616,_xlpm.roles), INDEX(_xlpm.roles,MATCH(MAX(_xlpm.counts),_xlpm.counts,0)))</f>
        <v>Entry Fragger</v>
      </c>
      <c r="X818" s="2">
        <f t="shared" si="64"/>
        <v>12.809421841541756</v>
      </c>
    </row>
    <row r="819" spans="1:24" x14ac:dyDescent="0.3">
      <c r="A819">
        <v>1283</v>
      </c>
      <c r="B819">
        <v>142</v>
      </c>
      <c r="C819" t="s">
        <v>27</v>
      </c>
      <c r="D819" t="s">
        <v>31</v>
      </c>
      <c r="E819" t="s">
        <v>33</v>
      </c>
      <c r="F819" t="s">
        <v>26</v>
      </c>
      <c r="G819">
        <v>22</v>
      </c>
      <c r="H819">
        <v>4</v>
      </c>
      <c r="I819">
        <v>14</v>
      </c>
      <c r="J819">
        <v>58.01</v>
      </c>
      <c r="K819">
        <v>225.88</v>
      </c>
      <c r="L819">
        <v>0.78</v>
      </c>
      <c r="M819">
        <v>55.2</v>
      </c>
      <c r="N819">
        <v>1</v>
      </c>
      <c r="O819" t="s">
        <v>20</v>
      </c>
      <c r="P819" t="s">
        <v>21</v>
      </c>
      <c r="Q819">
        <f t="shared" si="60"/>
        <v>12</v>
      </c>
      <c r="R819" s="4">
        <f>RANK(N819,$N$2:N$2800,0)</f>
        <v>1</v>
      </c>
      <c r="S819">
        <f t="shared" si="61"/>
        <v>1.5714285714285714</v>
      </c>
      <c r="T819" t="str">
        <f t="shared" si="62"/>
        <v>Low</v>
      </c>
      <c r="U819" t="str" cm="1">
        <f t="array" ref="U819">_xlfn.LET(_xlpm.roles,_xlfn.UNIQUE(D819:D3617),_xlpm.kills, SUMIF(D819:D3617,_xlpm.roles,G819:G3617),INDEX(_xlpm.roles,MATCH(MAX(_xlpm.kills),_xlpm.kills,0)))</f>
        <v>Entry Fragger</v>
      </c>
      <c r="V819" t="str">
        <f t="shared" si="63"/>
        <v>High Accuracy</v>
      </c>
      <c r="W819" t="str" cm="1">
        <f t="array" ref="W819">_xlfn.LET(_xlpm.roles,_xlfn.UNIQUE(D819:D3617), _xlpm.counts,COUNTIF(D819:D3617,_xlpm.roles), INDEX(_xlpm.roles,MATCH(MAX(_xlpm.counts),_xlpm.counts,0)))</f>
        <v>Entry Fragger</v>
      </c>
      <c r="X819" s="2">
        <f t="shared" si="64"/>
        <v>13.057077625570777</v>
      </c>
    </row>
    <row r="820" spans="1:24" x14ac:dyDescent="0.3">
      <c r="A820">
        <v>1312</v>
      </c>
      <c r="B820">
        <v>142</v>
      </c>
      <c r="C820" t="s">
        <v>39</v>
      </c>
      <c r="D820" t="s">
        <v>22</v>
      </c>
      <c r="E820" t="s">
        <v>18</v>
      </c>
      <c r="F820" t="s">
        <v>26</v>
      </c>
      <c r="G820">
        <v>10</v>
      </c>
      <c r="H820">
        <v>10</v>
      </c>
      <c r="I820">
        <v>10</v>
      </c>
      <c r="J820">
        <v>47.25</v>
      </c>
      <c r="K820">
        <v>307.61</v>
      </c>
      <c r="L820">
        <v>0.24</v>
      </c>
      <c r="M820">
        <v>41.23</v>
      </c>
      <c r="N820">
        <v>0.93</v>
      </c>
      <c r="O820" t="s">
        <v>20</v>
      </c>
      <c r="P820" t="s">
        <v>21</v>
      </c>
      <c r="Q820">
        <f t="shared" si="60"/>
        <v>10</v>
      </c>
      <c r="R820" s="4">
        <f>RANK(N820,$N$2:N$2800,0)</f>
        <v>1505</v>
      </c>
      <c r="S820">
        <f t="shared" si="61"/>
        <v>1</v>
      </c>
      <c r="T820" t="str">
        <f t="shared" si="62"/>
        <v>Low</v>
      </c>
      <c r="U820" t="str" cm="1">
        <f t="array" ref="U820">_xlfn.LET(_xlpm.roles,_xlfn.UNIQUE(D820:D3618),_xlpm.kills, SUMIF(D820:D3618,_xlpm.roles,G820:G3618),INDEX(_xlpm.roles,MATCH(MAX(_xlpm.kills),_xlpm.kills,0)))</f>
        <v>Entry Fragger</v>
      </c>
      <c r="V820" t="str">
        <f t="shared" si="63"/>
        <v>Medium Accuracy</v>
      </c>
      <c r="W820" t="str" cm="1">
        <f t="array" ref="W820">_xlfn.LET(_xlpm.roles,_xlfn.UNIQUE(D820:D3618), _xlpm.counts,COUNTIF(D820:D3618,_xlpm.roles), INDEX(_xlpm.roles,MATCH(MAX(_xlpm.counts),_xlpm.counts,0)))</f>
        <v>Entry Fragger</v>
      </c>
      <c r="X820" s="2">
        <f t="shared" si="64"/>
        <v>13.103594080338267</v>
      </c>
    </row>
    <row r="821" spans="1:24" x14ac:dyDescent="0.3">
      <c r="A821">
        <v>1853</v>
      </c>
      <c r="B821">
        <v>142</v>
      </c>
      <c r="C821" t="s">
        <v>16</v>
      </c>
      <c r="D821" t="s">
        <v>28</v>
      </c>
      <c r="E821" t="s">
        <v>18</v>
      </c>
      <c r="F821" t="s">
        <v>24</v>
      </c>
      <c r="G821">
        <v>15</v>
      </c>
      <c r="H821">
        <v>6</v>
      </c>
      <c r="I821">
        <v>9</v>
      </c>
      <c r="J821">
        <v>44.46</v>
      </c>
      <c r="K821">
        <v>253.43</v>
      </c>
      <c r="L821">
        <v>1</v>
      </c>
      <c r="M821">
        <v>39.229999999999997</v>
      </c>
      <c r="N821">
        <v>0.96</v>
      </c>
      <c r="O821" t="s">
        <v>20</v>
      </c>
      <c r="P821" t="s">
        <v>21</v>
      </c>
      <c r="Q821">
        <f t="shared" si="60"/>
        <v>12</v>
      </c>
      <c r="R821" s="4">
        <f>RANK(N821,$N$2:N$2800,0)</f>
        <v>1301</v>
      </c>
      <c r="S821">
        <f t="shared" si="61"/>
        <v>1.6666666666666667</v>
      </c>
      <c r="T821" t="str">
        <f t="shared" si="62"/>
        <v>Low</v>
      </c>
      <c r="U821" t="str" cm="1">
        <f t="array" ref="U821">_xlfn.LET(_xlpm.roles,_xlfn.UNIQUE(D821:D3619),_xlpm.kills, SUMIF(D821:D3619,_xlpm.roles,G821:G3619),INDEX(_xlpm.roles,MATCH(MAX(_xlpm.kills),_xlpm.kills,0)))</f>
        <v>Entry Fragger</v>
      </c>
      <c r="V821" t="str">
        <f t="shared" si="63"/>
        <v>Medium Accuracy</v>
      </c>
      <c r="W821" t="str" cm="1">
        <f t="array" ref="W821">_xlfn.LET(_xlpm.roles,_xlfn.UNIQUE(D821:D3619), _xlpm.counts,COUNTIF(D821:D3619,_xlpm.roles), INDEX(_xlpm.roles,MATCH(MAX(_xlpm.counts),_xlpm.counts,0)))</f>
        <v>Entry Fragger</v>
      </c>
      <c r="X821" s="2">
        <f t="shared" si="64"/>
        <v>12.520971302428256</v>
      </c>
    </row>
    <row r="822" spans="1:24" x14ac:dyDescent="0.3">
      <c r="A822">
        <v>2579</v>
      </c>
      <c r="B822">
        <v>142</v>
      </c>
      <c r="C822" t="s">
        <v>39</v>
      </c>
      <c r="D822" t="s">
        <v>22</v>
      </c>
      <c r="E822" t="s">
        <v>29</v>
      </c>
      <c r="F822" t="s">
        <v>34</v>
      </c>
      <c r="G822">
        <v>20</v>
      </c>
      <c r="H822">
        <v>6</v>
      </c>
      <c r="I822">
        <v>9</v>
      </c>
      <c r="J822">
        <v>31.88</v>
      </c>
      <c r="K822">
        <v>192.07</v>
      </c>
      <c r="L822">
        <v>0.2</v>
      </c>
      <c r="M822">
        <v>50.94</v>
      </c>
      <c r="N822">
        <v>1</v>
      </c>
      <c r="O822" t="s">
        <v>20</v>
      </c>
      <c r="P822" t="s">
        <v>21</v>
      </c>
      <c r="Q822">
        <f t="shared" si="60"/>
        <v>17</v>
      </c>
      <c r="R822" s="4">
        <f>RANK(N822,$N$2:N$2800,0)</f>
        <v>1</v>
      </c>
      <c r="S822">
        <f t="shared" si="61"/>
        <v>2.2222222222222223</v>
      </c>
      <c r="T822" t="str">
        <f t="shared" si="62"/>
        <v>Good</v>
      </c>
      <c r="U822" t="str" cm="1">
        <f t="array" ref="U822">_xlfn.LET(_xlpm.roles,_xlfn.UNIQUE(D822:D3620),_xlpm.kills, SUMIF(D822:D3620,_xlpm.roles,G822:G3620),INDEX(_xlpm.roles,MATCH(MAX(_xlpm.kills),_xlpm.kills,0)))</f>
        <v>Entry Fragger</v>
      </c>
      <c r="V822" t="str">
        <f t="shared" si="63"/>
        <v>Medium Accuracy</v>
      </c>
      <c r="W822" t="str" cm="1">
        <f t="array" ref="W822">_xlfn.LET(_xlpm.roles,_xlfn.UNIQUE(D822:D3620), _xlpm.counts,COUNTIF(D822:D3620,_xlpm.roles), INDEX(_xlpm.roles,MATCH(MAX(_xlpm.counts),_xlpm.counts,0)))</f>
        <v>Entry Fragger</v>
      </c>
      <c r="X822" s="2">
        <f t="shared" si="64"/>
        <v>13.103594080338267</v>
      </c>
    </row>
    <row r="823" spans="1:24" x14ac:dyDescent="0.3">
      <c r="A823">
        <v>2725</v>
      </c>
      <c r="B823">
        <v>143</v>
      </c>
      <c r="C823" t="s">
        <v>16</v>
      </c>
      <c r="D823" t="s">
        <v>36</v>
      </c>
      <c r="E823" t="s">
        <v>33</v>
      </c>
      <c r="F823" t="s">
        <v>19</v>
      </c>
      <c r="G823">
        <v>15</v>
      </c>
      <c r="H823">
        <v>7</v>
      </c>
      <c r="I823">
        <v>14</v>
      </c>
      <c r="J823">
        <v>43.84</v>
      </c>
      <c r="K823">
        <v>191.93</v>
      </c>
      <c r="L823">
        <v>0.44</v>
      </c>
      <c r="M823">
        <v>40.520000000000003</v>
      </c>
      <c r="N823">
        <v>0.76</v>
      </c>
      <c r="O823" t="s">
        <v>20</v>
      </c>
      <c r="P823" t="s">
        <v>21</v>
      </c>
      <c r="Q823">
        <f t="shared" si="60"/>
        <v>8</v>
      </c>
      <c r="R823" s="4">
        <f>RANK(N823,$N$2:N$2800,0)</f>
        <v>2547</v>
      </c>
      <c r="S823">
        <f t="shared" si="61"/>
        <v>1.0714285714285714</v>
      </c>
      <c r="T823" t="str">
        <f t="shared" si="62"/>
        <v>Low</v>
      </c>
      <c r="U823" t="str" cm="1">
        <f t="array" ref="U823">_xlfn.LET(_xlpm.roles,_xlfn.UNIQUE(D823:D3621),_xlpm.kills, SUMIF(D823:D3621,_xlpm.roles,G823:G3621),INDEX(_xlpm.roles,MATCH(MAX(_xlpm.kills),_xlpm.kills,0)))</f>
        <v>Entry Fragger</v>
      </c>
      <c r="V823" t="str">
        <f t="shared" si="63"/>
        <v>Medium Accuracy</v>
      </c>
      <c r="W823" t="str" cm="1">
        <f t="array" ref="W823">_xlfn.LET(_xlpm.roles,_xlfn.UNIQUE(D823:D3621), _xlpm.counts,COUNTIF(D823:D3621,_xlpm.roles), INDEX(_xlpm.roles,MATCH(MAX(_xlpm.counts),_xlpm.counts,0)))</f>
        <v>Entry Fragger</v>
      </c>
      <c r="X823" s="2">
        <f t="shared" si="64"/>
        <v>12.520971302428256</v>
      </c>
    </row>
    <row r="824" spans="1:24" x14ac:dyDescent="0.3">
      <c r="A824">
        <v>1662</v>
      </c>
      <c r="B824">
        <v>144</v>
      </c>
      <c r="C824" t="s">
        <v>27</v>
      </c>
      <c r="D824" t="s">
        <v>22</v>
      </c>
      <c r="E824" t="s">
        <v>32</v>
      </c>
      <c r="F824" t="s">
        <v>37</v>
      </c>
      <c r="G824">
        <v>14</v>
      </c>
      <c r="H824">
        <v>10</v>
      </c>
      <c r="I824">
        <v>5</v>
      </c>
      <c r="J824">
        <v>45.06</v>
      </c>
      <c r="K824">
        <v>272.89999999999998</v>
      </c>
      <c r="L824">
        <v>0.3</v>
      </c>
      <c r="M824">
        <v>52.53</v>
      </c>
      <c r="N824">
        <v>1</v>
      </c>
      <c r="O824" t="s">
        <v>20</v>
      </c>
      <c r="P824" t="s">
        <v>21</v>
      </c>
      <c r="Q824">
        <f t="shared" si="60"/>
        <v>19</v>
      </c>
      <c r="R824" s="4">
        <f>RANK(N824,$N$2:N$2800,0)</f>
        <v>1</v>
      </c>
      <c r="S824">
        <f t="shared" si="61"/>
        <v>2.8</v>
      </c>
      <c r="T824" t="str">
        <f t="shared" si="62"/>
        <v>Good</v>
      </c>
      <c r="U824" t="str" cm="1">
        <f t="array" ref="U824">_xlfn.LET(_xlpm.roles,_xlfn.UNIQUE(D824:D3622),_xlpm.kills, SUMIF(D824:D3622,_xlpm.roles,G824:G3622),INDEX(_xlpm.roles,MATCH(MAX(_xlpm.kills),_xlpm.kills,0)))</f>
        <v>Entry Fragger</v>
      </c>
      <c r="V824" t="str">
        <f t="shared" si="63"/>
        <v>Medium Accuracy</v>
      </c>
      <c r="W824" t="str" cm="1">
        <f t="array" ref="W824">_xlfn.LET(_xlpm.roles,_xlfn.UNIQUE(D824:D3622), _xlpm.counts,COUNTIF(D824:D3622,_xlpm.roles), INDEX(_xlpm.roles,MATCH(MAX(_xlpm.counts),_xlpm.counts,0)))</f>
        <v>Entry Fragger</v>
      </c>
      <c r="X824" s="2">
        <f t="shared" si="64"/>
        <v>13.057077625570777</v>
      </c>
    </row>
    <row r="825" spans="1:24" x14ac:dyDescent="0.3">
      <c r="A825">
        <v>2482</v>
      </c>
      <c r="B825">
        <v>144</v>
      </c>
      <c r="C825" t="s">
        <v>30</v>
      </c>
      <c r="D825" t="s">
        <v>31</v>
      </c>
      <c r="E825" t="s">
        <v>23</v>
      </c>
      <c r="F825" t="s">
        <v>37</v>
      </c>
      <c r="G825">
        <v>9</v>
      </c>
      <c r="H825">
        <v>10</v>
      </c>
      <c r="I825">
        <v>5</v>
      </c>
      <c r="J825">
        <v>55.51</v>
      </c>
      <c r="K825">
        <v>263.99</v>
      </c>
      <c r="L825">
        <v>0.49</v>
      </c>
      <c r="M825">
        <v>45.85</v>
      </c>
      <c r="N825">
        <v>0.87</v>
      </c>
      <c r="O825" t="s">
        <v>20</v>
      </c>
      <c r="P825" t="s">
        <v>21</v>
      </c>
      <c r="Q825">
        <f t="shared" si="60"/>
        <v>14</v>
      </c>
      <c r="R825" s="4">
        <f>RANK(N825,$N$2:N$2800,0)</f>
        <v>1965</v>
      </c>
      <c r="S825">
        <f t="shared" si="61"/>
        <v>1.8</v>
      </c>
      <c r="T825" t="str">
        <f t="shared" si="62"/>
        <v>Low</v>
      </c>
      <c r="U825" t="str" cm="1">
        <f t="array" ref="U825">_xlfn.LET(_xlpm.roles,_xlfn.UNIQUE(D825:D3623),_xlpm.kills, SUMIF(D825:D3623,_xlpm.roles,G825:G3623),INDEX(_xlpm.roles,MATCH(MAX(_xlpm.kills),_xlpm.kills,0)))</f>
        <v>Entry Fragger</v>
      </c>
      <c r="V825" t="str">
        <f t="shared" si="63"/>
        <v>High Accuracy</v>
      </c>
      <c r="W825" t="str" cm="1">
        <f t="array" ref="W825">_xlfn.LET(_xlpm.roles,_xlfn.UNIQUE(D825:D3623), _xlpm.counts,COUNTIF(D825:D3623,_xlpm.roles), INDEX(_xlpm.roles,MATCH(MAX(_xlpm.counts),_xlpm.counts,0)))</f>
        <v>Entry Fragger</v>
      </c>
      <c r="X825" s="2">
        <f t="shared" si="64"/>
        <v>13.135802469135802</v>
      </c>
    </row>
    <row r="826" spans="1:24" x14ac:dyDescent="0.3">
      <c r="A826">
        <v>476</v>
      </c>
      <c r="B826">
        <v>145</v>
      </c>
      <c r="C826" t="s">
        <v>30</v>
      </c>
      <c r="D826" t="s">
        <v>28</v>
      </c>
      <c r="E826" t="s">
        <v>32</v>
      </c>
      <c r="F826" t="s">
        <v>34</v>
      </c>
      <c r="G826">
        <v>16</v>
      </c>
      <c r="H826">
        <v>15</v>
      </c>
      <c r="I826">
        <v>10</v>
      </c>
      <c r="J826">
        <v>38.28</v>
      </c>
      <c r="K826">
        <v>213.58</v>
      </c>
      <c r="L826">
        <v>0.56999999999999995</v>
      </c>
      <c r="M826">
        <v>50.44</v>
      </c>
      <c r="N826">
        <v>1</v>
      </c>
      <c r="O826" t="s">
        <v>20</v>
      </c>
      <c r="P826" t="s">
        <v>21</v>
      </c>
      <c r="Q826">
        <f t="shared" si="60"/>
        <v>21</v>
      </c>
      <c r="R826" s="4">
        <f>RANK(N826,$N$2:N$2800,0)</f>
        <v>1</v>
      </c>
      <c r="S826">
        <f t="shared" si="61"/>
        <v>1.6</v>
      </c>
      <c r="T826" t="str">
        <f t="shared" si="62"/>
        <v>Good</v>
      </c>
      <c r="U826" t="str" cm="1">
        <f t="array" ref="U826">_xlfn.LET(_xlpm.roles,_xlfn.UNIQUE(D826:D3624),_xlpm.kills, SUMIF(D826:D3624,_xlpm.roles,G826:G3624),INDEX(_xlpm.roles,MATCH(MAX(_xlpm.kills),_xlpm.kills,0)))</f>
        <v>Entry Fragger</v>
      </c>
      <c r="V826" t="str">
        <f t="shared" si="63"/>
        <v>Medium Accuracy</v>
      </c>
      <c r="W826" t="str" cm="1">
        <f t="array" ref="W826">_xlfn.LET(_xlpm.roles,_xlfn.UNIQUE(D826:D3624), _xlpm.counts,COUNTIF(D826:D3624,_xlpm.roles), INDEX(_xlpm.roles,MATCH(MAX(_xlpm.counts),_xlpm.counts,0)))</f>
        <v>Entry Fragger</v>
      </c>
      <c r="X826" s="2">
        <f t="shared" si="64"/>
        <v>13.135802469135802</v>
      </c>
    </row>
    <row r="827" spans="1:24" x14ac:dyDescent="0.3">
      <c r="A827">
        <v>1607</v>
      </c>
      <c r="B827">
        <v>145</v>
      </c>
      <c r="C827" t="s">
        <v>27</v>
      </c>
      <c r="D827" t="s">
        <v>36</v>
      </c>
      <c r="E827" t="s">
        <v>32</v>
      </c>
      <c r="F827" t="s">
        <v>24</v>
      </c>
      <c r="G827">
        <v>14</v>
      </c>
      <c r="H827">
        <v>6</v>
      </c>
      <c r="I827">
        <v>4</v>
      </c>
      <c r="J827">
        <v>50.24</v>
      </c>
      <c r="K827">
        <v>270.35000000000002</v>
      </c>
      <c r="L827">
        <v>0.49</v>
      </c>
      <c r="M827">
        <v>50.22</v>
      </c>
      <c r="N827">
        <v>0.87</v>
      </c>
      <c r="O827" t="s">
        <v>20</v>
      </c>
      <c r="P827" t="s">
        <v>21</v>
      </c>
      <c r="Q827">
        <f t="shared" si="60"/>
        <v>16</v>
      </c>
      <c r="R827" s="4">
        <f>RANK(N827,$N$2:N$2800,0)</f>
        <v>1965</v>
      </c>
      <c r="S827">
        <f t="shared" si="61"/>
        <v>3.5</v>
      </c>
      <c r="T827" t="str">
        <f t="shared" si="62"/>
        <v>Good</v>
      </c>
      <c r="U827" t="str" cm="1">
        <f t="array" ref="U827">_xlfn.LET(_xlpm.roles,_xlfn.UNIQUE(D827:D3625),_xlpm.kills, SUMIF(D827:D3625,_xlpm.roles,G827:G3625),INDEX(_xlpm.roles,MATCH(MAX(_xlpm.kills),_xlpm.kills,0)))</f>
        <v>Entry Fragger</v>
      </c>
      <c r="V827" t="str">
        <f t="shared" si="63"/>
        <v>High Accuracy</v>
      </c>
      <c r="W827" t="str" cm="1">
        <f t="array" ref="W827">_xlfn.LET(_xlpm.roles,_xlfn.UNIQUE(D827:D3625), _xlpm.counts,COUNTIF(D827:D3625,_xlpm.roles), INDEX(_xlpm.roles,MATCH(MAX(_xlpm.counts),_xlpm.counts,0)))</f>
        <v>Entry Fragger</v>
      </c>
      <c r="X827" s="2">
        <f t="shared" si="64"/>
        <v>13.057077625570777</v>
      </c>
    </row>
    <row r="828" spans="1:24" x14ac:dyDescent="0.3">
      <c r="A828">
        <v>1791</v>
      </c>
      <c r="B828">
        <v>145</v>
      </c>
      <c r="C828" t="s">
        <v>30</v>
      </c>
      <c r="D828" t="s">
        <v>17</v>
      </c>
      <c r="E828" t="s">
        <v>33</v>
      </c>
      <c r="F828" t="s">
        <v>37</v>
      </c>
      <c r="G828">
        <v>11</v>
      </c>
      <c r="H828">
        <v>8</v>
      </c>
      <c r="I828">
        <v>6</v>
      </c>
      <c r="J828">
        <v>37.93</v>
      </c>
      <c r="K828">
        <v>187.86</v>
      </c>
      <c r="L828">
        <v>0.36</v>
      </c>
      <c r="M828">
        <v>39.369999999999997</v>
      </c>
      <c r="N828">
        <v>1</v>
      </c>
      <c r="O828" t="s">
        <v>20</v>
      </c>
      <c r="P828" t="s">
        <v>21</v>
      </c>
      <c r="Q828">
        <f t="shared" si="60"/>
        <v>13</v>
      </c>
      <c r="R828" s="4">
        <f>RANK(N828,$N$2:N$2800,0)</f>
        <v>1</v>
      </c>
      <c r="S828">
        <f t="shared" si="61"/>
        <v>1.8333333333333333</v>
      </c>
      <c r="T828" t="str">
        <f t="shared" si="62"/>
        <v>Low</v>
      </c>
      <c r="U828" t="str" cm="1">
        <f t="array" ref="U828">_xlfn.LET(_xlpm.roles,_xlfn.UNIQUE(D828:D3626),_xlpm.kills, SUMIF(D828:D3626,_xlpm.roles,G828:G3626),INDEX(_xlpm.roles,MATCH(MAX(_xlpm.kills),_xlpm.kills,0)))</f>
        <v>Entry Fragger</v>
      </c>
      <c r="V828" t="str">
        <f t="shared" si="63"/>
        <v>Medium Accuracy</v>
      </c>
      <c r="W828" t="str" cm="1">
        <f t="array" ref="W828">_xlfn.LET(_xlpm.roles,_xlfn.UNIQUE(D828:D3626), _xlpm.counts,COUNTIF(D828:D3626,_xlpm.roles), INDEX(_xlpm.roles,MATCH(MAX(_xlpm.counts),_xlpm.counts,0)))</f>
        <v>Entry Fragger</v>
      </c>
      <c r="X828" s="2">
        <f t="shared" si="64"/>
        <v>13.135802469135802</v>
      </c>
    </row>
    <row r="829" spans="1:24" x14ac:dyDescent="0.3">
      <c r="A829">
        <v>2626</v>
      </c>
      <c r="B829">
        <v>145</v>
      </c>
      <c r="C829" t="s">
        <v>27</v>
      </c>
      <c r="D829" t="s">
        <v>22</v>
      </c>
      <c r="E829" t="s">
        <v>18</v>
      </c>
      <c r="F829" t="s">
        <v>19</v>
      </c>
      <c r="G829">
        <v>19</v>
      </c>
      <c r="H829">
        <v>3</v>
      </c>
      <c r="I829">
        <v>12</v>
      </c>
      <c r="J829">
        <v>38.090000000000003</v>
      </c>
      <c r="K829">
        <v>219.88</v>
      </c>
      <c r="L829">
        <v>0.35</v>
      </c>
      <c r="M829">
        <v>44.55</v>
      </c>
      <c r="N829">
        <v>0.88</v>
      </c>
      <c r="O829" t="s">
        <v>20</v>
      </c>
      <c r="P829" t="s">
        <v>21</v>
      </c>
      <c r="Q829">
        <f t="shared" si="60"/>
        <v>10</v>
      </c>
      <c r="R829" s="4">
        <f>RANK(N829,$N$2:N$2800,0)</f>
        <v>1894</v>
      </c>
      <c r="S829">
        <f t="shared" si="61"/>
        <v>1.5833333333333333</v>
      </c>
      <c r="T829" t="str">
        <f t="shared" si="62"/>
        <v>Low</v>
      </c>
      <c r="U829" t="str" cm="1">
        <f t="array" ref="U829">_xlfn.LET(_xlpm.roles,_xlfn.UNIQUE(D829:D3627),_xlpm.kills, SUMIF(D829:D3627,_xlpm.roles,G829:G3627),INDEX(_xlpm.roles,MATCH(MAX(_xlpm.kills),_xlpm.kills,0)))</f>
        <v>Entry Fragger</v>
      </c>
      <c r="V829" t="str">
        <f t="shared" si="63"/>
        <v>Medium Accuracy</v>
      </c>
      <c r="W829" t="str" cm="1">
        <f t="array" ref="W829">_xlfn.LET(_xlpm.roles,_xlfn.UNIQUE(D829:D3627), _xlpm.counts,COUNTIF(D829:D3627,_xlpm.roles), INDEX(_xlpm.roles,MATCH(MAX(_xlpm.counts),_xlpm.counts,0)))</f>
        <v>Entry Fragger</v>
      </c>
      <c r="X829" s="2">
        <f t="shared" si="64"/>
        <v>13.057077625570777</v>
      </c>
    </row>
    <row r="830" spans="1:24" x14ac:dyDescent="0.3">
      <c r="A830">
        <v>317</v>
      </c>
      <c r="B830">
        <v>146</v>
      </c>
      <c r="C830" t="s">
        <v>27</v>
      </c>
      <c r="D830" t="s">
        <v>28</v>
      </c>
      <c r="E830" t="s">
        <v>18</v>
      </c>
      <c r="F830" t="s">
        <v>37</v>
      </c>
      <c r="G830">
        <v>13</v>
      </c>
      <c r="H830">
        <v>4</v>
      </c>
      <c r="I830">
        <v>13</v>
      </c>
      <c r="J830">
        <v>46.01</v>
      </c>
      <c r="K830">
        <v>205.93</v>
      </c>
      <c r="L830">
        <v>0.31</v>
      </c>
      <c r="M830">
        <v>36.9</v>
      </c>
      <c r="N830">
        <v>1</v>
      </c>
      <c r="O830" t="s">
        <v>20</v>
      </c>
      <c r="P830" t="s">
        <v>21</v>
      </c>
      <c r="Q830">
        <f t="shared" si="60"/>
        <v>4</v>
      </c>
      <c r="R830" s="4">
        <f>RANK(N830,$N$2:N$2800,0)</f>
        <v>1</v>
      </c>
      <c r="S830">
        <f t="shared" si="61"/>
        <v>1</v>
      </c>
      <c r="T830" t="str">
        <f t="shared" si="62"/>
        <v>Low</v>
      </c>
      <c r="U830" t="str" cm="1">
        <f t="array" ref="U830">_xlfn.LET(_xlpm.roles,_xlfn.UNIQUE(D830:D3628),_xlpm.kills, SUMIF(D830:D3628,_xlpm.roles,G830:G3628),INDEX(_xlpm.roles,MATCH(MAX(_xlpm.kills),_xlpm.kills,0)))</f>
        <v>Entry Fragger</v>
      </c>
      <c r="V830" t="str">
        <f t="shared" si="63"/>
        <v>Medium Accuracy</v>
      </c>
      <c r="W830" t="str" cm="1">
        <f t="array" ref="W830">_xlfn.LET(_xlpm.roles,_xlfn.UNIQUE(D830:D3628), _xlpm.counts,COUNTIF(D830:D3628,_xlpm.roles), INDEX(_xlpm.roles,MATCH(MAX(_xlpm.counts),_xlpm.counts,0)))</f>
        <v>Entry Fragger</v>
      </c>
      <c r="X830" s="2">
        <f t="shared" si="64"/>
        <v>13.057077625570777</v>
      </c>
    </row>
    <row r="831" spans="1:24" x14ac:dyDescent="0.3">
      <c r="A831">
        <v>609</v>
      </c>
      <c r="B831">
        <v>146</v>
      </c>
      <c r="C831" t="s">
        <v>25</v>
      </c>
      <c r="D831" t="s">
        <v>17</v>
      </c>
      <c r="E831" t="s">
        <v>33</v>
      </c>
      <c r="F831" t="s">
        <v>24</v>
      </c>
      <c r="G831">
        <v>15</v>
      </c>
      <c r="H831">
        <v>11</v>
      </c>
      <c r="I831">
        <v>14</v>
      </c>
      <c r="J831">
        <v>42.84</v>
      </c>
      <c r="K831">
        <v>222.07</v>
      </c>
      <c r="L831">
        <v>0.4</v>
      </c>
      <c r="M831">
        <v>44.42</v>
      </c>
      <c r="N831">
        <v>0.77</v>
      </c>
      <c r="O831" t="s">
        <v>20</v>
      </c>
      <c r="P831" t="s">
        <v>21</v>
      </c>
      <c r="Q831">
        <f t="shared" si="60"/>
        <v>12</v>
      </c>
      <c r="R831" s="4">
        <f>RANK(N831,$N$2:N$2800,0)</f>
        <v>2511</v>
      </c>
      <c r="S831">
        <f t="shared" si="61"/>
        <v>1.0714285714285714</v>
      </c>
      <c r="T831" t="str">
        <f t="shared" si="62"/>
        <v>Low</v>
      </c>
      <c r="U831" t="str" cm="1">
        <f t="array" ref="U831">_xlfn.LET(_xlpm.roles,_xlfn.UNIQUE(D831:D3629),_xlpm.kills, SUMIF(D831:D3629,_xlpm.roles,G831:G3629),INDEX(_xlpm.roles,MATCH(MAX(_xlpm.kills),_xlpm.kills,0)))</f>
        <v>Entry Fragger</v>
      </c>
      <c r="V831" t="str">
        <f t="shared" si="63"/>
        <v>Medium Accuracy</v>
      </c>
      <c r="W831" t="str" cm="1">
        <f t="array" ref="W831">_xlfn.LET(_xlpm.roles,_xlfn.UNIQUE(D831:D3629), _xlpm.counts,COUNTIF(D831:D3629,_xlpm.roles), INDEX(_xlpm.roles,MATCH(MAX(_xlpm.counts),_xlpm.counts,0)))</f>
        <v>Entry Fragger</v>
      </c>
      <c r="X831" s="2">
        <f t="shared" si="64"/>
        <v>12.809421841541756</v>
      </c>
    </row>
    <row r="832" spans="1:24" x14ac:dyDescent="0.3">
      <c r="A832">
        <v>1545</v>
      </c>
      <c r="B832">
        <v>146</v>
      </c>
      <c r="C832" t="s">
        <v>27</v>
      </c>
      <c r="D832" t="s">
        <v>31</v>
      </c>
      <c r="E832" t="s">
        <v>18</v>
      </c>
      <c r="F832" t="s">
        <v>37</v>
      </c>
      <c r="G832">
        <v>18</v>
      </c>
      <c r="H832">
        <v>11</v>
      </c>
      <c r="I832">
        <v>9</v>
      </c>
      <c r="J832">
        <v>52.97</v>
      </c>
      <c r="K832">
        <v>208.97</v>
      </c>
      <c r="L832">
        <v>0.74</v>
      </c>
      <c r="M832">
        <v>57.09</v>
      </c>
      <c r="N832">
        <v>1</v>
      </c>
      <c r="O832" t="s">
        <v>20</v>
      </c>
      <c r="P832" t="s">
        <v>21</v>
      </c>
      <c r="Q832">
        <f t="shared" si="60"/>
        <v>20</v>
      </c>
      <c r="R832" s="4">
        <f>RANK(N832,$N$2:N$2800,0)</f>
        <v>1</v>
      </c>
      <c r="S832">
        <f t="shared" si="61"/>
        <v>2</v>
      </c>
      <c r="T832" t="str">
        <f t="shared" si="62"/>
        <v>Good</v>
      </c>
      <c r="U832" t="str" cm="1">
        <f t="array" ref="U832">_xlfn.LET(_xlpm.roles,_xlfn.UNIQUE(D832:D3630),_xlpm.kills, SUMIF(D832:D3630,_xlpm.roles,G832:G3630),INDEX(_xlpm.roles,MATCH(MAX(_xlpm.kills),_xlpm.kills,0)))</f>
        <v>Entry Fragger</v>
      </c>
      <c r="V832" t="str">
        <f t="shared" si="63"/>
        <v>High Accuracy</v>
      </c>
      <c r="W832" t="str" cm="1">
        <f t="array" ref="W832">_xlfn.LET(_xlpm.roles,_xlfn.UNIQUE(D832:D3630), _xlpm.counts,COUNTIF(D832:D3630,_xlpm.roles), INDEX(_xlpm.roles,MATCH(MAX(_xlpm.counts),_xlpm.counts,0)))</f>
        <v>Entry Fragger</v>
      </c>
      <c r="X832" s="2">
        <f t="shared" si="64"/>
        <v>13.057077625570777</v>
      </c>
    </row>
    <row r="833" spans="1:24" x14ac:dyDescent="0.3">
      <c r="A833">
        <v>1583</v>
      </c>
      <c r="B833">
        <v>146</v>
      </c>
      <c r="C833" t="s">
        <v>27</v>
      </c>
      <c r="D833" t="s">
        <v>17</v>
      </c>
      <c r="E833" t="s">
        <v>23</v>
      </c>
      <c r="F833" t="s">
        <v>24</v>
      </c>
      <c r="G833">
        <v>13</v>
      </c>
      <c r="H833">
        <v>9</v>
      </c>
      <c r="I833">
        <v>13</v>
      </c>
      <c r="J833">
        <v>46.4</v>
      </c>
      <c r="K833">
        <v>208.14</v>
      </c>
      <c r="L833">
        <v>0.06</v>
      </c>
      <c r="M833">
        <v>44.6</v>
      </c>
      <c r="N833">
        <v>0.9</v>
      </c>
      <c r="O833" t="s">
        <v>20</v>
      </c>
      <c r="P833" t="s">
        <v>21</v>
      </c>
      <c r="Q833">
        <f t="shared" si="60"/>
        <v>9</v>
      </c>
      <c r="R833" s="4">
        <f>RANK(N833,$N$2:N$2800,0)</f>
        <v>1738</v>
      </c>
      <c r="S833">
        <f t="shared" si="61"/>
        <v>1</v>
      </c>
      <c r="T833" t="str">
        <f t="shared" si="62"/>
        <v>Low</v>
      </c>
      <c r="U833" t="str" cm="1">
        <f t="array" ref="U833">_xlfn.LET(_xlpm.roles,_xlfn.UNIQUE(D833:D3631),_xlpm.kills, SUMIF(D833:D3631,_xlpm.roles,G833:G3631),INDEX(_xlpm.roles,MATCH(MAX(_xlpm.kills),_xlpm.kills,0)))</f>
        <v>Entry Fragger</v>
      </c>
      <c r="V833" t="str">
        <f t="shared" si="63"/>
        <v>Medium Accuracy</v>
      </c>
      <c r="W833" t="str" cm="1">
        <f t="array" ref="W833">_xlfn.LET(_xlpm.roles,_xlfn.UNIQUE(D833:D3631), _xlpm.counts,COUNTIF(D833:D3631,_xlpm.roles), INDEX(_xlpm.roles,MATCH(MAX(_xlpm.counts),_xlpm.counts,0)))</f>
        <v>Entry Fragger</v>
      </c>
      <c r="X833" s="2">
        <f t="shared" si="64"/>
        <v>13.057077625570777</v>
      </c>
    </row>
    <row r="834" spans="1:24" x14ac:dyDescent="0.3">
      <c r="A834">
        <v>1963</v>
      </c>
      <c r="B834">
        <v>146</v>
      </c>
      <c r="C834" t="s">
        <v>30</v>
      </c>
      <c r="D834" t="s">
        <v>31</v>
      </c>
      <c r="E834" t="s">
        <v>18</v>
      </c>
      <c r="F834" t="s">
        <v>37</v>
      </c>
      <c r="G834">
        <v>15</v>
      </c>
      <c r="H834">
        <v>6</v>
      </c>
      <c r="I834">
        <v>11</v>
      </c>
      <c r="J834">
        <v>38.18</v>
      </c>
      <c r="K834">
        <v>160.69999999999999</v>
      </c>
      <c r="L834">
        <v>0.67</v>
      </c>
      <c r="M834">
        <v>37.39</v>
      </c>
      <c r="N834">
        <v>0.96</v>
      </c>
      <c r="O834" t="s">
        <v>20</v>
      </c>
      <c r="P834" t="s">
        <v>21</v>
      </c>
      <c r="Q834">
        <f t="shared" si="60"/>
        <v>10</v>
      </c>
      <c r="R834" s="4">
        <f>RANK(N834,$N$2:N$2800,0)</f>
        <v>1301</v>
      </c>
      <c r="S834">
        <f t="shared" si="61"/>
        <v>1.3636363636363635</v>
      </c>
      <c r="T834" t="str">
        <f t="shared" si="62"/>
        <v>Low</v>
      </c>
      <c r="U834" t="str" cm="1">
        <f t="array" ref="U834">_xlfn.LET(_xlpm.roles,_xlfn.UNIQUE(D834:D3632),_xlpm.kills, SUMIF(D834:D3632,_xlpm.roles,G834:G3632),INDEX(_xlpm.roles,MATCH(MAX(_xlpm.kills),_xlpm.kills,0)))</f>
        <v>Entry Fragger</v>
      </c>
      <c r="V834" t="str">
        <f t="shared" si="63"/>
        <v>Medium Accuracy</v>
      </c>
      <c r="W834" t="str" cm="1">
        <f t="array" ref="W834">_xlfn.LET(_xlpm.roles,_xlfn.UNIQUE(D834:D3632), _xlpm.counts,COUNTIF(D834:D3632,_xlpm.roles), INDEX(_xlpm.roles,MATCH(MAX(_xlpm.counts),_xlpm.counts,0)))</f>
        <v>Entry Fragger</v>
      </c>
      <c r="X834" s="2">
        <f t="shared" si="64"/>
        <v>13.135802469135802</v>
      </c>
    </row>
    <row r="835" spans="1:24" x14ac:dyDescent="0.3">
      <c r="A835">
        <v>335</v>
      </c>
      <c r="B835">
        <v>147</v>
      </c>
      <c r="C835" t="s">
        <v>27</v>
      </c>
      <c r="D835" t="s">
        <v>31</v>
      </c>
      <c r="E835" t="s">
        <v>23</v>
      </c>
      <c r="F835" t="s">
        <v>24</v>
      </c>
      <c r="G835">
        <v>9</v>
      </c>
      <c r="H835">
        <v>8</v>
      </c>
      <c r="I835">
        <v>14</v>
      </c>
      <c r="J835">
        <v>46.92</v>
      </c>
      <c r="K835">
        <v>257.58999999999997</v>
      </c>
      <c r="L835">
        <v>0.76</v>
      </c>
      <c r="M835">
        <v>27.86</v>
      </c>
      <c r="N835">
        <v>0.69</v>
      </c>
      <c r="O835" t="s">
        <v>20</v>
      </c>
      <c r="P835" t="s">
        <v>21</v>
      </c>
      <c r="Q835">
        <f t="shared" ref="Q835:Q898" si="65">G835+H835-I835</f>
        <v>3</v>
      </c>
      <c r="R835" s="4">
        <f>RANK(N835,$N$2:N$2800,0)</f>
        <v>2713</v>
      </c>
      <c r="S835">
        <f t="shared" ref="S835:S898" si="66">G835/I835</f>
        <v>0.6428571428571429</v>
      </c>
      <c r="T835" t="str">
        <f t="shared" ref="T835:T898" si="67">IF(Q835&lt;15,"Low",IF(Q835&lt;25,"Good","Excellent"))</f>
        <v>Low</v>
      </c>
      <c r="U835" t="str" cm="1">
        <f t="array" ref="U835">_xlfn.LET(_xlpm.roles,_xlfn.UNIQUE(D835:D3633),_xlpm.kills, SUMIF(D835:D3633,_xlpm.roles,G835:G3633),INDEX(_xlpm.roles,MATCH(MAX(_xlpm.kills),_xlpm.kills,0)))</f>
        <v>Entry Fragger</v>
      </c>
      <c r="V835" t="str">
        <f t="shared" ref="V835:V898" si="68">IF(J835&gt;=50,"High Accuracy",IF(J835&gt;=30,"Medium Accuracy","Low Accuracy"))</f>
        <v>Medium Accuracy</v>
      </c>
      <c r="W835" t="str" cm="1">
        <f t="array" ref="W835">_xlfn.LET(_xlpm.roles,_xlfn.UNIQUE(D835:D3633), _xlpm.counts,COUNTIF(D835:D3633,_xlpm.roles), INDEX(_xlpm.roles,MATCH(MAX(_xlpm.counts),_xlpm.counts,0)))</f>
        <v>Entry Fragger</v>
      </c>
      <c r="X835" s="2">
        <f t="shared" ref="X835:X898" si="69">AVERAGEIF($C$2:$C$2800,C835,$Q$2:$Q$2800)</f>
        <v>13.057077625570777</v>
      </c>
    </row>
    <row r="836" spans="1:24" x14ac:dyDescent="0.3">
      <c r="A836">
        <v>473</v>
      </c>
      <c r="B836">
        <v>147</v>
      </c>
      <c r="C836" t="s">
        <v>30</v>
      </c>
      <c r="D836" t="s">
        <v>31</v>
      </c>
      <c r="E836" t="s">
        <v>29</v>
      </c>
      <c r="F836" t="s">
        <v>26</v>
      </c>
      <c r="G836">
        <v>15</v>
      </c>
      <c r="H836">
        <v>5</v>
      </c>
      <c r="I836">
        <v>11</v>
      </c>
      <c r="J836">
        <v>47.4</v>
      </c>
      <c r="K836">
        <v>227.9</v>
      </c>
      <c r="L836">
        <v>0.62</v>
      </c>
      <c r="M836">
        <v>41.5</v>
      </c>
      <c r="N836">
        <v>1</v>
      </c>
      <c r="O836" t="s">
        <v>20</v>
      </c>
      <c r="P836" t="s">
        <v>21</v>
      </c>
      <c r="Q836">
        <f t="shared" si="65"/>
        <v>9</v>
      </c>
      <c r="R836" s="4">
        <f>RANK(N836,$N$2:N$2800,0)</f>
        <v>1</v>
      </c>
      <c r="S836">
        <f t="shared" si="66"/>
        <v>1.3636363636363635</v>
      </c>
      <c r="T836" t="str">
        <f t="shared" si="67"/>
        <v>Low</v>
      </c>
      <c r="U836" t="str" cm="1">
        <f t="array" ref="U836">_xlfn.LET(_xlpm.roles,_xlfn.UNIQUE(D836:D3634),_xlpm.kills, SUMIF(D836:D3634,_xlpm.roles,G836:G3634),INDEX(_xlpm.roles,MATCH(MAX(_xlpm.kills),_xlpm.kills,0)))</f>
        <v>Entry Fragger</v>
      </c>
      <c r="V836" t="str">
        <f t="shared" si="68"/>
        <v>Medium Accuracy</v>
      </c>
      <c r="W836" t="str" cm="1">
        <f t="array" ref="W836">_xlfn.LET(_xlpm.roles,_xlfn.UNIQUE(D836:D3634), _xlpm.counts,COUNTIF(D836:D3634,_xlpm.roles), INDEX(_xlpm.roles,MATCH(MAX(_xlpm.counts),_xlpm.counts,0)))</f>
        <v>Entry Fragger</v>
      </c>
      <c r="X836" s="2">
        <f t="shared" si="69"/>
        <v>13.135802469135802</v>
      </c>
    </row>
    <row r="837" spans="1:24" x14ac:dyDescent="0.3">
      <c r="A837">
        <v>620</v>
      </c>
      <c r="B837">
        <v>147</v>
      </c>
      <c r="C837" t="s">
        <v>25</v>
      </c>
      <c r="D837" t="s">
        <v>31</v>
      </c>
      <c r="E837" t="s">
        <v>18</v>
      </c>
      <c r="F837" t="s">
        <v>19</v>
      </c>
      <c r="G837">
        <v>13</v>
      </c>
      <c r="H837">
        <v>10</v>
      </c>
      <c r="I837">
        <v>6</v>
      </c>
      <c r="J837">
        <v>52.09</v>
      </c>
      <c r="K837">
        <v>198.96</v>
      </c>
      <c r="L837">
        <v>0.62</v>
      </c>
      <c r="M837">
        <v>49.84</v>
      </c>
      <c r="N837">
        <v>0.9</v>
      </c>
      <c r="O837" t="s">
        <v>20</v>
      </c>
      <c r="P837" t="s">
        <v>21</v>
      </c>
      <c r="Q837">
        <f t="shared" si="65"/>
        <v>17</v>
      </c>
      <c r="R837" s="4">
        <f>RANK(N837,$N$2:N$2800,0)</f>
        <v>1738</v>
      </c>
      <c r="S837">
        <f t="shared" si="66"/>
        <v>2.1666666666666665</v>
      </c>
      <c r="T837" t="str">
        <f t="shared" si="67"/>
        <v>Good</v>
      </c>
      <c r="U837" t="str" cm="1">
        <f t="array" ref="U837">_xlfn.LET(_xlpm.roles,_xlfn.UNIQUE(D837:D3635),_xlpm.kills, SUMIF(D837:D3635,_xlpm.roles,G837:G3635),INDEX(_xlpm.roles,MATCH(MAX(_xlpm.kills),_xlpm.kills,0)))</f>
        <v>Entry Fragger</v>
      </c>
      <c r="V837" t="str">
        <f t="shared" si="68"/>
        <v>High Accuracy</v>
      </c>
      <c r="W837" t="str" cm="1">
        <f t="array" ref="W837">_xlfn.LET(_xlpm.roles,_xlfn.UNIQUE(D837:D3635), _xlpm.counts,COUNTIF(D837:D3635,_xlpm.roles), INDEX(_xlpm.roles,MATCH(MAX(_xlpm.counts),_xlpm.counts,0)))</f>
        <v>Entry Fragger</v>
      </c>
      <c r="X837" s="2">
        <f t="shared" si="69"/>
        <v>12.809421841541756</v>
      </c>
    </row>
    <row r="838" spans="1:24" x14ac:dyDescent="0.3">
      <c r="A838">
        <v>813</v>
      </c>
      <c r="B838">
        <v>147</v>
      </c>
      <c r="C838" t="s">
        <v>27</v>
      </c>
      <c r="D838" t="s">
        <v>28</v>
      </c>
      <c r="E838" t="s">
        <v>29</v>
      </c>
      <c r="F838" t="s">
        <v>26</v>
      </c>
      <c r="G838">
        <v>21</v>
      </c>
      <c r="H838">
        <v>9</v>
      </c>
      <c r="I838">
        <v>14</v>
      </c>
      <c r="J838">
        <v>43.19</v>
      </c>
      <c r="K838">
        <v>168.1</v>
      </c>
      <c r="L838">
        <v>0.08</v>
      </c>
      <c r="M838">
        <v>57.8</v>
      </c>
      <c r="N838">
        <v>1</v>
      </c>
      <c r="O838" t="s">
        <v>20</v>
      </c>
      <c r="P838" t="s">
        <v>21</v>
      </c>
      <c r="Q838">
        <f t="shared" si="65"/>
        <v>16</v>
      </c>
      <c r="R838" s="4">
        <f>RANK(N838,$N$2:N$2800,0)</f>
        <v>1</v>
      </c>
      <c r="S838">
        <f t="shared" si="66"/>
        <v>1.5</v>
      </c>
      <c r="T838" t="str">
        <f t="shared" si="67"/>
        <v>Good</v>
      </c>
      <c r="U838" t="str" cm="1">
        <f t="array" ref="U838">_xlfn.LET(_xlpm.roles,_xlfn.UNIQUE(D838:D3636),_xlpm.kills, SUMIF(D838:D3636,_xlpm.roles,G838:G3636),INDEX(_xlpm.roles,MATCH(MAX(_xlpm.kills),_xlpm.kills,0)))</f>
        <v>Entry Fragger</v>
      </c>
      <c r="V838" t="str">
        <f t="shared" si="68"/>
        <v>Medium Accuracy</v>
      </c>
      <c r="W838" t="str" cm="1">
        <f t="array" ref="W838">_xlfn.LET(_xlpm.roles,_xlfn.UNIQUE(D838:D3636), _xlpm.counts,COUNTIF(D838:D3636,_xlpm.roles), INDEX(_xlpm.roles,MATCH(MAX(_xlpm.counts),_xlpm.counts,0)))</f>
        <v>Entry Fragger</v>
      </c>
      <c r="X838" s="2">
        <f t="shared" si="69"/>
        <v>13.057077625570777</v>
      </c>
    </row>
    <row r="839" spans="1:24" x14ac:dyDescent="0.3">
      <c r="A839">
        <v>1697</v>
      </c>
      <c r="B839">
        <v>147</v>
      </c>
      <c r="C839" t="s">
        <v>30</v>
      </c>
      <c r="D839" t="s">
        <v>36</v>
      </c>
      <c r="E839" t="s">
        <v>23</v>
      </c>
      <c r="F839" t="s">
        <v>24</v>
      </c>
      <c r="G839">
        <v>24</v>
      </c>
      <c r="H839">
        <v>7</v>
      </c>
      <c r="I839">
        <v>12</v>
      </c>
      <c r="J839">
        <v>49.6</v>
      </c>
      <c r="K839">
        <v>242.98</v>
      </c>
      <c r="L839">
        <v>0.14000000000000001</v>
      </c>
      <c r="M839">
        <v>66.400000000000006</v>
      </c>
      <c r="N839">
        <v>1</v>
      </c>
      <c r="O839" t="s">
        <v>20</v>
      </c>
      <c r="P839" t="s">
        <v>38</v>
      </c>
      <c r="Q839">
        <f t="shared" si="65"/>
        <v>19</v>
      </c>
      <c r="R839" s="4">
        <f>RANK(N839,$N$2:N$2800,0)</f>
        <v>1</v>
      </c>
      <c r="S839">
        <f t="shared" si="66"/>
        <v>2</v>
      </c>
      <c r="T839" t="str">
        <f t="shared" si="67"/>
        <v>Good</v>
      </c>
      <c r="U839" t="str" cm="1">
        <f t="array" ref="U839">_xlfn.LET(_xlpm.roles,_xlfn.UNIQUE(D839:D3637),_xlpm.kills, SUMIF(D839:D3637,_xlpm.roles,G839:G3637),INDEX(_xlpm.roles,MATCH(MAX(_xlpm.kills),_xlpm.kills,0)))</f>
        <v>Entry Fragger</v>
      </c>
      <c r="V839" t="str">
        <f t="shared" si="68"/>
        <v>Medium Accuracy</v>
      </c>
      <c r="W839" t="str" cm="1">
        <f t="array" ref="W839">_xlfn.LET(_xlpm.roles,_xlfn.UNIQUE(D839:D3637), _xlpm.counts,COUNTIF(D839:D3637,_xlpm.roles), INDEX(_xlpm.roles,MATCH(MAX(_xlpm.counts),_xlpm.counts,0)))</f>
        <v>Entry Fragger</v>
      </c>
      <c r="X839" s="2">
        <f t="shared" si="69"/>
        <v>13.135802469135802</v>
      </c>
    </row>
    <row r="840" spans="1:24" x14ac:dyDescent="0.3">
      <c r="A840">
        <v>1747</v>
      </c>
      <c r="B840">
        <v>147</v>
      </c>
      <c r="C840" t="s">
        <v>16</v>
      </c>
      <c r="D840" t="s">
        <v>28</v>
      </c>
      <c r="E840" t="s">
        <v>18</v>
      </c>
      <c r="F840" t="s">
        <v>37</v>
      </c>
      <c r="G840">
        <v>13</v>
      </c>
      <c r="H840">
        <v>9</v>
      </c>
      <c r="I840">
        <v>16</v>
      </c>
      <c r="J840">
        <v>49.24</v>
      </c>
      <c r="K840">
        <v>296.29000000000002</v>
      </c>
      <c r="L840">
        <v>0.01</v>
      </c>
      <c r="M840">
        <v>43.52</v>
      </c>
      <c r="N840">
        <v>0.87</v>
      </c>
      <c r="O840" t="s">
        <v>20</v>
      </c>
      <c r="P840" t="s">
        <v>21</v>
      </c>
      <c r="Q840">
        <f t="shared" si="65"/>
        <v>6</v>
      </c>
      <c r="R840" s="4">
        <f>RANK(N840,$N$2:N$2800,0)</f>
        <v>1965</v>
      </c>
      <c r="S840">
        <f t="shared" si="66"/>
        <v>0.8125</v>
      </c>
      <c r="T840" t="str">
        <f t="shared" si="67"/>
        <v>Low</v>
      </c>
      <c r="U840" t="str" cm="1">
        <f t="array" ref="U840">_xlfn.LET(_xlpm.roles,_xlfn.UNIQUE(D840:D3638),_xlpm.kills, SUMIF(D840:D3638,_xlpm.roles,G840:G3638),INDEX(_xlpm.roles,MATCH(MAX(_xlpm.kills),_xlpm.kills,0)))</f>
        <v>Entry Fragger</v>
      </c>
      <c r="V840" t="str">
        <f t="shared" si="68"/>
        <v>Medium Accuracy</v>
      </c>
      <c r="W840" t="str" cm="1">
        <f t="array" ref="W840">_xlfn.LET(_xlpm.roles,_xlfn.UNIQUE(D840:D3638), _xlpm.counts,COUNTIF(D840:D3638,_xlpm.roles), INDEX(_xlpm.roles,MATCH(MAX(_xlpm.counts),_xlpm.counts,0)))</f>
        <v>Entry Fragger</v>
      </c>
      <c r="X840" s="2">
        <f t="shared" si="69"/>
        <v>12.520971302428256</v>
      </c>
    </row>
    <row r="841" spans="1:24" x14ac:dyDescent="0.3">
      <c r="A841">
        <v>1852</v>
      </c>
      <c r="B841">
        <v>147</v>
      </c>
      <c r="C841" t="s">
        <v>16</v>
      </c>
      <c r="D841" t="s">
        <v>22</v>
      </c>
      <c r="E841" t="s">
        <v>29</v>
      </c>
      <c r="F841" t="s">
        <v>24</v>
      </c>
      <c r="G841">
        <v>8</v>
      </c>
      <c r="H841">
        <v>9</v>
      </c>
      <c r="I841">
        <v>15</v>
      </c>
      <c r="J841">
        <v>46.56</v>
      </c>
      <c r="K841">
        <v>202.41</v>
      </c>
      <c r="L841">
        <v>0.75</v>
      </c>
      <c r="M841">
        <v>25.78</v>
      </c>
      <c r="N841">
        <v>0.77</v>
      </c>
      <c r="O841" t="s">
        <v>20</v>
      </c>
      <c r="P841" t="s">
        <v>21</v>
      </c>
      <c r="Q841">
        <f t="shared" si="65"/>
        <v>2</v>
      </c>
      <c r="R841" s="4">
        <f>RANK(N841,$N$2:N$2800,0)</f>
        <v>2511</v>
      </c>
      <c r="S841">
        <f t="shared" si="66"/>
        <v>0.53333333333333333</v>
      </c>
      <c r="T841" t="str">
        <f t="shared" si="67"/>
        <v>Low</v>
      </c>
      <c r="U841" t="str" cm="1">
        <f t="array" ref="U841">_xlfn.LET(_xlpm.roles,_xlfn.UNIQUE(D841:D3639),_xlpm.kills, SUMIF(D841:D3639,_xlpm.roles,G841:G3639),INDEX(_xlpm.roles,MATCH(MAX(_xlpm.kills),_xlpm.kills,0)))</f>
        <v>Entry Fragger</v>
      </c>
      <c r="V841" t="str">
        <f t="shared" si="68"/>
        <v>Medium Accuracy</v>
      </c>
      <c r="W841" t="str" cm="1">
        <f t="array" ref="W841">_xlfn.LET(_xlpm.roles,_xlfn.UNIQUE(D841:D3639), _xlpm.counts,COUNTIF(D841:D3639,_xlpm.roles), INDEX(_xlpm.roles,MATCH(MAX(_xlpm.counts),_xlpm.counts,0)))</f>
        <v>Entry Fragger</v>
      </c>
      <c r="X841" s="2">
        <f t="shared" si="69"/>
        <v>12.520971302428256</v>
      </c>
    </row>
    <row r="842" spans="1:24" x14ac:dyDescent="0.3">
      <c r="A842">
        <v>1916</v>
      </c>
      <c r="B842">
        <v>147</v>
      </c>
      <c r="C842" t="s">
        <v>16</v>
      </c>
      <c r="D842" t="s">
        <v>36</v>
      </c>
      <c r="E842" t="s">
        <v>33</v>
      </c>
      <c r="F842" t="s">
        <v>24</v>
      </c>
      <c r="G842">
        <v>12</v>
      </c>
      <c r="H842">
        <v>12</v>
      </c>
      <c r="I842">
        <v>7</v>
      </c>
      <c r="J842">
        <v>34.56</v>
      </c>
      <c r="K842">
        <v>149.43</v>
      </c>
      <c r="L842">
        <v>0.26</v>
      </c>
      <c r="M842">
        <v>43.68</v>
      </c>
      <c r="N842">
        <v>0.96</v>
      </c>
      <c r="O842" t="s">
        <v>20</v>
      </c>
      <c r="P842" t="s">
        <v>21</v>
      </c>
      <c r="Q842">
        <f t="shared" si="65"/>
        <v>17</v>
      </c>
      <c r="R842" s="4">
        <f>RANK(N842,$N$2:N$2800,0)</f>
        <v>1301</v>
      </c>
      <c r="S842">
        <f t="shared" si="66"/>
        <v>1.7142857142857142</v>
      </c>
      <c r="T842" t="str">
        <f t="shared" si="67"/>
        <v>Good</v>
      </c>
      <c r="U842" t="str" cm="1">
        <f t="array" ref="U842">_xlfn.LET(_xlpm.roles,_xlfn.UNIQUE(D842:D3640),_xlpm.kills, SUMIF(D842:D3640,_xlpm.roles,G842:G3640),INDEX(_xlpm.roles,MATCH(MAX(_xlpm.kills),_xlpm.kills,0)))</f>
        <v>Entry Fragger</v>
      </c>
      <c r="V842" t="str">
        <f t="shared" si="68"/>
        <v>Medium Accuracy</v>
      </c>
      <c r="W842" t="str" cm="1">
        <f t="array" ref="W842">_xlfn.LET(_xlpm.roles,_xlfn.UNIQUE(D842:D3640), _xlpm.counts,COUNTIF(D842:D3640,_xlpm.roles), INDEX(_xlpm.roles,MATCH(MAX(_xlpm.counts),_xlpm.counts,0)))</f>
        <v>Entry Fragger</v>
      </c>
      <c r="X842" s="2">
        <f t="shared" si="69"/>
        <v>12.520971302428256</v>
      </c>
    </row>
    <row r="843" spans="1:24" x14ac:dyDescent="0.3">
      <c r="A843">
        <v>2049</v>
      </c>
      <c r="B843">
        <v>147</v>
      </c>
      <c r="C843" t="s">
        <v>39</v>
      </c>
      <c r="D843" t="s">
        <v>31</v>
      </c>
      <c r="E843" t="s">
        <v>18</v>
      </c>
      <c r="F843" t="s">
        <v>26</v>
      </c>
      <c r="G843">
        <v>13</v>
      </c>
      <c r="H843">
        <v>7</v>
      </c>
      <c r="I843">
        <v>5</v>
      </c>
      <c r="J843">
        <v>32.03</v>
      </c>
      <c r="K843">
        <v>218.46</v>
      </c>
      <c r="L843">
        <v>0.28000000000000003</v>
      </c>
      <c r="M843">
        <v>41.22</v>
      </c>
      <c r="N843">
        <v>1</v>
      </c>
      <c r="O843" t="s">
        <v>20</v>
      </c>
      <c r="P843" t="s">
        <v>21</v>
      </c>
      <c r="Q843">
        <f t="shared" si="65"/>
        <v>15</v>
      </c>
      <c r="R843" s="4">
        <f>RANK(N843,$N$2:N$2800,0)</f>
        <v>1</v>
      </c>
      <c r="S843">
        <f t="shared" si="66"/>
        <v>2.6</v>
      </c>
      <c r="T843" t="str">
        <f t="shared" si="67"/>
        <v>Good</v>
      </c>
      <c r="U843" t="str" cm="1">
        <f t="array" ref="U843">_xlfn.LET(_xlpm.roles,_xlfn.UNIQUE(D843:D3641),_xlpm.kills, SUMIF(D843:D3641,_xlpm.roles,G843:G3641),INDEX(_xlpm.roles,MATCH(MAX(_xlpm.kills),_xlpm.kills,0)))</f>
        <v>Entry Fragger</v>
      </c>
      <c r="V843" t="str">
        <f t="shared" si="68"/>
        <v>Medium Accuracy</v>
      </c>
      <c r="W843" t="str" cm="1">
        <f t="array" ref="W843">_xlfn.LET(_xlpm.roles,_xlfn.UNIQUE(D843:D3641), _xlpm.counts,COUNTIF(D843:D3641,_xlpm.roles), INDEX(_xlpm.roles,MATCH(MAX(_xlpm.counts),_xlpm.counts,0)))</f>
        <v>Entry Fragger</v>
      </c>
      <c r="X843" s="2">
        <f t="shared" si="69"/>
        <v>13.103594080338267</v>
      </c>
    </row>
    <row r="844" spans="1:24" x14ac:dyDescent="0.3">
      <c r="A844">
        <v>2299</v>
      </c>
      <c r="B844">
        <v>147</v>
      </c>
      <c r="C844" t="s">
        <v>30</v>
      </c>
      <c r="D844" t="s">
        <v>36</v>
      </c>
      <c r="E844" t="s">
        <v>18</v>
      </c>
      <c r="F844" t="s">
        <v>34</v>
      </c>
      <c r="G844">
        <v>21</v>
      </c>
      <c r="H844">
        <v>8</v>
      </c>
      <c r="I844">
        <v>9</v>
      </c>
      <c r="J844">
        <v>50.99</v>
      </c>
      <c r="K844">
        <v>185.9</v>
      </c>
      <c r="L844">
        <v>0.83</v>
      </c>
      <c r="M844">
        <v>58.2</v>
      </c>
      <c r="N844">
        <v>1</v>
      </c>
      <c r="O844" t="s">
        <v>20</v>
      </c>
      <c r="P844" t="s">
        <v>21</v>
      </c>
      <c r="Q844">
        <f t="shared" si="65"/>
        <v>20</v>
      </c>
      <c r="R844" s="4">
        <f>RANK(N844,$N$2:N$2800,0)</f>
        <v>1</v>
      </c>
      <c r="S844">
        <f t="shared" si="66"/>
        <v>2.3333333333333335</v>
      </c>
      <c r="T844" t="str">
        <f t="shared" si="67"/>
        <v>Good</v>
      </c>
      <c r="U844" t="str" cm="1">
        <f t="array" ref="U844">_xlfn.LET(_xlpm.roles,_xlfn.UNIQUE(D844:D3642),_xlpm.kills, SUMIF(D844:D3642,_xlpm.roles,G844:G3642),INDEX(_xlpm.roles,MATCH(MAX(_xlpm.kills),_xlpm.kills,0)))</f>
        <v>Entry Fragger</v>
      </c>
      <c r="V844" t="str">
        <f t="shared" si="68"/>
        <v>High Accuracy</v>
      </c>
      <c r="W844" t="str" cm="1">
        <f t="array" ref="W844">_xlfn.LET(_xlpm.roles,_xlfn.UNIQUE(D844:D3642), _xlpm.counts,COUNTIF(D844:D3642,_xlpm.roles), INDEX(_xlpm.roles,MATCH(MAX(_xlpm.counts),_xlpm.counts,0)))</f>
        <v>Entry Fragger</v>
      </c>
      <c r="X844" s="2">
        <f t="shared" si="69"/>
        <v>13.135802469135802</v>
      </c>
    </row>
    <row r="845" spans="1:24" x14ac:dyDescent="0.3">
      <c r="A845">
        <v>2333</v>
      </c>
      <c r="B845">
        <v>147</v>
      </c>
      <c r="C845" t="s">
        <v>27</v>
      </c>
      <c r="D845" t="s">
        <v>22</v>
      </c>
      <c r="E845" t="s">
        <v>18</v>
      </c>
      <c r="F845" t="s">
        <v>37</v>
      </c>
      <c r="G845">
        <v>14</v>
      </c>
      <c r="H845">
        <v>8</v>
      </c>
      <c r="I845">
        <v>7</v>
      </c>
      <c r="J845">
        <v>52.74</v>
      </c>
      <c r="K845">
        <v>182.13</v>
      </c>
      <c r="L845">
        <v>0.96</v>
      </c>
      <c r="M845">
        <v>45.77</v>
      </c>
      <c r="N845">
        <v>0.98</v>
      </c>
      <c r="O845" t="s">
        <v>20</v>
      </c>
      <c r="P845" t="s">
        <v>21</v>
      </c>
      <c r="Q845">
        <f t="shared" si="65"/>
        <v>15</v>
      </c>
      <c r="R845" s="4">
        <f>RANK(N845,$N$2:N$2800,0)</f>
        <v>1157</v>
      </c>
      <c r="S845">
        <f t="shared" si="66"/>
        <v>2</v>
      </c>
      <c r="T845" t="str">
        <f t="shared" si="67"/>
        <v>Good</v>
      </c>
      <c r="U845" t="str" cm="1">
        <f t="array" ref="U845">_xlfn.LET(_xlpm.roles,_xlfn.UNIQUE(D845:D3643),_xlpm.kills, SUMIF(D845:D3643,_xlpm.roles,G845:G3643),INDEX(_xlpm.roles,MATCH(MAX(_xlpm.kills),_xlpm.kills,0)))</f>
        <v>Entry Fragger</v>
      </c>
      <c r="V845" t="str">
        <f t="shared" si="68"/>
        <v>High Accuracy</v>
      </c>
      <c r="W845" t="str" cm="1">
        <f t="array" ref="W845">_xlfn.LET(_xlpm.roles,_xlfn.UNIQUE(D845:D3643), _xlpm.counts,COUNTIF(D845:D3643,_xlpm.roles), INDEX(_xlpm.roles,MATCH(MAX(_xlpm.counts),_xlpm.counts,0)))</f>
        <v>Entry Fragger</v>
      </c>
      <c r="X845" s="2">
        <f t="shared" si="69"/>
        <v>13.057077625570777</v>
      </c>
    </row>
    <row r="846" spans="1:24" x14ac:dyDescent="0.3">
      <c r="A846">
        <v>2412</v>
      </c>
      <c r="B846">
        <v>147</v>
      </c>
      <c r="C846" t="s">
        <v>30</v>
      </c>
      <c r="D846" t="s">
        <v>22</v>
      </c>
      <c r="E846" t="s">
        <v>18</v>
      </c>
      <c r="F846" t="s">
        <v>26</v>
      </c>
      <c r="G846">
        <v>15</v>
      </c>
      <c r="H846">
        <v>3</v>
      </c>
      <c r="I846">
        <v>8</v>
      </c>
      <c r="J846">
        <v>42.59</v>
      </c>
      <c r="K846">
        <v>314.44</v>
      </c>
      <c r="L846">
        <v>0.43</v>
      </c>
      <c r="M846">
        <v>42</v>
      </c>
      <c r="N846">
        <v>0.99</v>
      </c>
      <c r="O846" t="s">
        <v>20</v>
      </c>
      <c r="P846" t="s">
        <v>21</v>
      </c>
      <c r="Q846">
        <f t="shared" si="65"/>
        <v>10</v>
      </c>
      <c r="R846" s="4">
        <f>RANK(N846,$N$2:N$2800,0)</f>
        <v>1080</v>
      </c>
      <c r="S846">
        <f t="shared" si="66"/>
        <v>1.875</v>
      </c>
      <c r="T846" t="str">
        <f t="shared" si="67"/>
        <v>Low</v>
      </c>
      <c r="U846" t="str" cm="1">
        <f t="array" ref="U846">_xlfn.LET(_xlpm.roles,_xlfn.UNIQUE(D846:D3644),_xlpm.kills, SUMIF(D846:D3644,_xlpm.roles,G846:G3644),INDEX(_xlpm.roles,MATCH(MAX(_xlpm.kills),_xlpm.kills,0)))</f>
        <v>Entry Fragger</v>
      </c>
      <c r="V846" t="str">
        <f t="shared" si="68"/>
        <v>Medium Accuracy</v>
      </c>
      <c r="W846" t="str" cm="1">
        <f t="array" ref="W846">_xlfn.LET(_xlpm.roles,_xlfn.UNIQUE(D846:D3644), _xlpm.counts,COUNTIF(D846:D3644,_xlpm.roles), INDEX(_xlpm.roles,MATCH(MAX(_xlpm.counts),_xlpm.counts,0)))</f>
        <v>Entry Fragger</v>
      </c>
      <c r="X846" s="2">
        <f t="shared" si="69"/>
        <v>13.135802469135802</v>
      </c>
    </row>
    <row r="847" spans="1:24" x14ac:dyDescent="0.3">
      <c r="A847">
        <v>2649</v>
      </c>
      <c r="B847">
        <v>147</v>
      </c>
      <c r="C847" t="s">
        <v>35</v>
      </c>
      <c r="D847" t="s">
        <v>28</v>
      </c>
      <c r="E847" t="s">
        <v>29</v>
      </c>
      <c r="F847" t="s">
        <v>19</v>
      </c>
      <c r="G847">
        <v>15</v>
      </c>
      <c r="H847">
        <v>10</v>
      </c>
      <c r="I847">
        <v>15</v>
      </c>
      <c r="J847">
        <v>41.68</v>
      </c>
      <c r="K847">
        <v>227.91</v>
      </c>
      <c r="L847">
        <v>0.03</v>
      </c>
      <c r="M847">
        <v>45.54</v>
      </c>
      <c r="N847">
        <v>0.95</v>
      </c>
      <c r="O847" t="s">
        <v>20</v>
      </c>
      <c r="P847" t="s">
        <v>21</v>
      </c>
      <c r="Q847">
        <f t="shared" si="65"/>
        <v>10</v>
      </c>
      <c r="R847" s="4">
        <f>RANK(N847,$N$2:N$2800,0)</f>
        <v>1367</v>
      </c>
      <c r="S847">
        <f t="shared" si="66"/>
        <v>1</v>
      </c>
      <c r="T847" t="str">
        <f t="shared" si="67"/>
        <v>Low</v>
      </c>
      <c r="U847" t="str" cm="1">
        <f t="array" ref="U847">_xlfn.LET(_xlpm.roles,_xlfn.UNIQUE(D847:D3645),_xlpm.kills, SUMIF(D847:D3645,_xlpm.roles,G847:G3645),INDEX(_xlpm.roles,MATCH(MAX(_xlpm.kills),_xlpm.kills,0)))</f>
        <v>Entry Fragger</v>
      </c>
      <c r="V847" t="str">
        <f t="shared" si="68"/>
        <v>Medium Accuracy</v>
      </c>
      <c r="W847" t="str" cm="1">
        <f t="array" ref="W847">_xlfn.LET(_xlpm.roles,_xlfn.UNIQUE(D847:D3645), _xlpm.counts,COUNTIF(D847:D3645,_xlpm.roles), INDEX(_xlpm.roles,MATCH(MAX(_xlpm.counts),_xlpm.counts,0)))</f>
        <v>Entry Fragger</v>
      </c>
      <c r="X847" s="2">
        <f t="shared" si="69"/>
        <v>12.599585062240664</v>
      </c>
    </row>
    <row r="848" spans="1:24" x14ac:dyDescent="0.3">
      <c r="A848">
        <v>2717</v>
      </c>
      <c r="B848">
        <v>147</v>
      </c>
      <c r="C848" t="s">
        <v>35</v>
      </c>
      <c r="D848" t="s">
        <v>28</v>
      </c>
      <c r="E848" t="s">
        <v>32</v>
      </c>
      <c r="F848" t="s">
        <v>26</v>
      </c>
      <c r="G848">
        <v>13</v>
      </c>
      <c r="H848">
        <v>5</v>
      </c>
      <c r="I848">
        <v>10</v>
      </c>
      <c r="J848">
        <v>45.61</v>
      </c>
      <c r="K848">
        <v>195.64</v>
      </c>
      <c r="L848">
        <v>0.64</v>
      </c>
      <c r="M848">
        <v>37.409999999999997</v>
      </c>
      <c r="N848">
        <v>0.74</v>
      </c>
      <c r="O848" t="s">
        <v>20</v>
      </c>
      <c r="P848" t="s">
        <v>21</v>
      </c>
      <c r="Q848">
        <f t="shared" si="65"/>
        <v>8</v>
      </c>
      <c r="R848" s="4">
        <f>RANK(N848,$N$2:N$2800,0)</f>
        <v>2613</v>
      </c>
      <c r="S848">
        <f t="shared" si="66"/>
        <v>1.3</v>
      </c>
      <c r="T848" t="str">
        <f t="shared" si="67"/>
        <v>Low</v>
      </c>
      <c r="U848" t="str" cm="1">
        <f t="array" ref="U848">_xlfn.LET(_xlpm.roles,_xlfn.UNIQUE(D848:D3646),_xlpm.kills, SUMIF(D848:D3646,_xlpm.roles,G848:G3646),INDEX(_xlpm.roles,MATCH(MAX(_xlpm.kills),_xlpm.kills,0)))</f>
        <v>Entry Fragger</v>
      </c>
      <c r="V848" t="str">
        <f t="shared" si="68"/>
        <v>Medium Accuracy</v>
      </c>
      <c r="W848" t="str" cm="1">
        <f t="array" ref="W848">_xlfn.LET(_xlpm.roles,_xlfn.UNIQUE(D848:D3646), _xlpm.counts,COUNTIF(D848:D3646,_xlpm.roles), INDEX(_xlpm.roles,MATCH(MAX(_xlpm.counts),_xlpm.counts,0)))</f>
        <v>Entry Fragger</v>
      </c>
      <c r="X848" s="2">
        <f t="shared" si="69"/>
        <v>12.599585062240664</v>
      </c>
    </row>
    <row r="849" spans="1:24" x14ac:dyDescent="0.3">
      <c r="A849">
        <v>468</v>
      </c>
      <c r="B849">
        <v>148</v>
      </c>
      <c r="C849" t="s">
        <v>30</v>
      </c>
      <c r="D849" t="s">
        <v>36</v>
      </c>
      <c r="E849" t="s">
        <v>23</v>
      </c>
      <c r="F849" t="s">
        <v>37</v>
      </c>
      <c r="G849">
        <v>12</v>
      </c>
      <c r="H849">
        <v>8</v>
      </c>
      <c r="I849">
        <v>14</v>
      </c>
      <c r="J849">
        <v>42.14</v>
      </c>
      <c r="K849">
        <v>243.9</v>
      </c>
      <c r="L849">
        <v>0.47</v>
      </c>
      <c r="M849">
        <v>34.369999999999997</v>
      </c>
      <c r="N849">
        <v>1</v>
      </c>
      <c r="O849" t="s">
        <v>20</v>
      </c>
      <c r="P849" t="s">
        <v>21</v>
      </c>
      <c r="Q849">
        <f t="shared" si="65"/>
        <v>6</v>
      </c>
      <c r="R849" s="4">
        <f>RANK(N849,$N$2:N$2800,0)</f>
        <v>1</v>
      </c>
      <c r="S849">
        <f t="shared" si="66"/>
        <v>0.8571428571428571</v>
      </c>
      <c r="T849" t="str">
        <f t="shared" si="67"/>
        <v>Low</v>
      </c>
      <c r="U849" t="str" cm="1">
        <f t="array" ref="U849">_xlfn.LET(_xlpm.roles,_xlfn.UNIQUE(D849:D3647),_xlpm.kills, SUMIF(D849:D3647,_xlpm.roles,G849:G3647),INDEX(_xlpm.roles,MATCH(MAX(_xlpm.kills),_xlpm.kills,0)))</f>
        <v>Entry Fragger</v>
      </c>
      <c r="V849" t="str">
        <f t="shared" si="68"/>
        <v>Medium Accuracy</v>
      </c>
      <c r="W849" t="str" cm="1">
        <f t="array" ref="W849">_xlfn.LET(_xlpm.roles,_xlfn.UNIQUE(D849:D3647), _xlpm.counts,COUNTIF(D849:D3647,_xlpm.roles), INDEX(_xlpm.roles,MATCH(MAX(_xlpm.counts),_xlpm.counts,0)))</f>
        <v>Entry Fragger</v>
      </c>
      <c r="X849" s="2">
        <f t="shared" si="69"/>
        <v>13.135802469135802</v>
      </c>
    </row>
    <row r="850" spans="1:24" x14ac:dyDescent="0.3">
      <c r="A850">
        <v>491</v>
      </c>
      <c r="B850">
        <v>148</v>
      </c>
      <c r="C850" t="s">
        <v>25</v>
      </c>
      <c r="D850" t="s">
        <v>36</v>
      </c>
      <c r="E850" t="s">
        <v>29</v>
      </c>
      <c r="F850" t="s">
        <v>34</v>
      </c>
      <c r="G850">
        <v>14</v>
      </c>
      <c r="H850">
        <v>9</v>
      </c>
      <c r="I850">
        <v>9</v>
      </c>
      <c r="J850">
        <v>48.47</v>
      </c>
      <c r="K850">
        <v>159.83000000000001</v>
      </c>
      <c r="L850">
        <v>0.91</v>
      </c>
      <c r="M850">
        <v>43.13</v>
      </c>
      <c r="N850">
        <v>0.95</v>
      </c>
      <c r="O850" t="s">
        <v>20</v>
      </c>
      <c r="P850" t="s">
        <v>21</v>
      </c>
      <c r="Q850">
        <f t="shared" si="65"/>
        <v>14</v>
      </c>
      <c r="R850" s="4">
        <f>RANK(N850,$N$2:N$2800,0)</f>
        <v>1367</v>
      </c>
      <c r="S850">
        <f t="shared" si="66"/>
        <v>1.5555555555555556</v>
      </c>
      <c r="T850" t="str">
        <f t="shared" si="67"/>
        <v>Low</v>
      </c>
      <c r="U850" t="str" cm="1">
        <f t="array" ref="U850">_xlfn.LET(_xlpm.roles,_xlfn.UNIQUE(D850:D3648),_xlpm.kills, SUMIF(D850:D3648,_xlpm.roles,G850:G3648),INDEX(_xlpm.roles,MATCH(MAX(_xlpm.kills),_xlpm.kills,0)))</f>
        <v>Entry Fragger</v>
      </c>
      <c r="V850" t="str">
        <f t="shared" si="68"/>
        <v>Medium Accuracy</v>
      </c>
      <c r="W850" t="str" cm="1">
        <f t="array" ref="W850">_xlfn.LET(_xlpm.roles,_xlfn.UNIQUE(D850:D3648), _xlpm.counts,COUNTIF(D850:D3648,_xlpm.roles), INDEX(_xlpm.roles,MATCH(MAX(_xlpm.counts),_xlpm.counts,0)))</f>
        <v>Entry Fragger</v>
      </c>
      <c r="X850" s="2">
        <f t="shared" si="69"/>
        <v>12.809421841541756</v>
      </c>
    </row>
    <row r="851" spans="1:24" x14ac:dyDescent="0.3">
      <c r="A851">
        <v>956</v>
      </c>
      <c r="B851">
        <v>148</v>
      </c>
      <c r="C851" t="s">
        <v>27</v>
      </c>
      <c r="D851" t="s">
        <v>28</v>
      </c>
      <c r="E851" t="s">
        <v>29</v>
      </c>
      <c r="F851" t="s">
        <v>26</v>
      </c>
      <c r="G851">
        <v>14</v>
      </c>
      <c r="H851">
        <v>7</v>
      </c>
      <c r="I851">
        <v>8</v>
      </c>
      <c r="J851">
        <v>55.23</v>
      </c>
      <c r="K851">
        <v>224.3</v>
      </c>
      <c r="L851">
        <v>0.14000000000000001</v>
      </c>
      <c r="M851">
        <v>53.21</v>
      </c>
      <c r="N851">
        <v>0.96</v>
      </c>
      <c r="O851" t="s">
        <v>20</v>
      </c>
      <c r="P851" t="s">
        <v>21</v>
      </c>
      <c r="Q851">
        <f t="shared" si="65"/>
        <v>13</v>
      </c>
      <c r="R851" s="4">
        <f>RANK(N851,$N$2:N$2800,0)</f>
        <v>1301</v>
      </c>
      <c r="S851">
        <f t="shared" si="66"/>
        <v>1.75</v>
      </c>
      <c r="T851" t="str">
        <f t="shared" si="67"/>
        <v>Low</v>
      </c>
      <c r="U851" t="str" cm="1">
        <f t="array" ref="U851">_xlfn.LET(_xlpm.roles,_xlfn.UNIQUE(D851:D3649),_xlpm.kills, SUMIF(D851:D3649,_xlpm.roles,G851:G3649),INDEX(_xlpm.roles,MATCH(MAX(_xlpm.kills),_xlpm.kills,0)))</f>
        <v>Entry Fragger</v>
      </c>
      <c r="V851" t="str">
        <f t="shared" si="68"/>
        <v>High Accuracy</v>
      </c>
      <c r="W851" t="str" cm="1">
        <f t="array" ref="W851">_xlfn.LET(_xlpm.roles,_xlfn.UNIQUE(D851:D3649), _xlpm.counts,COUNTIF(D851:D3649,_xlpm.roles), INDEX(_xlpm.roles,MATCH(MAX(_xlpm.counts),_xlpm.counts,0)))</f>
        <v>Entry Fragger</v>
      </c>
      <c r="X851" s="2">
        <f t="shared" si="69"/>
        <v>13.057077625570777</v>
      </c>
    </row>
    <row r="852" spans="1:24" x14ac:dyDescent="0.3">
      <c r="A852">
        <v>1489</v>
      </c>
      <c r="B852">
        <v>148</v>
      </c>
      <c r="C852" t="s">
        <v>25</v>
      </c>
      <c r="D852" t="s">
        <v>17</v>
      </c>
      <c r="E852" t="s">
        <v>33</v>
      </c>
      <c r="F852" t="s">
        <v>19</v>
      </c>
      <c r="G852">
        <v>12</v>
      </c>
      <c r="H852">
        <v>5</v>
      </c>
      <c r="I852">
        <v>11</v>
      </c>
      <c r="J852">
        <v>56.04</v>
      </c>
      <c r="K852">
        <v>199.9</v>
      </c>
      <c r="L852">
        <v>0.43</v>
      </c>
      <c r="M852">
        <v>41.72</v>
      </c>
      <c r="N852">
        <v>0.94</v>
      </c>
      <c r="O852" t="s">
        <v>20</v>
      </c>
      <c r="P852" t="s">
        <v>21</v>
      </c>
      <c r="Q852">
        <f t="shared" si="65"/>
        <v>6</v>
      </c>
      <c r="R852" s="4">
        <f>RANK(N852,$N$2:N$2800,0)</f>
        <v>1431</v>
      </c>
      <c r="S852">
        <f t="shared" si="66"/>
        <v>1.0909090909090908</v>
      </c>
      <c r="T852" t="str">
        <f t="shared" si="67"/>
        <v>Low</v>
      </c>
      <c r="U852" t="str" cm="1">
        <f t="array" ref="U852">_xlfn.LET(_xlpm.roles,_xlfn.UNIQUE(D852:D3650),_xlpm.kills, SUMIF(D852:D3650,_xlpm.roles,G852:G3650),INDEX(_xlpm.roles,MATCH(MAX(_xlpm.kills),_xlpm.kills,0)))</f>
        <v>Entry Fragger</v>
      </c>
      <c r="V852" t="str">
        <f t="shared" si="68"/>
        <v>High Accuracy</v>
      </c>
      <c r="W852" t="str" cm="1">
        <f t="array" ref="W852">_xlfn.LET(_xlpm.roles,_xlfn.UNIQUE(D852:D3650), _xlpm.counts,COUNTIF(D852:D3650,_xlpm.roles), INDEX(_xlpm.roles,MATCH(MAX(_xlpm.counts),_xlpm.counts,0)))</f>
        <v>Entry Fragger</v>
      </c>
      <c r="X852" s="2">
        <f t="shared" si="69"/>
        <v>12.809421841541756</v>
      </c>
    </row>
    <row r="853" spans="1:24" x14ac:dyDescent="0.3">
      <c r="A853">
        <v>1547</v>
      </c>
      <c r="B853">
        <v>148</v>
      </c>
      <c r="C853" t="s">
        <v>39</v>
      </c>
      <c r="D853" t="s">
        <v>31</v>
      </c>
      <c r="E853" t="s">
        <v>33</v>
      </c>
      <c r="F853" t="s">
        <v>24</v>
      </c>
      <c r="G853">
        <v>12</v>
      </c>
      <c r="H853">
        <v>7</v>
      </c>
      <c r="I853">
        <v>5</v>
      </c>
      <c r="J853">
        <v>42.79</v>
      </c>
      <c r="K853">
        <v>233.77</v>
      </c>
      <c r="L853">
        <v>0.63</v>
      </c>
      <c r="M853">
        <v>41.09</v>
      </c>
      <c r="N853">
        <v>0.9</v>
      </c>
      <c r="O853" t="s">
        <v>20</v>
      </c>
      <c r="P853" t="s">
        <v>21</v>
      </c>
      <c r="Q853">
        <f t="shared" si="65"/>
        <v>14</v>
      </c>
      <c r="R853" s="4">
        <f>RANK(N853,$N$2:N$2800,0)</f>
        <v>1738</v>
      </c>
      <c r="S853">
        <f t="shared" si="66"/>
        <v>2.4</v>
      </c>
      <c r="T853" t="str">
        <f t="shared" si="67"/>
        <v>Low</v>
      </c>
      <c r="U853" t="str" cm="1">
        <f t="array" ref="U853">_xlfn.LET(_xlpm.roles,_xlfn.UNIQUE(D853:D3651),_xlpm.kills, SUMIF(D853:D3651,_xlpm.roles,G853:G3651),INDEX(_xlpm.roles,MATCH(MAX(_xlpm.kills),_xlpm.kills,0)))</f>
        <v>Entry Fragger</v>
      </c>
      <c r="V853" t="str">
        <f t="shared" si="68"/>
        <v>Medium Accuracy</v>
      </c>
      <c r="W853" t="str" cm="1">
        <f t="array" ref="W853">_xlfn.LET(_xlpm.roles,_xlfn.UNIQUE(D853:D3651), _xlpm.counts,COUNTIF(D853:D3651,_xlpm.roles), INDEX(_xlpm.roles,MATCH(MAX(_xlpm.counts),_xlpm.counts,0)))</f>
        <v>Entry Fragger</v>
      </c>
      <c r="X853" s="2">
        <f t="shared" si="69"/>
        <v>13.103594080338267</v>
      </c>
    </row>
    <row r="854" spans="1:24" x14ac:dyDescent="0.3">
      <c r="A854">
        <v>635</v>
      </c>
      <c r="B854">
        <v>149</v>
      </c>
      <c r="C854" t="s">
        <v>39</v>
      </c>
      <c r="D854" t="s">
        <v>28</v>
      </c>
      <c r="E854" t="s">
        <v>33</v>
      </c>
      <c r="F854" t="s">
        <v>26</v>
      </c>
      <c r="G854">
        <v>16</v>
      </c>
      <c r="H854">
        <v>12</v>
      </c>
      <c r="I854">
        <v>7</v>
      </c>
      <c r="J854">
        <v>53.29</v>
      </c>
      <c r="K854">
        <v>216.13</v>
      </c>
      <c r="L854">
        <v>0.1</v>
      </c>
      <c r="M854">
        <v>62.64</v>
      </c>
      <c r="N854">
        <v>1</v>
      </c>
      <c r="O854" t="s">
        <v>20</v>
      </c>
      <c r="P854" t="s">
        <v>38</v>
      </c>
      <c r="Q854">
        <f t="shared" si="65"/>
        <v>21</v>
      </c>
      <c r="R854" s="4">
        <f>RANK(N854,$N$2:N$2800,0)</f>
        <v>1</v>
      </c>
      <c r="S854">
        <f t="shared" si="66"/>
        <v>2.2857142857142856</v>
      </c>
      <c r="T854" t="str">
        <f t="shared" si="67"/>
        <v>Good</v>
      </c>
      <c r="U854" t="str" cm="1">
        <f t="array" ref="U854">_xlfn.LET(_xlpm.roles,_xlfn.UNIQUE(D854:D3652),_xlpm.kills, SUMIF(D854:D3652,_xlpm.roles,G854:G3652),INDEX(_xlpm.roles,MATCH(MAX(_xlpm.kills),_xlpm.kills,0)))</f>
        <v>Entry Fragger</v>
      </c>
      <c r="V854" t="str">
        <f t="shared" si="68"/>
        <v>High Accuracy</v>
      </c>
      <c r="W854" t="str" cm="1">
        <f t="array" ref="W854">_xlfn.LET(_xlpm.roles,_xlfn.UNIQUE(D854:D3652), _xlpm.counts,COUNTIF(D854:D3652,_xlpm.roles), INDEX(_xlpm.roles,MATCH(MAX(_xlpm.counts),_xlpm.counts,0)))</f>
        <v>Entry Fragger</v>
      </c>
      <c r="X854" s="2">
        <f t="shared" si="69"/>
        <v>13.103594080338267</v>
      </c>
    </row>
    <row r="855" spans="1:24" x14ac:dyDescent="0.3">
      <c r="A855">
        <v>737</v>
      </c>
      <c r="B855">
        <v>149</v>
      </c>
      <c r="C855" t="s">
        <v>39</v>
      </c>
      <c r="D855" t="s">
        <v>17</v>
      </c>
      <c r="E855" t="s">
        <v>23</v>
      </c>
      <c r="F855" t="s">
        <v>19</v>
      </c>
      <c r="G855">
        <v>17</v>
      </c>
      <c r="H855">
        <v>8</v>
      </c>
      <c r="I855">
        <v>10</v>
      </c>
      <c r="J855">
        <v>47.8</v>
      </c>
      <c r="K855">
        <v>224</v>
      </c>
      <c r="L855">
        <v>0.49</v>
      </c>
      <c r="M855">
        <v>51</v>
      </c>
      <c r="N855">
        <v>1</v>
      </c>
      <c r="O855" t="s">
        <v>20</v>
      </c>
      <c r="P855" t="s">
        <v>21</v>
      </c>
      <c r="Q855">
        <f t="shared" si="65"/>
        <v>15</v>
      </c>
      <c r="R855" s="4">
        <f>RANK(N855,$N$2:N$2800,0)</f>
        <v>1</v>
      </c>
      <c r="S855">
        <f t="shared" si="66"/>
        <v>1.7</v>
      </c>
      <c r="T855" t="str">
        <f t="shared" si="67"/>
        <v>Good</v>
      </c>
      <c r="U855" t="str" cm="1">
        <f t="array" ref="U855">_xlfn.LET(_xlpm.roles,_xlfn.UNIQUE(D855:D3653),_xlpm.kills, SUMIF(D855:D3653,_xlpm.roles,G855:G3653),INDEX(_xlpm.roles,MATCH(MAX(_xlpm.kills),_xlpm.kills,0)))</f>
        <v>Entry Fragger</v>
      </c>
      <c r="V855" t="str">
        <f t="shared" si="68"/>
        <v>Medium Accuracy</v>
      </c>
      <c r="W855" t="str" cm="1">
        <f t="array" ref="W855">_xlfn.LET(_xlpm.roles,_xlfn.UNIQUE(D855:D3653), _xlpm.counts,COUNTIF(D855:D3653,_xlpm.roles), INDEX(_xlpm.roles,MATCH(MAX(_xlpm.counts),_xlpm.counts,0)))</f>
        <v>Entry Fragger</v>
      </c>
      <c r="X855" s="2">
        <f t="shared" si="69"/>
        <v>13.103594080338267</v>
      </c>
    </row>
    <row r="856" spans="1:24" x14ac:dyDescent="0.3">
      <c r="A856">
        <v>1010</v>
      </c>
      <c r="B856">
        <v>149</v>
      </c>
      <c r="C856" t="s">
        <v>25</v>
      </c>
      <c r="D856" t="s">
        <v>31</v>
      </c>
      <c r="E856" t="s">
        <v>29</v>
      </c>
      <c r="F856" t="s">
        <v>34</v>
      </c>
      <c r="G856">
        <v>12</v>
      </c>
      <c r="H856">
        <v>10</v>
      </c>
      <c r="I856">
        <v>15</v>
      </c>
      <c r="J856">
        <v>32.86</v>
      </c>
      <c r="K856">
        <v>202.15</v>
      </c>
      <c r="L856">
        <v>0.27</v>
      </c>
      <c r="M856">
        <v>32.729999999999997</v>
      </c>
      <c r="N856">
        <v>0.86</v>
      </c>
      <c r="O856" t="s">
        <v>20</v>
      </c>
      <c r="P856" t="s">
        <v>21</v>
      </c>
      <c r="Q856">
        <f t="shared" si="65"/>
        <v>7</v>
      </c>
      <c r="R856" s="4">
        <f>RANK(N856,$N$2:N$2800,0)</f>
        <v>2040</v>
      </c>
      <c r="S856">
        <f t="shared" si="66"/>
        <v>0.8</v>
      </c>
      <c r="T856" t="str">
        <f t="shared" si="67"/>
        <v>Low</v>
      </c>
      <c r="U856" t="str" cm="1">
        <f t="array" ref="U856">_xlfn.LET(_xlpm.roles,_xlfn.UNIQUE(D856:D3654),_xlpm.kills, SUMIF(D856:D3654,_xlpm.roles,G856:G3654),INDEX(_xlpm.roles,MATCH(MAX(_xlpm.kills),_xlpm.kills,0)))</f>
        <v>Entry Fragger</v>
      </c>
      <c r="V856" t="str">
        <f t="shared" si="68"/>
        <v>Medium Accuracy</v>
      </c>
      <c r="W856" t="str" cm="1">
        <f t="array" ref="W856">_xlfn.LET(_xlpm.roles,_xlfn.UNIQUE(D856:D3654), _xlpm.counts,COUNTIF(D856:D3654,_xlpm.roles), INDEX(_xlpm.roles,MATCH(MAX(_xlpm.counts),_xlpm.counts,0)))</f>
        <v>Entry Fragger</v>
      </c>
      <c r="X856" s="2">
        <f t="shared" si="69"/>
        <v>12.809421841541756</v>
      </c>
    </row>
    <row r="857" spans="1:24" x14ac:dyDescent="0.3">
      <c r="A857">
        <v>1246</v>
      </c>
      <c r="B857">
        <v>149</v>
      </c>
      <c r="C857" t="s">
        <v>27</v>
      </c>
      <c r="D857" t="s">
        <v>31</v>
      </c>
      <c r="E857" t="s">
        <v>33</v>
      </c>
      <c r="F857" t="s">
        <v>24</v>
      </c>
      <c r="G857">
        <v>17</v>
      </c>
      <c r="H857">
        <v>12</v>
      </c>
      <c r="I857">
        <v>7</v>
      </c>
      <c r="J857">
        <v>40.909999999999997</v>
      </c>
      <c r="K857">
        <v>219.84</v>
      </c>
      <c r="L857">
        <v>0.55000000000000004</v>
      </c>
      <c r="M857">
        <v>53.95</v>
      </c>
      <c r="N857">
        <v>1</v>
      </c>
      <c r="O857" t="s">
        <v>20</v>
      </c>
      <c r="P857" t="s">
        <v>21</v>
      </c>
      <c r="Q857">
        <f t="shared" si="65"/>
        <v>22</v>
      </c>
      <c r="R857" s="4">
        <f>RANK(N857,$N$2:N$2800,0)</f>
        <v>1</v>
      </c>
      <c r="S857">
        <f t="shared" si="66"/>
        <v>2.4285714285714284</v>
      </c>
      <c r="T857" t="str">
        <f t="shared" si="67"/>
        <v>Good</v>
      </c>
      <c r="U857" t="str" cm="1">
        <f t="array" ref="U857">_xlfn.LET(_xlpm.roles,_xlfn.UNIQUE(D857:D3655),_xlpm.kills, SUMIF(D857:D3655,_xlpm.roles,G857:G3655),INDEX(_xlpm.roles,MATCH(MAX(_xlpm.kills),_xlpm.kills,0)))</f>
        <v>Entry Fragger</v>
      </c>
      <c r="V857" t="str">
        <f t="shared" si="68"/>
        <v>Medium Accuracy</v>
      </c>
      <c r="W857" t="str" cm="1">
        <f t="array" ref="W857">_xlfn.LET(_xlpm.roles,_xlfn.UNIQUE(D857:D3655), _xlpm.counts,COUNTIF(D857:D3655,_xlpm.roles), INDEX(_xlpm.roles,MATCH(MAX(_xlpm.counts),_xlpm.counts,0)))</f>
        <v>Entry Fragger</v>
      </c>
      <c r="X857" s="2">
        <f t="shared" si="69"/>
        <v>13.057077625570777</v>
      </c>
    </row>
    <row r="858" spans="1:24" x14ac:dyDescent="0.3">
      <c r="A858">
        <v>2202</v>
      </c>
      <c r="B858">
        <v>149</v>
      </c>
      <c r="C858" t="s">
        <v>16</v>
      </c>
      <c r="D858" t="s">
        <v>31</v>
      </c>
      <c r="E858" t="s">
        <v>23</v>
      </c>
      <c r="F858" t="s">
        <v>34</v>
      </c>
      <c r="G858">
        <v>18</v>
      </c>
      <c r="H858">
        <v>7</v>
      </c>
      <c r="I858">
        <v>9</v>
      </c>
      <c r="J858">
        <v>32.65</v>
      </c>
      <c r="K858">
        <v>202.66</v>
      </c>
      <c r="L858">
        <v>0.8</v>
      </c>
      <c r="M858">
        <v>42.33</v>
      </c>
      <c r="N858">
        <v>0.93</v>
      </c>
      <c r="O858" t="s">
        <v>20</v>
      </c>
      <c r="P858" t="s">
        <v>21</v>
      </c>
      <c r="Q858">
        <f t="shared" si="65"/>
        <v>16</v>
      </c>
      <c r="R858" s="4">
        <f>RANK(N858,$N$2:N$2800,0)</f>
        <v>1505</v>
      </c>
      <c r="S858">
        <f t="shared" si="66"/>
        <v>2</v>
      </c>
      <c r="T858" t="str">
        <f t="shared" si="67"/>
        <v>Good</v>
      </c>
      <c r="U858" t="str" cm="1">
        <f t="array" ref="U858">_xlfn.LET(_xlpm.roles,_xlfn.UNIQUE(D858:D3656),_xlpm.kills, SUMIF(D858:D3656,_xlpm.roles,G858:G3656),INDEX(_xlpm.roles,MATCH(MAX(_xlpm.kills),_xlpm.kills,0)))</f>
        <v>Entry Fragger</v>
      </c>
      <c r="V858" t="str">
        <f t="shared" si="68"/>
        <v>Medium Accuracy</v>
      </c>
      <c r="W858" t="str" cm="1">
        <f t="array" ref="W858">_xlfn.LET(_xlpm.roles,_xlfn.UNIQUE(D858:D3656), _xlpm.counts,COUNTIF(D858:D3656,_xlpm.roles), INDEX(_xlpm.roles,MATCH(MAX(_xlpm.counts),_xlpm.counts,0)))</f>
        <v>Entry Fragger</v>
      </c>
      <c r="X858" s="2">
        <f t="shared" si="69"/>
        <v>12.520971302428256</v>
      </c>
    </row>
    <row r="859" spans="1:24" x14ac:dyDescent="0.3">
      <c r="A859">
        <v>451</v>
      </c>
      <c r="B859">
        <v>150</v>
      </c>
      <c r="C859" t="s">
        <v>27</v>
      </c>
      <c r="D859" t="s">
        <v>28</v>
      </c>
      <c r="E859" t="s">
        <v>33</v>
      </c>
      <c r="F859" t="s">
        <v>26</v>
      </c>
      <c r="G859">
        <v>16</v>
      </c>
      <c r="H859">
        <v>7</v>
      </c>
      <c r="I859">
        <v>7</v>
      </c>
      <c r="J859">
        <v>35.06</v>
      </c>
      <c r="K859">
        <v>210.25</v>
      </c>
      <c r="L859">
        <v>0.69</v>
      </c>
      <c r="M859">
        <v>42.63</v>
      </c>
      <c r="N859">
        <v>1</v>
      </c>
      <c r="O859" t="s">
        <v>20</v>
      </c>
      <c r="P859" t="s">
        <v>21</v>
      </c>
      <c r="Q859">
        <f t="shared" si="65"/>
        <v>16</v>
      </c>
      <c r="R859" s="4">
        <f>RANK(N859,$N$2:N$2800,0)</f>
        <v>1</v>
      </c>
      <c r="S859">
        <f t="shared" si="66"/>
        <v>2.2857142857142856</v>
      </c>
      <c r="T859" t="str">
        <f t="shared" si="67"/>
        <v>Good</v>
      </c>
      <c r="U859" t="str" cm="1">
        <f t="array" ref="U859">_xlfn.LET(_xlpm.roles,_xlfn.UNIQUE(D859:D3657),_xlpm.kills, SUMIF(D859:D3657,_xlpm.roles,G859:G3657),INDEX(_xlpm.roles,MATCH(MAX(_xlpm.kills),_xlpm.kills,0)))</f>
        <v>Entry Fragger</v>
      </c>
      <c r="V859" t="str">
        <f t="shared" si="68"/>
        <v>Medium Accuracy</v>
      </c>
      <c r="W859" t="str" cm="1">
        <f t="array" ref="W859">_xlfn.LET(_xlpm.roles,_xlfn.UNIQUE(D859:D3657), _xlpm.counts,COUNTIF(D859:D3657,_xlpm.roles), INDEX(_xlpm.roles,MATCH(MAX(_xlpm.counts),_xlpm.counts,0)))</f>
        <v>Entry Fragger</v>
      </c>
      <c r="X859" s="2">
        <f t="shared" si="69"/>
        <v>13.057077625570777</v>
      </c>
    </row>
    <row r="860" spans="1:24" x14ac:dyDescent="0.3">
      <c r="A860">
        <v>652</v>
      </c>
      <c r="B860">
        <v>150</v>
      </c>
      <c r="C860" t="s">
        <v>25</v>
      </c>
      <c r="D860" t="s">
        <v>17</v>
      </c>
      <c r="E860" t="s">
        <v>29</v>
      </c>
      <c r="F860" t="s">
        <v>19</v>
      </c>
      <c r="G860">
        <v>16</v>
      </c>
      <c r="H860">
        <v>9</v>
      </c>
      <c r="I860">
        <v>10</v>
      </c>
      <c r="J860">
        <v>39.72</v>
      </c>
      <c r="K860">
        <v>219.32</v>
      </c>
      <c r="L860">
        <v>0.6</v>
      </c>
      <c r="M860">
        <v>44.86</v>
      </c>
      <c r="N860">
        <v>1</v>
      </c>
      <c r="O860" t="s">
        <v>20</v>
      </c>
      <c r="P860" t="s">
        <v>21</v>
      </c>
      <c r="Q860">
        <f t="shared" si="65"/>
        <v>15</v>
      </c>
      <c r="R860" s="4">
        <f>RANK(N860,$N$2:N$2800,0)</f>
        <v>1</v>
      </c>
      <c r="S860">
        <f t="shared" si="66"/>
        <v>1.6</v>
      </c>
      <c r="T860" t="str">
        <f t="shared" si="67"/>
        <v>Good</v>
      </c>
      <c r="U860" t="str" cm="1">
        <f t="array" ref="U860">_xlfn.LET(_xlpm.roles,_xlfn.UNIQUE(D860:D3658),_xlpm.kills, SUMIF(D860:D3658,_xlpm.roles,G860:G3658),INDEX(_xlpm.roles,MATCH(MAX(_xlpm.kills),_xlpm.kills,0)))</f>
        <v>Entry Fragger</v>
      </c>
      <c r="V860" t="str">
        <f t="shared" si="68"/>
        <v>Medium Accuracy</v>
      </c>
      <c r="W860" t="str" cm="1">
        <f t="array" ref="W860">_xlfn.LET(_xlpm.roles,_xlfn.UNIQUE(D860:D3658), _xlpm.counts,COUNTIF(D860:D3658,_xlpm.roles), INDEX(_xlpm.roles,MATCH(MAX(_xlpm.counts),_xlpm.counts,0)))</f>
        <v>Entry Fragger</v>
      </c>
      <c r="X860" s="2">
        <f t="shared" si="69"/>
        <v>12.809421841541756</v>
      </c>
    </row>
    <row r="861" spans="1:24" x14ac:dyDescent="0.3">
      <c r="A861">
        <v>1038</v>
      </c>
      <c r="B861">
        <v>150</v>
      </c>
      <c r="C861" t="s">
        <v>25</v>
      </c>
      <c r="D861" t="s">
        <v>28</v>
      </c>
      <c r="E861" t="s">
        <v>23</v>
      </c>
      <c r="F861" t="s">
        <v>19</v>
      </c>
      <c r="G861">
        <v>22</v>
      </c>
      <c r="H861">
        <v>6</v>
      </c>
      <c r="I861">
        <v>12</v>
      </c>
      <c r="J861">
        <v>33.58</v>
      </c>
      <c r="K861">
        <v>260.75</v>
      </c>
      <c r="L861">
        <v>0.26</v>
      </c>
      <c r="M861">
        <v>52.19</v>
      </c>
      <c r="N861">
        <v>1</v>
      </c>
      <c r="O861" t="s">
        <v>20</v>
      </c>
      <c r="P861" t="s">
        <v>21</v>
      </c>
      <c r="Q861">
        <f t="shared" si="65"/>
        <v>16</v>
      </c>
      <c r="R861" s="4">
        <f>RANK(N861,$N$2:N$2800,0)</f>
        <v>1</v>
      </c>
      <c r="S861">
        <f t="shared" si="66"/>
        <v>1.8333333333333333</v>
      </c>
      <c r="T861" t="str">
        <f t="shared" si="67"/>
        <v>Good</v>
      </c>
      <c r="U861" t="str" cm="1">
        <f t="array" ref="U861">_xlfn.LET(_xlpm.roles,_xlfn.UNIQUE(D861:D3659),_xlpm.kills, SUMIF(D861:D3659,_xlpm.roles,G861:G3659),INDEX(_xlpm.roles,MATCH(MAX(_xlpm.kills),_xlpm.kills,0)))</f>
        <v>Entry Fragger</v>
      </c>
      <c r="V861" t="str">
        <f t="shared" si="68"/>
        <v>Medium Accuracy</v>
      </c>
      <c r="W861" t="str" cm="1">
        <f t="array" ref="W861">_xlfn.LET(_xlpm.roles,_xlfn.UNIQUE(D861:D3659), _xlpm.counts,COUNTIF(D861:D3659,_xlpm.roles), INDEX(_xlpm.roles,MATCH(MAX(_xlpm.counts),_xlpm.counts,0)))</f>
        <v>Entry Fragger</v>
      </c>
      <c r="X861" s="2">
        <f t="shared" si="69"/>
        <v>12.809421841541756</v>
      </c>
    </row>
    <row r="862" spans="1:24" x14ac:dyDescent="0.3">
      <c r="A862">
        <v>1061</v>
      </c>
      <c r="B862">
        <v>150</v>
      </c>
      <c r="C862" t="s">
        <v>25</v>
      </c>
      <c r="D862" t="s">
        <v>28</v>
      </c>
      <c r="E862" t="s">
        <v>23</v>
      </c>
      <c r="F862" t="s">
        <v>19</v>
      </c>
      <c r="G862">
        <v>22</v>
      </c>
      <c r="H862">
        <v>9</v>
      </c>
      <c r="I862">
        <v>18</v>
      </c>
      <c r="J862">
        <v>35.299999999999997</v>
      </c>
      <c r="K862">
        <v>232.34</v>
      </c>
      <c r="L862">
        <v>0.7</v>
      </c>
      <c r="M862">
        <v>45.65</v>
      </c>
      <c r="N862">
        <v>0.94</v>
      </c>
      <c r="O862" t="s">
        <v>20</v>
      </c>
      <c r="P862" t="s">
        <v>21</v>
      </c>
      <c r="Q862">
        <f t="shared" si="65"/>
        <v>13</v>
      </c>
      <c r="R862" s="4">
        <f>RANK(N862,$N$2:N$2800,0)</f>
        <v>1431</v>
      </c>
      <c r="S862">
        <f t="shared" si="66"/>
        <v>1.2222222222222223</v>
      </c>
      <c r="T862" t="str">
        <f t="shared" si="67"/>
        <v>Low</v>
      </c>
      <c r="U862" t="str" cm="1">
        <f t="array" ref="U862">_xlfn.LET(_xlpm.roles,_xlfn.UNIQUE(D862:D3660),_xlpm.kills, SUMIF(D862:D3660,_xlpm.roles,G862:G3660),INDEX(_xlpm.roles,MATCH(MAX(_xlpm.kills),_xlpm.kills,0)))</f>
        <v>Entry Fragger</v>
      </c>
      <c r="V862" t="str">
        <f t="shared" si="68"/>
        <v>Medium Accuracy</v>
      </c>
      <c r="W862" t="str" cm="1">
        <f t="array" ref="W862">_xlfn.LET(_xlpm.roles,_xlfn.UNIQUE(D862:D3660), _xlpm.counts,COUNTIF(D862:D3660,_xlpm.roles), INDEX(_xlpm.roles,MATCH(MAX(_xlpm.counts),_xlpm.counts,0)))</f>
        <v>Entry Fragger</v>
      </c>
      <c r="X862" s="2">
        <f t="shared" si="69"/>
        <v>12.809421841541756</v>
      </c>
    </row>
    <row r="863" spans="1:24" x14ac:dyDescent="0.3">
      <c r="A863">
        <v>1063</v>
      </c>
      <c r="B863">
        <v>150</v>
      </c>
      <c r="C863" t="s">
        <v>25</v>
      </c>
      <c r="D863" t="s">
        <v>28</v>
      </c>
      <c r="E863" t="s">
        <v>23</v>
      </c>
      <c r="F863" t="s">
        <v>37</v>
      </c>
      <c r="G863">
        <v>11</v>
      </c>
      <c r="H863">
        <v>8</v>
      </c>
      <c r="I863">
        <v>7</v>
      </c>
      <c r="J863">
        <v>38.76</v>
      </c>
      <c r="K863">
        <v>201.86</v>
      </c>
      <c r="L863">
        <v>0.46</v>
      </c>
      <c r="M863">
        <v>37.78</v>
      </c>
      <c r="N863">
        <v>0.74</v>
      </c>
      <c r="O863" t="s">
        <v>20</v>
      </c>
      <c r="P863" t="s">
        <v>21</v>
      </c>
      <c r="Q863">
        <f t="shared" si="65"/>
        <v>12</v>
      </c>
      <c r="R863" s="4">
        <f>RANK(N863,$N$2:N$2800,0)</f>
        <v>2613</v>
      </c>
      <c r="S863">
        <f t="shared" si="66"/>
        <v>1.5714285714285714</v>
      </c>
      <c r="T863" t="str">
        <f t="shared" si="67"/>
        <v>Low</v>
      </c>
      <c r="U863" t="str" cm="1">
        <f t="array" ref="U863">_xlfn.LET(_xlpm.roles,_xlfn.UNIQUE(D863:D3661),_xlpm.kills, SUMIF(D863:D3661,_xlpm.roles,G863:G3661),INDEX(_xlpm.roles,MATCH(MAX(_xlpm.kills),_xlpm.kills,0)))</f>
        <v>Entry Fragger</v>
      </c>
      <c r="V863" t="str">
        <f t="shared" si="68"/>
        <v>Medium Accuracy</v>
      </c>
      <c r="W863" t="str" cm="1">
        <f t="array" ref="W863">_xlfn.LET(_xlpm.roles,_xlfn.UNIQUE(D863:D3661), _xlpm.counts,COUNTIF(D863:D3661,_xlpm.roles), INDEX(_xlpm.roles,MATCH(MAX(_xlpm.counts),_xlpm.counts,0)))</f>
        <v>Entry Fragger</v>
      </c>
      <c r="X863" s="2">
        <f t="shared" si="69"/>
        <v>12.809421841541756</v>
      </c>
    </row>
    <row r="864" spans="1:24" x14ac:dyDescent="0.3">
      <c r="A864">
        <v>1325</v>
      </c>
      <c r="B864">
        <v>150</v>
      </c>
      <c r="C864" t="s">
        <v>27</v>
      </c>
      <c r="D864" t="s">
        <v>28</v>
      </c>
      <c r="E864" t="s">
        <v>23</v>
      </c>
      <c r="F864" t="s">
        <v>26</v>
      </c>
      <c r="G864">
        <v>14</v>
      </c>
      <c r="H864">
        <v>17</v>
      </c>
      <c r="I864">
        <v>7</v>
      </c>
      <c r="J864">
        <v>42.1</v>
      </c>
      <c r="K864">
        <v>218.05</v>
      </c>
      <c r="L864">
        <v>0.35</v>
      </c>
      <c r="M864">
        <v>55.55</v>
      </c>
      <c r="N864">
        <v>1</v>
      </c>
      <c r="O864" t="s">
        <v>20</v>
      </c>
      <c r="P864" t="s">
        <v>21</v>
      </c>
      <c r="Q864">
        <f t="shared" si="65"/>
        <v>24</v>
      </c>
      <c r="R864" s="4">
        <f>RANK(N864,$N$2:N$2800,0)</f>
        <v>1</v>
      </c>
      <c r="S864">
        <f t="shared" si="66"/>
        <v>2</v>
      </c>
      <c r="T864" t="str">
        <f t="shared" si="67"/>
        <v>Good</v>
      </c>
      <c r="U864" t="str" cm="1">
        <f t="array" ref="U864">_xlfn.LET(_xlpm.roles,_xlfn.UNIQUE(D864:D3662),_xlpm.kills, SUMIF(D864:D3662,_xlpm.roles,G864:G3662),INDEX(_xlpm.roles,MATCH(MAX(_xlpm.kills),_xlpm.kills,0)))</f>
        <v>Entry Fragger</v>
      </c>
      <c r="V864" t="str">
        <f t="shared" si="68"/>
        <v>Medium Accuracy</v>
      </c>
      <c r="W864" t="str" cm="1">
        <f t="array" ref="W864">_xlfn.LET(_xlpm.roles,_xlfn.UNIQUE(D864:D3662), _xlpm.counts,COUNTIF(D864:D3662,_xlpm.roles), INDEX(_xlpm.roles,MATCH(MAX(_xlpm.counts),_xlpm.counts,0)))</f>
        <v>Entry Fragger</v>
      </c>
      <c r="X864" s="2">
        <f t="shared" si="69"/>
        <v>13.057077625570777</v>
      </c>
    </row>
    <row r="865" spans="1:24" x14ac:dyDescent="0.3">
      <c r="A865">
        <v>2261</v>
      </c>
      <c r="B865">
        <v>150</v>
      </c>
      <c r="C865" t="s">
        <v>25</v>
      </c>
      <c r="D865" t="s">
        <v>22</v>
      </c>
      <c r="E865" t="s">
        <v>23</v>
      </c>
      <c r="F865" t="s">
        <v>19</v>
      </c>
      <c r="G865">
        <v>11</v>
      </c>
      <c r="H865">
        <v>9</v>
      </c>
      <c r="I865">
        <v>11</v>
      </c>
      <c r="J865">
        <v>37.119999999999997</v>
      </c>
      <c r="K865">
        <v>219.69</v>
      </c>
      <c r="L865">
        <v>0.1</v>
      </c>
      <c r="M865">
        <v>37.56</v>
      </c>
      <c r="N865">
        <v>0.87</v>
      </c>
      <c r="O865" t="s">
        <v>20</v>
      </c>
      <c r="P865" t="s">
        <v>21</v>
      </c>
      <c r="Q865">
        <f t="shared" si="65"/>
        <v>9</v>
      </c>
      <c r="R865" s="4">
        <f>RANK(N865,$N$2:N$2800,0)</f>
        <v>1965</v>
      </c>
      <c r="S865">
        <f t="shared" si="66"/>
        <v>1</v>
      </c>
      <c r="T865" t="str">
        <f t="shared" si="67"/>
        <v>Low</v>
      </c>
      <c r="U865" t="str" cm="1">
        <f t="array" ref="U865">_xlfn.LET(_xlpm.roles,_xlfn.UNIQUE(D865:D3663),_xlpm.kills, SUMIF(D865:D3663,_xlpm.roles,G865:G3663),INDEX(_xlpm.roles,MATCH(MAX(_xlpm.kills),_xlpm.kills,0)))</f>
        <v>Entry Fragger</v>
      </c>
      <c r="V865" t="str">
        <f t="shared" si="68"/>
        <v>Medium Accuracy</v>
      </c>
      <c r="W865" t="str" cm="1">
        <f t="array" ref="W865">_xlfn.LET(_xlpm.roles,_xlfn.UNIQUE(D865:D3663), _xlpm.counts,COUNTIF(D865:D3663,_xlpm.roles), INDEX(_xlpm.roles,MATCH(MAX(_xlpm.counts),_xlpm.counts,0)))</f>
        <v>Entry Fragger</v>
      </c>
      <c r="X865" s="2">
        <f t="shared" si="69"/>
        <v>12.809421841541756</v>
      </c>
    </row>
    <row r="866" spans="1:24" x14ac:dyDescent="0.3">
      <c r="A866">
        <v>2669</v>
      </c>
      <c r="B866">
        <v>150</v>
      </c>
      <c r="C866" t="s">
        <v>25</v>
      </c>
      <c r="D866" t="s">
        <v>31</v>
      </c>
      <c r="E866" t="s">
        <v>23</v>
      </c>
      <c r="F866" t="s">
        <v>34</v>
      </c>
      <c r="G866">
        <v>14</v>
      </c>
      <c r="H866">
        <v>11</v>
      </c>
      <c r="I866">
        <v>7</v>
      </c>
      <c r="J866">
        <v>45.42</v>
      </c>
      <c r="K866">
        <v>263.99</v>
      </c>
      <c r="L866">
        <v>0.38</v>
      </c>
      <c r="M866">
        <v>50.91</v>
      </c>
      <c r="N866">
        <v>0.96</v>
      </c>
      <c r="O866" t="s">
        <v>20</v>
      </c>
      <c r="P866" t="s">
        <v>21</v>
      </c>
      <c r="Q866">
        <f t="shared" si="65"/>
        <v>18</v>
      </c>
      <c r="R866" s="4">
        <f>RANK(N866,$N$2:N$2800,0)</f>
        <v>1301</v>
      </c>
      <c r="S866">
        <f t="shared" si="66"/>
        <v>2</v>
      </c>
      <c r="T866" t="str">
        <f t="shared" si="67"/>
        <v>Good</v>
      </c>
      <c r="U866" t="str" cm="1">
        <f t="array" ref="U866">_xlfn.LET(_xlpm.roles,_xlfn.UNIQUE(D866:D3664),_xlpm.kills, SUMIF(D866:D3664,_xlpm.roles,G866:G3664),INDEX(_xlpm.roles,MATCH(MAX(_xlpm.kills),_xlpm.kills,0)))</f>
        <v>Entry Fragger</v>
      </c>
      <c r="V866" t="str">
        <f t="shared" si="68"/>
        <v>Medium Accuracy</v>
      </c>
      <c r="W866" t="str" cm="1">
        <f t="array" ref="W866">_xlfn.LET(_xlpm.roles,_xlfn.UNIQUE(D866:D3664), _xlpm.counts,COUNTIF(D866:D3664,_xlpm.roles), INDEX(_xlpm.roles,MATCH(MAX(_xlpm.counts),_xlpm.counts,0)))</f>
        <v>Entry Fragger</v>
      </c>
      <c r="X866" s="2">
        <f t="shared" si="69"/>
        <v>12.809421841541756</v>
      </c>
    </row>
    <row r="867" spans="1:24" x14ac:dyDescent="0.3">
      <c r="A867">
        <v>767</v>
      </c>
      <c r="B867">
        <v>151</v>
      </c>
      <c r="C867" t="s">
        <v>16</v>
      </c>
      <c r="D867" t="s">
        <v>17</v>
      </c>
      <c r="E867" t="s">
        <v>23</v>
      </c>
      <c r="F867" t="s">
        <v>19</v>
      </c>
      <c r="G867">
        <v>14</v>
      </c>
      <c r="H867">
        <v>9</v>
      </c>
      <c r="I867">
        <v>17</v>
      </c>
      <c r="J867">
        <v>44.17</v>
      </c>
      <c r="K867">
        <v>181.68</v>
      </c>
      <c r="L867">
        <v>0.97</v>
      </c>
      <c r="M867">
        <v>32.39</v>
      </c>
      <c r="N867">
        <v>0.68</v>
      </c>
      <c r="O867" t="s">
        <v>20</v>
      </c>
      <c r="P867" t="s">
        <v>21</v>
      </c>
      <c r="Q867">
        <f t="shared" si="65"/>
        <v>6</v>
      </c>
      <c r="R867" s="4">
        <f>RANK(N867,$N$2:N$2800,0)</f>
        <v>2719</v>
      </c>
      <c r="S867">
        <f t="shared" si="66"/>
        <v>0.82352941176470584</v>
      </c>
      <c r="T867" t="str">
        <f t="shared" si="67"/>
        <v>Low</v>
      </c>
      <c r="U867" t="str" cm="1">
        <f t="array" ref="U867">_xlfn.LET(_xlpm.roles,_xlfn.UNIQUE(D867:D3665),_xlpm.kills, SUMIF(D867:D3665,_xlpm.roles,G867:G3665),INDEX(_xlpm.roles,MATCH(MAX(_xlpm.kills),_xlpm.kills,0)))</f>
        <v>Entry Fragger</v>
      </c>
      <c r="V867" t="str">
        <f t="shared" si="68"/>
        <v>Medium Accuracy</v>
      </c>
      <c r="W867" t="str" cm="1">
        <f t="array" ref="W867">_xlfn.LET(_xlpm.roles,_xlfn.UNIQUE(D867:D3665), _xlpm.counts,COUNTIF(D867:D3665,_xlpm.roles), INDEX(_xlpm.roles,MATCH(MAX(_xlpm.counts),_xlpm.counts,0)))</f>
        <v>Entry Fragger</v>
      </c>
      <c r="X867" s="2">
        <f t="shared" si="69"/>
        <v>12.520971302428256</v>
      </c>
    </row>
    <row r="868" spans="1:24" x14ac:dyDescent="0.3">
      <c r="A868">
        <v>1679</v>
      </c>
      <c r="B868">
        <v>151</v>
      </c>
      <c r="C868" t="s">
        <v>30</v>
      </c>
      <c r="D868" t="s">
        <v>17</v>
      </c>
      <c r="E868" t="s">
        <v>32</v>
      </c>
      <c r="F868" t="s">
        <v>34</v>
      </c>
      <c r="G868">
        <v>16</v>
      </c>
      <c r="H868">
        <v>11</v>
      </c>
      <c r="I868">
        <v>10</v>
      </c>
      <c r="J868">
        <v>49.21</v>
      </c>
      <c r="K868">
        <v>210.64</v>
      </c>
      <c r="L868">
        <v>0.85</v>
      </c>
      <c r="M868">
        <v>49.11</v>
      </c>
      <c r="N868">
        <v>0.95</v>
      </c>
      <c r="O868" t="s">
        <v>20</v>
      </c>
      <c r="P868" t="s">
        <v>21</v>
      </c>
      <c r="Q868">
        <f t="shared" si="65"/>
        <v>17</v>
      </c>
      <c r="R868" s="4">
        <f>RANK(N868,$N$2:N$2800,0)</f>
        <v>1367</v>
      </c>
      <c r="S868">
        <f t="shared" si="66"/>
        <v>1.6</v>
      </c>
      <c r="T868" t="str">
        <f t="shared" si="67"/>
        <v>Good</v>
      </c>
      <c r="U868" t="str" cm="1">
        <f t="array" ref="U868">_xlfn.LET(_xlpm.roles,_xlfn.UNIQUE(D868:D3666),_xlpm.kills, SUMIF(D868:D3666,_xlpm.roles,G868:G3666),INDEX(_xlpm.roles,MATCH(MAX(_xlpm.kills),_xlpm.kills,0)))</f>
        <v>Entry Fragger</v>
      </c>
      <c r="V868" t="str">
        <f t="shared" si="68"/>
        <v>Medium Accuracy</v>
      </c>
      <c r="W868" t="str" cm="1">
        <f t="array" ref="W868">_xlfn.LET(_xlpm.roles,_xlfn.UNIQUE(D868:D3666), _xlpm.counts,COUNTIF(D868:D3666,_xlpm.roles), INDEX(_xlpm.roles,MATCH(MAX(_xlpm.counts),_xlpm.counts,0)))</f>
        <v>Entry Fragger</v>
      </c>
      <c r="X868" s="2">
        <f t="shared" si="69"/>
        <v>13.135802469135802</v>
      </c>
    </row>
    <row r="869" spans="1:24" x14ac:dyDescent="0.3">
      <c r="A869">
        <v>2308</v>
      </c>
      <c r="B869">
        <v>151</v>
      </c>
      <c r="C869" t="s">
        <v>27</v>
      </c>
      <c r="D869" t="s">
        <v>28</v>
      </c>
      <c r="E869" t="s">
        <v>32</v>
      </c>
      <c r="F869" t="s">
        <v>34</v>
      </c>
      <c r="G869">
        <v>13</v>
      </c>
      <c r="H869">
        <v>8</v>
      </c>
      <c r="I869">
        <v>10</v>
      </c>
      <c r="J869">
        <v>47.58</v>
      </c>
      <c r="K869">
        <v>222.3</v>
      </c>
      <c r="L869">
        <v>0.56999999999999995</v>
      </c>
      <c r="M869">
        <v>42.09</v>
      </c>
      <c r="N869">
        <v>0.93</v>
      </c>
      <c r="O869" t="s">
        <v>20</v>
      </c>
      <c r="P869" t="s">
        <v>21</v>
      </c>
      <c r="Q869">
        <f t="shared" si="65"/>
        <v>11</v>
      </c>
      <c r="R869" s="4">
        <f>RANK(N869,$N$2:N$2800,0)</f>
        <v>1505</v>
      </c>
      <c r="S869">
        <f t="shared" si="66"/>
        <v>1.3</v>
      </c>
      <c r="T869" t="str">
        <f t="shared" si="67"/>
        <v>Low</v>
      </c>
      <c r="U869" t="str" cm="1">
        <f t="array" ref="U869">_xlfn.LET(_xlpm.roles,_xlfn.UNIQUE(D869:D3667),_xlpm.kills, SUMIF(D869:D3667,_xlpm.roles,G869:G3667),INDEX(_xlpm.roles,MATCH(MAX(_xlpm.kills),_xlpm.kills,0)))</f>
        <v>Entry Fragger</v>
      </c>
      <c r="V869" t="str">
        <f t="shared" si="68"/>
        <v>Medium Accuracy</v>
      </c>
      <c r="W869" t="str" cm="1">
        <f t="array" ref="W869">_xlfn.LET(_xlpm.roles,_xlfn.UNIQUE(D869:D3667), _xlpm.counts,COUNTIF(D869:D3667,_xlpm.roles), INDEX(_xlpm.roles,MATCH(MAX(_xlpm.counts),_xlpm.counts,0)))</f>
        <v>Entry Fragger</v>
      </c>
      <c r="X869" s="2">
        <f t="shared" si="69"/>
        <v>13.057077625570777</v>
      </c>
    </row>
    <row r="870" spans="1:24" x14ac:dyDescent="0.3">
      <c r="A870">
        <v>2329</v>
      </c>
      <c r="B870">
        <v>151</v>
      </c>
      <c r="C870" t="s">
        <v>16</v>
      </c>
      <c r="D870" t="s">
        <v>22</v>
      </c>
      <c r="E870" t="s">
        <v>32</v>
      </c>
      <c r="F870" t="s">
        <v>34</v>
      </c>
      <c r="G870">
        <v>20</v>
      </c>
      <c r="H870">
        <v>5</v>
      </c>
      <c r="I870">
        <v>13</v>
      </c>
      <c r="J870">
        <v>54.13</v>
      </c>
      <c r="K870">
        <v>248.66</v>
      </c>
      <c r="L870">
        <v>0.05</v>
      </c>
      <c r="M870">
        <v>58.56</v>
      </c>
      <c r="N870">
        <v>1</v>
      </c>
      <c r="O870" t="s">
        <v>20</v>
      </c>
      <c r="P870" t="s">
        <v>21</v>
      </c>
      <c r="Q870">
        <f t="shared" si="65"/>
        <v>12</v>
      </c>
      <c r="R870" s="4">
        <f>RANK(N870,$N$2:N$2800,0)</f>
        <v>1</v>
      </c>
      <c r="S870">
        <f t="shared" si="66"/>
        <v>1.5384615384615385</v>
      </c>
      <c r="T870" t="str">
        <f t="shared" si="67"/>
        <v>Low</v>
      </c>
      <c r="U870" t="str" cm="1">
        <f t="array" ref="U870">_xlfn.LET(_xlpm.roles,_xlfn.UNIQUE(D870:D3668),_xlpm.kills, SUMIF(D870:D3668,_xlpm.roles,G870:G3668),INDEX(_xlpm.roles,MATCH(MAX(_xlpm.kills),_xlpm.kills,0)))</f>
        <v>Entry Fragger</v>
      </c>
      <c r="V870" t="str">
        <f t="shared" si="68"/>
        <v>High Accuracy</v>
      </c>
      <c r="W870" t="str" cm="1">
        <f t="array" ref="W870">_xlfn.LET(_xlpm.roles,_xlfn.UNIQUE(D870:D3668), _xlpm.counts,COUNTIF(D870:D3668,_xlpm.roles), INDEX(_xlpm.roles,MATCH(MAX(_xlpm.counts),_xlpm.counts,0)))</f>
        <v>Entry Fragger</v>
      </c>
      <c r="X870" s="2">
        <f t="shared" si="69"/>
        <v>12.520971302428256</v>
      </c>
    </row>
    <row r="871" spans="1:24" x14ac:dyDescent="0.3">
      <c r="A871">
        <v>2684</v>
      </c>
      <c r="B871">
        <v>151</v>
      </c>
      <c r="C871" t="s">
        <v>16</v>
      </c>
      <c r="D871" t="s">
        <v>36</v>
      </c>
      <c r="E871" t="s">
        <v>33</v>
      </c>
      <c r="F871" t="s">
        <v>34</v>
      </c>
      <c r="G871">
        <v>16</v>
      </c>
      <c r="H871">
        <v>9</v>
      </c>
      <c r="I871">
        <v>7</v>
      </c>
      <c r="J871">
        <v>55.58</v>
      </c>
      <c r="K871">
        <v>200.52</v>
      </c>
      <c r="L871">
        <v>0.27</v>
      </c>
      <c r="M871">
        <v>59.09</v>
      </c>
      <c r="N871">
        <v>0.8</v>
      </c>
      <c r="O871" t="s">
        <v>20</v>
      </c>
      <c r="P871" t="s">
        <v>21</v>
      </c>
      <c r="Q871">
        <f t="shared" si="65"/>
        <v>18</v>
      </c>
      <c r="R871" s="4">
        <f>RANK(N871,$N$2:N$2800,0)</f>
        <v>2393</v>
      </c>
      <c r="S871">
        <f t="shared" si="66"/>
        <v>2.2857142857142856</v>
      </c>
      <c r="T871" t="str">
        <f t="shared" si="67"/>
        <v>Good</v>
      </c>
      <c r="U871" t="str" cm="1">
        <f t="array" ref="U871">_xlfn.LET(_xlpm.roles,_xlfn.UNIQUE(D871:D3669),_xlpm.kills, SUMIF(D871:D3669,_xlpm.roles,G871:G3669),INDEX(_xlpm.roles,MATCH(MAX(_xlpm.kills),_xlpm.kills,0)))</f>
        <v>Entry Fragger</v>
      </c>
      <c r="V871" t="str">
        <f t="shared" si="68"/>
        <v>High Accuracy</v>
      </c>
      <c r="W871" t="str" cm="1">
        <f t="array" ref="W871">_xlfn.LET(_xlpm.roles,_xlfn.UNIQUE(D871:D3669), _xlpm.counts,COUNTIF(D871:D3669,_xlpm.roles), INDEX(_xlpm.roles,MATCH(MAX(_xlpm.counts),_xlpm.counts,0)))</f>
        <v>Entry Fragger</v>
      </c>
      <c r="X871" s="2">
        <f t="shared" si="69"/>
        <v>12.520971302428256</v>
      </c>
    </row>
    <row r="872" spans="1:24" x14ac:dyDescent="0.3">
      <c r="A872">
        <v>516</v>
      </c>
      <c r="B872">
        <v>152</v>
      </c>
      <c r="C872" t="s">
        <v>30</v>
      </c>
      <c r="D872" t="s">
        <v>28</v>
      </c>
      <c r="E872" t="s">
        <v>33</v>
      </c>
      <c r="F872" t="s">
        <v>24</v>
      </c>
      <c r="G872">
        <v>8</v>
      </c>
      <c r="H872">
        <v>6</v>
      </c>
      <c r="I872">
        <v>8</v>
      </c>
      <c r="J872">
        <v>45.86</v>
      </c>
      <c r="K872">
        <v>253.11</v>
      </c>
      <c r="L872">
        <v>0.97</v>
      </c>
      <c r="M872">
        <v>27.23</v>
      </c>
      <c r="N872">
        <v>0.73</v>
      </c>
      <c r="O872" t="s">
        <v>20</v>
      </c>
      <c r="P872" t="s">
        <v>21</v>
      </c>
      <c r="Q872">
        <f t="shared" si="65"/>
        <v>6</v>
      </c>
      <c r="R872" s="4">
        <f>RANK(N872,$N$2:N$2800,0)</f>
        <v>2642</v>
      </c>
      <c r="S872">
        <f t="shared" si="66"/>
        <v>1</v>
      </c>
      <c r="T872" t="str">
        <f t="shared" si="67"/>
        <v>Low</v>
      </c>
      <c r="U872" t="str" cm="1">
        <f t="array" ref="U872">_xlfn.LET(_xlpm.roles,_xlfn.UNIQUE(D872:D3670),_xlpm.kills, SUMIF(D872:D3670,_xlpm.roles,G872:G3670),INDEX(_xlpm.roles,MATCH(MAX(_xlpm.kills),_xlpm.kills,0)))</f>
        <v>Entry Fragger</v>
      </c>
      <c r="V872" t="str">
        <f t="shared" si="68"/>
        <v>Medium Accuracy</v>
      </c>
      <c r="W872" t="str" cm="1">
        <f t="array" ref="W872">_xlfn.LET(_xlpm.roles,_xlfn.UNIQUE(D872:D3670), _xlpm.counts,COUNTIF(D872:D3670,_xlpm.roles), INDEX(_xlpm.roles,MATCH(MAX(_xlpm.counts),_xlpm.counts,0)))</f>
        <v>Entry Fragger</v>
      </c>
      <c r="X872" s="2">
        <f t="shared" si="69"/>
        <v>13.135802469135802</v>
      </c>
    </row>
    <row r="873" spans="1:24" x14ac:dyDescent="0.3">
      <c r="A873">
        <v>1209</v>
      </c>
      <c r="B873">
        <v>152</v>
      </c>
      <c r="C873" t="s">
        <v>30</v>
      </c>
      <c r="D873" t="s">
        <v>28</v>
      </c>
      <c r="E873" t="s">
        <v>32</v>
      </c>
      <c r="F873" t="s">
        <v>37</v>
      </c>
      <c r="G873">
        <v>18</v>
      </c>
      <c r="H873">
        <v>6</v>
      </c>
      <c r="I873">
        <v>16</v>
      </c>
      <c r="J873">
        <v>30.36</v>
      </c>
      <c r="K873">
        <v>226.9</v>
      </c>
      <c r="L873">
        <v>0.79</v>
      </c>
      <c r="M873">
        <v>33.28</v>
      </c>
      <c r="N873">
        <v>0.78</v>
      </c>
      <c r="O873" t="s">
        <v>20</v>
      </c>
      <c r="P873" t="s">
        <v>21</v>
      </c>
      <c r="Q873">
        <f t="shared" si="65"/>
        <v>8</v>
      </c>
      <c r="R873" s="4">
        <f>RANK(N873,$N$2:N$2800,0)</f>
        <v>2469</v>
      </c>
      <c r="S873">
        <f t="shared" si="66"/>
        <v>1.125</v>
      </c>
      <c r="T873" t="str">
        <f t="shared" si="67"/>
        <v>Low</v>
      </c>
      <c r="U873" t="str" cm="1">
        <f t="array" ref="U873">_xlfn.LET(_xlpm.roles,_xlfn.UNIQUE(D873:D3671),_xlpm.kills, SUMIF(D873:D3671,_xlpm.roles,G873:G3671),INDEX(_xlpm.roles,MATCH(MAX(_xlpm.kills),_xlpm.kills,0)))</f>
        <v>Entry Fragger</v>
      </c>
      <c r="V873" t="str">
        <f t="shared" si="68"/>
        <v>Medium Accuracy</v>
      </c>
      <c r="W873" t="str" cm="1">
        <f t="array" ref="W873">_xlfn.LET(_xlpm.roles,_xlfn.UNIQUE(D873:D3671), _xlpm.counts,COUNTIF(D873:D3671,_xlpm.roles), INDEX(_xlpm.roles,MATCH(MAX(_xlpm.counts),_xlpm.counts,0)))</f>
        <v>Entry Fragger</v>
      </c>
      <c r="X873" s="2">
        <f t="shared" si="69"/>
        <v>13.135802469135802</v>
      </c>
    </row>
    <row r="874" spans="1:24" x14ac:dyDescent="0.3">
      <c r="A874">
        <v>1482</v>
      </c>
      <c r="B874">
        <v>152</v>
      </c>
      <c r="C874" t="s">
        <v>27</v>
      </c>
      <c r="D874" t="s">
        <v>17</v>
      </c>
      <c r="E874" t="s">
        <v>23</v>
      </c>
      <c r="F874" t="s">
        <v>19</v>
      </c>
      <c r="G874">
        <v>18</v>
      </c>
      <c r="H874">
        <v>7</v>
      </c>
      <c r="I874">
        <v>10</v>
      </c>
      <c r="J874">
        <v>34.42</v>
      </c>
      <c r="K874">
        <v>253.5</v>
      </c>
      <c r="L874">
        <v>0.39</v>
      </c>
      <c r="M874">
        <v>46.31</v>
      </c>
      <c r="N874">
        <v>0.99</v>
      </c>
      <c r="O874" t="s">
        <v>20</v>
      </c>
      <c r="P874" t="s">
        <v>21</v>
      </c>
      <c r="Q874">
        <f t="shared" si="65"/>
        <v>15</v>
      </c>
      <c r="R874" s="4">
        <f>RANK(N874,$N$2:N$2800,0)</f>
        <v>1080</v>
      </c>
      <c r="S874">
        <f t="shared" si="66"/>
        <v>1.8</v>
      </c>
      <c r="T874" t="str">
        <f t="shared" si="67"/>
        <v>Good</v>
      </c>
      <c r="U874" t="str" cm="1">
        <f t="array" ref="U874">_xlfn.LET(_xlpm.roles,_xlfn.UNIQUE(D874:D3672),_xlpm.kills, SUMIF(D874:D3672,_xlpm.roles,G874:G3672),INDEX(_xlpm.roles,MATCH(MAX(_xlpm.kills),_xlpm.kills,0)))</f>
        <v>Entry Fragger</v>
      </c>
      <c r="V874" t="str">
        <f t="shared" si="68"/>
        <v>Medium Accuracy</v>
      </c>
      <c r="W874" t="str" cm="1">
        <f t="array" ref="W874">_xlfn.LET(_xlpm.roles,_xlfn.UNIQUE(D874:D3672), _xlpm.counts,COUNTIF(D874:D3672,_xlpm.roles), INDEX(_xlpm.roles,MATCH(MAX(_xlpm.counts),_xlpm.counts,0)))</f>
        <v>Entry Fragger</v>
      </c>
      <c r="X874" s="2">
        <f t="shared" si="69"/>
        <v>13.057077625570777</v>
      </c>
    </row>
    <row r="875" spans="1:24" x14ac:dyDescent="0.3">
      <c r="A875">
        <v>2120</v>
      </c>
      <c r="B875">
        <v>152</v>
      </c>
      <c r="C875" t="s">
        <v>16</v>
      </c>
      <c r="D875" t="s">
        <v>28</v>
      </c>
      <c r="E875" t="s">
        <v>33</v>
      </c>
      <c r="F875" t="s">
        <v>24</v>
      </c>
      <c r="G875">
        <v>12</v>
      </c>
      <c r="H875">
        <v>5</v>
      </c>
      <c r="I875">
        <v>11</v>
      </c>
      <c r="J875">
        <v>49.72</v>
      </c>
      <c r="K875">
        <v>254.71</v>
      </c>
      <c r="L875">
        <v>0.61</v>
      </c>
      <c r="M875">
        <v>36.76</v>
      </c>
      <c r="N875">
        <v>0.98</v>
      </c>
      <c r="O875" t="s">
        <v>20</v>
      </c>
      <c r="P875" t="s">
        <v>21</v>
      </c>
      <c r="Q875">
        <f t="shared" si="65"/>
        <v>6</v>
      </c>
      <c r="R875" s="4">
        <f>RANK(N875,$N$2:N$2800,0)</f>
        <v>1157</v>
      </c>
      <c r="S875">
        <f t="shared" si="66"/>
        <v>1.0909090909090908</v>
      </c>
      <c r="T875" t="str">
        <f t="shared" si="67"/>
        <v>Low</v>
      </c>
      <c r="U875" t="str" cm="1">
        <f t="array" ref="U875">_xlfn.LET(_xlpm.roles,_xlfn.UNIQUE(D875:D3673),_xlpm.kills, SUMIF(D875:D3673,_xlpm.roles,G875:G3673),INDEX(_xlpm.roles,MATCH(MAX(_xlpm.kills),_xlpm.kills,0)))</f>
        <v>Entry Fragger</v>
      </c>
      <c r="V875" t="str">
        <f t="shared" si="68"/>
        <v>Medium Accuracy</v>
      </c>
      <c r="W875" t="str" cm="1">
        <f t="array" ref="W875">_xlfn.LET(_xlpm.roles,_xlfn.UNIQUE(D875:D3673), _xlpm.counts,COUNTIF(D875:D3673,_xlpm.roles), INDEX(_xlpm.roles,MATCH(MAX(_xlpm.counts),_xlpm.counts,0)))</f>
        <v>Entry Fragger</v>
      </c>
      <c r="X875" s="2">
        <f t="shared" si="69"/>
        <v>12.520971302428256</v>
      </c>
    </row>
    <row r="876" spans="1:24" x14ac:dyDescent="0.3">
      <c r="A876">
        <v>1000</v>
      </c>
      <c r="B876">
        <v>153</v>
      </c>
      <c r="C876" t="s">
        <v>16</v>
      </c>
      <c r="D876" t="s">
        <v>36</v>
      </c>
      <c r="E876" t="s">
        <v>33</v>
      </c>
      <c r="F876" t="s">
        <v>24</v>
      </c>
      <c r="G876">
        <v>14</v>
      </c>
      <c r="H876">
        <v>7</v>
      </c>
      <c r="I876">
        <v>10</v>
      </c>
      <c r="J876">
        <v>50.16</v>
      </c>
      <c r="K876">
        <v>170.38</v>
      </c>
      <c r="L876">
        <v>0.69</v>
      </c>
      <c r="M876">
        <v>43.18</v>
      </c>
      <c r="N876">
        <v>0.93</v>
      </c>
      <c r="O876" t="s">
        <v>20</v>
      </c>
      <c r="P876" t="s">
        <v>21</v>
      </c>
      <c r="Q876">
        <f t="shared" si="65"/>
        <v>11</v>
      </c>
      <c r="R876" s="4">
        <f>RANK(N876,$N$2:N$2800,0)</f>
        <v>1505</v>
      </c>
      <c r="S876">
        <f t="shared" si="66"/>
        <v>1.4</v>
      </c>
      <c r="T876" t="str">
        <f t="shared" si="67"/>
        <v>Low</v>
      </c>
      <c r="U876" t="str" cm="1">
        <f t="array" ref="U876">_xlfn.LET(_xlpm.roles,_xlfn.UNIQUE(D876:D3674),_xlpm.kills, SUMIF(D876:D3674,_xlpm.roles,G876:G3674),INDEX(_xlpm.roles,MATCH(MAX(_xlpm.kills),_xlpm.kills,0)))</f>
        <v>Entry Fragger</v>
      </c>
      <c r="V876" t="str">
        <f t="shared" si="68"/>
        <v>High Accuracy</v>
      </c>
      <c r="W876" t="str" cm="1">
        <f t="array" ref="W876">_xlfn.LET(_xlpm.roles,_xlfn.UNIQUE(D876:D3674), _xlpm.counts,COUNTIF(D876:D3674,_xlpm.roles), INDEX(_xlpm.roles,MATCH(MAX(_xlpm.counts),_xlpm.counts,0)))</f>
        <v>Entry Fragger</v>
      </c>
      <c r="X876" s="2">
        <f t="shared" si="69"/>
        <v>12.520971302428256</v>
      </c>
    </row>
    <row r="877" spans="1:24" x14ac:dyDescent="0.3">
      <c r="A877">
        <v>1476</v>
      </c>
      <c r="B877">
        <v>153</v>
      </c>
      <c r="C877" t="s">
        <v>39</v>
      </c>
      <c r="D877" t="s">
        <v>31</v>
      </c>
      <c r="E877" t="s">
        <v>33</v>
      </c>
      <c r="F877" t="s">
        <v>19</v>
      </c>
      <c r="G877">
        <v>19</v>
      </c>
      <c r="H877">
        <v>4</v>
      </c>
      <c r="I877">
        <v>10</v>
      </c>
      <c r="J877">
        <v>39.81</v>
      </c>
      <c r="K877">
        <v>231.72</v>
      </c>
      <c r="L877">
        <v>0.37</v>
      </c>
      <c r="M877">
        <v>48.2</v>
      </c>
      <c r="N877">
        <v>0.84</v>
      </c>
      <c r="O877" t="s">
        <v>20</v>
      </c>
      <c r="P877" t="s">
        <v>21</v>
      </c>
      <c r="Q877">
        <f t="shared" si="65"/>
        <v>13</v>
      </c>
      <c r="R877" s="4">
        <f>RANK(N877,$N$2:N$2800,0)</f>
        <v>2156</v>
      </c>
      <c r="S877">
        <f t="shared" si="66"/>
        <v>1.9</v>
      </c>
      <c r="T877" t="str">
        <f t="shared" si="67"/>
        <v>Low</v>
      </c>
      <c r="U877" t="str" cm="1">
        <f t="array" ref="U877">_xlfn.LET(_xlpm.roles,_xlfn.UNIQUE(D877:D3675),_xlpm.kills, SUMIF(D877:D3675,_xlpm.roles,G877:G3675),INDEX(_xlpm.roles,MATCH(MAX(_xlpm.kills),_xlpm.kills,0)))</f>
        <v>Entry Fragger</v>
      </c>
      <c r="V877" t="str">
        <f t="shared" si="68"/>
        <v>Medium Accuracy</v>
      </c>
      <c r="W877" t="str" cm="1">
        <f t="array" ref="W877">_xlfn.LET(_xlpm.roles,_xlfn.UNIQUE(D877:D3675), _xlpm.counts,COUNTIF(D877:D3675,_xlpm.roles), INDEX(_xlpm.roles,MATCH(MAX(_xlpm.counts),_xlpm.counts,0)))</f>
        <v>Entry Fragger</v>
      </c>
      <c r="X877" s="2">
        <f t="shared" si="69"/>
        <v>13.103594080338267</v>
      </c>
    </row>
    <row r="878" spans="1:24" x14ac:dyDescent="0.3">
      <c r="A878">
        <v>1756</v>
      </c>
      <c r="B878">
        <v>153</v>
      </c>
      <c r="C878" t="s">
        <v>39</v>
      </c>
      <c r="D878" t="s">
        <v>36</v>
      </c>
      <c r="E878" t="s">
        <v>32</v>
      </c>
      <c r="F878" t="s">
        <v>37</v>
      </c>
      <c r="G878">
        <v>20</v>
      </c>
      <c r="H878">
        <v>7</v>
      </c>
      <c r="I878">
        <v>10</v>
      </c>
      <c r="J878">
        <v>45.08</v>
      </c>
      <c r="K878">
        <v>232.67</v>
      </c>
      <c r="L878">
        <v>0.09</v>
      </c>
      <c r="M878">
        <v>58.64</v>
      </c>
      <c r="N878">
        <v>0.94</v>
      </c>
      <c r="O878" t="s">
        <v>20</v>
      </c>
      <c r="P878" t="s">
        <v>21</v>
      </c>
      <c r="Q878">
        <f t="shared" si="65"/>
        <v>17</v>
      </c>
      <c r="R878" s="4">
        <f>RANK(N878,$N$2:N$2800,0)</f>
        <v>1431</v>
      </c>
      <c r="S878">
        <f t="shared" si="66"/>
        <v>2</v>
      </c>
      <c r="T878" t="str">
        <f t="shared" si="67"/>
        <v>Good</v>
      </c>
      <c r="U878" t="str" cm="1">
        <f t="array" ref="U878">_xlfn.LET(_xlpm.roles,_xlfn.UNIQUE(D878:D3676),_xlpm.kills, SUMIF(D878:D3676,_xlpm.roles,G878:G3676),INDEX(_xlpm.roles,MATCH(MAX(_xlpm.kills),_xlpm.kills,0)))</f>
        <v>Entry Fragger</v>
      </c>
      <c r="V878" t="str">
        <f t="shared" si="68"/>
        <v>Medium Accuracy</v>
      </c>
      <c r="W878" t="str" cm="1">
        <f t="array" ref="W878">_xlfn.LET(_xlpm.roles,_xlfn.UNIQUE(D878:D3676), _xlpm.counts,COUNTIF(D878:D3676,_xlpm.roles), INDEX(_xlpm.roles,MATCH(MAX(_xlpm.counts),_xlpm.counts,0)))</f>
        <v>Entry Fragger</v>
      </c>
      <c r="X878" s="2">
        <f t="shared" si="69"/>
        <v>13.103594080338267</v>
      </c>
    </row>
    <row r="879" spans="1:24" x14ac:dyDescent="0.3">
      <c r="A879">
        <v>1884</v>
      </c>
      <c r="B879">
        <v>153</v>
      </c>
      <c r="C879" t="s">
        <v>27</v>
      </c>
      <c r="D879" t="s">
        <v>28</v>
      </c>
      <c r="E879" t="s">
        <v>23</v>
      </c>
      <c r="F879" t="s">
        <v>19</v>
      </c>
      <c r="G879">
        <v>16</v>
      </c>
      <c r="H879">
        <v>6</v>
      </c>
      <c r="I879">
        <v>14</v>
      </c>
      <c r="J879">
        <v>44.54</v>
      </c>
      <c r="K879">
        <v>226.4</v>
      </c>
      <c r="L879">
        <v>0.24</v>
      </c>
      <c r="M879">
        <v>43.87</v>
      </c>
      <c r="N879">
        <v>0.79</v>
      </c>
      <c r="O879" t="s">
        <v>20</v>
      </c>
      <c r="P879" t="s">
        <v>21</v>
      </c>
      <c r="Q879">
        <f t="shared" si="65"/>
        <v>8</v>
      </c>
      <c r="R879" s="4">
        <f>RANK(N879,$N$2:N$2800,0)</f>
        <v>2436</v>
      </c>
      <c r="S879">
        <f t="shared" si="66"/>
        <v>1.1428571428571428</v>
      </c>
      <c r="T879" t="str">
        <f t="shared" si="67"/>
        <v>Low</v>
      </c>
      <c r="U879" t="str" cm="1">
        <f t="array" ref="U879">_xlfn.LET(_xlpm.roles,_xlfn.UNIQUE(D879:D3677),_xlpm.kills, SUMIF(D879:D3677,_xlpm.roles,G879:G3677),INDEX(_xlpm.roles,MATCH(MAX(_xlpm.kills),_xlpm.kills,0)))</f>
        <v>Entry Fragger</v>
      </c>
      <c r="V879" t="str">
        <f t="shared" si="68"/>
        <v>Medium Accuracy</v>
      </c>
      <c r="W879" t="str" cm="1">
        <f t="array" ref="W879">_xlfn.LET(_xlpm.roles,_xlfn.UNIQUE(D879:D3677), _xlpm.counts,COUNTIF(D879:D3677,_xlpm.roles), INDEX(_xlpm.roles,MATCH(MAX(_xlpm.counts),_xlpm.counts,0)))</f>
        <v>Entry Fragger</v>
      </c>
      <c r="X879" s="2">
        <f t="shared" si="69"/>
        <v>13.057077625570777</v>
      </c>
    </row>
    <row r="880" spans="1:24" x14ac:dyDescent="0.3">
      <c r="A880">
        <v>62</v>
      </c>
      <c r="B880">
        <v>154</v>
      </c>
      <c r="C880" t="s">
        <v>16</v>
      </c>
      <c r="D880" t="s">
        <v>28</v>
      </c>
      <c r="E880" t="s">
        <v>18</v>
      </c>
      <c r="F880" t="s">
        <v>37</v>
      </c>
      <c r="G880">
        <v>13</v>
      </c>
      <c r="H880">
        <v>7</v>
      </c>
      <c r="I880">
        <v>11</v>
      </c>
      <c r="J880">
        <v>45.38</v>
      </c>
      <c r="K880">
        <v>205.6</v>
      </c>
      <c r="L880">
        <v>0.87</v>
      </c>
      <c r="M880">
        <v>35.99</v>
      </c>
      <c r="N880">
        <v>0.87</v>
      </c>
      <c r="O880" t="s">
        <v>20</v>
      </c>
      <c r="P880" t="s">
        <v>21</v>
      </c>
      <c r="Q880">
        <f t="shared" si="65"/>
        <v>9</v>
      </c>
      <c r="R880" s="4">
        <f>RANK(N880,$N$2:N$2800,0)</f>
        <v>1965</v>
      </c>
      <c r="S880">
        <f t="shared" si="66"/>
        <v>1.1818181818181819</v>
      </c>
      <c r="T880" t="str">
        <f t="shared" si="67"/>
        <v>Low</v>
      </c>
      <c r="U880" t="str" cm="1">
        <f t="array" ref="U880">_xlfn.LET(_xlpm.roles,_xlfn.UNIQUE(D880:D3678),_xlpm.kills, SUMIF(D880:D3678,_xlpm.roles,G880:G3678),INDEX(_xlpm.roles,MATCH(MAX(_xlpm.kills),_xlpm.kills,0)))</f>
        <v>Entry Fragger</v>
      </c>
      <c r="V880" t="str">
        <f t="shared" si="68"/>
        <v>Medium Accuracy</v>
      </c>
      <c r="W880" t="str" cm="1">
        <f t="array" ref="W880">_xlfn.LET(_xlpm.roles,_xlfn.UNIQUE(D880:D3678), _xlpm.counts,COUNTIF(D880:D3678,_xlpm.roles), INDEX(_xlpm.roles,MATCH(MAX(_xlpm.counts),_xlpm.counts,0)))</f>
        <v>Entry Fragger</v>
      </c>
      <c r="X880" s="2">
        <f t="shared" si="69"/>
        <v>12.520971302428256</v>
      </c>
    </row>
    <row r="881" spans="1:24" x14ac:dyDescent="0.3">
      <c r="A881">
        <v>311</v>
      </c>
      <c r="B881">
        <v>154</v>
      </c>
      <c r="C881" t="s">
        <v>25</v>
      </c>
      <c r="D881" t="s">
        <v>28</v>
      </c>
      <c r="E881" t="s">
        <v>33</v>
      </c>
      <c r="F881" t="s">
        <v>19</v>
      </c>
      <c r="G881">
        <v>18</v>
      </c>
      <c r="H881">
        <v>10</v>
      </c>
      <c r="I881">
        <v>14</v>
      </c>
      <c r="J881">
        <v>58.08</v>
      </c>
      <c r="K881">
        <v>259.35000000000002</v>
      </c>
      <c r="L881">
        <v>0.42</v>
      </c>
      <c r="M881">
        <v>56.84</v>
      </c>
      <c r="N881">
        <v>1</v>
      </c>
      <c r="O881" t="s">
        <v>20</v>
      </c>
      <c r="P881" t="s">
        <v>21</v>
      </c>
      <c r="Q881">
        <f t="shared" si="65"/>
        <v>14</v>
      </c>
      <c r="R881" s="4">
        <f>RANK(N881,$N$2:N$2800,0)</f>
        <v>1</v>
      </c>
      <c r="S881">
        <f t="shared" si="66"/>
        <v>1.2857142857142858</v>
      </c>
      <c r="T881" t="str">
        <f t="shared" si="67"/>
        <v>Low</v>
      </c>
      <c r="U881" t="str" cm="1">
        <f t="array" ref="U881">_xlfn.LET(_xlpm.roles,_xlfn.UNIQUE(D881:D3679),_xlpm.kills, SUMIF(D881:D3679,_xlpm.roles,G881:G3679),INDEX(_xlpm.roles,MATCH(MAX(_xlpm.kills),_xlpm.kills,0)))</f>
        <v>Entry Fragger</v>
      </c>
      <c r="V881" t="str">
        <f t="shared" si="68"/>
        <v>High Accuracy</v>
      </c>
      <c r="W881" t="str" cm="1">
        <f t="array" ref="W881">_xlfn.LET(_xlpm.roles,_xlfn.UNIQUE(D881:D3679), _xlpm.counts,COUNTIF(D881:D3679,_xlpm.roles), INDEX(_xlpm.roles,MATCH(MAX(_xlpm.counts),_xlpm.counts,0)))</f>
        <v>Entry Fragger</v>
      </c>
      <c r="X881" s="2">
        <f t="shared" si="69"/>
        <v>12.809421841541756</v>
      </c>
    </row>
    <row r="882" spans="1:24" x14ac:dyDescent="0.3">
      <c r="A882">
        <v>394</v>
      </c>
      <c r="B882">
        <v>154</v>
      </c>
      <c r="C882" t="s">
        <v>30</v>
      </c>
      <c r="D882" t="s">
        <v>36</v>
      </c>
      <c r="E882" t="s">
        <v>29</v>
      </c>
      <c r="F882" t="s">
        <v>19</v>
      </c>
      <c r="G882">
        <v>8</v>
      </c>
      <c r="H882">
        <v>9</v>
      </c>
      <c r="I882">
        <v>10</v>
      </c>
      <c r="J882">
        <v>51.56</v>
      </c>
      <c r="K882">
        <v>192.36</v>
      </c>
      <c r="L882">
        <v>0.09</v>
      </c>
      <c r="M882">
        <v>39.880000000000003</v>
      </c>
      <c r="N882">
        <v>0.84</v>
      </c>
      <c r="O882" t="s">
        <v>20</v>
      </c>
      <c r="P882" t="s">
        <v>21</v>
      </c>
      <c r="Q882">
        <f t="shared" si="65"/>
        <v>7</v>
      </c>
      <c r="R882" s="4">
        <f>RANK(N882,$N$2:N$2800,0)</f>
        <v>2156</v>
      </c>
      <c r="S882">
        <f t="shared" si="66"/>
        <v>0.8</v>
      </c>
      <c r="T882" t="str">
        <f t="shared" si="67"/>
        <v>Low</v>
      </c>
      <c r="U882" t="str" cm="1">
        <f t="array" ref="U882">_xlfn.LET(_xlpm.roles,_xlfn.UNIQUE(D882:D3680),_xlpm.kills, SUMIF(D882:D3680,_xlpm.roles,G882:G3680),INDEX(_xlpm.roles,MATCH(MAX(_xlpm.kills),_xlpm.kills,0)))</f>
        <v>Entry Fragger</v>
      </c>
      <c r="V882" t="str">
        <f t="shared" si="68"/>
        <v>High Accuracy</v>
      </c>
      <c r="W882" t="str" cm="1">
        <f t="array" ref="W882">_xlfn.LET(_xlpm.roles,_xlfn.UNIQUE(D882:D3680), _xlpm.counts,COUNTIF(D882:D3680,_xlpm.roles), INDEX(_xlpm.roles,MATCH(MAX(_xlpm.counts),_xlpm.counts,0)))</f>
        <v>Entry Fragger</v>
      </c>
      <c r="X882" s="2">
        <f t="shared" si="69"/>
        <v>13.135802469135802</v>
      </c>
    </row>
    <row r="883" spans="1:24" x14ac:dyDescent="0.3">
      <c r="A883">
        <v>684</v>
      </c>
      <c r="B883">
        <v>154</v>
      </c>
      <c r="C883" t="s">
        <v>35</v>
      </c>
      <c r="D883" t="s">
        <v>36</v>
      </c>
      <c r="E883" t="s">
        <v>18</v>
      </c>
      <c r="F883" t="s">
        <v>19</v>
      </c>
      <c r="G883">
        <v>15</v>
      </c>
      <c r="H883">
        <v>6</v>
      </c>
      <c r="I883">
        <v>14</v>
      </c>
      <c r="J883">
        <v>54.13</v>
      </c>
      <c r="K883">
        <v>228.18</v>
      </c>
      <c r="L883">
        <v>0.56999999999999995</v>
      </c>
      <c r="M883">
        <v>43.36</v>
      </c>
      <c r="N883">
        <v>1</v>
      </c>
      <c r="O883" t="s">
        <v>20</v>
      </c>
      <c r="P883" t="s">
        <v>21</v>
      </c>
      <c r="Q883">
        <f t="shared" si="65"/>
        <v>7</v>
      </c>
      <c r="R883" s="4">
        <f>RANK(N883,$N$2:N$2800,0)</f>
        <v>1</v>
      </c>
      <c r="S883">
        <f t="shared" si="66"/>
        <v>1.0714285714285714</v>
      </c>
      <c r="T883" t="str">
        <f t="shared" si="67"/>
        <v>Low</v>
      </c>
      <c r="U883" t="str" cm="1">
        <f t="array" ref="U883">_xlfn.LET(_xlpm.roles,_xlfn.UNIQUE(D883:D3681),_xlpm.kills, SUMIF(D883:D3681,_xlpm.roles,G883:G3681),INDEX(_xlpm.roles,MATCH(MAX(_xlpm.kills),_xlpm.kills,0)))</f>
        <v>Entry Fragger</v>
      </c>
      <c r="V883" t="str">
        <f t="shared" si="68"/>
        <v>High Accuracy</v>
      </c>
      <c r="W883" t="str" cm="1">
        <f t="array" ref="W883">_xlfn.LET(_xlpm.roles,_xlfn.UNIQUE(D883:D3681), _xlpm.counts,COUNTIF(D883:D3681,_xlpm.roles), INDEX(_xlpm.roles,MATCH(MAX(_xlpm.counts),_xlpm.counts,0)))</f>
        <v>Entry Fragger</v>
      </c>
      <c r="X883" s="2">
        <f t="shared" si="69"/>
        <v>12.599585062240664</v>
      </c>
    </row>
    <row r="884" spans="1:24" x14ac:dyDescent="0.3">
      <c r="A884">
        <v>1030</v>
      </c>
      <c r="B884">
        <v>154</v>
      </c>
      <c r="C884" t="s">
        <v>39</v>
      </c>
      <c r="D884" t="s">
        <v>17</v>
      </c>
      <c r="E884" t="s">
        <v>29</v>
      </c>
      <c r="F884" t="s">
        <v>37</v>
      </c>
      <c r="G884">
        <v>16</v>
      </c>
      <c r="H884">
        <v>7</v>
      </c>
      <c r="I884">
        <v>11</v>
      </c>
      <c r="J884">
        <v>43.36</v>
      </c>
      <c r="K884">
        <v>233.49</v>
      </c>
      <c r="L884">
        <v>0.42</v>
      </c>
      <c r="M884">
        <v>45.48</v>
      </c>
      <c r="N884">
        <v>0.83</v>
      </c>
      <c r="O884" t="s">
        <v>20</v>
      </c>
      <c r="P884" t="s">
        <v>21</v>
      </c>
      <c r="Q884">
        <f t="shared" si="65"/>
        <v>12</v>
      </c>
      <c r="R884" s="4">
        <f>RANK(N884,$N$2:N$2800,0)</f>
        <v>2218</v>
      </c>
      <c r="S884">
        <f t="shared" si="66"/>
        <v>1.4545454545454546</v>
      </c>
      <c r="T884" t="str">
        <f t="shared" si="67"/>
        <v>Low</v>
      </c>
      <c r="U884" t="str" cm="1">
        <f t="array" ref="U884">_xlfn.LET(_xlpm.roles,_xlfn.UNIQUE(D884:D3682),_xlpm.kills, SUMIF(D884:D3682,_xlpm.roles,G884:G3682),INDEX(_xlpm.roles,MATCH(MAX(_xlpm.kills),_xlpm.kills,0)))</f>
        <v>Entry Fragger</v>
      </c>
      <c r="V884" t="str">
        <f t="shared" si="68"/>
        <v>Medium Accuracy</v>
      </c>
      <c r="W884" t="str" cm="1">
        <f t="array" ref="W884">_xlfn.LET(_xlpm.roles,_xlfn.UNIQUE(D884:D3682), _xlpm.counts,COUNTIF(D884:D3682,_xlpm.roles), INDEX(_xlpm.roles,MATCH(MAX(_xlpm.counts),_xlpm.counts,0)))</f>
        <v>Entry Fragger</v>
      </c>
      <c r="X884" s="2">
        <f t="shared" si="69"/>
        <v>13.103594080338267</v>
      </c>
    </row>
    <row r="885" spans="1:24" x14ac:dyDescent="0.3">
      <c r="A885">
        <v>2119</v>
      </c>
      <c r="B885">
        <v>154</v>
      </c>
      <c r="C885" t="s">
        <v>30</v>
      </c>
      <c r="D885" t="s">
        <v>36</v>
      </c>
      <c r="E885" t="s">
        <v>18</v>
      </c>
      <c r="F885" t="s">
        <v>24</v>
      </c>
      <c r="G885">
        <v>9</v>
      </c>
      <c r="H885">
        <v>11</v>
      </c>
      <c r="I885">
        <v>7</v>
      </c>
      <c r="J885">
        <v>54.26</v>
      </c>
      <c r="K885">
        <v>159.12</v>
      </c>
      <c r="L885">
        <v>0.61</v>
      </c>
      <c r="M885">
        <v>43.03</v>
      </c>
      <c r="N885">
        <v>1</v>
      </c>
      <c r="O885" t="s">
        <v>20</v>
      </c>
      <c r="P885" t="s">
        <v>21</v>
      </c>
      <c r="Q885">
        <f t="shared" si="65"/>
        <v>13</v>
      </c>
      <c r="R885" s="4">
        <f>RANK(N885,$N$2:N$2800,0)</f>
        <v>1</v>
      </c>
      <c r="S885">
        <f t="shared" si="66"/>
        <v>1.2857142857142858</v>
      </c>
      <c r="T885" t="str">
        <f t="shared" si="67"/>
        <v>Low</v>
      </c>
      <c r="U885" t="str" cm="1">
        <f t="array" ref="U885">_xlfn.LET(_xlpm.roles,_xlfn.UNIQUE(D885:D3683),_xlpm.kills, SUMIF(D885:D3683,_xlpm.roles,G885:G3683),INDEX(_xlpm.roles,MATCH(MAX(_xlpm.kills),_xlpm.kills,0)))</f>
        <v>Entry Fragger</v>
      </c>
      <c r="V885" t="str">
        <f t="shared" si="68"/>
        <v>High Accuracy</v>
      </c>
      <c r="W885" t="str" cm="1">
        <f t="array" ref="W885">_xlfn.LET(_xlpm.roles,_xlfn.UNIQUE(D885:D3683), _xlpm.counts,COUNTIF(D885:D3683,_xlpm.roles), INDEX(_xlpm.roles,MATCH(MAX(_xlpm.counts),_xlpm.counts,0)))</f>
        <v>Entry Fragger</v>
      </c>
      <c r="X885" s="2">
        <f t="shared" si="69"/>
        <v>13.135802469135802</v>
      </c>
    </row>
    <row r="886" spans="1:24" x14ac:dyDescent="0.3">
      <c r="A886">
        <v>235</v>
      </c>
      <c r="B886">
        <v>155</v>
      </c>
      <c r="C886" t="s">
        <v>30</v>
      </c>
      <c r="D886" t="s">
        <v>36</v>
      </c>
      <c r="E886" t="s">
        <v>23</v>
      </c>
      <c r="F886" t="s">
        <v>24</v>
      </c>
      <c r="G886">
        <v>15</v>
      </c>
      <c r="H886">
        <v>3</v>
      </c>
      <c r="I886">
        <v>17</v>
      </c>
      <c r="J886">
        <v>37.67</v>
      </c>
      <c r="K886">
        <v>254.03</v>
      </c>
      <c r="L886">
        <v>0.39</v>
      </c>
      <c r="M886">
        <v>30.94</v>
      </c>
      <c r="N886">
        <v>0.78</v>
      </c>
      <c r="O886" t="s">
        <v>20</v>
      </c>
      <c r="P886" t="s">
        <v>21</v>
      </c>
      <c r="Q886">
        <f t="shared" si="65"/>
        <v>1</v>
      </c>
      <c r="R886" s="4">
        <f>RANK(N886,$N$2:N$2800,0)</f>
        <v>2469</v>
      </c>
      <c r="S886">
        <f t="shared" si="66"/>
        <v>0.88235294117647056</v>
      </c>
      <c r="T886" t="str">
        <f t="shared" si="67"/>
        <v>Low</v>
      </c>
      <c r="U886" t="str" cm="1">
        <f t="array" ref="U886">_xlfn.LET(_xlpm.roles,_xlfn.UNIQUE(D886:D3684),_xlpm.kills, SUMIF(D886:D3684,_xlpm.roles,G886:G3684),INDEX(_xlpm.roles,MATCH(MAX(_xlpm.kills),_xlpm.kills,0)))</f>
        <v>Entry Fragger</v>
      </c>
      <c r="V886" t="str">
        <f t="shared" si="68"/>
        <v>Medium Accuracy</v>
      </c>
      <c r="W886" t="str" cm="1">
        <f t="array" ref="W886">_xlfn.LET(_xlpm.roles,_xlfn.UNIQUE(D886:D3684), _xlpm.counts,COUNTIF(D886:D3684,_xlpm.roles), INDEX(_xlpm.roles,MATCH(MAX(_xlpm.counts),_xlpm.counts,0)))</f>
        <v>Entry Fragger</v>
      </c>
      <c r="X886" s="2">
        <f t="shared" si="69"/>
        <v>13.135802469135802</v>
      </c>
    </row>
    <row r="887" spans="1:24" x14ac:dyDescent="0.3">
      <c r="A887">
        <v>404</v>
      </c>
      <c r="B887">
        <v>155</v>
      </c>
      <c r="C887" t="s">
        <v>39</v>
      </c>
      <c r="D887" t="s">
        <v>17</v>
      </c>
      <c r="E887" t="s">
        <v>33</v>
      </c>
      <c r="F887" t="s">
        <v>26</v>
      </c>
      <c r="G887">
        <v>16</v>
      </c>
      <c r="H887">
        <v>4</v>
      </c>
      <c r="I887">
        <v>6</v>
      </c>
      <c r="J887">
        <v>39.89</v>
      </c>
      <c r="K887">
        <v>195.08</v>
      </c>
      <c r="L887">
        <v>0.73</v>
      </c>
      <c r="M887">
        <v>42.65</v>
      </c>
      <c r="N887">
        <v>1</v>
      </c>
      <c r="O887" t="s">
        <v>20</v>
      </c>
      <c r="P887" t="s">
        <v>21</v>
      </c>
      <c r="Q887">
        <f t="shared" si="65"/>
        <v>14</v>
      </c>
      <c r="R887" s="4">
        <f>RANK(N887,$N$2:N$2800,0)</f>
        <v>1</v>
      </c>
      <c r="S887">
        <f t="shared" si="66"/>
        <v>2.6666666666666665</v>
      </c>
      <c r="T887" t="str">
        <f t="shared" si="67"/>
        <v>Low</v>
      </c>
      <c r="U887" t="str" cm="1">
        <f t="array" ref="U887">_xlfn.LET(_xlpm.roles,_xlfn.UNIQUE(D887:D3685),_xlpm.kills, SUMIF(D887:D3685,_xlpm.roles,G887:G3685),INDEX(_xlpm.roles,MATCH(MAX(_xlpm.kills),_xlpm.kills,0)))</f>
        <v>Entry Fragger</v>
      </c>
      <c r="V887" t="str">
        <f t="shared" si="68"/>
        <v>Medium Accuracy</v>
      </c>
      <c r="W887" t="str" cm="1">
        <f t="array" ref="W887">_xlfn.LET(_xlpm.roles,_xlfn.UNIQUE(D887:D3685), _xlpm.counts,COUNTIF(D887:D3685,_xlpm.roles), INDEX(_xlpm.roles,MATCH(MAX(_xlpm.counts),_xlpm.counts,0)))</f>
        <v>Entry Fragger</v>
      </c>
      <c r="X887" s="2">
        <f t="shared" si="69"/>
        <v>13.103594080338267</v>
      </c>
    </row>
    <row r="888" spans="1:24" x14ac:dyDescent="0.3">
      <c r="A888">
        <v>1203</v>
      </c>
      <c r="B888">
        <v>155</v>
      </c>
      <c r="C888" t="s">
        <v>39</v>
      </c>
      <c r="D888" t="s">
        <v>28</v>
      </c>
      <c r="E888" t="s">
        <v>23</v>
      </c>
      <c r="F888" t="s">
        <v>34</v>
      </c>
      <c r="G888">
        <v>17</v>
      </c>
      <c r="H888">
        <v>14</v>
      </c>
      <c r="I888">
        <v>11</v>
      </c>
      <c r="J888">
        <v>38.729999999999997</v>
      </c>
      <c r="K888">
        <v>243.56</v>
      </c>
      <c r="L888">
        <v>0.68</v>
      </c>
      <c r="M888">
        <v>49.56</v>
      </c>
      <c r="N888">
        <v>0.91</v>
      </c>
      <c r="O888" t="s">
        <v>20</v>
      </c>
      <c r="P888" t="s">
        <v>21</v>
      </c>
      <c r="Q888">
        <f t="shared" si="65"/>
        <v>20</v>
      </c>
      <c r="R888" s="4">
        <f>RANK(N888,$N$2:N$2800,0)</f>
        <v>1665</v>
      </c>
      <c r="S888">
        <f t="shared" si="66"/>
        <v>1.5454545454545454</v>
      </c>
      <c r="T888" t="str">
        <f t="shared" si="67"/>
        <v>Good</v>
      </c>
      <c r="U888" t="str" cm="1">
        <f t="array" ref="U888">_xlfn.LET(_xlpm.roles,_xlfn.UNIQUE(D888:D3686),_xlpm.kills, SUMIF(D888:D3686,_xlpm.roles,G888:G3686),INDEX(_xlpm.roles,MATCH(MAX(_xlpm.kills),_xlpm.kills,0)))</f>
        <v>Entry Fragger</v>
      </c>
      <c r="V888" t="str">
        <f t="shared" si="68"/>
        <v>Medium Accuracy</v>
      </c>
      <c r="W888" t="str" cm="1">
        <f t="array" ref="W888">_xlfn.LET(_xlpm.roles,_xlfn.UNIQUE(D888:D3686), _xlpm.counts,COUNTIF(D888:D3686,_xlpm.roles), INDEX(_xlpm.roles,MATCH(MAX(_xlpm.counts),_xlpm.counts,0)))</f>
        <v>Entry Fragger</v>
      </c>
      <c r="X888" s="2">
        <f t="shared" si="69"/>
        <v>13.103594080338267</v>
      </c>
    </row>
    <row r="889" spans="1:24" x14ac:dyDescent="0.3">
      <c r="A889">
        <v>1865</v>
      </c>
      <c r="B889">
        <v>155</v>
      </c>
      <c r="C889" t="s">
        <v>35</v>
      </c>
      <c r="D889" t="s">
        <v>17</v>
      </c>
      <c r="E889" t="s">
        <v>29</v>
      </c>
      <c r="F889" t="s">
        <v>37</v>
      </c>
      <c r="G889">
        <v>10</v>
      </c>
      <c r="H889">
        <v>8</v>
      </c>
      <c r="I889">
        <v>3</v>
      </c>
      <c r="J889">
        <v>40.82</v>
      </c>
      <c r="K889">
        <v>241.43</v>
      </c>
      <c r="L889">
        <v>0.47</v>
      </c>
      <c r="M889">
        <v>40.71</v>
      </c>
      <c r="N889">
        <v>0.78</v>
      </c>
      <c r="O889" t="s">
        <v>20</v>
      </c>
      <c r="P889" t="s">
        <v>21</v>
      </c>
      <c r="Q889">
        <f t="shared" si="65"/>
        <v>15</v>
      </c>
      <c r="R889" s="4">
        <f>RANK(N889,$N$2:N$2800,0)</f>
        <v>2469</v>
      </c>
      <c r="S889">
        <f t="shared" si="66"/>
        <v>3.3333333333333335</v>
      </c>
      <c r="T889" t="str">
        <f t="shared" si="67"/>
        <v>Good</v>
      </c>
      <c r="U889" t="str" cm="1">
        <f t="array" ref="U889">_xlfn.LET(_xlpm.roles,_xlfn.UNIQUE(D889:D3687),_xlpm.kills, SUMIF(D889:D3687,_xlpm.roles,G889:G3687),INDEX(_xlpm.roles,MATCH(MAX(_xlpm.kills),_xlpm.kills,0)))</f>
        <v>Entry Fragger</v>
      </c>
      <c r="V889" t="str">
        <f t="shared" si="68"/>
        <v>Medium Accuracy</v>
      </c>
      <c r="W889" t="str" cm="1">
        <f t="array" ref="W889">_xlfn.LET(_xlpm.roles,_xlfn.UNIQUE(D889:D3687), _xlpm.counts,COUNTIF(D889:D3687,_xlpm.roles), INDEX(_xlpm.roles,MATCH(MAX(_xlpm.counts),_xlpm.counts,0)))</f>
        <v>Entry Fragger</v>
      </c>
      <c r="X889" s="2">
        <f t="shared" si="69"/>
        <v>12.599585062240664</v>
      </c>
    </row>
    <row r="890" spans="1:24" x14ac:dyDescent="0.3">
      <c r="A890">
        <v>2642</v>
      </c>
      <c r="B890">
        <v>155</v>
      </c>
      <c r="C890" t="s">
        <v>25</v>
      </c>
      <c r="D890" t="s">
        <v>36</v>
      </c>
      <c r="E890" t="s">
        <v>32</v>
      </c>
      <c r="F890" t="s">
        <v>34</v>
      </c>
      <c r="G890">
        <v>18</v>
      </c>
      <c r="H890">
        <v>7</v>
      </c>
      <c r="I890">
        <v>10</v>
      </c>
      <c r="J890">
        <v>43.79</v>
      </c>
      <c r="K890">
        <v>217.01</v>
      </c>
      <c r="L890">
        <v>0.91</v>
      </c>
      <c r="M890">
        <v>45.79</v>
      </c>
      <c r="N890">
        <v>0.93</v>
      </c>
      <c r="O890" t="s">
        <v>20</v>
      </c>
      <c r="P890" t="s">
        <v>21</v>
      </c>
      <c r="Q890">
        <f t="shared" si="65"/>
        <v>15</v>
      </c>
      <c r="R890" s="4">
        <f>RANK(N890,$N$2:N$2800,0)</f>
        <v>1505</v>
      </c>
      <c r="S890">
        <f t="shared" si="66"/>
        <v>1.8</v>
      </c>
      <c r="T890" t="str">
        <f t="shared" si="67"/>
        <v>Good</v>
      </c>
      <c r="U890" t="str" cm="1">
        <f t="array" ref="U890">_xlfn.LET(_xlpm.roles,_xlfn.UNIQUE(D890:D3688),_xlpm.kills, SUMIF(D890:D3688,_xlpm.roles,G890:G3688),INDEX(_xlpm.roles,MATCH(MAX(_xlpm.kills),_xlpm.kills,0)))</f>
        <v>Entry Fragger</v>
      </c>
      <c r="V890" t="str">
        <f t="shared" si="68"/>
        <v>Medium Accuracy</v>
      </c>
      <c r="W890" t="str" cm="1">
        <f t="array" ref="W890">_xlfn.LET(_xlpm.roles,_xlfn.UNIQUE(D890:D3688), _xlpm.counts,COUNTIF(D890:D3688,_xlpm.roles), INDEX(_xlpm.roles,MATCH(MAX(_xlpm.counts),_xlpm.counts,0)))</f>
        <v>Entry Fragger</v>
      </c>
      <c r="X890" s="2">
        <f t="shared" si="69"/>
        <v>12.809421841541756</v>
      </c>
    </row>
    <row r="891" spans="1:24" x14ac:dyDescent="0.3">
      <c r="A891">
        <v>2762</v>
      </c>
      <c r="B891">
        <v>155</v>
      </c>
      <c r="C891" t="s">
        <v>30</v>
      </c>
      <c r="D891" t="s">
        <v>36</v>
      </c>
      <c r="E891" t="s">
        <v>33</v>
      </c>
      <c r="F891" t="s">
        <v>19</v>
      </c>
      <c r="G891">
        <v>12</v>
      </c>
      <c r="H891">
        <v>4</v>
      </c>
      <c r="I891">
        <v>8</v>
      </c>
      <c r="J891">
        <v>42.36</v>
      </c>
      <c r="K891">
        <v>192.7</v>
      </c>
      <c r="L891">
        <v>0.54</v>
      </c>
      <c r="M891">
        <v>35.78</v>
      </c>
      <c r="N891">
        <v>0.76</v>
      </c>
      <c r="O891" t="s">
        <v>20</v>
      </c>
      <c r="P891" t="s">
        <v>21</v>
      </c>
      <c r="Q891">
        <f t="shared" si="65"/>
        <v>8</v>
      </c>
      <c r="R891" s="4">
        <f>RANK(N891,$N$2:N$2800,0)</f>
        <v>2547</v>
      </c>
      <c r="S891">
        <f t="shared" si="66"/>
        <v>1.5</v>
      </c>
      <c r="T891" t="str">
        <f t="shared" si="67"/>
        <v>Low</v>
      </c>
      <c r="U891" t="str" cm="1">
        <f t="array" ref="U891">_xlfn.LET(_xlpm.roles,_xlfn.UNIQUE(D891:D3689),_xlpm.kills, SUMIF(D891:D3689,_xlpm.roles,G891:G3689),INDEX(_xlpm.roles,MATCH(MAX(_xlpm.kills),_xlpm.kills,0)))</f>
        <v>Entry Fragger</v>
      </c>
      <c r="V891" t="str">
        <f t="shared" si="68"/>
        <v>Medium Accuracy</v>
      </c>
      <c r="W891" t="str" cm="1">
        <f t="array" ref="W891">_xlfn.LET(_xlpm.roles,_xlfn.UNIQUE(D891:D3689), _xlpm.counts,COUNTIF(D891:D3689,_xlpm.roles), INDEX(_xlpm.roles,MATCH(MAX(_xlpm.counts),_xlpm.counts,0)))</f>
        <v>Entry Fragger</v>
      </c>
      <c r="X891" s="2">
        <f t="shared" si="69"/>
        <v>13.135802469135802</v>
      </c>
    </row>
    <row r="892" spans="1:24" x14ac:dyDescent="0.3">
      <c r="A892">
        <v>787</v>
      </c>
      <c r="B892">
        <v>156</v>
      </c>
      <c r="C892" t="s">
        <v>16</v>
      </c>
      <c r="D892" t="s">
        <v>36</v>
      </c>
      <c r="E892" t="s">
        <v>32</v>
      </c>
      <c r="F892" t="s">
        <v>19</v>
      </c>
      <c r="G892">
        <v>16</v>
      </c>
      <c r="H892">
        <v>10</v>
      </c>
      <c r="I892">
        <v>9</v>
      </c>
      <c r="J892">
        <v>55.74</v>
      </c>
      <c r="K892">
        <v>230.73</v>
      </c>
      <c r="L892">
        <v>0.79</v>
      </c>
      <c r="M892">
        <v>52.97</v>
      </c>
      <c r="N892">
        <v>0.86</v>
      </c>
      <c r="O892" t="s">
        <v>20</v>
      </c>
      <c r="P892" t="s">
        <v>21</v>
      </c>
      <c r="Q892">
        <f t="shared" si="65"/>
        <v>17</v>
      </c>
      <c r="R892" s="4">
        <f>RANK(N892,$N$2:N$2800,0)</f>
        <v>2040</v>
      </c>
      <c r="S892">
        <f t="shared" si="66"/>
        <v>1.7777777777777777</v>
      </c>
      <c r="T892" t="str">
        <f t="shared" si="67"/>
        <v>Good</v>
      </c>
      <c r="U892" t="str" cm="1">
        <f t="array" ref="U892">_xlfn.LET(_xlpm.roles,_xlfn.UNIQUE(D892:D3690),_xlpm.kills, SUMIF(D892:D3690,_xlpm.roles,G892:G3690),INDEX(_xlpm.roles,MATCH(MAX(_xlpm.kills),_xlpm.kills,0)))</f>
        <v>Entry Fragger</v>
      </c>
      <c r="V892" t="str">
        <f t="shared" si="68"/>
        <v>High Accuracy</v>
      </c>
      <c r="W892" t="str" cm="1">
        <f t="array" ref="W892">_xlfn.LET(_xlpm.roles,_xlfn.UNIQUE(D892:D3690), _xlpm.counts,COUNTIF(D892:D3690,_xlpm.roles), INDEX(_xlpm.roles,MATCH(MAX(_xlpm.counts),_xlpm.counts,0)))</f>
        <v>Entry Fragger</v>
      </c>
      <c r="X892" s="2">
        <f t="shared" si="69"/>
        <v>12.520971302428256</v>
      </c>
    </row>
    <row r="893" spans="1:24" x14ac:dyDescent="0.3">
      <c r="A893">
        <v>1096</v>
      </c>
      <c r="B893">
        <v>156</v>
      </c>
      <c r="C893" t="s">
        <v>39</v>
      </c>
      <c r="D893" t="s">
        <v>28</v>
      </c>
      <c r="E893" t="s">
        <v>32</v>
      </c>
      <c r="F893" t="s">
        <v>19</v>
      </c>
      <c r="G893">
        <v>22</v>
      </c>
      <c r="H893">
        <v>5</v>
      </c>
      <c r="I893">
        <v>10</v>
      </c>
      <c r="J893">
        <v>50.69</v>
      </c>
      <c r="K893">
        <v>227.7</v>
      </c>
      <c r="L893">
        <v>0.48</v>
      </c>
      <c r="M893">
        <v>59.55</v>
      </c>
      <c r="N893">
        <v>1</v>
      </c>
      <c r="O893" t="s">
        <v>20</v>
      </c>
      <c r="P893" t="s">
        <v>21</v>
      </c>
      <c r="Q893">
        <f t="shared" si="65"/>
        <v>17</v>
      </c>
      <c r="R893" s="4">
        <f>RANK(N893,$N$2:N$2800,0)</f>
        <v>1</v>
      </c>
      <c r="S893">
        <f t="shared" si="66"/>
        <v>2.2000000000000002</v>
      </c>
      <c r="T893" t="str">
        <f t="shared" si="67"/>
        <v>Good</v>
      </c>
      <c r="U893" t="str" cm="1">
        <f t="array" ref="U893">_xlfn.LET(_xlpm.roles,_xlfn.UNIQUE(D893:D3691),_xlpm.kills, SUMIF(D893:D3691,_xlpm.roles,G893:G3691),INDEX(_xlpm.roles,MATCH(MAX(_xlpm.kills),_xlpm.kills,0)))</f>
        <v>Entry Fragger</v>
      </c>
      <c r="V893" t="str">
        <f t="shared" si="68"/>
        <v>High Accuracy</v>
      </c>
      <c r="W893" t="str" cm="1">
        <f t="array" ref="W893">_xlfn.LET(_xlpm.roles,_xlfn.UNIQUE(D893:D3691), _xlpm.counts,COUNTIF(D893:D3691,_xlpm.roles), INDEX(_xlpm.roles,MATCH(MAX(_xlpm.counts),_xlpm.counts,0)))</f>
        <v>Entry Fragger</v>
      </c>
      <c r="X893" s="2">
        <f t="shared" si="69"/>
        <v>13.103594080338267</v>
      </c>
    </row>
    <row r="894" spans="1:24" x14ac:dyDescent="0.3">
      <c r="A894">
        <v>1959</v>
      </c>
      <c r="B894">
        <v>156</v>
      </c>
      <c r="C894" t="s">
        <v>30</v>
      </c>
      <c r="D894" t="s">
        <v>28</v>
      </c>
      <c r="E894" t="s">
        <v>32</v>
      </c>
      <c r="F894" t="s">
        <v>26</v>
      </c>
      <c r="G894">
        <v>13</v>
      </c>
      <c r="H894">
        <v>5</v>
      </c>
      <c r="I894">
        <v>5</v>
      </c>
      <c r="J894">
        <v>41.93</v>
      </c>
      <c r="K894">
        <v>259.83</v>
      </c>
      <c r="L894">
        <v>0.59</v>
      </c>
      <c r="M894">
        <v>41.07</v>
      </c>
      <c r="N894">
        <v>0.88</v>
      </c>
      <c r="O894" t="s">
        <v>20</v>
      </c>
      <c r="P894" t="s">
        <v>21</v>
      </c>
      <c r="Q894">
        <f t="shared" si="65"/>
        <v>13</v>
      </c>
      <c r="R894" s="4">
        <f>RANK(N894,$N$2:N$2800,0)</f>
        <v>1894</v>
      </c>
      <c r="S894">
        <f t="shared" si="66"/>
        <v>2.6</v>
      </c>
      <c r="T894" t="str">
        <f t="shared" si="67"/>
        <v>Low</v>
      </c>
      <c r="U894" t="str" cm="1">
        <f t="array" ref="U894">_xlfn.LET(_xlpm.roles,_xlfn.UNIQUE(D894:D3692),_xlpm.kills, SUMIF(D894:D3692,_xlpm.roles,G894:G3692),INDEX(_xlpm.roles,MATCH(MAX(_xlpm.kills),_xlpm.kills,0)))</f>
        <v>Entry Fragger</v>
      </c>
      <c r="V894" t="str">
        <f t="shared" si="68"/>
        <v>Medium Accuracy</v>
      </c>
      <c r="W894" t="str" cm="1">
        <f t="array" ref="W894">_xlfn.LET(_xlpm.roles,_xlfn.UNIQUE(D894:D3692), _xlpm.counts,COUNTIF(D894:D3692,_xlpm.roles), INDEX(_xlpm.roles,MATCH(MAX(_xlpm.counts),_xlpm.counts,0)))</f>
        <v>Entry Fragger</v>
      </c>
      <c r="X894" s="2">
        <f t="shared" si="69"/>
        <v>13.135802469135802</v>
      </c>
    </row>
    <row r="895" spans="1:24" x14ac:dyDescent="0.3">
      <c r="A895">
        <v>206</v>
      </c>
      <c r="B895">
        <v>157</v>
      </c>
      <c r="C895" t="s">
        <v>30</v>
      </c>
      <c r="D895" t="s">
        <v>22</v>
      </c>
      <c r="E895" t="s">
        <v>18</v>
      </c>
      <c r="F895" t="s">
        <v>19</v>
      </c>
      <c r="G895">
        <v>24</v>
      </c>
      <c r="H895">
        <v>16</v>
      </c>
      <c r="I895">
        <v>9</v>
      </c>
      <c r="J895">
        <v>45.15</v>
      </c>
      <c r="K895">
        <v>239.64</v>
      </c>
      <c r="L895">
        <v>0.48</v>
      </c>
      <c r="M895">
        <v>72.78</v>
      </c>
      <c r="N895">
        <v>1</v>
      </c>
      <c r="O895" t="s">
        <v>20</v>
      </c>
      <c r="P895" t="s">
        <v>38</v>
      </c>
      <c r="Q895">
        <f t="shared" si="65"/>
        <v>31</v>
      </c>
      <c r="R895" s="4">
        <f>RANK(N895,$N$2:N$2800,0)</f>
        <v>1</v>
      </c>
      <c r="S895">
        <f t="shared" si="66"/>
        <v>2.6666666666666665</v>
      </c>
      <c r="T895" t="str">
        <f t="shared" si="67"/>
        <v>Excellent</v>
      </c>
      <c r="U895" t="str" cm="1">
        <f t="array" ref="U895">_xlfn.LET(_xlpm.roles,_xlfn.UNIQUE(D895:D3693),_xlpm.kills, SUMIF(D895:D3693,_xlpm.roles,G895:G3693),INDEX(_xlpm.roles,MATCH(MAX(_xlpm.kills),_xlpm.kills,0)))</f>
        <v>Entry Fragger</v>
      </c>
      <c r="V895" t="str">
        <f t="shared" si="68"/>
        <v>Medium Accuracy</v>
      </c>
      <c r="W895" t="str" cm="1">
        <f t="array" ref="W895">_xlfn.LET(_xlpm.roles,_xlfn.UNIQUE(D895:D3693), _xlpm.counts,COUNTIF(D895:D3693,_xlpm.roles), INDEX(_xlpm.roles,MATCH(MAX(_xlpm.counts),_xlpm.counts,0)))</f>
        <v>Entry Fragger</v>
      </c>
      <c r="X895" s="2">
        <f t="shared" si="69"/>
        <v>13.135802469135802</v>
      </c>
    </row>
    <row r="896" spans="1:24" x14ac:dyDescent="0.3">
      <c r="A896">
        <v>520</v>
      </c>
      <c r="B896">
        <v>157</v>
      </c>
      <c r="C896" t="s">
        <v>35</v>
      </c>
      <c r="D896" t="s">
        <v>36</v>
      </c>
      <c r="E896" t="s">
        <v>29</v>
      </c>
      <c r="F896" t="s">
        <v>24</v>
      </c>
      <c r="G896">
        <v>15</v>
      </c>
      <c r="H896">
        <v>7</v>
      </c>
      <c r="I896">
        <v>14</v>
      </c>
      <c r="J896">
        <v>42.6</v>
      </c>
      <c r="K896">
        <v>258.97000000000003</v>
      </c>
      <c r="L896">
        <v>0.99</v>
      </c>
      <c r="M896">
        <v>34.4</v>
      </c>
      <c r="N896">
        <v>0.91</v>
      </c>
      <c r="O896" t="s">
        <v>20</v>
      </c>
      <c r="P896" t="s">
        <v>21</v>
      </c>
      <c r="Q896">
        <f t="shared" si="65"/>
        <v>8</v>
      </c>
      <c r="R896" s="4">
        <f>RANK(N896,$N$2:N$2800,0)</f>
        <v>1665</v>
      </c>
      <c r="S896">
        <f t="shared" si="66"/>
        <v>1.0714285714285714</v>
      </c>
      <c r="T896" t="str">
        <f t="shared" si="67"/>
        <v>Low</v>
      </c>
      <c r="U896" t="str" cm="1">
        <f t="array" ref="U896">_xlfn.LET(_xlpm.roles,_xlfn.UNIQUE(D896:D3694),_xlpm.kills, SUMIF(D896:D3694,_xlpm.roles,G896:G3694),INDEX(_xlpm.roles,MATCH(MAX(_xlpm.kills),_xlpm.kills,0)))</f>
        <v>Entry Fragger</v>
      </c>
      <c r="V896" t="str">
        <f t="shared" si="68"/>
        <v>Medium Accuracy</v>
      </c>
      <c r="W896" t="str" cm="1">
        <f t="array" ref="W896">_xlfn.LET(_xlpm.roles,_xlfn.UNIQUE(D896:D3694), _xlpm.counts,COUNTIF(D896:D3694,_xlpm.roles), INDEX(_xlpm.roles,MATCH(MAX(_xlpm.counts),_xlpm.counts,0)))</f>
        <v>Entry Fragger</v>
      </c>
      <c r="X896" s="2">
        <f t="shared" si="69"/>
        <v>12.599585062240664</v>
      </c>
    </row>
    <row r="897" spans="1:24" x14ac:dyDescent="0.3">
      <c r="A897">
        <v>2337</v>
      </c>
      <c r="B897">
        <v>157</v>
      </c>
      <c r="C897" t="s">
        <v>39</v>
      </c>
      <c r="D897" t="s">
        <v>17</v>
      </c>
      <c r="E897" t="s">
        <v>33</v>
      </c>
      <c r="F897" t="s">
        <v>37</v>
      </c>
      <c r="G897">
        <v>14</v>
      </c>
      <c r="H897">
        <v>9</v>
      </c>
      <c r="I897">
        <v>13</v>
      </c>
      <c r="J897">
        <v>56.35</v>
      </c>
      <c r="K897">
        <v>194.5</v>
      </c>
      <c r="L897">
        <v>0.61</v>
      </c>
      <c r="M897">
        <v>46.07</v>
      </c>
      <c r="N897">
        <v>0.86</v>
      </c>
      <c r="O897" t="s">
        <v>20</v>
      </c>
      <c r="P897" t="s">
        <v>21</v>
      </c>
      <c r="Q897">
        <f t="shared" si="65"/>
        <v>10</v>
      </c>
      <c r="R897" s="4">
        <f>RANK(N897,$N$2:N$2800,0)</f>
        <v>2040</v>
      </c>
      <c r="S897">
        <f t="shared" si="66"/>
        <v>1.0769230769230769</v>
      </c>
      <c r="T897" t="str">
        <f t="shared" si="67"/>
        <v>Low</v>
      </c>
      <c r="U897" t="str" cm="1">
        <f t="array" ref="U897">_xlfn.LET(_xlpm.roles,_xlfn.UNIQUE(D897:D3695),_xlpm.kills, SUMIF(D897:D3695,_xlpm.roles,G897:G3695),INDEX(_xlpm.roles,MATCH(MAX(_xlpm.kills),_xlpm.kills,0)))</f>
        <v>Entry Fragger</v>
      </c>
      <c r="V897" t="str">
        <f t="shared" si="68"/>
        <v>High Accuracy</v>
      </c>
      <c r="W897" t="str" cm="1">
        <f t="array" ref="W897">_xlfn.LET(_xlpm.roles,_xlfn.UNIQUE(D897:D3695), _xlpm.counts,COUNTIF(D897:D3695,_xlpm.roles), INDEX(_xlpm.roles,MATCH(MAX(_xlpm.counts),_xlpm.counts,0)))</f>
        <v>Entry Fragger</v>
      </c>
      <c r="X897" s="2">
        <f t="shared" si="69"/>
        <v>13.103594080338267</v>
      </c>
    </row>
    <row r="898" spans="1:24" x14ac:dyDescent="0.3">
      <c r="A898">
        <v>2387</v>
      </c>
      <c r="B898">
        <v>157</v>
      </c>
      <c r="C898" t="s">
        <v>30</v>
      </c>
      <c r="D898" t="s">
        <v>28</v>
      </c>
      <c r="E898" t="s">
        <v>23</v>
      </c>
      <c r="F898" t="s">
        <v>34</v>
      </c>
      <c r="G898">
        <v>14</v>
      </c>
      <c r="H898">
        <v>7</v>
      </c>
      <c r="I898">
        <v>8</v>
      </c>
      <c r="J898">
        <v>41.46</v>
      </c>
      <c r="K898">
        <v>253.76</v>
      </c>
      <c r="L898">
        <v>7.0000000000000007E-2</v>
      </c>
      <c r="M898">
        <v>47.03</v>
      </c>
      <c r="N898">
        <v>0.95</v>
      </c>
      <c r="O898" t="s">
        <v>20</v>
      </c>
      <c r="P898" t="s">
        <v>21</v>
      </c>
      <c r="Q898">
        <f t="shared" si="65"/>
        <v>13</v>
      </c>
      <c r="R898" s="4">
        <f>RANK(N898,$N$2:N$2800,0)</f>
        <v>1367</v>
      </c>
      <c r="S898">
        <f t="shared" si="66"/>
        <v>1.75</v>
      </c>
      <c r="T898" t="str">
        <f t="shared" si="67"/>
        <v>Low</v>
      </c>
      <c r="U898" t="str" cm="1">
        <f t="array" ref="U898">_xlfn.LET(_xlpm.roles,_xlfn.UNIQUE(D898:D3696),_xlpm.kills, SUMIF(D898:D3696,_xlpm.roles,G898:G3696),INDEX(_xlpm.roles,MATCH(MAX(_xlpm.kills),_xlpm.kills,0)))</f>
        <v>Entry Fragger</v>
      </c>
      <c r="V898" t="str">
        <f t="shared" si="68"/>
        <v>Medium Accuracy</v>
      </c>
      <c r="W898" t="str" cm="1">
        <f t="array" ref="W898">_xlfn.LET(_xlpm.roles,_xlfn.UNIQUE(D898:D3696), _xlpm.counts,COUNTIF(D898:D3696,_xlpm.roles), INDEX(_xlpm.roles,MATCH(MAX(_xlpm.counts),_xlpm.counts,0)))</f>
        <v>Entry Fragger</v>
      </c>
      <c r="X898" s="2">
        <f t="shared" si="69"/>
        <v>13.135802469135802</v>
      </c>
    </row>
    <row r="899" spans="1:24" x14ac:dyDescent="0.3">
      <c r="A899">
        <v>522</v>
      </c>
      <c r="B899">
        <v>158</v>
      </c>
      <c r="C899" t="s">
        <v>16</v>
      </c>
      <c r="D899" t="s">
        <v>28</v>
      </c>
      <c r="E899" t="s">
        <v>29</v>
      </c>
      <c r="F899" t="s">
        <v>34</v>
      </c>
      <c r="G899">
        <v>12</v>
      </c>
      <c r="H899">
        <v>14</v>
      </c>
      <c r="I899">
        <v>7</v>
      </c>
      <c r="J899">
        <v>45.1</v>
      </c>
      <c r="K899">
        <v>221.62</v>
      </c>
      <c r="L899">
        <v>0.6</v>
      </c>
      <c r="M899">
        <v>47.55</v>
      </c>
      <c r="N899">
        <v>0.99</v>
      </c>
      <c r="O899" t="s">
        <v>20</v>
      </c>
      <c r="P899" t="s">
        <v>21</v>
      </c>
      <c r="Q899">
        <f t="shared" ref="Q899:Q962" si="70">G899+H899-I899</f>
        <v>19</v>
      </c>
      <c r="R899" s="4">
        <f>RANK(N899,$N$2:N$2800,0)</f>
        <v>1080</v>
      </c>
      <c r="S899">
        <f t="shared" ref="S899:S962" si="71">G899/I899</f>
        <v>1.7142857142857142</v>
      </c>
      <c r="T899" t="str">
        <f t="shared" ref="T899:T962" si="72">IF(Q899&lt;15,"Low",IF(Q899&lt;25,"Good","Excellent"))</f>
        <v>Good</v>
      </c>
      <c r="U899" t="str" cm="1">
        <f t="array" ref="U899">_xlfn.LET(_xlpm.roles,_xlfn.UNIQUE(D899:D3697),_xlpm.kills, SUMIF(D899:D3697,_xlpm.roles,G899:G3697),INDEX(_xlpm.roles,MATCH(MAX(_xlpm.kills),_xlpm.kills,0)))</f>
        <v>Entry Fragger</v>
      </c>
      <c r="V899" t="str">
        <f t="shared" ref="V899:V962" si="73">IF(J899&gt;=50,"High Accuracy",IF(J899&gt;=30,"Medium Accuracy","Low Accuracy"))</f>
        <v>Medium Accuracy</v>
      </c>
      <c r="W899" t="str" cm="1">
        <f t="array" ref="W899">_xlfn.LET(_xlpm.roles,_xlfn.UNIQUE(D899:D3697), _xlpm.counts,COUNTIF(D899:D3697,_xlpm.roles), INDEX(_xlpm.roles,MATCH(MAX(_xlpm.counts),_xlpm.counts,0)))</f>
        <v>Entry Fragger</v>
      </c>
      <c r="X899" s="2">
        <f t="shared" ref="X899:X962" si="74">AVERAGEIF($C$2:$C$2800,C899,$Q$2:$Q$2800)</f>
        <v>12.520971302428256</v>
      </c>
    </row>
    <row r="900" spans="1:24" x14ac:dyDescent="0.3">
      <c r="A900">
        <v>1132</v>
      </c>
      <c r="B900">
        <v>158</v>
      </c>
      <c r="C900" t="s">
        <v>27</v>
      </c>
      <c r="D900" t="s">
        <v>31</v>
      </c>
      <c r="E900" t="s">
        <v>23</v>
      </c>
      <c r="F900" t="s">
        <v>34</v>
      </c>
      <c r="G900">
        <v>14</v>
      </c>
      <c r="H900">
        <v>7</v>
      </c>
      <c r="I900">
        <v>12</v>
      </c>
      <c r="J900">
        <v>38.24</v>
      </c>
      <c r="K900">
        <v>228.48</v>
      </c>
      <c r="L900">
        <v>0.18</v>
      </c>
      <c r="M900">
        <v>40.32</v>
      </c>
      <c r="N900">
        <v>0.89</v>
      </c>
      <c r="O900" t="s">
        <v>20</v>
      </c>
      <c r="P900" t="s">
        <v>21</v>
      </c>
      <c r="Q900">
        <f t="shared" si="70"/>
        <v>9</v>
      </c>
      <c r="R900" s="4">
        <f>RANK(N900,$N$2:N$2800,0)</f>
        <v>1815</v>
      </c>
      <c r="S900">
        <f t="shared" si="71"/>
        <v>1.1666666666666667</v>
      </c>
      <c r="T900" t="str">
        <f t="shared" si="72"/>
        <v>Low</v>
      </c>
      <c r="U900" t="str" cm="1">
        <f t="array" ref="U900">_xlfn.LET(_xlpm.roles,_xlfn.UNIQUE(D900:D3698),_xlpm.kills, SUMIF(D900:D3698,_xlpm.roles,G900:G3698),INDEX(_xlpm.roles,MATCH(MAX(_xlpm.kills),_xlpm.kills,0)))</f>
        <v>Entry Fragger</v>
      </c>
      <c r="V900" t="str">
        <f t="shared" si="73"/>
        <v>Medium Accuracy</v>
      </c>
      <c r="W900" t="str" cm="1">
        <f t="array" ref="W900">_xlfn.LET(_xlpm.roles,_xlfn.UNIQUE(D900:D3698), _xlpm.counts,COUNTIF(D900:D3698,_xlpm.roles), INDEX(_xlpm.roles,MATCH(MAX(_xlpm.counts),_xlpm.counts,0)))</f>
        <v>Entry Fragger</v>
      </c>
      <c r="X900" s="2">
        <f t="shared" si="74"/>
        <v>13.057077625570777</v>
      </c>
    </row>
    <row r="901" spans="1:24" x14ac:dyDescent="0.3">
      <c r="A901">
        <v>1939</v>
      </c>
      <c r="B901">
        <v>158</v>
      </c>
      <c r="C901" t="s">
        <v>35</v>
      </c>
      <c r="D901" t="s">
        <v>31</v>
      </c>
      <c r="E901" t="s">
        <v>18</v>
      </c>
      <c r="F901" t="s">
        <v>34</v>
      </c>
      <c r="G901">
        <v>8</v>
      </c>
      <c r="H901">
        <v>11</v>
      </c>
      <c r="I901">
        <v>12</v>
      </c>
      <c r="J901">
        <v>64.400000000000006</v>
      </c>
      <c r="K901">
        <v>226.92</v>
      </c>
      <c r="L901">
        <v>0.16</v>
      </c>
      <c r="M901">
        <v>45.6</v>
      </c>
      <c r="N901">
        <v>1</v>
      </c>
      <c r="O901" t="s">
        <v>20</v>
      </c>
      <c r="P901" t="s">
        <v>21</v>
      </c>
      <c r="Q901">
        <f t="shared" si="70"/>
        <v>7</v>
      </c>
      <c r="R901" s="4">
        <f>RANK(N901,$N$2:N$2800,0)</f>
        <v>1</v>
      </c>
      <c r="S901">
        <f t="shared" si="71"/>
        <v>0.66666666666666663</v>
      </c>
      <c r="T901" t="str">
        <f t="shared" si="72"/>
        <v>Low</v>
      </c>
      <c r="U901" t="str" cm="1">
        <f t="array" ref="U901">_xlfn.LET(_xlpm.roles,_xlfn.UNIQUE(D901:D3699),_xlpm.kills, SUMIF(D901:D3699,_xlpm.roles,G901:G3699),INDEX(_xlpm.roles,MATCH(MAX(_xlpm.kills),_xlpm.kills,0)))</f>
        <v>Entry Fragger</v>
      </c>
      <c r="V901" t="str">
        <f t="shared" si="73"/>
        <v>High Accuracy</v>
      </c>
      <c r="W901" t="str" cm="1">
        <f t="array" ref="W901">_xlfn.LET(_xlpm.roles,_xlfn.UNIQUE(D901:D3699), _xlpm.counts,COUNTIF(D901:D3699,_xlpm.roles), INDEX(_xlpm.roles,MATCH(MAX(_xlpm.counts),_xlpm.counts,0)))</f>
        <v>Entry Fragger</v>
      </c>
      <c r="X901" s="2">
        <f t="shared" si="74"/>
        <v>12.599585062240664</v>
      </c>
    </row>
    <row r="902" spans="1:24" x14ac:dyDescent="0.3">
      <c r="A902">
        <v>2257</v>
      </c>
      <c r="B902">
        <v>158</v>
      </c>
      <c r="C902" t="s">
        <v>30</v>
      </c>
      <c r="D902" t="s">
        <v>28</v>
      </c>
      <c r="E902" t="s">
        <v>23</v>
      </c>
      <c r="F902" t="s">
        <v>19</v>
      </c>
      <c r="G902">
        <v>11</v>
      </c>
      <c r="H902">
        <v>10</v>
      </c>
      <c r="I902">
        <v>5</v>
      </c>
      <c r="J902">
        <v>50.78</v>
      </c>
      <c r="K902">
        <v>163.57</v>
      </c>
      <c r="L902">
        <v>0.18</v>
      </c>
      <c r="M902">
        <v>50.59</v>
      </c>
      <c r="N902">
        <v>1</v>
      </c>
      <c r="O902" t="s">
        <v>20</v>
      </c>
      <c r="P902" t="s">
        <v>21</v>
      </c>
      <c r="Q902">
        <f t="shared" si="70"/>
        <v>16</v>
      </c>
      <c r="R902" s="4">
        <f>RANK(N902,$N$2:N$2800,0)</f>
        <v>1</v>
      </c>
      <c r="S902">
        <f t="shared" si="71"/>
        <v>2.2000000000000002</v>
      </c>
      <c r="T902" t="str">
        <f t="shared" si="72"/>
        <v>Good</v>
      </c>
      <c r="U902" t="str" cm="1">
        <f t="array" ref="U902">_xlfn.LET(_xlpm.roles,_xlfn.UNIQUE(D902:D3700),_xlpm.kills, SUMIF(D902:D3700,_xlpm.roles,G902:G3700),INDEX(_xlpm.roles,MATCH(MAX(_xlpm.kills),_xlpm.kills,0)))</f>
        <v>Entry Fragger</v>
      </c>
      <c r="V902" t="str">
        <f t="shared" si="73"/>
        <v>High Accuracy</v>
      </c>
      <c r="W902" t="str" cm="1">
        <f t="array" ref="W902">_xlfn.LET(_xlpm.roles,_xlfn.UNIQUE(D902:D3700), _xlpm.counts,COUNTIF(D902:D3700,_xlpm.roles), INDEX(_xlpm.roles,MATCH(MAX(_xlpm.counts),_xlpm.counts,0)))</f>
        <v>Entry Fragger</v>
      </c>
      <c r="X902" s="2">
        <f t="shared" si="74"/>
        <v>13.135802469135802</v>
      </c>
    </row>
    <row r="903" spans="1:24" x14ac:dyDescent="0.3">
      <c r="A903">
        <v>254</v>
      </c>
      <c r="B903">
        <v>159</v>
      </c>
      <c r="C903" t="s">
        <v>39</v>
      </c>
      <c r="D903" t="s">
        <v>17</v>
      </c>
      <c r="E903" t="s">
        <v>33</v>
      </c>
      <c r="F903" t="s">
        <v>37</v>
      </c>
      <c r="G903">
        <v>19</v>
      </c>
      <c r="H903">
        <v>2</v>
      </c>
      <c r="I903">
        <v>7</v>
      </c>
      <c r="J903">
        <v>40.86</v>
      </c>
      <c r="K903">
        <v>166.87</v>
      </c>
      <c r="L903">
        <v>0.42</v>
      </c>
      <c r="M903">
        <v>49.23</v>
      </c>
      <c r="N903">
        <v>1</v>
      </c>
      <c r="O903" t="s">
        <v>20</v>
      </c>
      <c r="P903" t="s">
        <v>21</v>
      </c>
      <c r="Q903">
        <f t="shared" si="70"/>
        <v>14</v>
      </c>
      <c r="R903" s="4">
        <f>RANK(N903,$N$2:N$2800,0)</f>
        <v>1</v>
      </c>
      <c r="S903">
        <f t="shared" si="71"/>
        <v>2.7142857142857144</v>
      </c>
      <c r="T903" t="str">
        <f t="shared" si="72"/>
        <v>Low</v>
      </c>
      <c r="U903" t="str" cm="1">
        <f t="array" ref="U903">_xlfn.LET(_xlpm.roles,_xlfn.UNIQUE(D903:D3701),_xlpm.kills, SUMIF(D903:D3701,_xlpm.roles,G903:G3701),INDEX(_xlpm.roles,MATCH(MAX(_xlpm.kills),_xlpm.kills,0)))</f>
        <v>Entry Fragger</v>
      </c>
      <c r="V903" t="str">
        <f t="shared" si="73"/>
        <v>Medium Accuracy</v>
      </c>
      <c r="W903" t="str" cm="1">
        <f t="array" ref="W903">_xlfn.LET(_xlpm.roles,_xlfn.UNIQUE(D903:D3701), _xlpm.counts,COUNTIF(D903:D3701,_xlpm.roles), INDEX(_xlpm.roles,MATCH(MAX(_xlpm.counts),_xlpm.counts,0)))</f>
        <v>Entry Fragger</v>
      </c>
      <c r="X903" s="2">
        <f t="shared" si="74"/>
        <v>13.103594080338267</v>
      </c>
    </row>
    <row r="904" spans="1:24" x14ac:dyDescent="0.3">
      <c r="A904">
        <v>1053</v>
      </c>
      <c r="B904">
        <v>159</v>
      </c>
      <c r="C904" t="s">
        <v>25</v>
      </c>
      <c r="D904" t="s">
        <v>22</v>
      </c>
      <c r="E904" t="s">
        <v>18</v>
      </c>
      <c r="F904" t="s">
        <v>26</v>
      </c>
      <c r="G904">
        <v>13</v>
      </c>
      <c r="H904">
        <v>6</v>
      </c>
      <c r="I904">
        <v>9</v>
      </c>
      <c r="J904">
        <v>54.47</v>
      </c>
      <c r="K904">
        <v>216.7</v>
      </c>
      <c r="L904">
        <v>0.33</v>
      </c>
      <c r="M904">
        <v>46.94</v>
      </c>
      <c r="N904">
        <v>1</v>
      </c>
      <c r="O904" t="s">
        <v>20</v>
      </c>
      <c r="P904" t="s">
        <v>21</v>
      </c>
      <c r="Q904">
        <f t="shared" si="70"/>
        <v>10</v>
      </c>
      <c r="R904" s="4">
        <f>RANK(N904,$N$2:N$2800,0)</f>
        <v>1</v>
      </c>
      <c r="S904">
        <f t="shared" si="71"/>
        <v>1.4444444444444444</v>
      </c>
      <c r="T904" t="str">
        <f t="shared" si="72"/>
        <v>Low</v>
      </c>
      <c r="U904" t="str" cm="1">
        <f t="array" ref="U904">_xlfn.LET(_xlpm.roles,_xlfn.UNIQUE(D904:D3702),_xlpm.kills, SUMIF(D904:D3702,_xlpm.roles,G904:G3702),INDEX(_xlpm.roles,MATCH(MAX(_xlpm.kills),_xlpm.kills,0)))</f>
        <v>Entry Fragger</v>
      </c>
      <c r="V904" t="str">
        <f t="shared" si="73"/>
        <v>High Accuracy</v>
      </c>
      <c r="W904" t="str" cm="1">
        <f t="array" ref="W904">_xlfn.LET(_xlpm.roles,_xlfn.UNIQUE(D904:D3702), _xlpm.counts,COUNTIF(D904:D3702,_xlpm.roles), INDEX(_xlpm.roles,MATCH(MAX(_xlpm.counts),_xlpm.counts,0)))</f>
        <v>Entry Fragger</v>
      </c>
      <c r="X904" s="2">
        <f t="shared" si="74"/>
        <v>12.809421841541756</v>
      </c>
    </row>
    <row r="905" spans="1:24" x14ac:dyDescent="0.3">
      <c r="A905">
        <v>1282</v>
      </c>
      <c r="B905">
        <v>159</v>
      </c>
      <c r="C905" t="s">
        <v>30</v>
      </c>
      <c r="D905" t="s">
        <v>31</v>
      </c>
      <c r="E905" t="s">
        <v>18</v>
      </c>
      <c r="F905" t="s">
        <v>19</v>
      </c>
      <c r="G905">
        <v>19</v>
      </c>
      <c r="H905">
        <v>4</v>
      </c>
      <c r="I905">
        <v>11</v>
      </c>
      <c r="J905">
        <v>50.79</v>
      </c>
      <c r="K905">
        <v>205.75</v>
      </c>
      <c r="L905">
        <v>0.71</v>
      </c>
      <c r="M905">
        <v>49.29</v>
      </c>
      <c r="N905">
        <v>0.98</v>
      </c>
      <c r="O905" t="s">
        <v>20</v>
      </c>
      <c r="P905" t="s">
        <v>21</v>
      </c>
      <c r="Q905">
        <f t="shared" si="70"/>
        <v>12</v>
      </c>
      <c r="R905" s="4">
        <f>RANK(N905,$N$2:N$2800,0)</f>
        <v>1157</v>
      </c>
      <c r="S905">
        <f t="shared" si="71"/>
        <v>1.7272727272727273</v>
      </c>
      <c r="T905" t="str">
        <f t="shared" si="72"/>
        <v>Low</v>
      </c>
      <c r="U905" t="str" cm="1">
        <f t="array" ref="U905">_xlfn.LET(_xlpm.roles,_xlfn.UNIQUE(D905:D3703),_xlpm.kills, SUMIF(D905:D3703,_xlpm.roles,G905:G3703),INDEX(_xlpm.roles,MATCH(MAX(_xlpm.kills),_xlpm.kills,0)))</f>
        <v>Entry Fragger</v>
      </c>
      <c r="V905" t="str">
        <f t="shared" si="73"/>
        <v>High Accuracy</v>
      </c>
      <c r="W905" t="str" cm="1">
        <f t="array" ref="W905">_xlfn.LET(_xlpm.roles,_xlfn.UNIQUE(D905:D3703), _xlpm.counts,COUNTIF(D905:D3703,_xlpm.roles), INDEX(_xlpm.roles,MATCH(MAX(_xlpm.counts),_xlpm.counts,0)))</f>
        <v>Entry Fragger</v>
      </c>
      <c r="X905" s="2">
        <f t="shared" si="74"/>
        <v>13.135802469135802</v>
      </c>
    </row>
    <row r="906" spans="1:24" x14ac:dyDescent="0.3">
      <c r="A906">
        <v>1307</v>
      </c>
      <c r="B906">
        <v>159</v>
      </c>
      <c r="C906" t="s">
        <v>35</v>
      </c>
      <c r="D906" t="s">
        <v>17</v>
      </c>
      <c r="E906" t="s">
        <v>23</v>
      </c>
      <c r="F906" t="s">
        <v>19</v>
      </c>
      <c r="G906">
        <v>9</v>
      </c>
      <c r="H906">
        <v>7</v>
      </c>
      <c r="I906">
        <v>10</v>
      </c>
      <c r="J906">
        <v>50.93</v>
      </c>
      <c r="K906">
        <v>250.15</v>
      </c>
      <c r="L906">
        <v>0.14000000000000001</v>
      </c>
      <c r="M906">
        <v>39.07</v>
      </c>
      <c r="N906">
        <v>1</v>
      </c>
      <c r="O906" t="s">
        <v>20</v>
      </c>
      <c r="P906" t="s">
        <v>21</v>
      </c>
      <c r="Q906">
        <f t="shared" si="70"/>
        <v>6</v>
      </c>
      <c r="R906" s="4">
        <f>RANK(N906,$N$2:N$2800,0)</f>
        <v>1</v>
      </c>
      <c r="S906">
        <f t="shared" si="71"/>
        <v>0.9</v>
      </c>
      <c r="T906" t="str">
        <f t="shared" si="72"/>
        <v>Low</v>
      </c>
      <c r="U906" t="str" cm="1">
        <f t="array" ref="U906">_xlfn.LET(_xlpm.roles,_xlfn.UNIQUE(D906:D3704),_xlpm.kills, SUMIF(D906:D3704,_xlpm.roles,G906:G3704),INDEX(_xlpm.roles,MATCH(MAX(_xlpm.kills),_xlpm.kills,0)))</f>
        <v>Entry Fragger</v>
      </c>
      <c r="V906" t="str">
        <f t="shared" si="73"/>
        <v>High Accuracy</v>
      </c>
      <c r="W906" t="str" cm="1">
        <f t="array" ref="W906">_xlfn.LET(_xlpm.roles,_xlfn.UNIQUE(D906:D3704), _xlpm.counts,COUNTIF(D906:D3704,_xlpm.roles), INDEX(_xlpm.roles,MATCH(MAX(_xlpm.counts),_xlpm.counts,0)))</f>
        <v>Entry Fragger</v>
      </c>
      <c r="X906" s="2">
        <f t="shared" si="74"/>
        <v>12.599585062240664</v>
      </c>
    </row>
    <row r="907" spans="1:24" x14ac:dyDescent="0.3">
      <c r="A907">
        <v>1965</v>
      </c>
      <c r="B907">
        <v>159</v>
      </c>
      <c r="C907" t="s">
        <v>25</v>
      </c>
      <c r="D907" t="s">
        <v>22</v>
      </c>
      <c r="E907" t="s">
        <v>23</v>
      </c>
      <c r="F907" t="s">
        <v>19</v>
      </c>
      <c r="G907">
        <v>14</v>
      </c>
      <c r="H907">
        <v>10</v>
      </c>
      <c r="I907">
        <v>12</v>
      </c>
      <c r="J907">
        <v>49.38</v>
      </c>
      <c r="K907">
        <v>199.55</v>
      </c>
      <c r="L907">
        <v>0.77</v>
      </c>
      <c r="M907">
        <v>42.99</v>
      </c>
      <c r="N907">
        <v>0.86</v>
      </c>
      <c r="O907" t="s">
        <v>20</v>
      </c>
      <c r="P907" t="s">
        <v>21</v>
      </c>
      <c r="Q907">
        <f t="shared" si="70"/>
        <v>12</v>
      </c>
      <c r="R907" s="4">
        <f>RANK(N907,$N$2:N$2800,0)</f>
        <v>2040</v>
      </c>
      <c r="S907">
        <f t="shared" si="71"/>
        <v>1.1666666666666667</v>
      </c>
      <c r="T907" t="str">
        <f t="shared" si="72"/>
        <v>Low</v>
      </c>
      <c r="U907" t="str" cm="1">
        <f t="array" ref="U907">_xlfn.LET(_xlpm.roles,_xlfn.UNIQUE(D907:D3705),_xlpm.kills, SUMIF(D907:D3705,_xlpm.roles,G907:G3705),INDEX(_xlpm.roles,MATCH(MAX(_xlpm.kills),_xlpm.kills,0)))</f>
        <v>Entry Fragger</v>
      </c>
      <c r="V907" t="str">
        <f t="shared" si="73"/>
        <v>Medium Accuracy</v>
      </c>
      <c r="W907" t="str" cm="1">
        <f t="array" ref="W907">_xlfn.LET(_xlpm.roles,_xlfn.UNIQUE(D907:D3705), _xlpm.counts,COUNTIF(D907:D3705,_xlpm.roles), INDEX(_xlpm.roles,MATCH(MAX(_xlpm.counts),_xlpm.counts,0)))</f>
        <v>Entry Fragger</v>
      </c>
      <c r="X907" s="2">
        <f t="shared" si="74"/>
        <v>12.809421841541756</v>
      </c>
    </row>
    <row r="908" spans="1:24" x14ac:dyDescent="0.3">
      <c r="A908">
        <v>2160</v>
      </c>
      <c r="B908">
        <v>159</v>
      </c>
      <c r="C908" t="s">
        <v>30</v>
      </c>
      <c r="D908" t="s">
        <v>17</v>
      </c>
      <c r="E908" t="s">
        <v>29</v>
      </c>
      <c r="F908" t="s">
        <v>26</v>
      </c>
      <c r="G908">
        <v>14</v>
      </c>
      <c r="H908">
        <v>9</v>
      </c>
      <c r="I908">
        <v>15</v>
      </c>
      <c r="J908">
        <v>30.92</v>
      </c>
      <c r="K908">
        <v>175.69</v>
      </c>
      <c r="L908">
        <v>0.76</v>
      </c>
      <c r="M908">
        <v>29.86</v>
      </c>
      <c r="N908">
        <v>0.67</v>
      </c>
      <c r="O908" t="s">
        <v>20</v>
      </c>
      <c r="P908" t="s">
        <v>21</v>
      </c>
      <c r="Q908">
        <f t="shared" si="70"/>
        <v>8</v>
      </c>
      <c r="R908" s="4">
        <f>RANK(N908,$N$2:N$2800,0)</f>
        <v>2731</v>
      </c>
      <c r="S908">
        <f t="shared" si="71"/>
        <v>0.93333333333333335</v>
      </c>
      <c r="T908" t="str">
        <f t="shared" si="72"/>
        <v>Low</v>
      </c>
      <c r="U908" t="str" cm="1">
        <f t="array" ref="U908">_xlfn.LET(_xlpm.roles,_xlfn.UNIQUE(D908:D3706),_xlpm.kills, SUMIF(D908:D3706,_xlpm.roles,G908:G3706),INDEX(_xlpm.roles,MATCH(MAX(_xlpm.kills),_xlpm.kills,0)))</f>
        <v>Entry Fragger</v>
      </c>
      <c r="V908" t="str">
        <f t="shared" si="73"/>
        <v>Medium Accuracy</v>
      </c>
      <c r="W908" t="str" cm="1">
        <f t="array" ref="W908">_xlfn.LET(_xlpm.roles,_xlfn.UNIQUE(D908:D3706), _xlpm.counts,COUNTIF(D908:D3706,_xlpm.roles), INDEX(_xlpm.roles,MATCH(MAX(_xlpm.counts),_xlpm.counts,0)))</f>
        <v>Entry Fragger</v>
      </c>
      <c r="X908" s="2">
        <f t="shared" si="74"/>
        <v>13.135802469135802</v>
      </c>
    </row>
    <row r="909" spans="1:24" x14ac:dyDescent="0.3">
      <c r="A909">
        <v>2233</v>
      </c>
      <c r="B909">
        <v>159</v>
      </c>
      <c r="C909" t="s">
        <v>25</v>
      </c>
      <c r="D909" t="s">
        <v>36</v>
      </c>
      <c r="E909" t="s">
        <v>33</v>
      </c>
      <c r="F909" t="s">
        <v>26</v>
      </c>
      <c r="G909">
        <v>16</v>
      </c>
      <c r="H909">
        <v>8</v>
      </c>
      <c r="I909">
        <v>7</v>
      </c>
      <c r="J909">
        <v>41.43</v>
      </c>
      <c r="K909">
        <v>212.04</v>
      </c>
      <c r="L909">
        <v>0.39</v>
      </c>
      <c r="M909">
        <v>49.82</v>
      </c>
      <c r="N909">
        <v>0.96</v>
      </c>
      <c r="O909" t="s">
        <v>20</v>
      </c>
      <c r="P909" t="s">
        <v>21</v>
      </c>
      <c r="Q909">
        <f t="shared" si="70"/>
        <v>17</v>
      </c>
      <c r="R909" s="4">
        <f>RANK(N909,$N$2:N$2800,0)</f>
        <v>1301</v>
      </c>
      <c r="S909">
        <f t="shared" si="71"/>
        <v>2.2857142857142856</v>
      </c>
      <c r="T909" t="str">
        <f t="shared" si="72"/>
        <v>Good</v>
      </c>
      <c r="U909" t="str" cm="1">
        <f t="array" ref="U909">_xlfn.LET(_xlpm.roles,_xlfn.UNIQUE(D909:D3707),_xlpm.kills, SUMIF(D909:D3707,_xlpm.roles,G909:G3707),INDEX(_xlpm.roles,MATCH(MAX(_xlpm.kills),_xlpm.kills,0)))</f>
        <v>Entry Fragger</v>
      </c>
      <c r="V909" t="str">
        <f t="shared" si="73"/>
        <v>Medium Accuracy</v>
      </c>
      <c r="W909" t="str" cm="1">
        <f t="array" ref="W909">_xlfn.LET(_xlpm.roles,_xlfn.UNIQUE(D909:D3707), _xlpm.counts,COUNTIF(D909:D3707,_xlpm.roles), INDEX(_xlpm.roles,MATCH(MAX(_xlpm.counts),_xlpm.counts,0)))</f>
        <v>Entry Fragger</v>
      </c>
      <c r="X909" s="2">
        <f t="shared" si="74"/>
        <v>12.809421841541756</v>
      </c>
    </row>
    <row r="910" spans="1:24" x14ac:dyDescent="0.3">
      <c r="A910">
        <v>2505</v>
      </c>
      <c r="B910">
        <v>159</v>
      </c>
      <c r="C910" t="s">
        <v>25</v>
      </c>
      <c r="D910" t="s">
        <v>28</v>
      </c>
      <c r="E910" t="s">
        <v>18</v>
      </c>
      <c r="F910" t="s">
        <v>26</v>
      </c>
      <c r="G910">
        <v>16</v>
      </c>
      <c r="H910">
        <v>15</v>
      </c>
      <c r="I910">
        <v>9</v>
      </c>
      <c r="J910">
        <v>41.64</v>
      </c>
      <c r="K910">
        <v>198.83</v>
      </c>
      <c r="L910">
        <v>0.95</v>
      </c>
      <c r="M910">
        <v>49.32</v>
      </c>
      <c r="N910">
        <v>0.87</v>
      </c>
      <c r="O910" t="s">
        <v>20</v>
      </c>
      <c r="P910" t="s">
        <v>21</v>
      </c>
      <c r="Q910">
        <f t="shared" si="70"/>
        <v>22</v>
      </c>
      <c r="R910" s="4">
        <f>RANK(N910,$N$2:N$2800,0)</f>
        <v>1965</v>
      </c>
      <c r="S910">
        <f t="shared" si="71"/>
        <v>1.7777777777777777</v>
      </c>
      <c r="T910" t="str">
        <f t="shared" si="72"/>
        <v>Good</v>
      </c>
      <c r="U910" t="str" cm="1">
        <f t="array" ref="U910">_xlfn.LET(_xlpm.roles,_xlfn.UNIQUE(D910:D3708),_xlpm.kills, SUMIF(D910:D3708,_xlpm.roles,G910:G3708),INDEX(_xlpm.roles,MATCH(MAX(_xlpm.kills),_xlpm.kills,0)))</f>
        <v>Entry Fragger</v>
      </c>
      <c r="V910" t="str">
        <f t="shared" si="73"/>
        <v>Medium Accuracy</v>
      </c>
      <c r="W910" t="str" cm="1">
        <f t="array" ref="W910">_xlfn.LET(_xlpm.roles,_xlfn.UNIQUE(D910:D3708), _xlpm.counts,COUNTIF(D910:D3708,_xlpm.roles), INDEX(_xlpm.roles,MATCH(MAX(_xlpm.counts),_xlpm.counts,0)))</f>
        <v>Entry Fragger</v>
      </c>
      <c r="X910" s="2">
        <f t="shared" si="74"/>
        <v>12.809421841541756</v>
      </c>
    </row>
    <row r="911" spans="1:24" x14ac:dyDescent="0.3">
      <c r="A911">
        <v>1</v>
      </c>
      <c r="B911">
        <v>160</v>
      </c>
      <c r="C911" t="s">
        <v>16</v>
      </c>
      <c r="D911" t="s">
        <v>17</v>
      </c>
      <c r="E911" t="s">
        <v>18</v>
      </c>
      <c r="F911" t="s">
        <v>19</v>
      </c>
      <c r="G911">
        <v>18</v>
      </c>
      <c r="H911">
        <v>6</v>
      </c>
      <c r="I911">
        <v>7</v>
      </c>
      <c r="J911">
        <v>40.43</v>
      </c>
      <c r="K911">
        <v>192.28</v>
      </c>
      <c r="L911">
        <v>0.52</v>
      </c>
      <c r="M911">
        <v>50.02</v>
      </c>
      <c r="N911">
        <v>0.83</v>
      </c>
      <c r="O911" t="s">
        <v>20</v>
      </c>
      <c r="P911" t="s">
        <v>21</v>
      </c>
      <c r="Q911">
        <f t="shared" si="70"/>
        <v>17</v>
      </c>
      <c r="R911" s="4">
        <f>RANK(N911,$N$2:N$2800,0)</f>
        <v>2218</v>
      </c>
      <c r="S911">
        <f t="shared" si="71"/>
        <v>2.5714285714285716</v>
      </c>
      <c r="T911" t="str">
        <f t="shared" si="72"/>
        <v>Good</v>
      </c>
      <c r="U911" t="str" cm="1">
        <f t="array" ref="U911">_xlfn.LET(_xlpm.roles,_xlfn.UNIQUE(D911:D3709),_xlpm.kills, SUMIF(D911:D3709,_xlpm.roles,G911:G3709),INDEX(_xlpm.roles,MATCH(MAX(_xlpm.kills),_xlpm.kills,0)))</f>
        <v>Entry Fragger</v>
      </c>
      <c r="V911" t="str">
        <f t="shared" si="73"/>
        <v>Medium Accuracy</v>
      </c>
      <c r="W911" t="str" cm="1">
        <f t="array" ref="W911">_xlfn.LET(_xlpm.roles,_xlfn.UNIQUE(D911:D3709), _xlpm.counts,COUNTIF(D911:D3709,_xlpm.roles), INDEX(_xlpm.roles,MATCH(MAX(_xlpm.counts),_xlpm.counts,0)))</f>
        <v>Entry Fragger</v>
      </c>
      <c r="X911" s="2">
        <f t="shared" si="74"/>
        <v>12.520971302428256</v>
      </c>
    </row>
    <row r="912" spans="1:24" x14ac:dyDescent="0.3">
      <c r="A912">
        <v>11</v>
      </c>
      <c r="B912">
        <v>160</v>
      </c>
      <c r="C912" t="s">
        <v>35</v>
      </c>
      <c r="D912" t="s">
        <v>17</v>
      </c>
      <c r="E912" t="s">
        <v>18</v>
      </c>
      <c r="F912" t="s">
        <v>34</v>
      </c>
      <c r="G912">
        <v>21</v>
      </c>
      <c r="H912">
        <v>10</v>
      </c>
      <c r="I912">
        <v>12</v>
      </c>
      <c r="J912">
        <v>46.4</v>
      </c>
      <c r="K912">
        <v>183.49</v>
      </c>
      <c r="L912">
        <v>0.69</v>
      </c>
      <c r="M912">
        <v>56.3</v>
      </c>
      <c r="N912">
        <v>0.94</v>
      </c>
      <c r="O912" t="s">
        <v>20</v>
      </c>
      <c r="P912" t="s">
        <v>21</v>
      </c>
      <c r="Q912">
        <f t="shared" si="70"/>
        <v>19</v>
      </c>
      <c r="R912" s="4">
        <f>RANK(N912,$N$2:N$2800,0)</f>
        <v>1431</v>
      </c>
      <c r="S912">
        <f t="shared" si="71"/>
        <v>1.75</v>
      </c>
      <c r="T912" t="str">
        <f t="shared" si="72"/>
        <v>Good</v>
      </c>
      <c r="U912" t="str" cm="1">
        <f t="array" ref="U912">_xlfn.LET(_xlpm.roles,_xlfn.UNIQUE(D912:D3710),_xlpm.kills, SUMIF(D912:D3710,_xlpm.roles,G912:G3710),INDEX(_xlpm.roles,MATCH(MAX(_xlpm.kills),_xlpm.kills,0)))</f>
        <v>Entry Fragger</v>
      </c>
      <c r="V912" t="str">
        <f t="shared" si="73"/>
        <v>Medium Accuracy</v>
      </c>
      <c r="W912" t="str" cm="1">
        <f t="array" ref="W912">_xlfn.LET(_xlpm.roles,_xlfn.UNIQUE(D912:D3710), _xlpm.counts,COUNTIF(D912:D3710,_xlpm.roles), INDEX(_xlpm.roles,MATCH(MAX(_xlpm.counts),_xlpm.counts,0)))</f>
        <v>Entry Fragger</v>
      </c>
      <c r="X912" s="2">
        <f t="shared" si="74"/>
        <v>12.599585062240664</v>
      </c>
    </row>
    <row r="913" spans="1:24" x14ac:dyDescent="0.3">
      <c r="A913">
        <v>27</v>
      </c>
      <c r="B913">
        <v>160</v>
      </c>
      <c r="C913" t="s">
        <v>16</v>
      </c>
      <c r="D913" t="s">
        <v>31</v>
      </c>
      <c r="E913" t="s">
        <v>32</v>
      </c>
      <c r="F913" t="s">
        <v>37</v>
      </c>
      <c r="G913">
        <v>6</v>
      </c>
      <c r="H913">
        <v>9</v>
      </c>
      <c r="I913">
        <v>12</v>
      </c>
      <c r="J913">
        <v>52.6</v>
      </c>
      <c r="K913">
        <v>202.69</v>
      </c>
      <c r="L913">
        <v>0.68</v>
      </c>
      <c r="M913">
        <v>28.5</v>
      </c>
      <c r="N913">
        <v>0.86</v>
      </c>
      <c r="O913" t="s">
        <v>20</v>
      </c>
      <c r="P913" t="s">
        <v>21</v>
      </c>
      <c r="Q913">
        <f t="shared" si="70"/>
        <v>3</v>
      </c>
      <c r="R913" s="4">
        <f>RANK(N913,$N$2:N$2800,0)</f>
        <v>2040</v>
      </c>
      <c r="S913">
        <f t="shared" si="71"/>
        <v>0.5</v>
      </c>
      <c r="T913" t="str">
        <f t="shared" si="72"/>
        <v>Low</v>
      </c>
      <c r="U913" t="str" cm="1">
        <f t="array" ref="U913">_xlfn.LET(_xlpm.roles,_xlfn.UNIQUE(D913:D3711),_xlpm.kills, SUMIF(D913:D3711,_xlpm.roles,G913:G3711),INDEX(_xlpm.roles,MATCH(MAX(_xlpm.kills),_xlpm.kills,0)))</f>
        <v>Entry Fragger</v>
      </c>
      <c r="V913" t="str">
        <f t="shared" si="73"/>
        <v>High Accuracy</v>
      </c>
      <c r="W913" t="str" cm="1">
        <f t="array" ref="W913">_xlfn.LET(_xlpm.roles,_xlfn.UNIQUE(D913:D3711), _xlpm.counts,COUNTIF(D913:D3711,_xlpm.roles), INDEX(_xlpm.roles,MATCH(MAX(_xlpm.counts),_xlpm.counts,0)))</f>
        <v>Entry Fragger</v>
      </c>
      <c r="X913" s="2">
        <f t="shared" si="74"/>
        <v>12.520971302428256</v>
      </c>
    </row>
    <row r="914" spans="1:24" x14ac:dyDescent="0.3">
      <c r="A914">
        <v>811</v>
      </c>
      <c r="B914">
        <v>160</v>
      </c>
      <c r="C914" t="s">
        <v>16</v>
      </c>
      <c r="D914" t="s">
        <v>28</v>
      </c>
      <c r="E914" t="s">
        <v>32</v>
      </c>
      <c r="F914" t="s">
        <v>34</v>
      </c>
      <c r="G914">
        <v>15</v>
      </c>
      <c r="H914">
        <v>20</v>
      </c>
      <c r="I914">
        <v>11</v>
      </c>
      <c r="J914">
        <v>44.9</v>
      </c>
      <c r="K914">
        <v>228.52</v>
      </c>
      <c r="L914">
        <v>0.23</v>
      </c>
      <c r="M914">
        <v>59.15</v>
      </c>
      <c r="N914">
        <v>1</v>
      </c>
      <c r="O914" t="s">
        <v>20</v>
      </c>
      <c r="P914" t="s">
        <v>21</v>
      </c>
      <c r="Q914">
        <f t="shared" si="70"/>
        <v>24</v>
      </c>
      <c r="R914" s="4">
        <f>RANK(N914,$N$2:N$2800,0)</f>
        <v>1</v>
      </c>
      <c r="S914">
        <f t="shared" si="71"/>
        <v>1.3636363636363635</v>
      </c>
      <c r="T914" t="str">
        <f t="shared" si="72"/>
        <v>Good</v>
      </c>
      <c r="U914" t="str" cm="1">
        <f t="array" ref="U914">_xlfn.LET(_xlpm.roles,_xlfn.UNIQUE(D914:D3712),_xlpm.kills, SUMIF(D914:D3712,_xlpm.roles,G914:G3712),INDEX(_xlpm.roles,MATCH(MAX(_xlpm.kills),_xlpm.kills,0)))</f>
        <v>Entry Fragger</v>
      </c>
      <c r="V914" t="str">
        <f t="shared" si="73"/>
        <v>Medium Accuracy</v>
      </c>
      <c r="W914" t="str" cm="1">
        <f t="array" ref="W914">_xlfn.LET(_xlpm.roles,_xlfn.UNIQUE(D914:D3712), _xlpm.counts,COUNTIF(D914:D3712,_xlpm.roles), INDEX(_xlpm.roles,MATCH(MAX(_xlpm.counts),_xlpm.counts,0)))</f>
        <v>Entry Fragger</v>
      </c>
      <c r="X914" s="2">
        <f t="shared" si="74"/>
        <v>12.520971302428256</v>
      </c>
    </row>
    <row r="915" spans="1:24" x14ac:dyDescent="0.3">
      <c r="A915">
        <v>969</v>
      </c>
      <c r="B915">
        <v>160</v>
      </c>
      <c r="C915" t="s">
        <v>25</v>
      </c>
      <c r="D915" t="s">
        <v>22</v>
      </c>
      <c r="E915" t="s">
        <v>18</v>
      </c>
      <c r="F915" t="s">
        <v>26</v>
      </c>
      <c r="G915">
        <v>17</v>
      </c>
      <c r="H915">
        <v>10</v>
      </c>
      <c r="I915">
        <v>10</v>
      </c>
      <c r="J915">
        <v>51.37</v>
      </c>
      <c r="K915">
        <v>241.54</v>
      </c>
      <c r="L915">
        <v>0.96</v>
      </c>
      <c r="M915">
        <v>50.09</v>
      </c>
      <c r="N915">
        <v>0.91</v>
      </c>
      <c r="O915" t="s">
        <v>20</v>
      </c>
      <c r="P915" t="s">
        <v>21</v>
      </c>
      <c r="Q915">
        <f t="shared" si="70"/>
        <v>17</v>
      </c>
      <c r="R915" s="4">
        <f>RANK(N915,$N$2:N$2800,0)</f>
        <v>1665</v>
      </c>
      <c r="S915">
        <f t="shared" si="71"/>
        <v>1.7</v>
      </c>
      <c r="T915" t="str">
        <f t="shared" si="72"/>
        <v>Good</v>
      </c>
      <c r="U915" t="str" cm="1">
        <f t="array" ref="U915">_xlfn.LET(_xlpm.roles,_xlfn.UNIQUE(D915:D3713),_xlpm.kills, SUMIF(D915:D3713,_xlpm.roles,G915:G3713),INDEX(_xlpm.roles,MATCH(MAX(_xlpm.kills),_xlpm.kills,0)))</f>
        <v>Entry Fragger</v>
      </c>
      <c r="V915" t="str">
        <f t="shared" si="73"/>
        <v>High Accuracy</v>
      </c>
      <c r="W915" t="str" cm="1">
        <f t="array" ref="W915">_xlfn.LET(_xlpm.roles,_xlfn.UNIQUE(D915:D3713), _xlpm.counts,COUNTIF(D915:D3713,_xlpm.roles), INDEX(_xlpm.roles,MATCH(MAX(_xlpm.counts),_xlpm.counts,0)))</f>
        <v>Entry Fragger</v>
      </c>
      <c r="X915" s="2">
        <f t="shared" si="74"/>
        <v>12.809421841541756</v>
      </c>
    </row>
    <row r="916" spans="1:24" x14ac:dyDescent="0.3">
      <c r="A916">
        <v>1265</v>
      </c>
      <c r="B916">
        <v>160</v>
      </c>
      <c r="C916" t="s">
        <v>30</v>
      </c>
      <c r="D916" t="s">
        <v>22</v>
      </c>
      <c r="E916" t="s">
        <v>32</v>
      </c>
      <c r="F916" t="s">
        <v>34</v>
      </c>
      <c r="G916">
        <v>15</v>
      </c>
      <c r="H916">
        <v>6</v>
      </c>
      <c r="I916">
        <v>10</v>
      </c>
      <c r="J916">
        <v>39.24</v>
      </c>
      <c r="K916">
        <v>222.12</v>
      </c>
      <c r="L916">
        <v>0.69</v>
      </c>
      <c r="M916">
        <v>38.72</v>
      </c>
      <c r="N916">
        <v>0.89</v>
      </c>
      <c r="O916" t="s">
        <v>20</v>
      </c>
      <c r="P916" t="s">
        <v>21</v>
      </c>
      <c r="Q916">
        <f t="shared" si="70"/>
        <v>11</v>
      </c>
      <c r="R916" s="4">
        <f>RANK(N916,$N$2:N$2800,0)</f>
        <v>1815</v>
      </c>
      <c r="S916">
        <f t="shared" si="71"/>
        <v>1.5</v>
      </c>
      <c r="T916" t="str">
        <f t="shared" si="72"/>
        <v>Low</v>
      </c>
      <c r="U916" t="str" cm="1">
        <f t="array" ref="U916">_xlfn.LET(_xlpm.roles,_xlfn.UNIQUE(D916:D3714),_xlpm.kills, SUMIF(D916:D3714,_xlpm.roles,G916:G3714),INDEX(_xlpm.roles,MATCH(MAX(_xlpm.kills),_xlpm.kills,0)))</f>
        <v>Entry Fragger</v>
      </c>
      <c r="V916" t="str">
        <f t="shared" si="73"/>
        <v>Medium Accuracy</v>
      </c>
      <c r="W916" t="str" cm="1">
        <f t="array" ref="W916">_xlfn.LET(_xlpm.roles,_xlfn.UNIQUE(D916:D3714), _xlpm.counts,COUNTIF(D916:D3714,_xlpm.roles), INDEX(_xlpm.roles,MATCH(MAX(_xlpm.counts),_xlpm.counts,0)))</f>
        <v>Entry Fragger</v>
      </c>
      <c r="X916" s="2">
        <f t="shared" si="74"/>
        <v>13.135802469135802</v>
      </c>
    </row>
    <row r="917" spans="1:24" x14ac:dyDescent="0.3">
      <c r="A917">
        <v>1639</v>
      </c>
      <c r="B917">
        <v>160</v>
      </c>
      <c r="C917" t="s">
        <v>16</v>
      </c>
      <c r="D917" t="s">
        <v>31</v>
      </c>
      <c r="E917" t="s">
        <v>32</v>
      </c>
      <c r="F917" t="s">
        <v>26</v>
      </c>
      <c r="G917">
        <v>17</v>
      </c>
      <c r="H917">
        <v>12</v>
      </c>
      <c r="I917">
        <v>5</v>
      </c>
      <c r="J917">
        <v>44.85</v>
      </c>
      <c r="K917">
        <v>205.21</v>
      </c>
      <c r="L917">
        <v>0.27</v>
      </c>
      <c r="M917">
        <v>60.72</v>
      </c>
      <c r="N917">
        <v>1</v>
      </c>
      <c r="O917" t="s">
        <v>20</v>
      </c>
      <c r="P917" t="s">
        <v>38</v>
      </c>
      <c r="Q917">
        <f t="shared" si="70"/>
        <v>24</v>
      </c>
      <c r="R917" s="4">
        <f>RANK(N917,$N$2:N$2800,0)</f>
        <v>1</v>
      </c>
      <c r="S917">
        <f t="shared" si="71"/>
        <v>3.4</v>
      </c>
      <c r="T917" t="str">
        <f t="shared" si="72"/>
        <v>Good</v>
      </c>
      <c r="U917" t="str" cm="1">
        <f t="array" ref="U917">_xlfn.LET(_xlpm.roles,_xlfn.UNIQUE(D917:D3715),_xlpm.kills, SUMIF(D917:D3715,_xlpm.roles,G917:G3715),INDEX(_xlpm.roles,MATCH(MAX(_xlpm.kills),_xlpm.kills,0)))</f>
        <v>Entry Fragger</v>
      </c>
      <c r="V917" t="str">
        <f t="shared" si="73"/>
        <v>Medium Accuracy</v>
      </c>
      <c r="W917" t="str" cm="1">
        <f t="array" ref="W917">_xlfn.LET(_xlpm.roles,_xlfn.UNIQUE(D917:D3715), _xlpm.counts,COUNTIF(D917:D3715,_xlpm.roles), INDEX(_xlpm.roles,MATCH(MAX(_xlpm.counts),_xlpm.counts,0)))</f>
        <v>Entry Fragger</v>
      </c>
      <c r="X917" s="2">
        <f t="shared" si="74"/>
        <v>12.520971302428256</v>
      </c>
    </row>
    <row r="918" spans="1:24" x14ac:dyDescent="0.3">
      <c r="A918">
        <v>1786</v>
      </c>
      <c r="B918">
        <v>160</v>
      </c>
      <c r="C918" t="s">
        <v>30</v>
      </c>
      <c r="D918" t="s">
        <v>36</v>
      </c>
      <c r="E918" t="s">
        <v>32</v>
      </c>
      <c r="F918" t="s">
        <v>19</v>
      </c>
      <c r="G918">
        <v>15</v>
      </c>
      <c r="H918">
        <v>6</v>
      </c>
      <c r="I918">
        <v>7</v>
      </c>
      <c r="J918">
        <v>32.299999999999997</v>
      </c>
      <c r="K918">
        <v>277.72000000000003</v>
      </c>
      <c r="L918">
        <v>0.16</v>
      </c>
      <c r="M918">
        <v>43.55</v>
      </c>
      <c r="N918">
        <v>1</v>
      </c>
      <c r="O918" t="s">
        <v>20</v>
      </c>
      <c r="P918" t="s">
        <v>21</v>
      </c>
      <c r="Q918">
        <f t="shared" si="70"/>
        <v>14</v>
      </c>
      <c r="R918" s="4">
        <f>RANK(N918,$N$2:N$2800,0)</f>
        <v>1</v>
      </c>
      <c r="S918">
        <f t="shared" si="71"/>
        <v>2.1428571428571428</v>
      </c>
      <c r="T918" t="str">
        <f t="shared" si="72"/>
        <v>Low</v>
      </c>
      <c r="U918" t="str" cm="1">
        <f t="array" ref="U918">_xlfn.LET(_xlpm.roles,_xlfn.UNIQUE(D918:D3716),_xlpm.kills, SUMIF(D918:D3716,_xlpm.roles,G918:G3716),INDEX(_xlpm.roles,MATCH(MAX(_xlpm.kills),_xlpm.kills,0)))</f>
        <v>Entry Fragger</v>
      </c>
      <c r="V918" t="str">
        <f t="shared" si="73"/>
        <v>Medium Accuracy</v>
      </c>
      <c r="W918" t="str" cm="1">
        <f t="array" ref="W918">_xlfn.LET(_xlpm.roles,_xlfn.UNIQUE(D918:D3716), _xlpm.counts,COUNTIF(D918:D3716,_xlpm.roles), INDEX(_xlpm.roles,MATCH(MAX(_xlpm.counts),_xlpm.counts,0)))</f>
        <v>Entry Fragger</v>
      </c>
      <c r="X918" s="2">
        <f t="shared" si="74"/>
        <v>13.135802469135802</v>
      </c>
    </row>
    <row r="919" spans="1:24" x14ac:dyDescent="0.3">
      <c r="A919">
        <v>941</v>
      </c>
      <c r="B919">
        <v>161</v>
      </c>
      <c r="C919" t="s">
        <v>30</v>
      </c>
      <c r="D919" t="s">
        <v>28</v>
      </c>
      <c r="E919" t="s">
        <v>23</v>
      </c>
      <c r="F919" t="s">
        <v>24</v>
      </c>
      <c r="G919">
        <v>12</v>
      </c>
      <c r="H919">
        <v>8</v>
      </c>
      <c r="I919">
        <v>9</v>
      </c>
      <c r="J919">
        <v>53.67</v>
      </c>
      <c r="K919">
        <v>198.35</v>
      </c>
      <c r="L919">
        <v>0.97</v>
      </c>
      <c r="M919">
        <v>40.14</v>
      </c>
      <c r="N919">
        <v>0.76</v>
      </c>
      <c r="O919" t="s">
        <v>20</v>
      </c>
      <c r="P919" t="s">
        <v>21</v>
      </c>
      <c r="Q919">
        <f t="shared" si="70"/>
        <v>11</v>
      </c>
      <c r="R919" s="4">
        <f>RANK(N919,$N$2:N$2800,0)</f>
        <v>2547</v>
      </c>
      <c r="S919">
        <f t="shared" si="71"/>
        <v>1.3333333333333333</v>
      </c>
      <c r="T919" t="str">
        <f t="shared" si="72"/>
        <v>Low</v>
      </c>
      <c r="U919" t="str" cm="1">
        <f t="array" ref="U919">_xlfn.LET(_xlpm.roles,_xlfn.UNIQUE(D919:D3717),_xlpm.kills, SUMIF(D919:D3717,_xlpm.roles,G919:G3717),INDEX(_xlpm.roles,MATCH(MAX(_xlpm.kills),_xlpm.kills,0)))</f>
        <v>Entry Fragger</v>
      </c>
      <c r="V919" t="str">
        <f t="shared" si="73"/>
        <v>High Accuracy</v>
      </c>
      <c r="W919" t="str" cm="1">
        <f t="array" ref="W919">_xlfn.LET(_xlpm.roles,_xlfn.UNIQUE(D919:D3717), _xlpm.counts,COUNTIF(D919:D3717,_xlpm.roles), INDEX(_xlpm.roles,MATCH(MAX(_xlpm.counts),_xlpm.counts,0)))</f>
        <v>Entry Fragger</v>
      </c>
      <c r="X919" s="2">
        <f t="shared" si="74"/>
        <v>13.135802469135802</v>
      </c>
    </row>
    <row r="920" spans="1:24" x14ac:dyDescent="0.3">
      <c r="A920">
        <v>1259</v>
      </c>
      <c r="B920">
        <v>161</v>
      </c>
      <c r="C920" t="s">
        <v>16</v>
      </c>
      <c r="D920" t="s">
        <v>36</v>
      </c>
      <c r="E920" t="s">
        <v>29</v>
      </c>
      <c r="F920" t="s">
        <v>34</v>
      </c>
      <c r="G920">
        <v>12</v>
      </c>
      <c r="H920">
        <v>5</v>
      </c>
      <c r="I920">
        <v>10</v>
      </c>
      <c r="J920">
        <v>49.53</v>
      </c>
      <c r="K920">
        <v>228.24</v>
      </c>
      <c r="L920">
        <v>0.89</v>
      </c>
      <c r="M920">
        <v>34.869999999999997</v>
      </c>
      <c r="N920">
        <v>0.84</v>
      </c>
      <c r="O920" t="s">
        <v>20</v>
      </c>
      <c r="P920" t="s">
        <v>21</v>
      </c>
      <c r="Q920">
        <f t="shared" si="70"/>
        <v>7</v>
      </c>
      <c r="R920" s="4">
        <f>RANK(N920,$N$2:N$2800,0)</f>
        <v>2156</v>
      </c>
      <c r="S920">
        <f t="shared" si="71"/>
        <v>1.2</v>
      </c>
      <c r="T920" t="str">
        <f t="shared" si="72"/>
        <v>Low</v>
      </c>
      <c r="U920" t="str" cm="1">
        <f t="array" ref="U920">_xlfn.LET(_xlpm.roles,_xlfn.UNIQUE(D920:D3718),_xlpm.kills, SUMIF(D920:D3718,_xlpm.roles,G920:G3718),INDEX(_xlpm.roles,MATCH(MAX(_xlpm.kills),_xlpm.kills,0)))</f>
        <v>Entry Fragger</v>
      </c>
      <c r="V920" t="str">
        <f t="shared" si="73"/>
        <v>Medium Accuracy</v>
      </c>
      <c r="W920" t="str" cm="1">
        <f t="array" ref="W920">_xlfn.LET(_xlpm.roles,_xlfn.UNIQUE(D920:D3718), _xlpm.counts,COUNTIF(D920:D3718,_xlpm.roles), INDEX(_xlpm.roles,MATCH(MAX(_xlpm.counts),_xlpm.counts,0)))</f>
        <v>Entry Fragger</v>
      </c>
      <c r="X920" s="2">
        <f t="shared" si="74"/>
        <v>12.520971302428256</v>
      </c>
    </row>
    <row r="921" spans="1:24" x14ac:dyDescent="0.3">
      <c r="A921">
        <v>1399</v>
      </c>
      <c r="B921">
        <v>161</v>
      </c>
      <c r="C921" t="s">
        <v>27</v>
      </c>
      <c r="D921" t="s">
        <v>17</v>
      </c>
      <c r="E921" t="s">
        <v>23</v>
      </c>
      <c r="F921" t="s">
        <v>26</v>
      </c>
      <c r="G921">
        <v>22</v>
      </c>
      <c r="H921">
        <v>9</v>
      </c>
      <c r="I921">
        <v>10</v>
      </c>
      <c r="J921">
        <v>45.01</v>
      </c>
      <c r="K921">
        <v>195.15</v>
      </c>
      <c r="L921">
        <v>0.71</v>
      </c>
      <c r="M921">
        <v>58.4</v>
      </c>
      <c r="N921">
        <v>1</v>
      </c>
      <c r="O921" t="s">
        <v>20</v>
      </c>
      <c r="P921" t="s">
        <v>21</v>
      </c>
      <c r="Q921">
        <f t="shared" si="70"/>
        <v>21</v>
      </c>
      <c r="R921" s="4">
        <f>RANK(N921,$N$2:N$2800,0)</f>
        <v>1</v>
      </c>
      <c r="S921">
        <f t="shared" si="71"/>
        <v>2.2000000000000002</v>
      </c>
      <c r="T921" t="str">
        <f t="shared" si="72"/>
        <v>Good</v>
      </c>
      <c r="U921" t="str" cm="1">
        <f t="array" ref="U921">_xlfn.LET(_xlpm.roles,_xlfn.UNIQUE(D921:D3719),_xlpm.kills, SUMIF(D921:D3719,_xlpm.roles,G921:G3719),INDEX(_xlpm.roles,MATCH(MAX(_xlpm.kills),_xlpm.kills,0)))</f>
        <v>Entry Fragger</v>
      </c>
      <c r="V921" t="str">
        <f t="shared" si="73"/>
        <v>Medium Accuracy</v>
      </c>
      <c r="W921" t="str" cm="1">
        <f t="array" ref="W921">_xlfn.LET(_xlpm.roles,_xlfn.UNIQUE(D921:D3719), _xlpm.counts,COUNTIF(D921:D3719,_xlpm.roles), INDEX(_xlpm.roles,MATCH(MAX(_xlpm.counts),_xlpm.counts,0)))</f>
        <v>Entry Fragger</v>
      </c>
      <c r="X921" s="2">
        <f t="shared" si="74"/>
        <v>13.057077625570777</v>
      </c>
    </row>
    <row r="922" spans="1:24" x14ac:dyDescent="0.3">
      <c r="A922">
        <v>1516</v>
      </c>
      <c r="B922">
        <v>161</v>
      </c>
      <c r="C922" t="s">
        <v>39</v>
      </c>
      <c r="D922" t="s">
        <v>31</v>
      </c>
      <c r="E922" t="s">
        <v>29</v>
      </c>
      <c r="F922" t="s">
        <v>24</v>
      </c>
      <c r="G922">
        <v>14</v>
      </c>
      <c r="H922">
        <v>10</v>
      </c>
      <c r="I922">
        <v>12</v>
      </c>
      <c r="J922">
        <v>40.15</v>
      </c>
      <c r="K922">
        <v>178.03</v>
      </c>
      <c r="L922">
        <v>0.45</v>
      </c>
      <c r="M922">
        <v>41.58</v>
      </c>
      <c r="N922">
        <v>1</v>
      </c>
      <c r="O922" t="s">
        <v>20</v>
      </c>
      <c r="P922" t="s">
        <v>21</v>
      </c>
      <c r="Q922">
        <f t="shared" si="70"/>
        <v>12</v>
      </c>
      <c r="R922" s="4">
        <f>RANK(N922,$N$2:N$2800,0)</f>
        <v>1</v>
      </c>
      <c r="S922">
        <f t="shared" si="71"/>
        <v>1.1666666666666667</v>
      </c>
      <c r="T922" t="str">
        <f t="shared" si="72"/>
        <v>Low</v>
      </c>
      <c r="U922" t="str" cm="1">
        <f t="array" ref="U922">_xlfn.LET(_xlpm.roles,_xlfn.UNIQUE(D922:D3720),_xlpm.kills, SUMIF(D922:D3720,_xlpm.roles,G922:G3720),INDEX(_xlpm.roles,MATCH(MAX(_xlpm.kills),_xlpm.kills,0)))</f>
        <v>Entry Fragger</v>
      </c>
      <c r="V922" t="str">
        <f t="shared" si="73"/>
        <v>Medium Accuracy</v>
      </c>
      <c r="W922" t="str" cm="1">
        <f t="array" ref="W922">_xlfn.LET(_xlpm.roles,_xlfn.UNIQUE(D922:D3720), _xlpm.counts,COUNTIF(D922:D3720,_xlpm.roles), INDEX(_xlpm.roles,MATCH(MAX(_xlpm.counts),_xlpm.counts,0)))</f>
        <v>Entry Fragger</v>
      </c>
      <c r="X922" s="2">
        <f t="shared" si="74"/>
        <v>13.103594080338267</v>
      </c>
    </row>
    <row r="923" spans="1:24" x14ac:dyDescent="0.3">
      <c r="A923">
        <v>1743</v>
      </c>
      <c r="B923">
        <v>161</v>
      </c>
      <c r="C923" t="s">
        <v>39</v>
      </c>
      <c r="D923" t="s">
        <v>36</v>
      </c>
      <c r="E923" t="s">
        <v>33</v>
      </c>
      <c r="F923" t="s">
        <v>34</v>
      </c>
      <c r="G923">
        <v>9</v>
      </c>
      <c r="H923">
        <v>8</v>
      </c>
      <c r="I923">
        <v>8</v>
      </c>
      <c r="J923">
        <v>43.5</v>
      </c>
      <c r="K923">
        <v>232.39</v>
      </c>
      <c r="L923">
        <v>0.55000000000000004</v>
      </c>
      <c r="M923">
        <v>34.25</v>
      </c>
      <c r="N923">
        <v>0.73</v>
      </c>
      <c r="O923" t="s">
        <v>20</v>
      </c>
      <c r="P923" t="s">
        <v>21</v>
      </c>
      <c r="Q923">
        <f t="shared" si="70"/>
        <v>9</v>
      </c>
      <c r="R923" s="4">
        <f>RANK(N923,$N$2:N$2800,0)</f>
        <v>2642</v>
      </c>
      <c r="S923">
        <f t="shared" si="71"/>
        <v>1.125</v>
      </c>
      <c r="T923" t="str">
        <f t="shared" si="72"/>
        <v>Low</v>
      </c>
      <c r="U923" t="str" cm="1">
        <f t="array" ref="U923">_xlfn.LET(_xlpm.roles,_xlfn.UNIQUE(D923:D3721),_xlpm.kills, SUMIF(D923:D3721,_xlpm.roles,G923:G3721),INDEX(_xlpm.roles,MATCH(MAX(_xlpm.kills),_xlpm.kills,0)))</f>
        <v>Entry Fragger</v>
      </c>
      <c r="V923" t="str">
        <f t="shared" si="73"/>
        <v>Medium Accuracy</v>
      </c>
      <c r="W923" t="str" cm="1">
        <f t="array" ref="W923">_xlfn.LET(_xlpm.roles,_xlfn.UNIQUE(D923:D3721), _xlpm.counts,COUNTIF(D923:D3721,_xlpm.roles), INDEX(_xlpm.roles,MATCH(MAX(_xlpm.counts),_xlpm.counts,0)))</f>
        <v>Entry Fragger</v>
      </c>
      <c r="X923" s="2">
        <f t="shared" si="74"/>
        <v>13.103594080338267</v>
      </c>
    </row>
    <row r="924" spans="1:24" x14ac:dyDescent="0.3">
      <c r="A924">
        <v>1860</v>
      </c>
      <c r="B924">
        <v>161</v>
      </c>
      <c r="C924" t="s">
        <v>16</v>
      </c>
      <c r="D924" t="s">
        <v>28</v>
      </c>
      <c r="E924" t="s">
        <v>29</v>
      </c>
      <c r="F924" t="s">
        <v>37</v>
      </c>
      <c r="G924">
        <v>13</v>
      </c>
      <c r="H924">
        <v>6</v>
      </c>
      <c r="I924">
        <v>6</v>
      </c>
      <c r="J924">
        <v>53.67</v>
      </c>
      <c r="K924">
        <v>256.38</v>
      </c>
      <c r="L924">
        <v>0.21</v>
      </c>
      <c r="M924">
        <v>50.73</v>
      </c>
      <c r="N924">
        <v>1</v>
      </c>
      <c r="O924" t="s">
        <v>20</v>
      </c>
      <c r="P924" t="s">
        <v>21</v>
      </c>
      <c r="Q924">
        <f t="shared" si="70"/>
        <v>13</v>
      </c>
      <c r="R924" s="4">
        <f>RANK(N924,$N$2:N$2800,0)</f>
        <v>1</v>
      </c>
      <c r="S924">
        <f t="shared" si="71"/>
        <v>2.1666666666666665</v>
      </c>
      <c r="T924" t="str">
        <f t="shared" si="72"/>
        <v>Low</v>
      </c>
      <c r="U924" t="str" cm="1">
        <f t="array" ref="U924">_xlfn.LET(_xlpm.roles,_xlfn.UNIQUE(D924:D3722),_xlpm.kills, SUMIF(D924:D3722,_xlpm.roles,G924:G3722),INDEX(_xlpm.roles,MATCH(MAX(_xlpm.kills),_xlpm.kills,0)))</f>
        <v>Entry Fragger</v>
      </c>
      <c r="V924" t="str">
        <f t="shared" si="73"/>
        <v>High Accuracy</v>
      </c>
      <c r="W924" t="str" cm="1">
        <f t="array" ref="W924">_xlfn.LET(_xlpm.roles,_xlfn.UNIQUE(D924:D3722), _xlpm.counts,COUNTIF(D924:D3722,_xlpm.roles), INDEX(_xlpm.roles,MATCH(MAX(_xlpm.counts),_xlpm.counts,0)))</f>
        <v>Entry Fragger</v>
      </c>
      <c r="X924" s="2">
        <f t="shared" si="74"/>
        <v>12.520971302428256</v>
      </c>
    </row>
    <row r="925" spans="1:24" x14ac:dyDescent="0.3">
      <c r="A925">
        <v>2085</v>
      </c>
      <c r="B925">
        <v>161</v>
      </c>
      <c r="C925" t="s">
        <v>35</v>
      </c>
      <c r="D925" t="s">
        <v>31</v>
      </c>
      <c r="E925" t="s">
        <v>33</v>
      </c>
      <c r="F925" t="s">
        <v>24</v>
      </c>
      <c r="G925">
        <v>18</v>
      </c>
      <c r="H925">
        <v>9</v>
      </c>
      <c r="I925">
        <v>16</v>
      </c>
      <c r="J925">
        <v>40.08</v>
      </c>
      <c r="K925">
        <v>178.55</v>
      </c>
      <c r="L925">
        <v>0.93</v>
      </c>
      <c r="M925">
        <v>39.74</v>
      </c>
      <c r="N925">
        <v>0.83</v>
      </c>
      <c r="O925" t="s">
        <v>20</v>
      </c>
      <c r="P925" t="s">
        <v>21</v>
      </c>
      <c r="Q925">
        <f t="shared" si="70"/>
        <v>11</v>
      </c>
      <c r="R925" s="4">
        <f>RANK(N925,$N$2:N$2800,0)</f>
        <v>2218</v>
      </c>
      <c r="S925">
        <f t="shared" si="71"/>
        <v>1.125</v>
      </c>
      <c r="T925" t="str">
        <f t="shared" si="72"/>
        <v>Low</v>
      </c>
      <c r="U925" t="str" cm="1">
        <f t="array" ref="U925">_xlfn.LET(_xlpm.roles,_xlfn.UNIQUE(D925:D3723),_xlpm.kills, SUMIF(D925:D3723,_xlpm.roles,G925:G3723),INDEX(_xlpm.roles,MATCH(MAX(_xlpm.kills),_xlpm.kills,0)))</f>
        <v>Entry Fragger</v>
      </c>
      <c r="V925" t="str">
        <f t="shared" si="73"/>
        <v>Medium Accuracy</v>
      </c>
      <c r="W925" t="str" cm="1">
        <f t="array" ref="W925">_xlfn.LET(_xlpm.roles,_xlfn.UNIQUE(D925:D3723), _xlpm.counts,COUNTIF(D925:D3723,_xlpm.roles), INDEX(_xlpm.roles,MATCH(MAX(_xlpm.counts),_xlpm.counts,0)))</f>
        <v>Entry Fragger</v>
      </c>
      <c r="X925" s="2">
        <f t="shared" si="74"/>
        <v>12.599585062240664</v>
      </c>
    </row>
    <row r="926" spans="1:24" x14ac:dyDescent="0.3">
      <c r="A926">
        <v>2115</v>
      </c>
      <c r="B926">
        <v>161</v>
      </c>
      <c r="C926" t="s">
        <v>35</v>
      </c>
      <c r="D926" t="s">
        <v>22</v>
      </c>
      <c r="E926" t="s">
        <v>18</v>
      </c>
      <c r="F926" t="s">
        <v>26</v>
      </c>
      <c r="G926">
        <v>20</v>
      </c>
      <c r="H926">
        <v>5</v>
      </c>
      <c r="I926">
        <v>9</v>
      </c>
      <c r="J926">
        <v>45.64</v>
      </c>
      <c r="K926">
        <v>233.55</v>
      </c>
      <c r="L926">
        <v>0.87</v>
      </c>
      <c r="M926">
        <v>50.12</v>
      </c>
      <c r="N926">
        <v>1</v>
      </c>
      <c r="O926" t="s">
        <v>20</v>
      </c>
      <c r="P926" t="s">
        <v>21</v>
      </c>
      <c r="Q926">
        <f t="shared" si="70"/>
        <v>16</v>
      </c>
      <c r="R926" s="4">
        <f>RANK(N926,$N$2:N$2800,0)</f>
        <v>1</v>
      </c>
      <c r="S926">
        <f t="shared" si="71"/>
        <v>2.2222222222222223</v>
      </c>
      <c r="T926" t="str">
        <f t="shared" si="72"/>
        <v>Good</v>
      </c>
      <c r="U926" t="str" cm="1">
        <f t="array" ref="U926">_xlfn.LET(_xlpm.roles,_xlfn.UNIQUE(D926:D3724),_xlpm.kills, SUMIF(D926:D3724,_xlpm.roles,G926:G3724),INDEX(_xlpm.roles,MATCH(MAX(_xlpm.kills),_xlpm.kills,0)))</f>
        <v>Entry Fragger</v>
      </c>
      <c r="V926" t="str">
        <f t="shared" si="73"/>
        <v>Medium Accuracy</v>
      </c>
      <c r="W926" t="str" cm="1">
        <f t="array" ref="W926">_xlfn.LET(_xlpm.roles,_xlfn.UNIQUE(D926:D3724), _xlpm.counts,COUNTIF(D926:D3724,_xlpm.roles), INDEX(_xlpm.roles,MATCH(MAX(_xlpm.counts),_xlpm.counts,0)))</f>
        <v>Entry Fragger</v>
      </c>
      <c r="X926" s="2">
        <f t="shared" si="74"/>
        <v>12.599585062240664</v>
      </c>
    </row>
    <row r="927" spans="1:24" x14ac:dyDescent="0.3">
      <c r="A927">
        <v>2393</v>
      </c>
      <c r="B927">
        <v>161</v>
      </c>
      <c r="C927" t="s">
        <v>35</v>
      </c>
      <c r="D927" t="s">
        <v>28</v>
      </c>
      <c r="E927" t="s">
        <v>33</v>
      </c>
      <c r="F927" t="s">
        <v>34</v>
      </c>
      <c r="G927">
        <v>16</v>
      </c>
      <c r="H927">
        <v>5</v>
      </c>
      <c r="I927">
        <v>8</v>
      </c>
      <c r="J927">
        <v>40.28</v>
      </c>
      <c r="K927">
        <v>220.69</v>
      </c>
      <c r="L927">
        <v>0.42</v>
      </c>
      <c r="M927">
        <v>44.94</v>
      </c>
      <c r="N927">
        <v>0.86</v>
      </c>
      <c r="O927" t="s">
        <v>20</v>
      </c>
      <c r="P927" t="s">
        <v>21</v>
      </c>
      <c r="Q927">
        <f t="shared" si="70"/>
        <v>13</v>
      </c>
      <c r="R927" s="4">
        <f>RANK(N927,$N$2:N$2800,0)</f>
        <v>2040</v>
      </c>
      <c r="S927">
        <f t="shared" si="71"/>
        <v>2</v>
      </c>
      <c r="T927" t="str">
        <f t="shared" si="72"/>
        <v>Low</v>
      </c>
      <c r="U927" t="str" cm="1">
        <f t="array" ref="U927">_xlfn.LET(_xlpm.roles,_xlfn.UNIQUE(D927:D3725),_xlpm.kills, SUMIF(D927:D3725,_xlpm.roles,G927:G3725),INDEX(_xlpm.roles,MATCH(MAX(_xlpm.kills),_xlpm.kills,0)))</f>
        <v>Entry Fragger</v>
      </c>
      <c r="V927" t="str">
        <f t="shared" si="73"/>
        <v>Medium Accuracy</v>
      </c>
      <c r="W927" t="str" cm="1">
        <f t="array" ref="W927">_xlfn.LET(_xlpm.roles,_xlfn.UNIQUE(D927:D3725), _xlpm.counts,COUNTIF(D927:D3725,_xlpm.roles), INDEX(_xlpm.roles,MATCH(MAX(_xlpm.counts),_xlpm.counts,0)))</f>
        <v>Entry Fragger</v>
      </c>
      <c r="X927" s="2">
        <f t="shared" si="74"/>
        <v>12.599585062240664</v>
      </c>
    </row>
    <row r="928" spans="1:24" x14ac:dyDescent="0.3">
      <c r="A928">
        <v>1041</v>
      </c>
      <c r="B928">
        <v>162</v>
      </c>
      <c r="C928" t="s">
        <v>25</v>
      </c>
      <c r="D928" t="s">
        <v>28</v>
      </c>
      <c r="E928" t="s">
        <v>33</v>
      </c>
      <c r="F928" t="s">
        <v>19</v>
      </c>
      <c r="G928">
        <v>15</v>
      </c>
      <c r="H928">
        <v>14</v>
      </c>
      <c r="I928">
        <v>7</v>
      </c>
      <c r="J928">
        <v>34.24</v>
      </c>
      <c r="K928">
        <v>252.49</v>
      </c>
      <c r="L928">
        <v>0.71</v>
      </c>
      <c r="M928">
        <v>47.02</v>
      </c>
      <c r="N928">
        <v>0.87</v>
      </c>
      <c r="O928" t="s">
        <v>20</v>
      </c>
      <c r="P928" t="s">
        <v>21</v>
      </c>
      <c r="Q928">
        <f t="shared" si="70"/>
        <v>22</v>
      </c>
      <c r="R928" s="4">
        <f>RANK(N928,$N$2:N$2800,0)</f>
        <v>1965</v>
      </c>
      <c r="S928">
        <f t="shared" si="71"/>
        <v>2.1428571428571428</v>
      </c>
      <c r="T928" t="str">
        <f t="shared" si="72"/>
        <v>Good</v>
      </c>
      <c r="U928" t="str" cm="1">
        <f t="array" ref="U928">_xlfn.LET(_xlpm.roles,_xlfn.UNIQUE(D928:D3726),_xlpm.kills, SUMIF(D928:D3726,_xlpm.roles,G928:G3726),INDEX(_xlpm.roles,MATCH(MAX(_xlpm.kills),_xlpm.kills,0)))</f>
        <v>Entry Fragger</v>
      </c>
      <c r="V928" t="str">
        <f t="shared" si="73"/>
        <v>Medium Accuracy</v>
      </c>
      <c r="W928" t="str" cm="1">
        <f t="array" ref="W928">_xlfn.LET(_xlpm.roles,_xlfn.UNIQUE(D928:D3726), _xlpm.counts,COUNTIF(D928:D3726,_xlpm.roles), INDEX(_xlpm.roles,MATCH(MAX(_xlpm.counts),_xlpm.counts,0)))</f>
        <v>Entry Fragger</v>
      </c>
      <c r="X928" s="2">
        <f t="shared" si="74"/>
        <v>12.809421841541756</v>
      </c>
    </row>
    <row r="929" spans="1:24" x14ac:dyDescent="0.3">
      <c r="A929">
        <v>1395</v>
      </c>
      <c r="B929">
        <v>162</v>
      </c>
      <c r="C929" t="s">
        <v>30</v>
      </c>
      <c r="D929" t="s">
        <v>36</v>
      </c>
      <c r="E929" t="s">
        <v>23</v>
      </c>
      <c r="F929" t="s">
        <v>19</v>
      </c>
      <c r="G929">
        <v>16</v>
      </c>
      <c r="H929">
        <v>7</v>
      </c>
      <c r="I929">
        <v>11</v>
      </c>
      <c r="J929">
        <v>51.52</v>
      </c>
      <c r="K929">
        <v>225.03</v>
      </c>
      <c r="L929">
        <v>0.91</v>
      </c>
      <c r="M929">
        <v>44.66</v>
      </c>
      <c r="N929">
        <v>0.91</v>
      </c>
      <c r="O929" t="s">
        <v>20</v>
      </c>
      <c r="P929" t="s">
        <v>21</v>
      </c>
      <c r="Q929">
        <f t="shared" si="70"/>
        <v>12</v>
      </c>
      <c r="R929" s="4">
        <f>RANK(N929,$N$2:N$2800,0)</f>
        <v>1665</v>
      </c>
      <c r="S929">
        <f t="shared" si="71"/>
        <v>1.4545454545454546</v>
      </c>
      <c r="T929" t="str">
        <f t="shared" si="72"/>
        <v>Low</v>
      </c>
      <c r="U929" t="str" cm="1">
        <f t="array" ref="U929">_xlfn.LET(_xlpm.roles,_xlfn.UNIQUE(D929:D3727),_xlpm.kills, SUMIF(D929:D3727,_xlpm.roles,G929:G3727),INDEX(_xlpm.roles,MATCH(MAX(_xlpm.kills),_xlpm.kills,0)))</f>
        <v>Entry Fragger</v>
      </c>
      <c r="V929" t="str">
        <f t="shared" si="73"/>
        <v>High Accuracy</v>
      </c>
      <c r="W929" t="str" cm="1">
        <f t="array" ref="W929">_xlfn.LET(_xlpm.roles,_xlfn.UNIQUE(D929:D3727), _xlpm.counts,COUNTIF(D929:D3727,_xlpm.roles), INDEX(_xlpm.roles,MATCH(MAX(_xlpm.counts),_xlpm.counts,0)))</f>
        <v>Entry Fragger</v>
      </c>
      <c r="X929" s="2">
        <f t="shared" si="74"/>
        <v>13.135802469135802</v>
      </c>
    </row>
    <row r="930" spans="1:24" x14ac:dyDescent="0.3">
      <c r="A930">
        <v>1627</v>
      </c>
      <c r="B930">
        <v>162</v>
      </c>
      <c r="C930" t="s">
        <v>27</v>
      </c>
      <c r="D930" t="s">
        <v>36</v>
      </c>
      <c r="E930" t="s">
        <v>29</v>
      </c>
      <c r="F930" t="s">
        <v>34</v>
      </c>
      <c r="G930">
        <v>16</v>
      </c>
      <c r="H930">
        <v>12</v>
      </c>
      <c r="I930">
        <v>10</v>
      </c>
      <c r="J930">
        <v>47.28</v>
      </c>
      <c r="K930">
        <v>250.03</v>
      </c>
      <c r="L930">
        <v>0.39</v>
      </c>
      <c r="M930">
        <v>53.74</v>
      </c>
      <c r="N930">
        <v>1</v>
      </c>
      <c r="O930" t="s">
        <v>20</v>
      </c>
      <c r="P930" t="s">
        <v>21</v>
      </c>
      <c r="Q930">
        <f t="shared" si="70"/>
        <v>18</v>
      </c>
      <c r="R930" s="4">
        <f>RANK(N930,$N$2:N$2800,0)</f>
        <v>1</v>
      </c>
      <c r="S930">
        <f t="shared" si="71"/>
        <v>1.6</v>
      </c>
      <c r="T930" t="str">
        <f t="shared" si="72"/>
        <v>Good</v>
      </c>
      <c r="U930" t="str" cm="1">
        <f t="array" ref="U930">_xlfn.LET(_xlpm.roles,_xlfn.UNIQUE(D930:D3728),_xlpm.kills, SUMIF(D930:D3728,_xlpm.roles,G930:G3728),INDEX(_xlpm.roles,MATCH(MAX(_xlpm.kills),_xlpm.kills,0)))</f>
        <v>Entry Fragger</v>
      </c>
      <c r="V930" t="str">
        <f t="shared" si="73"/>
        <v>Medium Accuracy</v>
      </c>
      <c r="W930" t="str" cm="1">
        <f t="array" ref="W930">_xlfn.LET(_xlpm.roles,_xlfn.UNIQUE(D930:D3728), _xlpm.counts,COUNTIF(D930:D3728,_xlpm.roles), INDEX(_xlpm.roles,MATCH(MAX(_xlpm.counts),_xlpm.counts,0)))</f>
        <v>Entry Fragger</v>
      </c>
      <c r="X930" s="2">
        <f t="shared" si="74"/>
        <v>13.057077625570777</v>
      </c>
    </row>
    <row r="931" spans="1:24" x14ac:dyDescent="0.3">
      <c r="A931">
        <v>1640</v>
      </c>
      <c r="B931">
        <v>162</v>
      </c>
      <c r="C931" t="s">
        <v>35</v>
      </c>
      <c r="D931" t="s">
        <v>36</v>
      </c>
      <c r="E931" t="s">
        <v>32</v>
      </c>
      <c r="F931" t="s">
        <v>24</v>
      </c>
      <c r="G931">
        <v>7</v>
      </c>
      <c r="H931">
        <v>8</v>
      </c>
      <c r="I931">
        <v>9</v>
      </c>
      <c r="J931">
        <v>44.83</v>
      </c>
      <c r="K931">
        <v>192.37</v>
      </c>
      <c r="L931">
        <v>0.98</v>
      </c>
      <c r="M931">
        <v>25.61</v>
      </c>
      <c r="N931">
        <v>0.86</v>
      </c>
      <c r="O931" t="s">
        <v>20</v>
      </c>
      <c r="P931" t="s">
        <v>21</v>
      </c>
      <c r="Q931">
        <f t="shared" si="70"/>
        <v>6</v>
      </c>
      <c r="R931" s="4">
        <f>RANK(N931,$N$2:N$2800,0)</f>
        <v>2040</v>
      </c>
      <c r="S931">
        <f t="shared" si="71"/>
        <v>0.77777777777777779</v>
      </c>
      <c r="T931" t="str">
        <f t="shared" si="72"/>
        <v>Low</v>
      </c>
      <c r="U931" t="str" cm="1">
        <f t="array" ref="U931">_xlfn.LET(_xlpm.roles,_xlfn.UNIQUE(D931:D3729),_xlpm.kills, SUMIF(D931:D3729,_xlpm.roles,G931:G3729),INDEX(_xlpm.roles,MATCH(MAX(_xlpm.kills),_xlpm.kills,0)))</f>
        <v>Entry Fragger</v>
      </c>
      <c r="V931" t="str">
        <f t="shared" si="73"/>
        <v>Medium Accuracy</v>
      </c>
      <c r="W931" t="str" cm="1">
        <f t="array" ref="W931">_xlfn.LET(_xlpm.roles,_xlfn.UNIQUE(D931:D3729), _xlpm.counts,COUNTIF(D931:D3729,_xlpm.roles), INDEX(_xlpm.roles,MATCH(MAX(_xlpm.counts),_xlpm.counts,0)))</f>
        <v>Entry Fragger</v>
      </c>
      <c r="X931" s="2">
        <f t="shared" si="74"/>
        <v>12.599585062240664</v>
      </c>
    </row>
    <row r="932" spans="1:24" x14ac:dyDescent="0.3">
      <c r="A932">
        <v>2166</v>
      </c>
      <c r="B932">
        <v>162</v>
      </c>
      <c r="C932" t="s">
        <v>25</v>
      </c>
      <c r="D932" t="s">
        <v>36</v>
      </c>
      <c r="E932" t="s">
        <v>33</v>
      </c>
      <c r="F932" t="s">
        <v>24</v>
      </c>
      <c r="G932">
        <v>15</v>
      </c>
      <c r="H932">
        <v>5</v>
      </c>
      <c r="I932">
        <v>14</v>
      </c>
      <c r="J932">
        <v>31.96</v>
      </c>
      <c r="K932">
        <v>191.97</v>
      </c>
      <c r="L932">
        <v>0.27</v>
      </c>
      <c r="M932">
        <v>34.28</v>
      </c>
      <c r="N932">
        <v>0.89</v>
      </c>
      <c r="O932" t="s">
        <v>20</v>
      </c>
      <c r="P932" t="s">
        <v>21</v>
      </c>
      <c r="Q932">
        <f t="shared" si="70"/>
        <v>6</v>
      </c>
      <c r="R932" s="4">
        <f>RANK(N932,$N$2:N$2800,0)</f>
        <v>1815</v>
      </c>
      <c r="S932">
        <f t="shared" si="71"/>
        <v>1.0714285714285714</v>
      </c>
      <c r="T932" t="str">
        <f t="shared" si="72"/>
        <v>Low</v>
      </c>
      <c r="U932" t="str" cm="1">
        <f t="array" ref="U932">_xlfn.LET(_xlpm.roles,_xlfn.UNIQUE(D932:D3730),_xlpm.kills, SUMIF(D932:D3730,_xlpm.roles,G932:G3730),INDEX(_xlpm.roles,MATCH(MAX(_xlpm.kills),_xlpm.kills,0)))</f>
        <v>Entry Fragger</v>
      </c>
      <c r="V932" t="str">
        <f t="shared" si="73"/>
        <v>Medium Accuracy</v>
      </c>
      <c r="W932" t="str" cm="1">
        <f t="array" ref="W932">_xlfn.LET(_xlpm.roles,_xlfn.UNIQUE(D932:D3730), _xlpm.counts,COUNTIF(D932:D3730,_xlpm.roles), INDEX(_xlpm.roles,MATCH(MAX(_xlpm.counts),_xlpm.counts,0)))</f>
        <v>Entry Fragger</v>
      </c>
      <c r="X932" s="2">
        <f t="shared" si="74"/>
        <v>12.809421841541756</v>
      </c>
    </row>
    <row r="933" spans="1:24" x14ac:dyDescent="0.3">
      <c r="A933">
        <v>2294</v>
      </c>
      <c r="B933">
        <v>162</v>
      </c>
      <c r="C933" t="s">
        <v>39</v>
      </c>
      <c r="D933" t="s">
        <v>17</v>
      </c>
      <c r="E933" t="s">
        <v>29</v>
      </c>
      <c r="F933" t="s">
        <v>24</v>
      </c>
      <c r="G933">
        <v>20</v>
      </c>
      <c r="H933">
        <v>4</v>
      </c>
      <c r="I933">
        <v>10</v>
      </c>
      <c r="J933">
        <v>38.57</v>
      </c>
      <c r="K933">
        <v>237.03</v>
      </c>
      <c r="L933">
        <v>0.48</v>
      </c>
      <c r="M933">
        <v>48.48</v>
      </c>
      <c r="N933">
        <v>0.93</v>
      </c>
      <c r="O933" t="s">
        <v>20</v>
      </c>
      <c r="P933" t="s">
        <v>21</v>
      </c>
      <c r="Q933">
        <f t="shared" si="70"/>
        <v>14</v>
      </c>
      <c r="R933" s="4">
        <f>RANK(N933,$N$2:N$2800,0)</f>
        <v>1505</v>
      </c>
      <c r="S933">
        <f t="shared" si="71"/>
        <v>2</v>
      </c>
      <c r="T933" t="str">
        <f t="shared" si="72"/>
        <v>Low</v>
      </c>
      <c r="U933" t="str" cm="1">
        <f t="array" ref="U933">_xlfn.LET(_xlpm.roles,_xlfn.UNIQUE(D933:D3731),_xlpm.kills, SUMIF(D933:D3731,_xlpm.roles,G933:G3731),INDEX(_xlpm.roles,MATCH(MAX(_xlpm.kills),_xlpm.kills,0)))</f>
        <v>Entry Fragger</v>
      </c>
      <c r="V933" t="str">
        <f t="shared" si="73"/>
        <v>Medium Accuracy</v>
      </c>
      <c r="W933" t="str" cm="1">
        <f t="array" ref="W933">_xlfn.LET(_xlpm.roles,_xlfn.UNIQUE(D933:D3731), _xlpm.counts,COUNTIF(D933:D3731,_xlpm.roles), INDEX(_xlpm.roles,MATCH(MAX(_xlpm.counts),_xlpm.counts,0)))</f>
        <v>Entry Fragger</v>
      </c>
      <c r="X933" s="2">
        <f t="shared" si="74"/>
        <v>13.103594080338267</v>
      </c>
    </row>
    <row r="934" spans="1:24" x14ac:dyDescent="0.3">
      <c r="A934">
        <v>2526</v>
      </c>
      <c r="B934">
        <v>162</v>
      </c>
      <c r="C934" t="s">
        <v>25</v>
      </c>
      <c r="D934" t="s">
        <v>36</v>
      </c>
      <c r="E934" t="s">
        <v>33</v>
      </c>
      <c r="F934" t="s">
        <v>26</v>
      </c>
      <c r="G934">
        <v>7</v>
      </c>
      <c r="H934">
        <v>4</v>
      </c>
      <c r="I934">
        <v>8</v>
      </c>
      <c r="J934">
        <v>39.74</v>
      </c>
      <c r="K934">
        <v>212.89</v>
      </c>
      <c r="L934">
        <v>7.0000000000000007E-2</v>
      </c>
      <c r="M934">
        <v>29.17</v>
      </c>
      <c r="N934">
        <v>0.82</v>
      </c>
      <c r="O934" t="s">
        <v>20</v>
      </c>
      <c r="P934" t="s">
        <v>21</v>
      </c>
      <c r="Q934">
        <f t="shared" si="70"/>
        <v>3</v>
      </c>
      <c r="R934" s="4">
        <f>RANK(N934,$N$2:N$2800,0)</f>
        <v>2275</v>
      </c>
      <c r="S934">
        <f t="shared" si="71"/>
        <v>0.875</v>
      </c>
      <c r="T934" t="str">
        <f t="shared" si="72"/>
        <v>Low</v>
      </c>
      <c r="U934" t="str" cm="1">
        <f t="array" ref="U934">_xlfn.LET(_xlpm.roles,_xlfn.UNIQUE(D934:D3732),_xlpm.kills, SUMIF(D934:D3732,_xlpm.roles,G934:G3732),INDEX(_xlpm.roles,MATCH(MAX(_xlpm.kills),_xlpm.kills,0)))</f>
        <v>Entry Fragger</v>
      </c>
      <c r="V934" t="str">
        <f t="shared" si="73"/>
        <v>Medium Accuracy</v>
      </c>
      <c r="W934" t="str" cm="1">
        <f t="array" ref="W934">_xlfn.LET(_xlpm.roles,_xlfn.UNIQUE(D934:D3732), _xlpm.counts,COUNTIF(D934:D3732,_xlpm.roles), INDEX(_xlpm.roles,MATCH(MAX(_xlpm.counts),_xlpm.counts,0)))</f>
        <v>Entry Fragger</v>
      </c>
      <c r="X934" s="2">
        <f t="shared" si="74"/>
        <v>12.809421841541756</v>
      </c>
    </row>
    <row r="935" spans="1:24" x14ac:dyDescent="0.3">
      <c r="A935">
        <v>2607</v>
      </c>
      <c r="B935">
        <v>162</v>
      </c>
      <c r="C935" t="s">
        <v>30</v>
      </c>
      <c r="D935" t="s">
        <v>28</v>
      </c>
      <c r="E935" t="s">
        <v>33</v>
      </c>
      <c r="F935" t="s">
        <v>26</v>
      </c>
      <c r="G935">
        <v>10</v>
      </c>
      <c r="H935">
        <v>8</v>
      </c>
      <c r="I935">
        <v>7</v>
      </c>
      <c r="J935">
        <v>54.79</v>
      </c>
      <c r="K935">
        <v>218.4</v>
      </c>
      <c r="L935">
        <v>0.36</v>
      </c>
      <c r="M935">
        <v>44.79</v>
      </c>
      <c r="N935">
        <v>0.94</v>
      </c>
      <c r="O935" t="s">
        <v>20</v>
      </c>
      <c r="P935" t="s">
        <v>21</v>
      </c>
      <c r="Q935">
        <f t="shared" si="70"/>
        <v>11</v>
      </c>
      <c r="R935" s="4">
        <f>RANK(N935,$N$2:N$2800,0)</f>
        <v>1431</v>
      </c>
      <c r="S935">
        <f t="shared" si="71"/>
        <v>1.4285714285714286</v>
      </c>
      <c r="T935" t="str">
        <f t="shared" si="72"/>
        <v>Low</v>
      </c>
      <c r="U935" t="str" cm="1">
        <f t="array" ref="U935">_xlfn.LET(_xlpm.roles,_xlfn.UNIQUE(D935:D3733),_xlpm.kills, SUMIF(D935:D3733,_xlpm.roles,G935:G3733),INDEX(_xlpm.roles,MATCH(MAX(_xlpm.kills),_xlpm.kills,0)))</f>
        <v>Entry Fragger</v>
      </c>
      <c r="V935" t="str">
        <f t="shared" si="73"/>
        <v>High Accuracy</v>
      </c>
      <c r="W935" t="str" cm="1">
        <f t="array" ref="W935">_xlfn.LET(_xlpm.roles,_xlfn.UNIQUE(D935:D3733), _xlpm.counts,COUNTIF(D935:D3733,_xlpm.roles), INDEX(_xlpm.roles,MATCH(MAX(_xlpm.counts),_xlpm.counts,0)))</f>
        <v>Entry Fragger</v>
      </c>
      <c r="X935" s="2">
        <f t="shared" si="74"/>
        <v>13.135802469135802</v>
      </c>
    </row>
    <row r="936" spans="1:24" x14ac:dyDescent="0.3">
      <c r="A936">
        <v>275</v>
      </c>
      <c r="B936">
        <v>163</v>
      </c>
      <c r="C936" t="s">
        <v>35</v>
      </c>
      <c r="D936" t="s">
        <v>31</v>
      </c>
      <c r="E936" t="s">
        <v>33</v>
      </c>
      <c r="F936" t="s">
        <v>34</v>
      </c>
      <c r="G936">
        <v>11</v>
      </c>
      <c r="H936">
        <v>5</v>
      </c>
      <c r="I936">
        <v>6</v>
      </c>
      <c r="J936">
        <v>41.74</v>
      </c>
      <c r="K936">
        <v>264.14</v>
      </c>
      <c r="L936">
        <v>0.56999999999999995</v>
      </c>
      <c r="M936">
        <v>36.17</v>
      </c>
      <c r="N936">
        <v>0.99</v>
      </c>
      <c r="O936" t="s">
        <v>20</v>
      </c>
      <c r="P936" t="s">
        <v>21</v>
      </c>
      <c r="Q936">
        <f t="shared" si="70"/>
        <v>10</v>
      </c>
      <c r="R936" s="4">
        <f>RANK(N936,$N$2:N$2800,0)</f>
        <v>1080</v>
      </c>
      <c r="S936">
        <f t="shared" si="71"/>
        <v>1.8333333333333333</v>
      </c>
      <c r="T936" t="str">
        <f t="shared" si="72"/>
        <v>Low</v>
      </c>
      <c r="U936" t="str" cm="1">
        <f t="array" ref="U936">_xlfn.LET(_xlpm.roles,_xlfn.UNIQUE(D936:D3734),_xlpm.kills, SUMIF(D936:D3734,_xlpm.roles,G936:G3734),INDEX(_xlpm.roles,MATCH(MAX(_xlpm.kills),_xlpm.kills,0)))</f>
        <v>Entry Fragger</v>
      </c>
      <c r="V936" t="str">
        <f t="shared" si="73"/>
        <v>Medium Accuracy</v>
      </c>
      <c r="W936" t="str" cm="1">
        <f t="array" ref="W936">_xlfn.LET(_xlpm.roles,_xlfn.UNIQUE(D936:D3734), _xlpm.counts,COUNTIF(D936:D3734,_xlpm.roles), INDEX(_xlpm.roles,MATCH(MAX(_xlpm.counts),_xlpm.counts,0)))</f>
        <v>Entry Fragger</v>
      </c>
      <c r="X936" s="2">
        <f t="shared" si="74"/>
        <v>12.599585062240664</v>
      </c>
    </row>
    <row r="937" spans="1:24" x14ac:dyDescent="0.3">
      <c r="A937">
        <v>878</v>
      </c>
      <c r="B937">
        <v>163</v>
      </c>
      <c r="C937" t="s">
        <v>30</v>
      </c>
      <c r="D937" t="s">
        <v>36</v>
      </c>
      <c r="E937" t="s">
        <v>18</v>
      </c>
      <c r="F937" t="s">
        <v>37</v>
      </c>
      <c r="G937">
        <v>16</v>
      </c>
      <c r="H937">
        <v>13</v>
      </c>
      <c r="I937">
        <v>14</v>
      </c>
      <c r="J937">
        <v>46.15</v>
      </c>
      <c r="K937">
        <v>277.63</v>
      </c>
      <c r="L937">
        <v>0.54</v>
      </c>
      <c r="M937">
        <v>48.68</v>
      </c>
      <c r="N937">
        <v>0.99</v>
      </c>
      <c r="O937" t="s">
        <v>20</v>
      </c>
      <c r="P937" t="s">
        <v>21</v>
      </c>
      <c r="Q937">
        <f t="shared" si="70"/>
        <v>15</v>
      </c>
      <c r="R937" s="4">
        <f>RANK(N937,$N$2:N$2800,0)</f>
        <v>1080</v>
      </c>
      <c r="S937">
        <f t="shared" si="71"/>
        <v>1.1428571428571428</v>
      </c>
      <c r="T937" t="str">
        <f t="shared" si="72"/>
        <v>Good</v>
      </c>
      <c r="U937" t="str" cm="1">
        <f t="array" ref="U937">_xlfn.LET(_xlpm.roles,_xlfn.UNIQUE(D937:D3735),_xlpm.kills, SUMIF(D937:D3735,_xlpm.roles,G937:G3735),INDEX(_xlpm.roles,MATCH(MAX(_xlpm.kills),_xlpm.kills,0)))</f>
        <v>Entry Fragger</v>
      </c>
      <c r="V937" t="str">
        <f t="shared" si="73"/>
        <v>Medium Accuracy</v>
      </c>
      <c r="W937" t="str" cm="1">
        <f t="array" ref="W937">_xlfn.LET(_xlpm.roles,_xlfn.UNIQUE(D937:D3735), _xlpm.counts,COUNTIF(D937:D3735,_xlpm.roles), INDEX(_xlpm.roles,MATCH(MAX(_xlpm.counts),_xlpm.counts,0)))</f>
        <v>Entry Fragger</v>
      </c>
      <c r="X937" s="2">
        <f t="shared" si="74"/>
        <v>13.135802469135802</v>
      </c>
    </row>
    <row r="938" spans="1:24" x14ac:dyDescent="0.3">
      <c r="A938">
        <v>1702</v>
      </c>
      <c r="B938">
        <v>163</v>
      </c>
      <c r="C938" t="s">
        <v>30</v>
      </c>
      <c r="D938" t="s">
        <v>22</v>
      </c>
      <c r="E938" t="s">
        <v>18</v>
      </c>
      <c r="F938" t="s">
        <v>19</v>
      </c>
      <c r="G938">
        <v>13</v>
      </c>
      <c r="H938">
        <v>15</v>
      </c>
      <c r="I938">
        <v>8</v>
      </c>
      <c r="J938">
        <v>47.47</v>
      </c>
      <c r="K938">
        <v>212.96</v>
      </c>
      <c r="L938">
        <v>0.08</v>
      </c>
      <c r="M938">
        <v>55.94</v>
      </c>
      <c r="N938">
        <v>1</v>
      </c>
      <c r="O938" t="s">
        <v>20</v>
      </c>
      <c r="P938" t="s">
        <v>21</v>
      </c>
      <c r="Q938">
        <f t="shared" si="70"/>
        <v>20</v>
      </c>
      <c r="R938" s="4">
        <f>RANK(N938,$N$2:N$2800,0)</f>
        <v>1</v>
      </c>
      <c r="S938">
        <f t="shared" si="71"/>
        <v>1.625</v>
      </c>
      <c r="T938" t="str">
        <f t="shared" si="72"/>
        <v>Good</v>
      </c>
      <c r="U938" t="str" cm="1">
        <f t="array" ref="U938">_xlfn.LET(_xlpm.roles,_xlfn.UNIQUE(D938:D3736),_xlpm.kills, SUMIF(D938:D3736,_xlpm.roles,G938:G3736),INDEX(_xlpm.roles,MATCH(MAX(_xlpm.kills),_xlpm.kills,0)))</f>
        <v>Entry Fragger</v>
      </c>
      <c r="V938" t="str">
        <f t="shared" si="73"/>
        <v>Medium Accuracy</v>
      </c>
      <c r="W938" t="str" cm="1">
        <f t="array" ref="W938">_xlfn.LET(_xlpm.roles,_xlfn.UNIQUE(D938:D3736), _xlpm.counts,COUNTIF(D938:D3736,_xlpm.roles), INDEX(_xlpm.roles,MATCH(MAX(_xlpm.counts),_xlpm.counts,0)))</f>
        <v>Entry Fragger</v>
      </c>
      <c r="X938" s="2">
        <f t="shared" si="74"/>
        <v>13.135802469135802</v>
      </c>
    </row>
    <row r="939" spans="1:24" x14ac:dyDescent="0.3">
      <c r="A939">
        <v>2122</v>
      </c>
      <c r="B939">
        <v>163</v>
      </c>
      <c r="C939" t="s">
        <v>27</v>
      </c>
      <c r="D939" t="s">
        <v>28</v>
      </c>
      <c r="E939" t="s">
        <v>23</v>
      </c>
      <c r="F939" t="s">
        <v>19</v>
      </c>
      <c r="G939">
        <v>17</v>
      </c>
      <c r="H939">
        <v>5</v>
      </c>
      <c r="I939">
        <v>12</v>
      </c>
      <c r="J939">
        <v>23.67</v>
      </c>
      <c r="K939">
        <v>186.58</v>
      </c>
      <c r="L939">
        <v>0.9</v>
      </c>
      <c r="M939">
        <v>29.84</v>
      </c>
      <c r="N939">
        <v>0.92</v>
      </c>
      <c r="O939" t="s">
        <v>20</v>
      </c>
      <c r="P939" t="s">
        <v>21</v>
      </c>
      <c r="Q939">
        <f t="shared" si="70"/>
        <v>10</v>
      </c>
      <c r="R939" s="4">
        <f>RANK(N939,$N$2:N$2800,0)</f>
        <v>1585</v>
      </c>
      <c r="S939">
        <f t="shared" si="71"/>
        <v>1.4166666666666667</v>
      </c>
      <c r="T939" t="str">
        <f t="shared" si="72"/>
        <v>Low</v>
      </c>
      <c r="U939" t="str" cm="1">
        <f t="array" ref="U939">_xlfn.LET(_xlpm.roles,_xlfn.UNIQUE(D939:D3737),_xlpm.kills, SUMIF(D939:D3737,_xlpm.roles,G939:G3737),INDEX(_xlpm.roles,MATCH(MAX(_xlpm.kills),_xlpm.kills,0)))</f>
        <v>Entry Fragger</v>
      </c>
      <c r="V939" t="str">
        <f t="shared" si="73"/>
        <v>Low Accuracy</v>
      </c>
      <c r="W939" t="str" cm="1">
        <f t="array" ref="W939">_xlfn.LET(_xlpm.roles,_xlfn.UNIQUE(D939:D3737), _xlpm.counts,COUNTIF(D939:D3737,_xlpm.roles), INDEX(_xlpm.roles,MATCH(MAX(_xlpm.counts),_xlpm.counts,0)))</f>
        <v>Entry Fragger</v>
      </c>
      <c r="X939" s="2">
        <f t="shared" si="74"/>
        <v>13.057077625570777</v>
      </c>
    </row>
    <row r="940" spans="1:24" x14ac:dyDescent="0.3">
      <c r="A940">
        <v>2588</v>
      </c>
      <c r="B940">
        <v>163</v>
      </c>
      <c r="C940" t="s">
        <v>35</v>
      </c>
      <c r="D940" t="s">
        <v>17</v>
      </c>
      <c r="E940" t="s">
        <v>23</v>
      </c>
      <c r="F940" t="s">
        <v>34</v>
      </c>
      <c r="G940">
        <v>16</v>
      </c>
      <c r="H940">
        <v>10</v>
      </c>
      <c r="I940">
        <v>13</v>
      </c>
      <c r="J940">
        <v>51.07</v>
      </c>
      <c r="K940">
        <v>215.92</v>
      </c>
      <c r="L940">
        <v>0.89</v>
      </c>
      <c r="M940">
        <v>45.63</v>
      </c>
      <c r="N940">
        <v>1</v>
      </c>
      <c r="O940" t="s">
        <v>20</v>
      </c>
      <c r="P940" t="s">
        <v>21</v>
      </c>
      <c r="Q940">
        <f t="shared" si="70"/>
        <v>13</v>
      </c>
      <c r="R940" s="4">
        <f>RANK(N940,$N$2:N$2800,0)</f>
        <v>1</v>
      </c>
      <c r="S940">
        <f t="shared" si="71"/>
        <v>1.2307692307692308</v>
      </c>
      <c r="T940" t="str">
        <f t="shared" si="72"/>
        <v>Low</v>
      </c>
      <c r="U940" t="str" cm="1">
        <f t="array" ref="U940">_xlfn.LET(_xlpm.roles,_xlfn.UNIQUE(D940:D3738),_xlpm.kills, SUMIF(D940:D3738,_xlpm.roles,G940:G3738),INDEX(_xlpm.roles,MATCH(MAX(_xlpm.kills),_xlpm.kills,0)))</f>
        <v>Entry Fragger</v>
      </c>
      <c r="V940" t="str">
        <f t="shared" si="73"/>
        <v>High Accuracy</v>
      </c>
      <c r="W940" t="str" cm="1">
        <f t="array" ref="W940">_xlfn.LET(_xlpm.roles,_xlfn.UNIQUE(D940:D3738), _xlpm.counts,COUNTIF(D940:D3738,_xlpm.roles), INDEX(_xlpm.roles,MATCH(MAX(_xlpm.counts),_xlpm.counts,0)))</f>
        <v>Entry Fragger</v>
      </c>
      <c r="X940" s="2">
        <f t="shared" si="74"/>
        <v>12.599585062240664</v>
      </c>
    </row>
    <row r="941" spans="1:24" x14ac:dyDescent="0.3">
      <c r="A941">
        <v>678</v>
      </c>
      <c r="B941">
        <v>164</v>
      </c>
      <c r="C941" t="s">
        <v>27</v>
      </c>
      <c r="D941" t="s">
        <v>31</v>
      </c>
      <c r="E941" t="s">
        <v>29</v>
      </c>
      <c r="F941" t="s">
        <v>37</v>
      </c>
      <c r="G941">
        <v>19</v>
      </c>
      <c r="H941">
        <v>6</v>
      </c>
      <c r="I941">
        <v>13</v>
      </c>
      <c r="J941">
        <v>44.14</v>
      </c>
      <c r="K941">
        <v>213.56</v>
      </c>
      <c r="L941">
        <v>0.6</v>
      </c>
      <c r="M941">
        <v>47.07</v>
      </c>
      <c r="N941">
        <v>0.77</v>
      </c>
      <c r="O941" t="s">
        <v>20</v>
      </c>
      <c r="P941" t="s">
        <v>21</v>
      </c>
      <c r="Q941">
        <f t="shared" si="70"/>
        <v>12</v>
      </c>
      <c r="R941" s="4">
        <f>RANK(N941,$N$2:N$2800,0)</f>
        <v>2511</v>
      </c>
      <c r="S941">
        <f t="shared" si="71"/>
        <v>1.4615384615384615</v>
      </c>
      <c r="T941" t="str">
        <f t="shared" si="72"/>
        <v>Low</v>
      </c>
      <c r="U941" t="str" cm="1">
        <f t="array" ref="U941">_xlfn.LET(_xlpm.roles,_xlfn.UNIQUE(D941:D3739),_xlpm.kills, SUMIF(D941:D3739,_xlpm.roles,G941:G3739),INDEX(_xlpm.roles,MATCH(MAX(_xlpm.kills),_xlpm.kills,0)))</f>
        <v>Entry Fragger</v>
      </c>
      <c r="V941" t="str">
        <f t="shared" si="73"/>
        <v>Medium Accuracy</v>
      </c>
      <c r="W941" t="str" cm="1">
        <f t="array" ref="W941">_xlfn.LET(_xlpm.roles,_xlfn.UNIQUE(D941:D3739), _xlpm.counts,COUNTIF(D941:D3739,_xlpm.roles), INDEX(_xlpm.roles,MATCH(MAX(_xlpm.counts),_xlpm.counts,0)))</f>
        <v>Entry Fragger</v>
      </c>
      <c r="X941" s="2">
        <f t="shared" si="74"/>
        <v>13.057077625570777</v>
      </c>
    </row>
    <row r="942" spans="1:24" x14ac:dyDescent="0.3">
      <c r="A942">
        <v>796</v>
      </c>
      <c r="B942">
        <v>164</v>
      </c>
      <c r="C942" t="s">
        <v>30</v>
      </c>
      <c r="D942" t="s">
        <v>36</v>
      </c>
      <c r="E942" t="s">
        <v>29</v>
      </c>
      <c r="F942" t="s">
        <v>26</v>
      </c>
      <c r="G942">
        <v>15</v>
      </c>
      <c r="H942">
        <v>5</v>
      </c>
      <c r="I942">
        <v>10</v>
      </c>
      <c r="J942">
        <v>51.58</v>
      </c>
      <c r="K942">
        <v>219.33</v>
      </c>
      <c r="L942">
        <v>0.87</v>
      </c>
      <c r="M942">
        <v>42.09</v>
      </c>
      <c r="N942">
        <v>0.96</v>
      </c>
      <c r="O942" t="s">
        <v>20</v>
      </c>
      <c r="P942" t="s">
        <v>21</v>
      </c>
      <c r="Q942">
        <f t="shared" si="70"/>
        <v>10</v>
      </c>
      <c r="R942" s="4">
        <f>RANK(N942,$N$2:N$2800,0)</f>
        <v>1301</v>
      </c>
      <c r="S942">
        <f t="shared" si="71"/>
        <v>1.5</v>
      </c>
      <c r="T942" t="str">
        <f t="shared" si="72"/>
        <v>Low</v>
      </c>
      <c r="U942" t="str" cm="1">
        <f t="array" ref="U942">_xlfn.LET(_xlpm.roles,_xlfn.UNIQUE(D942:D3740),_xlpm.kills, SUMIF(D942:D3740,_xlpm.roles,G942:G3740),INDEX(_xlpm.roles,MATCH(MAX(_xlpm.kills),_xlpm.kills,0)))</f>
        <v>Entry Fragger</v>
      </c>
      <c r="V942" t="str">
        <f t="shared" si="73"/>
        <v>High Accuracy</v>
      </c>
      <c r="W942" t="str" cm="1">
        <f t="array" ref="W942">_xlfn.LET(_xlpm.roles,_xlfn.UNIQUE(D942:D3740), _xlpm.counts,COUNTIF(D942:D3740,_xlpm.roles), INDEX(_xlpm.roles,MATCH(MAX(_xlpm.counts),_xlpm.counts,0)))</f>
        <v>Entry Fragger</v>
      </c>
      <c r="X942" s="2">
        <f t="shared" si="74"/>
        <v>13.135802469135802</v>
      </c>
    </row>
    <row r="943" spans="1:24" x14ac:dyDescent="0.3">
      <c r="A943">
        <v>1419</v>
      </c>
      <c r="B943">
        <v>164</v>
      </c>
      <c r="C943" t="s">
        <v>35</v>
      </c>
      <c r="D943" t="s">
        <v>36</v>
      </c>
      <c r="E943" t="s">
        <v>18</v>
      </c>
      <c r="F943" t="s">
        <v>26</v>
      </c>
      <c r="G943">
        <v>17</v>
      </c>
      <c r="H943">
        <v>9</v>
      </c>
      <c r="I943">
        <v>15</v>
      </c>
      <c r="J943">
        <v>36.14</v>
      </c>
      <c r="K943">
        <v>220.74</v>
      </c>
      <c r="L943">
        <v>0.9</v>
      </c>
      <c r="M943">
        <v>37.07</v>
      </c>
      <c r="N943">
        <v>0.89</v>
      </c>
      <c r="O943" t="s">
        <v>20</v>
      </c>
      <c r="P943" t="s">
        <v>21</v>
      </c>
      <c r="Q943">
        <f t="shared" si="70"/>
        <v>11</v>
      </c>
      <c r="R943" s="4">
        <f>RANK(N943,$N$2:N$2800,0)</f>
        <v>1815</v>
      </c>
      <c r="S943">
        <f t="shared" si="71"/>
        <v>1.1333333333333333</v>
      </c>
      <c r="T943" t="str">
        <f t="shared" si="72"/>
        <v>Low</v>
      </c>
      <c r="U943" t="str" cm="1">
        <f t="array" ref="U943">_xlfn.LET(_xlpm.roles,_xlfn.UNIQUE(D943:D3741),_xlpm.kills, SUMIF(D943:D3741,_xlpm.roles,G943:G3741),INDEX(_xlpm.roles,MATCH(MAX(_xlpm.kills),_xlpm.kills,0)))</f>
        <v>Entry Fragger</v>
      </c>
      <c r="V943" t="str">
        <f t="shared" si="73"/>
        <v>Medium Accuracy</v>
      </c>
      <c r="W943" t="str" cm="1">
        <f t="array" ref="W943">_xlfn.LET(_xlpm.roles,_xlfn.UNIQUE(D943:D3741), _xlpm.counts,COUNTIF(D943:D3741,_xlpm.roles), INDEX(_xlpm.roles,MATCH(MAX(_xlpm.counts),_xlpm.counts,0)))</f>
        <v>Entry Fragger</v>
      </c>
      <c r="X943" s="2">
        <f t="shared" si="74"/>
        <v>12.599585062240664</v>
      </c>
    </row>
    <row r="944" spans="1:24" x14ac:dyDescent="0.3">
      <c r="A944">
        <v>1928</v>
      </c>
      <c r="B944">
        <v>164</v>
      </c>
      <c r="C944" t="s">
        <v>27</v>
      </c>
      <c r="D944" t="s">
        <v>31</v>
      </c>
      <c r="E944" t="s">
        <v>29</v>
      </c>
      <c r="F944" t="s">
        <v>34</v>
      </c>
      <c r="G944">
        <v>11</v>
      </c>
      <c r="H944">
        <v>9</v>
      </c>
      <c r="I944">
        <v>7</v>
      </c>
      <c r="J944">
        <v>49.78</v>
      </c>
      <c r="K944">
        <v>237.4</v>
      </c>
      <c r="L944">
        <v>0.1</v>
      </c>
      <c r="M944">
        <v>47.89</v>
      </c>
      <c r="N944">
        <v>0.75</v>
      </c>
      <c r="O944" t="s">
        <v>20</v>
      </c>
      <c r="P944" t="s">
        <v>21</v>
      </c>
      <c r="Q944">
        <f t="shared" si="70"/>
        <v>13</v>
      </c>
      <c r="R944" s="4">
        <f>RANK(N944,$N$2:N$2800,0)</f>
        <v>2586</v>
      </c>
      <c r="S944">
        <f t="shared" si="71"/>
        <v>1.5714285714285714</v>
      </c>
      <c r="T944" t="str">
        <f t="shared" si="72"/>
        <v>Low</v>
      </c>
      <c r="U944" t="str" cm="1">
        <f t="array" ref="U944">_xlfn.LET(_xlpm.roles,_xlfn.UNIQUE(D944:D3742),_xlpm.kills, SUMIF(D944:D3742,_xlpm.roles,G944:G3742),INDEX(_xlpm.roles,MATCH(MAX(_xlpm.kills),_xlpm.kills,0)))</f>
        <v>Entry Fragger</v>
      </c>
      <c r="V944" t="str">
        <f t="shared" si="73"/>
        <v>Medium Accuracy</v>
      </c>
      <c r="W944" t="str" cm="1">
        <f t="array" ref="W944">_xlfn.LET(_xlpm.roles,_xlfn.UNIQUE(D944:D3742), _xlpm.counts,COUNTIF(D944:D3742,_xlpm.roles), INDEX(_xlpm.roles,MATCH(MAX(_xlpm.counts),_xlpm.counts,0)))</f>
        <v>Entry Fragger</v>
      </c>
      <c r="X944" s="2">
        <f t="shared" si="74"/>
        <v>13.057077625570777</v>
      </c>
    </row>
    <row r="945" spans="1:24" x14ac:dyDescent="0.3">
      <c r="A945">
        <v>1946</v>
      </c>
      <c r="B945">
        <v>164</v>
      </c>
      <c r="C945" t="s">
        <v>39</v>
      </c>
      <c r="D945" t="s">
        <v>28</v>
      </c>
      <c r="E945" t="s">
        <v>29</v>
      </c>
      <c r="F945" t="s">
        <v>19</v>
      </c>
      <c r="G945">
        <v>12</v>
      </c>
      <c r="H945">
        <v>7</v>
      </c>
      <c r="I945">
        <v>19</v>
      </c>
      <c r="J945">
        <v>53.55</v>
      </c>
      <c r="K945">
        <v>239.7</v>
      </c>
      <c r="L945">
        <v>0.76</v>
      </c>
      <c r="M945">
        <v>31.17</v>
      </c>
      <c r="N945">
        <v>0.78</v>
      </c>
      <c r="O945" t="s">
        <v>20</v>
      </c>
      <c r="P945" t="s">
        <v>21</v>
      </c>
      <c r="Q945">
        <f t="shared" si="70"/>
        <v>0</v>
      </c>
      <c r="R945" s="4">
        <f>RANK(N945,$N$2:N$2800,0)</f>
        <v>2469</v>
      </c>
      <c r="S945">
        <f t="shared" si="71"/>
        <v>0.63157894736842102</v>
      </c>
      <c r="T945" t="str">
        <f t="shared" si="72"/>
        <v>Low</v>
      </c>
      <c r="U945" t="str" cm="1">
        <f t="array" ref="U945">_xlfn.LET(_xlpm.roles,_xlfn.UNIQUE(D945:D3743),_xlpm.kills, SUMIF(D945:D3743,_xlpm.roles,G945:G3743),INDEX(_xlpm.roles,MATCH(MAX(_xlpm.kills),_xlpm.kills,0)))</f>
        <v>Entry Fragger</v>
      </c>
      <c r="V945" t="str">
        <f t="shared" si="73"/>
        <v>High Accuracy</v>
      </c>
      <c r="W945" t="str" cm="1">
        <f t="array" ref="W945">_xlfn.LET(_xlpm.roles,_xlfn.UNIQUE(D945:D3743), _xlpm.counts,COUNTIF(D945:D3743,_xlpm.roles), INDEX(_xlpm.roles,MATCH(MAX(_xlpm.counts),_xlpm.counts,0)))</f>
        <v>Entry Fragger</v>
      </c>
      <c r="X945" s="2">
        <f t="shared" si="74"/>
        <v>13.103594080338267</v>
      </c>
    </row>
    <row r="946" spans="1:24" x14ac:dyDescent="0.3">
      <c r="A946">
        <v>2072</v>
      </c>
      <c r="B946">
        <v>164</v>
      </c>
      <c r="C946" t="s">
        <v>35</v>
      </c>
      <c r="D946" t="s">
        <v>22</v>
      </c>
      <c r="E946" t="s">
        <v>33</v>
      </c>
      <c r="F946" t="s">
        <v>37</v>
      </c>
      <c r="G946">
        <v>22</v>
      </c>
      <c r="H946">
        <v>10</v>
      </c>
      <c r="I946">
        <v>10</v>
      </c>
      <c r="J946">
        <v>45.99</v>
      </c>
      <c r="K946">
        <v>255.61</v>
      </c>
      <c r="L946">
        <v>0.46</v>
      </c>
      <c r="M946">
        <v>62.4</v>
      </c>
      <c r="N946">
        <v>1</v>
      </c>
      <c r="O946" t="s">
        <v>20</v>
      </c>
      <c r="P946" t="s">
        <v>38</v>
      </c>
      <c r="Q946">
        <f t="shared" si="70"/>
        <v>22</v>
      </c>
      <c r="R946" s="4">
        <f>RANK(N946,$N$2:N$2800,0)</f>
        <v>1</v>
      </c>
      <c r="S946">
        <f t="shared" si="71"/>
        <v>2.2000000000000002</v>
      </c>
      <c r="T946" t="str">
        <f t="shared" si="72"/>
        <v>Good</v>
      </c>
      <c r="U946" t="str" cm="1">
        <f t="array" ref="U946">_xlfn.LET(_xlpm.roles,_xlfn.UNIQUE(D946:D3744),_xlpm.kills, SUMIF(D946:D3744,_xlpm.roles,G946:G3744),INDEX(_xlpm.roles,MATCH(MAX(_xlpm.kills),_xlpm.kills,0)))</f>
        <v>Entry Fragger</v>
      </c>
      <c r="V946" t="str">
        <f t="shared" si="73"/>
        <v>Medium Accuracy</v>
      </c>
      <c r="W946" t="str" cm="1">
        <f t="array" ref="W946">_xlfn.LET(_xlpm.roles,_xlfn.UNIQUE(D946:D3744), _xlpm.counts,COUNTIF(D946:D3744,_xlpm.roles), INDEX(_xlpm.roles,MATCH(MAX(_xlpm.counts),_xlpm.counts,0)))</f>
        <v>Entry Fragger</v>
      </c>
      <c r="X946" s="2">
        <f t="shared" si="74"/>
        <v>12.599585062240664</v>
      </c>
    </row>
    <row r="947" spans="1:24" x14ac:dyDescent="0.3">
      <c r="A947">
        <v>2693</v>
      </c>
      <c r="B947">
        <v>164</v>
      </c>
      <c r="C947" t="s">
        <v>35</v>
      </c>
      <c r="D947" t="s">
        <v>17</v>
      </c>
      <c r="E947" t="s">
        <v>23</v>
      </c>
      <c r="F947" t="s">
        <v>19</v>
      </c>
      <c r="G947">
        <v>21</v>
      </c>
      <c r="H947">
        <v>5</v>
      </c>
      <c r="I947">
        <v>10</v>
      </c>
      <c r="J947">
        <v>36.51</v>
      </c>
      <c r="K947">
        <v>181.82</v>
      </c>
      <c r="L947">
        <v>0.77</v>
      </c>
      <c r="M947">
        <v>47.55</v>
      </c>
      <c r="N947">
        <v>0.97</v>
      </c>
      <c r="O947" t="s">
        <v>20</v>
      </c>
      <c r="P947" t="s">
        <v>21</v>
      </c>
      <c r="Q947">
        <f t="shared" si="70"/>
        <v>16</v>
      </c>
      <c r="R947" s="4">
        <f>RANK(N947,$N$2:N$2800,0)</f>
        <v>1243</v>
      </c>
      <c r="S947">
        <f t="shared" si="71"/>
        <v>2.1</v>
      </c>
      <c r="T947" t="str">
        <f t="shared" si="72"/>
        <v>Good</v>
      </c>
      <c r="U947" t="str" cm="1">
        <f t="array" ref="U947">_xlfn.LET(_xlpm.roles,_xlfn.UNIQUE(D947:D3745),_xlpm.kills, SUMIF(D947:D3745,_xlpm.roles,G947:G3745),INDEX(_xlpm.roles,MATCH(MAX(_xlpm.kills),_xlpm.kills,0)))</f>
        <v>Entry Fragger</v>
      </c>
      <c r="V947" t="str">
        <f t="shared" si="73"/>
        <v>Medium Accuracy</v>
      </c>
      <c r="W947" t="str" cm="1">
        <f t="array" ref="W947">_xlfn.LET(_xlpm.roles,_xlfn.UNIQUE(D947:D3745), _xlpm.counts,COUNTIF(D947:D3745,_xlpm.roles), INDEX(_xlpm.roles,MATCH(MAX(_xlpm.counts),_xlpm.counts,0)))</f>
        <v>Entry Fragger</v>
      </c>
      <c r="X947" s="2">
        <f t="shared" si="74"/>
        <v>12.599585062240664</v>
      </c>
    </row>
    <row r="948" spans="1:24" x14ac:dyDescent="0.3">
      <c r="A948">
        <v>1893</v>
      </c>
      <c r="B948">
        <v>165</v>
      </c>
      <c r="C948" t="s">
        <v>30</v>
      </c>
      <c r="D948" t="s">
        <v>28</v>
      </c>
      <c r="E948" t="s">
        <v>33</v>
      </c>
      <c r="F948" t="s">
        <v>24</v>
      </c>
      <c r="G948">
        <v>23</v>
      </c>
      <c r="H948">
        <v>5</v>
      </c>
      <c r="I948">
        <v>12</v>
      </c>
      <c r="J948">
        <v>48.99</v>
      </c>
      <c r="K948">
        <v>236.39</v>
      </c>
      <c r="L948">
        <v>0.97</v>
      </c>
      <c r="M948">
        <v>53.8</v>
      </c>
      <c r="N948">
        <v>0.94</v>
      </c>
      <c r="O948" t="s">
        <v>20</v>
      </c>
      <c r="P948" t="s">
        <v>21</v>
      </c>
      <c r="Q948">
        <f t="shared" si="70"/>
        <v>16</v>
      </c>
      <c r="R948" s="4">
        <f>RANK(N948,$N$2:N$2800,0)</f>
        <v>1431</v>
      </c>
      <c r="S948">
        <f t="shared" si="71"/>
        <v>1.9166666666666667</v>
      </c>
      <c r="T948" t="str">
        <f t="shared" si="72"/>
        <v>Good</v>
      </c>
      <c r="U948" t="str" cm="1">
        <f t="array" ref="U948">_xlfn.LET(_xlpm.roles,_xlfn.UNIQUE(D948:D3746),_xlpm.kills, SUMIF(D948:D3746,_xlpm.roles,G948:G3746),INDEX(_xlpm.roles,MATCH(MAX(_xlpm.kills),_xlpm.kills,0)))</f>
        <v>Entry Fragger</v>
      </c>
      <c r="V948" t="str">
        <f t="shared" si="73"/>
        <v>Medium Accuracy</v>
      </c>
      <c r="W948" t="str" cm="1">
        <f t="array" ref="W948">_xlfn.LET(_xlpm.roles,_xlfn.UNIQUE(D948:D3746), _xlpm.counts,COUNTIF(D948:D3746,_xlpm.roles), INDEX(_xlpm.roles,MATCH(MAX(_xlpm.counts),_xlpm.counts,0)))</f>
        <v>Entry Fragger</v>
      </c>
      <c r="X948" s="2">
        <f t="shared" si="74"/>
        <v>13.135802469135802</v>
      </c>
    </row>
    <row r="949" spans="1:24" x14ac:dyDescent="0.3">
      <c r="A949">
        <v>2533</v>
      </c>
      <c r="B949">
        <v>165</v>
      </c>
      <c r="C949" t="s">
        <v>35</v>
      </c>
      <c r="D949" t="s">
        <v>22</v>
      </c>
      <c r="E949" t="s">
        <v>29</v>
      </c>
      <c r="F949" t="s">
        <v>37</v>
      </c>
      <c r="G949">
        <v>19</v>
      </c>
      <c r="H949">
        <v>6</v>
      </c>
      <c r="I949">
        <v>13</v>
      </c>
      <c r="J949">
        <v>56.91</v>
      </c>
      <c r="K949">
        <v>265.81</v>
      </c>
      <c r="L949">
        <v>0</v>
      </c>
      <c r="M949">
        <v>59.45</v>
      </c>
      <c r="N949">
        <v>1</v>
      </c>
      <c r="O949" t="s">
        <v>20</v>
      </c>
      <c r="P949" t="s">
        <v>21</v>
      </c>
      <c r="Q949">
        <f t="shared" si="70"/>
        <v>12</v>
      </c>
      <c r="R949" s="4">
        <f>RANK(N949,$N$2:N$2800,0)</f>
        <v>1</v>
      </c>
      <c r="S949">
        <f t="shared" si="71"/>
        <v>1.4615384615384615</v>
      </c>
      <c r="T949" t="str">
        <f t="shared" si="72"/>
        <v>Low</v>
      </c>
      <c r="U949" t="str" cm="1">
        <f t="array" ref="U949">_xlfn.LET(_xlpm.roles,_xlfn.UNIQUE(D949:D3747),_xlpm.kills, SUMIF(D949:D3747,_xlpm.roles,G949:G3747),INDEX(_xlpm.roles,MATCH(MAX(_xlpm.kills),_xlpm.kills,0)))</f>
        <v>Entry Fragger</v>
      </c>
      <c r="V949" t="str">
        <f t="shared" si="73"/>
        <v>High Accuracy</v>
      </c>
      <c r="W949" t="str" cm="1">
        <f t="array" ref="W949">_xlfn.LET(_xlpm.roles,_xlfn.UNIQUE(D949:D3747), _xlpm.counts,COUNTIF(D949:D3747,_xlpm.roles), INDEX(_xlpm.roles,MATCH(MAX(_xlpm.counts),_xlpm.counts,0)))</f>
        <v>Entry Fragger</v>
      </c>
      <c r="X949" s="2">
        <f t="shared" si="74"/>
        <v>12.599585062240664</v>
      </c>
    </row>
    <row r="950" spans="1:24" x14ac:dyDescent="0.3">
      <c r="A950">
        <v>2666</v>
      </c>
      <c r="B950">
        <v>165</v>
      </c>
      <c r="C950" t="s">
        <v>25</v>
      </c>
      <c r="D950" t="s">
        <v>22</v>
      </c>
      <c r="E950" t="s">
        <v>32</v>
      </c>
      <c r="F950" t="s">
        <v>34</v>
      </c>
      <c r="G950">
        <v>20</v>
      </c>
      <c r="H950">
        <v>11</v>
      </c>
      <c r="I950">
        <v>11</v>
      </c>
      <c r="J950">
        <v>49.02</v>
      </c>
      <c r="K950">
        <v>237.84</v>
      </c>
      <c r="L950">
        <v>0.81</v>
      </c>
      <c r="M950">
        <v>56.41</v>
      </c>
      <c r="N950">
        <v>0.89</v>
      </c>
      <c r="O950" t="s">
        <v>20</v>
      </c>
      <c r="P950" t="s">
        <v>21</v>
      </c>
      <c r="Q950">
        <f t="shared" si="70"/>
        <v>20</v>
      </c>
      <c r="R950" s="4">
        <f>RANK(N950,$N$2:N$2800,0)</f>
        <v>1815</v>
      </c>
      <c r="S950">
        <f t="shared" si="71"/>
        <v>1.8181818181818181</v>
      </c>
      <c r="T950" t="str">
        <f t="shared" si="72"/>
        <v>Good</v>
      </c>
      <c r="U950" t="str" cm="1">
        <f t="array" ref="U950">_xlfn.LET(_xlpm.roles,_xlfn.UNIQUE(D950:D3748),_xlpm.kills, SUMIF(D950:D3748,_xlpm.roles,G950:G3748),INDEX(_xlpm.roles,MATCH(MAX(_xlpm.kills),_xlpm.kills,0)))</f>
        <v>Entry Fragger</v>
      </c>
      <c r="V950" t="str">
        <f t="shared" si="73"/>
        <v>Medium Accuracy</v>
      </c>
      <c r="W950" t="str" cm="1">
        <f t="array" ref="W950">_xlfn.LET(_xlpm.roles,_xlfn.UNIQUE(D950:D3748), _xlpm.counts,COUNTIF(D950:D3748,_xlpm.roles), INDEX(_xlpm.roles,MATCH(MAX(_xlpm.counts),_xlpm.counts,0)))</f>
        <v>Entry Fragger</v>
      </c>
      <c r="X950" s="2">
        <f t="shared" si="74"/>
        <v>12.809421841541756</v>
      </c>
    </row>
    <row r="951" spans="1:24" x14ac:dyDescent="0.3">
      <c r="A951">
        <v>679</v>
      </c>
      <c r="B951">
        <v>166</v>
      </c>
      <c r="C951" t="s">
        <v>39</v>
      </c>
      <c r="D951" t="s">
        <v>28</v>
      </c>
      <c r="E951" t="s">
        <v>18</v>
      </c>
      <c r="F951" t="s">
        <v>26</v>
      </c>
      <c r="G951">
        <v>12</v>
      </c>
      <c r="H951">
        <v>2</v>
      </c>
      <c r="I951">
        <v>18</v>
      </c>
      <c r="J951">
        <v>35.58</v>
      </c>
      <c r="K951">
        <v>221.27</v>
      </c>
      <c r="L951">
        <v>0.55000000000000004</v>
      </c>
      <c r="M951">
        <v>20.29</v>
      </c>
      <c r="N951">
        <v>0.74</v>
      </c>
      <c r="O951" t="s">
        <v>20</v>
      </c>
      <c r="P951" t="s">
        <v>21</v>
      </c>
      <c r="Q951">
        <f t="shared" si="70"/>
        <v>-4</v>
      </c>
      <c r="R951" s="4">
        <f>RANK(N951,$N$2:N$2800,0)</f>
        <v>2613</v>
      </c>
      <c r="S951">
        <f t="shared" si="71"/>
        <v>0.66666666666666663</v>
      </c>
      <c r="T951" t="str">
        <f t="shared" si="72"/>
        <v>Low</v>
      </c>
      <c r="U951" t="str" cm="1">
        <f t="array" ref="U951">_xlfn.LET(_xlpm.roles,_xlfn.UNIQUE(D951:D3749),_xlpm.kills, SUMIF(D951:D3749,_xlpm.roles,G951:G3749),INDEX(_xlpm.roles,MATCH(MAX(_xlpm.kills),_xlpm.kills,0)))</f>
        <v>Entry Fragger</v>
      </c>
      <c r="V951" t="str">
        <f t="shared" si="73"/>
        <v>Medium Accuracy</v>
      </c>
      <c r="W951" t="str" cm="1">
        <f t="array" ref="W951">_xlfn.LET(_xlpm.roles,_xlfn.UNIQUE(D951:D3749), _xlpm.counts,COUNTIF(D951:D3749,_xlpm.roles), INDEX(_xlpm.roles,MATCH(MAX(_xlpm.counts),_xlpm.counts,0)))</f>
        <v>Entry Fragger</v>
      </c>
      <c r="X951" s="2">
        <f t="shared" si="74"/>
        <v>13.103594080338267</v>
      </c>
    </row>
    <row r="952" spans="1:24" x14ac:dyDescent="0.3">
      <c r="A952">
        <v>1121</v>
      </c>
      <c r="B952">
        <v>166</v>
      </c>
      <c r="C952" t="s">
        <v>27</v>
      </c>
      <c r="D952" t="s">
        <v>36</v>
      </c>
      <c r="E952" t="s">
        <v>33</v>
      </c>
      <c r="F952" t="s">
        <v>26</v>
      </c>
      <c r="G952">
        <v>17</v>
      </c>
      <c r="H952">
        <v>10</v>
      </c>
      <c r="I952">
        <v>9</v>
      </c>
      <c r="J952">
        <v>36.229999999999997</v>
      </c>
      <c r="K952">
        <v>183.32</v>
      </c>
      <c r="L952">
        <v>0.19</v>
      </c>
      <c r="M952">
        <v>51.21</v>
      </c>
      <c r="N952">
        <v>0.95</v>
      </c>
      <c r="O952" t="s">
        <v>20</v>
      </c>
      <c r="P952" t="s">
        <v>21</v>
      </c>
      <c r="Q952">
        <f t="shared" si="70"/>
        <v>18</v>
      </c>
      <c r="R952" s="4">
        <f>RANK(N952,$N$2:N$2800,0)</f>
        <v>1367</v>
      </c>
      <c r="S952">
        <f t="shared" si="71"/>
        <v>1.8888888888888888</v>
      </c>
      <c r="T952" t="str">
        <f t="shared" si="72"/>
        <v>Good</v>
      </c>
      <c r="U952" t="str" cm="1">
        <f t="array" ref="U952">_xlfn.LET(_xlpm.roles,_xlfn.UNIQUE(D952:D3750),_xlpm.kills, SUMIF(D952:D3750,_xlpm.roles,G952:G3750),INDEX(_xlpm.roles,MATCH(MAX(_xlpm.kills),_xlpm.kills,0)))</f>
        <v>Entry Fragger</v>
      </c>
      <c r="V952" t="str">
        <f t="shared" si="73"/>
        <v>Medium Accuracy</v>
      </c>
      <c r="W952" t="str" cm="1">
        <f t="array" ref="W952">_xlfn.LET(_xlpm.roles,_xlfn.UNIQUE(D952:D3750), _xlpm.counts,COUNTIF(D952:D3750,_xlpm.roles), INDEX(_xlpm.roles,MATCH(MAX(_xlpm.counts),_xlpm.counts,0)))</f>
        <v>Entry Fragger</v>
      </c>
      <c r="X952" s="2">
        <f t="shared" si="74"/>
        <v>13.057077625570777</v>
      </c>
    </row>
    <row r="953" spans="1:24" x14ac:dyDescent="0.3">
      <c r="A953">
        <v>1500</v>
      </c>
      <c r="B953">
        <v>166</v>
      </c>
      <c r="C953" t="s">
        <v>35</v>
      </c>
      <c r="D953" t="s">
        <v>31</v>
      </c>
      <c r="E953" t="s">
        <v>29</v>
      </c>
      <c r="F953" t="s">
        <v>19</v>
      </c>
      <c r="G953">
        <v>11</v>
      </c>
      <c r="H953">
        <v>7</v>
      </c>
      <c r="I953">
        <v>7</v>
      </c>
      <c r="J953">
        <v>42.62</v>
      </c>
      <c r="K953">
        <v>224.3</v>
      </c>
      <c r="L953">
        <v>0.67</v>
      </c>
      <c r="M953">
        <v>36.61</v>
      </c>
      <c r="N953">
        <v>0.68</v>
      </c>
      <c r="O953" t="s">
        <v>20</v>
      </c>
      <c r="P953" t="s">
        <v>21</v>
      </c>
      <c r="Q953">
        <f t="shared" si="70"/>
        <v>11</v>
      </c>
      <c r="R953" s="4">
        <f>RANK(N953,$N$2:N$2800,0)</f>
        <v>2719</v>
      </c>
      <c r="S953">
        <f t="shared" si="71"/>
        <v>1.5714285714285714</v>
      </c>
      <c r="T953" t="str">
        <f t="shared" si="72"/>
        <v>Low</v>
      </c>
      <c r="U953" t="str" cm="1">
        <f t="array" ref="U953">_xlfn.LET(_xlpm.roles,_xlfn.UNIQUE(D953:D3751),_xlpm.kills, SUMIF(D953:D3751,_xlpm.roles,G953:G3751),INDEX(_xlpm.roles,MATCH(MAX(_xlpm.kills),_xlpm.kills,0)))</f>
        <v>Entry Fragger</v>
      </c>
      <c r="V953" t="str">
        <f t="shared" si="73"/>
        <v>Medium Accuracy</v>
      </c>
      <c r="W953" t="str" cm="1">
        <f t="array" ref="W953">_xlfn.LET(_xlpm.roles,_xlfn.UNIQUE(D953:D3751), _xlpm.counts,COUNTIF(D953:D3751,_xlpm.roles), INDEX(_xlpm.roles,MATCH(MAX(_xlpm.counts),_xlpm.counts,0)))</f>
        <v>Entry Fragger</v>
      </c>
      <c r="X953" s="2">
        <f t="shared" si="74"/>
        <v>12.599585062240664</v>
      </c>
    </row>
    <row r="954" spans="1:24" x14ac:dyDescent="0.3">
      <c r="A954">
        <v>2397</v>
      </c>
      <c r="B954">
        <v>166</v>
      </c>
      <c r="C954" t="s">
        <v>30</v>
      </c>
      <c r="D954" t="s">
        <v>28</v>
      </c>
      <c r="E954" t="s">
        <v>23</v>
      </c>
      <c r="F954" t="s">
        <v>37</v>
      </c>
      <c r="G954">
        <v>17</v>
      </c>
      <c r="H954">
        <v>5</v>
      </c>
      <c r="I954">
        <v>13</v>
      </c>
      <c r="J954">
        <v>52.02</v>
      </c>
      <c r="K954">
        <v>198.71</v>
      </c>
      <c r="L954">
        <v>0.05</v>
      </c>
      <c r="M954">
        <v>51.51</v>
      </c>
      <c r="N954">
        <v>1</v>
      </c>
      <c r="O954" t="s">
        <v>20</v>
      </c>
      <c r="P954" t="s">
        <v>21</v>
      </c>
      <c r="Q954">
        <f t="shared" si="70"/>
        <v>9</v>
      </c>
      <c r="R954" s="4">
        <f>RANK(N954,$N$2:N$2800,0)</f>
        <v>1</v>
      </c>
      <c r="S954">
        <f t="shared" si="71"/>
        <v>1.3076923076923077</v>
      </c>
      <c r="T954" t="str">
        <f t="shared" si="72"/>
        <v>Low</v>
      </c>
      <c r="U954" t="str" cm="1">
        <f t="array" ref="U954">_xlfn.LET(_xlpm.roles,_xlfn.UNIQUE(D954:D3752),_xlpm.kills, SUMIF(D954:D3752,_xlpm.roles,G954:G3752),INDEX(_xlpm.roles,MATCH(MAX(_xlpm.kills),_xlpm.kills,0)))</f>
        <v>Entry Fragger</v>
      </c>
      <c r="V954" t="str">
        <f t="shared" si="73"/>
        <v>High Accuracy</v>
      </c>
      <c r="W954" t="str" cm="1">
        <f t="array" ref="W954">_xlfn.LET(_xlpm.roles,_xlfn.UNIQUE(D954:D3752), _xlpm.counts,COUNTIF(D954:D3752,_xlpm.roles), INDEX(_xlpm.roles,MATCH(MAX(_xlpm.counts),_xlpm.counts,0)))</f>
        <v>Entry Fragger</v>
      </c>
      <c r="X954" s="2">
        <f t="shared" si="74"/>
        <v>13.135802469135802</v>
      </c>
    </row>
    <row r="955" spans="1:24" x14ac:dyDescent="0.3">
      <c r="A955">
        <v>995</v>
      </c>
      <c r="B955">
        <v>167</v>
      </c>
      <c r="C955" t="s">
        <v>30</v>
      </c>
      <c r="D955" t="s">
        <v>31</v>
      </c>
      <c r="E955" t="s">
        <v>32</v>
      </c>
      <c r="F955" t="s">
        <v>34</v>
      </c>
      <c r="G955">
        <v>16</v>
      </c>
      <c r="H955">
        <v>6</v>
      </c>
      <c r="I955">
        <v>12</v>
      </c>
      <c r="J955">
        <v>40.99</v>
      </c>
      <c r="K955">
        <v>212.67</v>
      </c>
      <c r="L955">
        <v>0.01</v>
      </c>
      <c r="M955">
        <v>46.4</v>
      </c>
      <c r="N955">
        <v>1</v>
      </c>
      <c r="O955" t="s">
        <v>20</v>
      </c>
      <c r="P955" t="s">
        <v>21</v>
      </c>
      <c r="Q955">
        <f t="shared" si="70"/>
        <v>10</v>
      </c>
      <c r="R955" s="4">
        <f>RANK(N955,$N$2:N$2800,0)</f>
        <v>1</v>
      </c>
      <c r="S955">
        <f t="shared" si="71"/>
        <v>1.3333333333333333</v>
      </c>
      <c r="T955" t="str">
        <f t="shared" si="72"/>
        <v>Low</v>
      </c>
      <c r="U955" t="str" cm="1">
        <f t="array" ref="U955">_xlfn.LET(_xlpm.roles,_xlfn.UNIQUE(D955:D3753),_xlpm.kills, SUMIF(D955:D3753,_xlpm.roles,G955:G3753),INDEX(_xlpm.roles,MATCH(MAX(_xlpm.kills),_xlpm.kills,0)))</f>
        <v>Entry Fragger</v>
      </c>
      <c r="V955" t="str">
        <f t="shared" si="73"/>
        <v>Medium Accuracy</v>
      </c>
      <c r="W955" t="str" cm="1">
        <f t="array" ref="W955">_xlfn.LET(_xlpm.roles,_xlfn.UNIQUE(D955:D3753), _xlpm.counts,COUNTIF(D955:D3753,_xlpm.roles), INDEX(_xlpm.roles,MATCH(MAX(_xlpm.counts),_xlpm.counts,0)))</f>
        <v>Entry Fragger</v>
      </c>
      <c r="X955" s="2">
        <f t="shared" si="74"/>
        <v>13.135802469135802</v>
      </c>
    </row>
    <row r="956" spans="1:24" x14ac:dyDescent="0.3">
      <c r="A956">
        <v>1029</v>
      </c>
      <c r="B956">
        <v>167</v>
      </c>
      <c r="C956" t="s">
        <v>27</v>
      </c>
      <c r="D956" t="s">
        <v>22</v>
      </c>
      <c r="E956" t="s">
        <v>18</v>
      </c>
      <c r="F956" t="s">
        <v>19</v>
      </c>
      <c r="G956">
        <v>15</v>
      </c>
      <c r="H956">
        <v>7</v>
      </c>
      <c r="I956">
        <v>9</v>
      </c>
      <c r="J956">
        <v>52.11</v>
      </c>
      <c r="K956">
        <v>246.28</v>
      </c>
      <c r="L956">
        <v>0.61</v>
      </c>
      <c r="M956">
        <v>47.95</v>
      </c>
      <c r="N956">
        <v>1</v>
      </c>
      <c r="O956" t="s">
        <v>20</v>
      </c>
      <c r="P956" t="s">
        <v>21</v>
      </c>
      <c r="Q956">
        <f t="shared" si="70"/>
        <v>13</v>
      </c>
      <c r="R956" s="4">
        <f>RANK(N956,$N$2:N$2800,0)</f>
        <v>1</v>
      </c>
      <c r="S956">
        <f t="shared" si="71"/>
        <v>1.6666666666666667</v>
      </c>
      <c r="T956" t="str">
        <f t="shared" si="72"/>
        <v>Low</v>
      </c>
      <c r="U956" t="str" cm="1">
        <f t="array" ref="U956">_xlfn.LET(_xlpm.roles,_xlfn.UNIQUE(D956:D3754),_xlpm.kills, SUMIF(D956:D3754,_xlpm.roles,G956:G3754),INDEX(_xlpm.roles,MATCH(MAX(_xlpm.kills),_xlpm.kills,0)))</f>
        <v>Entry Fragger</v>
      </c>
      <c r="V956" t="str">
        <f t="shared" si="73"/>
        <v>High Accuracy</v>
      </c>
      <c r="W956" t="str" cm="1">
        <f t="array" ref="W956">_xlfn.LET(_xlpm.roles,_xlfn.UNIQUE(D956:D3754), _xlpm.counts,COUNTIF(D956:D3754,_xlpm.roles), INDEX(_xlpm.roles,MATCH(MAX(_xlpm.counts),_xlpm.counts,0)))</f>
        <v>Entry Fragger</v>
      </c>
      <c r="X956" s="2">
        <f t="shared" si="74"/>
        <v>13.057077625570777</v>
      </c>
    </row>
    <row r="957" spans="1:24" x14ac:dyDescent="0.3">
      <c r="A957">
        <v>1348</v>
      </c>
      <c r="B957">
        <v>167</v>
      </c>
      <c r="C957" t="s">
        <v>16</v>
      </c>
      <c r="D957" t="s">
        <v>28</v>
      </c>
      <c r="E957" t="s">
        <v>18</v>
      </c>
      <c r="F957" t="s">
        <v>37</v>
      </c>
      <c r="G957">
        <v>18</v>
      </c>
      <c r="H957">
        <v>4</v>
      </c>
      <c r="I957">
        <v>10</v>
      </c>
      <c r="J957">
        <v>51.14</v>
      </c>
      <c r="K957">
        <v>216.86</v>
      </c>
      <c r="L957">
        <v>0.73</v>
      </c>
      <c r="M957">
        <v>48.27</v>
      </c>
      <c r="N957">
        <v>0.88</v>
      </c>
      <c r="O957" t="s">
        <v>20</v>
      </c>
      <c r="P957" t="s">
        <v>21</v>
      </c>
      <c r="Q957">
        <f t="shared" si="70"/>
        <v>12</v>
      </c>
      <c r="R957" s="4">
        <f>RANK(N957,$N$2:N$2800,0)</f>
        <v>1894</v>
      </c>
      <c r="S957">
        <f t="shared" si="71"/>
        <v>1.8</v>
      </c>
      <c r="T957" t="str">
        <f t="shared" si="72"/>
        <v>Low</v>
      </c>
      <c r="U957" t="str" cm="1">
        <f t="array" ref="U957">_xlfn.LET(_xlpm.roles,_xlfn.UNIQUE(D957:D3755),_xlpm.kills, SUMIF(D957:D3755,_xlpm.roles,G957:G3755),INDEX(_xlpm.roles,MATCH(MAX(_xlpm.kills),_xlpm.kills,0)))</f>
        <v>Entry Fragger</v>
      </c>
      <c r="V957" t="str">
        <f t="shared" si="73"/>
        <v>High Accuracy</v>
      </c>
      <c r="W957" t="str" cm="1">
        <f t="array" ref="W957">_xlfn.LET(_xlpm.roles,_xlfn.UNIQUE(D957:D3755), _xlpm.counts,COUNTIF(D957:D3755,_xlpm.roles), INDEX(_xlpm.roles,MATCH(MAX(_xlpm.counts),_xlpm.counts,0)))</f>
        <v>Entry Fragger</v>
      </c>
      <c r="X957" s="2">
        <f t="shared" si="74"/>
        <v>12.520971302428256</v>
      </c>
    </row>
    <row r="958" spans="1:24" x14ac:dyDescent="0.3">
      <c r="A958">
        <v>2373</v>
      </c>
      <c r="B958">
        <v>167</v>
      </c>
      <c r="C958" t="s">
        <v>35</v>
      </c>
      <c r="D958" t="s">
        <v>17</v>
      </c>
      <c r="E958" t="s">
        <v>18</v>
      </c>
      <c r="F958" t="s">
        <v>24</v>
      </c>
      <c r="G958">
        <v>10</v>
      </c>
      <c r="H958">
        <v>13</v>
      </c>
      <c r="I958">
        <v>8</v>
      </c>
      <c r="J958">
        <v>22.61</v>
      </c>
      <c r="K958">
        <v>236.13</v>
      </c>
      <c r="L958">
        <v>0.31</v>
      </c>
      <c r="M958">
        <v>33.200000000000003</v>
      </c>
      <c r="N958">
        <v>0.87</v>
      </c>
      <c r="O958" t="s">
        <v>20</v>
      </c>
      <c r="P958" t="s">
        <v>21</v>
      </c>
      <c r="Q958">
        <f t="shared" si="70"/>
        <v>15</v>
      </c>
      <c r="R958" s="4">
        <f>RANK(N958,$N$2:N$2800,0)</f>
        <v>1965</v>
      </c>
      <c r="S958">
        <f t="shared" si="71"/>
        <v>1.25</v>
      </c>
      <c r="T958" t="str">
        <f t="shared" si="72"/>
        <v>Good</v>
      </c>
      <c r="U958" t="str" cm="1">
        <f t="array" ref="U958">_xlfn.LET(_xlpm.roles,_xlfn.UNIQUE(D958:D3756),_xlpm.kills, SUMIF(D958:D3756,_xlpm.roles,G958:G3756),INDEX(_xlpm.roles,MATCH(MAX(_xlpm.kills),_xlpm.kills,0)))</f>
        <v>Entry Fragger</v>
      </c>
      <c r="V958" t="str">
        <f t="shared" si="73"/>
        <v>Low Accuracy</v>
      </c>
      <c r="W958" t="str" cm="1">
        <f t="array" ref="W958">_xlfn.LET(_xlpm.roles,_xlfn.UNIQUE(D958:D3756), _xlpm.counts,COUNTIF(D958:D3756,_xlpm.roles), INDEX(_xlpm.roles,MATCH(MAX(_xlpm.counts),_xlpm.counts,0)))</f>
        <v>Entry Fragger</v>
      </c>
      <c r="X958" s="2">
        <f t="shared" si="74"/>
        <v>12.599585062240664</v>
      </c>
    </row>
    <row r="959" spans="1:24" x14ac:dyDescent="0.3">
      <c r="A959">
        <v>2550</v>
      </c>
      <c r="B959">
        <v>167</v>
      </c>
      <c r="C959" t="s">
        <v>16</v>
      </c>
      <c r="D959" t="s">
        <v>22</v>
      </c>
      <c r="E959" t="s">
        <v>29</v>
      </c>
      <c r="F959" t="s">
        <v>26</v>
      </c>
      <c r="G959">
        <v>25</v>
      </c>
      <c r="H959">
        <v>4</v>
      </c>
      <c r="I959">
        <v>12</v>
      </c>
      <c r="J959">
        <v>47.32</v>
      </c>
      <c r="K959">
        <v>228.29</v>
      </c>
      <c r="L959">
        <v>0.66</v>
      </c>
      <c r="M959">
        <v>59.06</v>
      </c>
      <c r="N959">
        <v>1</v>
      </c>
      <c r="O959" t="s">
        <v>20</v>
      </c>
      <c r="P959" t="s">
        <v>21</v>
      </c>
      <c r="Q959">
        <f t="shared" si="70"/>
        <v>17</v>
      </c>
      <c r="R959" s="4">
        <f>RANK(N959,$N$2:N$2800,0)</f>
        <v>1</v>
      </c>
      <c r="S959">
        <f t="shared" si="71"/>
        <v>2.0833333333333335</v>
      </c>
      <c r="T959" t="str">
        <f t="shared" si="72"/>
        <v>Good</v>
      </c>
      <c r="U959" t="str" cm="1">
        <f t="array" ref="U959">_xlfn.LET(_xlpm.roles,_xlfn.UNIQUE(D959:D3757),_xlpm.kills, SUMIF(D959:D3757,_xlpm.roles,G959:G3757),INDEX(_xlpm.roles,MATCH(MAX(_xlpm.kills),_xlpm.kills,0)))</f>
        <v>Entry Fragger</v>
      </c>
      <c r="V959" t="str">
        <f t="shared" si="73"/>
        <v>Medium Accuracy</v>
      </c>
      <c r="W959" t="str" cm="1">
        <f t="array" ref="W959">_xlfn.LET(_xlpm.roles,_xlfn.UNIQUE(D959:D3757), _xlpm.counts,COUNTIF(D959:D3757,_xlpm.roles), INDEX(_xlpm.roles,MATCH(MAX(_xlpm.counts),_xlpm.counts,0)))</f>
        <v>Entry Fragger</v>
      </c>
      <c r="X959" s="2">
        <f t="shared" si="74"/>
        <v>12.520971302428256</v>
      </c>
    </row>
    <row r="960" spans="1:24" x14ac:dyDescent="0.3">
      <c r="A960">
        <v>2635</v>
      </c>
      <c r="B960">
        <v>167</v>
      </c>
      <c r="C960" t="s">
        <v>25</v>
      </c>
      <c r="D960" t="s">
        <v>31</v>
      </c>
      <c r="E960" t="s">
        <v>29</v>
      </c>
      <c r="F960" t="s">
        <v>26</v>
      </c>
      <c r="G960">
        <v>16</v>
      </c>
      <c r="H960">
        <v>7</v>
      </c>
      <c r="I960">
        <v>3</v>
      </c>
      <c r="J960">
        <v>39.14</v>
      </c>
      <c r="K960">
        <v>252.42</v>
      </c>
      <c r="L960">
        <v>0.53</v>
      </c>
      <c r="M960">
        <v>50.27</v>
      </c>
      <c r="N960">
        <v>1</v>
      </c>
      <c r="O960" t="s">
        <v>20</v>
      </c>
      <c r="P960" t="s">
        <v>21</v>
      </c>
      <c r="Q960">
        <f t="shared" si="70"/>
        <v>20</v>
      </c>
      <c r="R960" s="4">
        <f>RANK(N960,$N$2:N$2800,0)</f>
        <v>1</v>
      </c>
      <c r="S960">
        <f t="shared" si="71"/>
        <v>5.333333333333333</v>
      </c>
      <c r="T960" t="str">
        <f t="shared" si="72"/>
        <v>Good</v>
      </c>
      <c r="U960" t="str" cm="1">
        <f t="array" ref="U960">_xlfn.LET(_xlpm.roles,_xlfn.UNIQUE(D960:D3758),_xlpm.kills, SUMIF(D960:D3758,_xlpm.roles,G960:G3758),INDEX(_xlpm.roles,MATCH(MAX(_xlpm.kills),_xlpm.kills,0)))</f>
        <v>Entry Fragger</v>
      </c>
      <c r="V960" t="str">
        <f t="shared" si="73"/>
        <v>Medium Accuracy</v>
      </c>
      <c r="W960" t="str" cm="1">
        <f t="array" ref="W960">_xlfn.LET(_xlpm.roles,_xlfn.UNIQUE(D960:D3758), _xlpm.counts,COUNTIF(D960:D3758,_xlpm.roles), INDEX(_xlpm.roles,MATCH(MAX(_xlpm.counts),_xlpm.counts,0)))</f>
        <v>Entry Fragger</v>
      </c>
      <c r="X960" s="2">
        <f t="shared" si="74"/>
        <v>12.809421841541756</v>
      </c>
    </row>
    <row r="961" spans="1:24" x14ac:dyDescent="0.3">
      <c r="A961">
        <v>172</v>
      </c>
      <c r="B961">
        <v>168</v>
      </c>
      <c r="C961" t="s">
        <v>16</v>
      </c>
      <c r="D961" t="s">
        <v>31</v>
      </c>
      <c r="E961" t="s">
        <v>33</v>
      </c>
      <c r="F961" t="s">
        <v>37</v>
      </c>
      <c r="G961">
        <v>16</v>
      </c>
      <c r="H961">
        <v>10</v>
      </c>
      <c r="I961">
        <v>11</v>
      </c>
      <c r="J961">
        <v>48.56</v>
      </c>
      <c r="K961">
        <v>193.14</v>
      </c>
      <c r="L961">
        <v>0.69</v>
      </c>
      <c r="M961">
        <v>48.38</v>
      </c>
      <c r="N961">
        <v>0.94</v>
      </c>
      <c r="O961" t="s">
        <v>20</v>
      </c>
      <c r="P961" t="s">
        <v>21</v>
      </c>
      <c r="Q961">
        <f t="shared" si="70"/>
        <v>15</v>
      </c>
      <c r="R961" s="4">
        <f>RANK(N961,$N$2:N$2800,0)</f>
        <v>1431</v>
      </c>
      <c r="S961">
        <f t="shared" si="71"/>
        <v>1.4545454545454546</v>
      </c>
      <c r="T961" t="str">
        <f t="shared" si="72"/>
        <v>Good</v>
      </c>
      <c r="U961" t="str" cm="1">
        <f t="array" ref="U961">_xlfn.LET(_xlpm.roles,_xlfn.UNIQUE(D961:D3759),_xlpm.kills, SUMIF(D961:D3759,_xlpm.roles,G961:G3759),INDEX(_xlpm.roles,MATCH(MAX(_xlpm.kills),_xlpm.kills,0)))</f>
        <v>Entry Fragger</v>
      </c>
      <c r="V961" t="str">
        <f t="shared" si="73"/>
        <v>Medium Accuracy</v>
      </c>
      <c r="W961" t="str" cm="1">
        <f t="array" ref="W961">_xlfn.LET(_xlpm.roles,_xlfn.UNIQUE(D961:D3759), _xlpm.counts,COUNTIF(D961:D3759,_xlpm.roles), INDEX(_xlpm.roles,MATCH(MAX(_xlpm.counts),_xlpm.counts,0)))</f>
        <v>Entry Fragger</v>
      </c>
      <c r="X961" s="2">
        <f t="shared" si="74"/>
        <v>12.520971302428256</v>
      </c>
    </row>
    <row r="962" spans="1:24" x14ac:dyDescent="0.3">
      <c r="A962">
        <v>1463</v>
      </c>
      <c r="B962">
        <v>168</v>
      </c>
      <c r="C962" t="s">
        <v>27</v>
      </c>
      <c r="D962" t="s">
        <v>36</v>
      </c>
      <c r="E962" t="s">
        <v>29</v>
      </c>
      <c r="F962" t="s">
        <v>19</v>
      </c>
      <c r="G962">
        <v>20</v>
      </c>
      <c r="H962">
        <v>6</v>
      </c>
      <c r="I962">
        <v>12</v>
      </c>
      <c r="J962">
        <v>48.73</v>
      </c>
      <c r="K962">
        <v>196.73</v>
      </c>
      <c r="L962">
        <v>0.71</v>
      </c>
      <c r="M962">
        <v>51.26</v>
      </c>
      <c r="N962">
        <v>0.98</v>
      </c>
      <c r="O962" t="s">
        <v>20</v>
      </c>
      <c r="P962" t="s">
        <v>21</v>
      </c>
      <c r="Q962">
        <f t="shared" si="70"/>
        <v>14</v>
      </c>
      <c r="R962" s="4">
        <f>RANK(N962,$N$2:N$2800,0)</f>
        <v>1157</v>
      </c>
      <c r="S962">
        <f t="shared" si="71"/>
        <v>1.6666666666666667</v>
      </c>
      <c r="T962" t="str">
        <f t="shared" si="72"/>
        <v>Low</v>
      </c>
      <c r="U962" t="str" cm="1">
        <f t="array" ref="U962">_xlfn.LET(_xlpm.roles,_xlfn.UNIQUE(D962:D3760),_xlpm.kills, SUMIF(D962:D3760,_xlpm.roles,G962:G3760),INDEX(_xlpm.roles,MATCH(MAX(_xlpm.kills),_xlpm.kills,0)))</f>
        <v>Entry Fragger</v>
      </c>
      <c r="V962" t="str">
        <f t="shared" si="73"/>
        <v>Medium Accuracy</v>
      </c>
      <c r="W962" t="str" cm="1">
        <f t="array" ref="W962">_xlfn.LET(_xlpm.roles,_xlfn.UNIQUE(D962:D3760), _xlpm.counts,COUNTIF(D962:D3760,_xlpm.roles), INDEX(_xlpm.roles,MATCH(MAX(_xlpm.counts),_xlpm.counts,0)))</f>
        <v>Entry Fragger</v>
      </c>
      <c r="X962" s="2">
        <f t="shared" si="74"/>
        <v>13.057077625570777</v>
      </c>
    </row>
    <row r="963" spans="1:24" x14ac:dyDescent="0.3">
      <c r="A963">
        <v>2244</v>
      </c>
      <c r="B963">
        <v>168</v>
      </c>
      <c r="C963" t="s">
        <v>25</v>
      </c>
      <c r="D963" t="s">
        <v>28</v>
      </c>
      <c r="E963" t="s">
        <v>18</v>
      </c>
      <c r="F963" t="s">
        <v>26</v>
      </c>
      <c r="G963">
        <v>12</v>
      </c>
      <c r="H963">
        <v>5</v>
      </c>
      <c r="I963">
        <v>10</v>
      </c>
      <c r="J963">
        <v>41.95</v>
      </c>
      <c r="K963">
        <v>249.23</v>
      </c>
      <c r="L963">
        <v>0.87</v>
      </c>
      <c r="M963">
        <v>31.28</v>
      </c>
      <c r="N963">
        <v>0.84</v>
      </c>
      <c r="O963" t="s">
        <v>20</v>
      </c>
      <c r="P963" t="s">
        <v>21</v>
      </c>
      <c r="Q963">
        <f t="shared" ref="Q963:Q1026" si="75">G963+H963-I963</f>
        <v>7</v>
      </c>
      <c r="R963" s="4">
        <f>RANK(N963,$N$2:N$2800,0)</f>
        <v>2156</v>
      </c>
      <c r="S963">
        <f t="shared" ref="S963:S1026" si="76">G963/I963</f>
        <v>1.2</v>
      </c>
      <c r="T963" t="str">
        <f t="shared" ref="T963:T1026" si="77">IF(Q963&lt;15,"Low",IF(Q963&lt;25,"Good","Excellent"))</f>
        <v>Low</v>
      </c>
      <c r="U963" t="str" cm="1">
        <f t="array" ref="U963">_xlfn.LET(_xlpm.roles,_xlfn.UNIQUE(D963:D3761),_xlpm.kills, SUMIF(D963:D3761,_xlpm.roles,G963:G3761),INDEX(_xlpm.roles,MATCH(MAX(_xlpm.kills),_xlpm.kills,0)))</f>
        <v>Entry Fragger</v>
      </c>
      <c r="V963" t="str">
        <f t="shared" ref="V963:V1026" si="78">IF(J963&gt;=50,"High Accuracy",IF(J963&gt;=30,"Medium Accuracy","Low Accuracy"))</f>
        <v>Medium Accuracy</v>
      </c>
      <c r="W963" t="str" cm="1">
        <f t="array" ref="W963">_xlfn.LET(_xlpm.roles,_xlfn.UNIQUE(D963:D3761), _xlpm.counts,COUNTIF(D963:D3761,_xlpm.roles), INDEX(_xlpm.roles,MATCH(MAX(_xlpm.counts),_xlpm.counts,0)))</f>
        <v>Entry Fragger</v>
      </c>
      <c r="X963" s="2">
        <f t="shared" ref="X963:X1026" si="79">AVERAGEIF($C$2:$C$2800,C963,$Q$2:$Q$2800)</f>
        <v>12.809421841541756</v>
      </c>
    </row>
    <row r="964" spans="1:24" x14ac:dyDescent="0.3">
      <c r="A964">
        <v>2683</v>
      </c>
      <c r="B964">
        <v>168</v>
      </c>
      <c r="C964" t="s">
        <v>39</v>
      </c>
      <c r="D964" t="s">
        <v>31</v>
      </c>
      <c r="E964" t="s">
        <v>23</v>
      </c>
      <c r="F964" t="s">
        <v>19</v>
      </c>
      <c r="G964">
        <v>16</v>
      </c>
      <c r="H964">
        <v>4</v>
      </c>
      <c r="I964">
        <v>12</v>
      </c>
      <c r="J964">
        <v>49.02</v>
      </c>
      <c r="K964">
        <v>163.89</v>
      </c>
      <c r="L964">
        <v>0.77</v>
      </c>
      <c r="M964">
        <v>40.81</v>
      </c>
      <c r="N964">
        <v>0.81</v>
      </c>
      <c r="O964" t="s">
        <v>20</v>
      </c>
      <c r="P964" t="s">
        <v>21</v>
      </c>
      <c r="Q964">
        <f t="shared" si="75"/>
        <v>8</v>
      </c>
      <c r="R964" s="4">
        <f>RANK(N964,$N$2:N$2800,0)</f>
        <v>2341</v>
      </c>
      <c r="S964">
        <f t="shared" si="76"/>
        <v>1.3333333333333333</v>
      </c>
      <c r="T964" t="str">
        <f t="shared" si="77"/>
        <v>Low</v>
      </c>
      <c r="U964" t="str" cm="1">
        <f t="array" ref="U964">_xlfn.LET(_xlpm.roles,_xlfn.UNIQUE(D964:D3762),_xlpm.kills, SUMIF(D964:D3762,_xlpm.roles,G964:G3762),INDEX(_xlpm.roles,MATCH(MAX(_xlpm.kills),_xlpm.kills,0)))</f>
        <v>Entry Fragger</v>
      </c>
      <c r="V964" t="str">
        <f t="shared" si="78"/>
        <v>Medium Accuracy</v>
      </c>
      <c r="W964" t="str" cm="1">
        <f t="array" ref="W964">_xlfn.LET(_xlpm.roles,_xlfn.UNIQUE(D964:D3762), _xlpm.counts,COUNTIF(D964:D3762,_xlpm.roles), INDEX(_xlpm.roles,MATCH(MAX(_xlpm.counts),_xlpm.counts,0)))</f>
        <v>Entry Fragger</v>
      </c>
      <c r="X964" s="2">
        <f t="shared" si="79"/>
        <v>13.103594080338267</v>
      </c>
    </row>
    <row r="965" spans="1:24" x14ac:dyDescent="0.3">
      <c r="A965">
        <v>101</v>
      </c>
      <c r="B965">
        <v>169</v>
      </c>
      <c r="C965" t="s">
        <v>16</v>
      </c>
      <c r="D965" t="s">
        <v>17</v>
      </c>
      <c r="E965" t="s">
        <v>32</v>
      </c>
      <c r="F965" t="s">
        <v>19</v>
      </c>
      <c r="G965">
        <v>10</v>
      </c>
      <c r="H965">
        <v>10</v>
      </c>
      <c r="I965">
        <v>11</v>
      </c>
      <c r="J965">
        <v>40.590000000000003</v>
      </c>
      <c r="K965">
        <v>296.75</v>
      </c>
      <c r="L965">
        <v>0.64</v>
      </c>
      <c r="M965">
        <v>32.9</v>
      </c>
      <c r="N965">
        <v>0.84</v>
      </c>
      <c r="O965" t="s">
        <v>20</v>
      </c>
      <c r="P965" t="s">
        <v>21</v>
      </c>
      <c r="Q965">
        <f t="shared" si="75"/>
        <v>9</v>
      </c>
      <c r="R965" s="4">
        <f>RANK(N965,$N$2:N$2800,0)</f>
        <v>2156</v>
      </c>
      <c r="S965">
        <f t="shared" si="76"/>
        <v>0.90909090909090906</v>
      </c>
      <c r="T965" t="str">
        <f t="shared" si="77"/>
        <v>Low</v>
      </c>
      <c r="U965" t="str" cm="1">
        <f t="array" ref="U965">_xlfn.LET(_xlpm.roles,_xlfn.UNIQUE(D965:D3763),_xlpm.kills, SUMIF(D965:D3763,_xlpm.roles,G965:G3763),INDEX(_xlpm.roles,MATCH(MAX(_xlpm.kills),_xlpm.kills,0)))</f>
        <v>Entry Fragger</v>
      </c>
      <c r="V965" t="str">
        <f t="shared" si="78"/>
        <v>Medium Accuracy</v>
      </c>
      <c r="W965" t="str" cm="1">
        <f t="array" ref="W965">_xlfn.LET(_xlpm.roles,_xlfn.UNIQUE(D965:D3763), _xlpm.counts,COUNTIF(D965:D3763,_xlpm.roles), INDEX(_xlpm.roles,MATCH(MAX(_xlpm.counts),_xlpm.counts,0)))</f>
        <v>Entry Fragger</v>
      </c>
      <c r="X965" s="2">
        <f t="shared" si="79"/>
        <v>12.520971302428256</v>
      </c>
    </row>
    <row r="966" spans="1:24" x14ac:dyDescent="0.3">
      <c r="A966">
        <v>458</v>
      </c>
      <c r="B966">
        <v>169</v>
      </c>
      <c r="C966" t="s">
        <v>39</v>
      </c>
      <c r="D966" t="s">
        <v>22</v>
      </c>
      <c r="E966" t="s">
        <v>32</v>
      </c>
      <c r="F966" t="s">
        <v>26</v>
      </c>
      <c r="G966">
        <v>11</v>
      </c>
      <c r="H966">
        <v>8</v>
      </c>
      <c r="I966">
        <v>12</v>
      </c>
      <c r="J966">
        <v>43.6</v>
      </c>
      <c r="K966">
        <v>156.28</v>
      </c>
      <c r="L966">
        <v>0.52</v>
      </c>
      <c r="M966">
        <v>34.6</v>
      </c>
      <c r="N966">
        <v>0.89</v>
      </c>
      <c r="O966" t="s">
        <v>20</v>
      </c>
      <c r="P966" t="s">
        <v>21</v>
      </c>
      <c r="Q966">
        <f t="shared" si="75"/>
        <v>7</v>
      </c>
      <c r="R966" s="4">
        <f>RANK(N966,$N$2:N$2800,0)</f>
        <v>1815</v>
      </c>
      <c r="S966">
        <f t="shared" si="76"/>
        <v>0.91666666666666663</v>
      </c>
      <c r="T966" t="str">
        <f t="shared" si="77"/>
        <v>Low</v>
      </c>
      <c r="U966" t="str" cm="1">
        <f t="array" ref="U966">_xlfn.LET(_xlpm.roles,_xlfn.UNIQUE(D966:D3764),_xlpm.kills, SUMIF(D966:D3764,_xlpm.roles,G966:G3764),INDEX(_xlpm.roles,MATCH(MAX(_xlpm.kills),_xlpm.kills,0)))</f>
        <v>Entry Fragger</v>
      </c>
      <c r="V966" t="str">
        <f t="shared" si="78"/>
        <v>Medium Accuracy</v>
      </c>
      <c r="W966" t="str" cm="1">
        <f t="array" ref="W966">_xlfn.LET(_xlpm.roles,_xlfn.UNIQUE(D966:D3764), _xlpm.counts,COUNTIF(D966:D3764,_xlpm.roles), INDEX(_xlpm.roles,MATCH(MAX(_xlpm.counts),_xlpm.counts,0)))</f>
        <v>Entry Fragger</v>
      </c>
      <c r="X966" s="2">
        <f t="shared" si="79"/>
        <v>13.103594080338267</v>
      </c>
    </row>
    <row r="967" spans="1:24" x14ac:dyDescent="0.3">
      <c r="A967">
        <v>1112</v>
      </c>
      <c r="B967">
        <v>169</v>
      </c>
      <c r="C967" t="s">
        <v>25</v>
      </c>
      <c r="D967" t="s">
        <v>22</v>
      </c>
      <c r="E967" t="s">
        <v>32</v>
      </c>
      <c r="F967" t="s">
        <v>34</v>
      </c>
      <c r="G967">
        <v>14</v>
      </c>
      <c r="H967">
        <v>9</v>
      </c>
      <c r="I967">
        <v>9</v>
      </c>
      <c r="J967">
        <v>33.520000000000003</v>
      </c>
      <c r="K967">
        <v>193.53</v>
      </c>
      <c r="L967">
        <v>0.97</v>
      </c>
      <c r="M967">
        <v>35.06</v>
      </c>
      <c r="N967">
        <v>0.91</v>
      </c>
      <c r="O967" t="s">
        <v>20</v>
      </c>
      <c r="P967" t="s">
        <v>21</v>
      </c>
      <c r="Q967">
        <f t="shared" si="75"/>
        <v>14</v>
      </c>
      <c r="R967" s="4">
        <f>RANK(N967,$N$2:N$2800,0)</f>
        <v>1665</v>
      </c>
      <c r="S967">
        <f t="shared" si="76"/>
        <v>1.5555555555555556</v>
      </c>
      <c r="T967" t="str">
        <f t="shared" si="77"/>
        <v>Low</v>
      </c>
      <c r="U967" t="str" cm="1">
        <f t="array" ref="U967">_xlfn.LET(_xlpm.roles,_xlfn.UNIQUE(D967:D3765),_xlpm.kills, SUMIF(D967:D3765,_xlpm.roles,G967:G3765),INDEX(_xlpm.roles,MATCH(MAX(_xlpm.kills),_xlpm.kills,0)))</f>
        <v>Entry Fragger</v>
      </c>
      <c r="V967" t="str">
        <f t="shared" si="78"/>
        <v>Medium Accuracy</v>
      </c>
      <c r="W967" t="str" cm="1">
        <f t="array" ref="W967">_xlfn.LET(_xlpm.roles,_xlfn.UNIQUE(D967:D3765), _xlpm.counts,COUNTIF(D967:D3765,_xlpm.roles), INDEX(_xlpm.roles,MATCH(MAX(_xlpm.counts),_xlpm.counts,0)))</f>
        <v>Entry Fragger</v>
      </c>
      <c r="X967" s="2">
        <f t="shared" si="79"/>
        <v>12.809421841541756</v>
      </c>
    </row>
    <row r="968" spans="1:24" x14ac:dyDescent="0.3">
      <c r="A968">
        <v>1125</v>
      </c>
      <c r="B968">
        <v>169</v>
      </c>
      <c r="C968" t="s">
        <v>39</v>
      </c>
      <c r="D968" t="s">
        <v>28</v>
      </c>
      <c r="E968" t="s">
        <v>23</v>
      </c>
      <c r="F968" t="s">
        <v>34</v>
      </c>
      <c r="G968">
        <v>16</v>
      </c>
      <c r="H968">
        <v>10</v>
      </c>
      <c r="I968">
        <v>11</v>
      </c>
      <c r="J968">
        <v>51.13</v>
      </c>
      <c r="K968">
        <v>258.57</v>
      </c>
      <c r="L968">
        <v>0.92</v>
      </c>
      <c r="M968">
        <v>47.36</v>
      </c>
      <c r="N968">
        <v>1</v>
      </c>
      <c r="O968" t="s">
        <v>20</v>
      </c>
      <c r="P968" t="s">
        <v>21</v>
      </c>
      <c r="Q968">
        <f t="shared" si="75"/>
        <v>15</v>
      </c>
      <c r="R968" s="4">
        <f>RANK(N968,$N$2:N$2800,0)</f>
        <v>1</v>
      </c>
      <c r="S968">
        <f t="shared" si="76"/>
        <v>1.4545454545454546</v>
      </c>
      <c r="T968" t="str">
        <f t="shared" si="77"/>
        <v>Good</v>
      </c>
      <c r="U968" t="str" cm="1">
        <f t="array" ref="U968">_xlfn.LET(_xlpm.roles,_xlfn.UNIQUE(D968:D3766),_xlpm.kills, SUMIF(D968:D3766,_xlpm.roles,G968:G3766),INDEX(_xlpm.roles,MATCH(MAX(_xlpm.kills),_xlpm.kills,0)))</f>
        <v>Entry Fragger</v>
      </c>
      <c r="V968" t="str">
        <f t="shared" si="78"/>
        <v>High Accuracy</v>
      </c>
      <c r="W968" t="str" cm="1">
        <f t="array" ref="W968">_xlfn.LET(_xlpm.roles,_xlfn.UNIQUE(D968:D3766), _xlpm.counts,COUNTIF(D968:D3766,_xlpm.roles), INDEX(_xlpm.roles,MATCH(MAX(_xlpm.counts),_xlpm.counts,0)))</f>
        <v>Entry Fragger</v>
      </c>
      <c r="X968" s="2">
        <f t="shared" si="79"/>
        <v>13.103594080338267</v>
      </c>
    </row>
    <row r="969" spans="1:24" x14ac:dyDescent="0.3">
      <c r="A969">
        <v>386</v>
      </c>
      <c r="B969">
        <v>170</v>
      </c>
      <c r="C969" t="s">
        <v>39</v>
      </c>
      <c r="D969" t="s">
        <v>36</v>
      </c>
      <c r="E969" t="s">
        <v>23</v>
      </c>
      <c r="F969" t="s">
        <v>37</v>
      </c>
      <c r="G969">
        <v>21</v>
      </c>
      <c r="H969">
        <v>5</v>
      </c>
      <c r="I969">
        <v>9</v>
      </c>
      <c r="J969">
        <v>47.56</v>
      </c>
      <c r="K969">
        <v>237.02</v>
      </c>
      <c r="L969">
        <v>0</v>
      </c>
      <c r="M969">
        <v>61.78</v>
      </c>
      <c r="N969">
        <v>1</v>
      </c>
      <c r="O969" t="s">
        <v>20</v>
      </c>
      <c r="P969" t="s">
        <v>38</v>
      </c>
      <c r="Q969">
        <f t="shared" si="75"/>
        <v>17</v>
      </c>
      <c r="R969" s="4">
        <f>RANK(N969,$N$2:N$2800,0)</f>
        <v>1</v>
      </c>
      <c r="S969">
        <f t="shared" si="76"/>
        <v>2.3333333333333335</v>
      </c>
      <c r="T969" t="str">
        <f t="shared" si="77"/>
        <v>Good</v>
      </c>
      <c r="U969" t="str" cm="1">
        <f t="array" ref="U969">_xlfn.LET(_xlpm.roles,_xlfn.UNIQUE(D969:D3767),_xlpm.kills, SUMIF(D969:D3767,_xlpm.roles,G969:G3767),INDEX(_xlpm.roles,MATCH(MAX(_xlpm.kills),_xlpm.kills,0)))</f>
        <v>Entry Fragger</v>
      </c>
      <c r="V969" t="str">
        <f t="shared" si="78"/>
        <v>Medium Accuracy</v>
      </c>
      <c r="W969" t="str" cm="1">
        <f t="array" ref="W969">_xlfn.LET(_xlpm.roles,_xlfn.UNIQUE(D969:D3767), _xlpm.counts,COUNTIF(D969:D3767,_xlpm.roles), INDEX(_xlpm.roles,MATCH(MAX(_xlpm.counts),_xlpm.counts,0)))</f>
        <v>Entry Fragger</v>
      </c>
      <c r="X969" s="2">
        <f t="shared" si="79"/>
        <v>13.103594080338267</v>
      </c>
    </row>
    <row r="970" spans="1:24" x14ac:dyDescent="0.3">
      <c r="A970">
        <v>512</v>
      </c>
      <c r="B970">
        <v>170</v>
      </c>
      <c r="C970" t="s">
        <v>27</v>
      </c>
      <c r="D970" t="s">
        <v>22</v>
      </c>
      <c r="E970" t="s">
        <v>18</v>
      </c>
      <c r="F970" t="s">
        <v>34</v>
      </c>
      <c r="G970">
        <v>11</v>
      </c>
      <c r="H970">
        <v>11</v>
      </c>
      <c r="I970">
        <v>9</v>
      </c>
      <c r="J970">
        <v>55.91</v>
      </c>
      <c r="K970">
        <v>172.81</v>
      </c>
      <c r="L970">
        <v>0.6</v>
      </c>
      <c r="M970">
        <v>45.95</v>
      </c>
      <c r="N970">
        <v>0.85</v>
      </c>
      <c r="O970" t="s">
        <v>20</v>
      </c>
      <c r="P970" t="s">
        <v>21</v>
      </c>
      <c r="Q970">
        <f t="shared" si="75"/>
        <v>13</v>
      </c>
      <c r="R970" s="4">
        <f>RANK(N970,$N$2:N$2800,0)</f>
        <v>2105</v>
      </c>
      <c r="S970">
        <f t="shared" si="76"/>
        <v>1.2222222222222223</v>
      </c>
      <c r="T970" t="str">
        <f t="shared" si="77"/>
        <v>Low</v>
      </c>
      <c r="U970" t="str" cm="1">
        <f t="array" ref="U970">_xlfn.LET(_xlpm.roles,_xlfn.UNIQUE(D970:D3768),_xlpm.kills, SUMIF(D970:D3768,_xlpm.roles,G970:G3768),INDEX(_xlpm.roles,MATCH(MAX(_xlpm.kills),_xlpm.kills,0)))</f>
        <v>Entry Fragger</v>
      </c>
      <c r="V970" t="str">
        <f t="shared" si="78"/>
        <v>High Accuracy</v>
      </c>
      <c r="W970" t="str" cm="1">
        <f t="array" ref="W970">_xlfn.LET(_xlpm.roles,_xlfn.UNIQUE(D970:D3768), _xlpm.counts,COUNTIF(D970:D3768,_xlpm.roles), INDEX(_xlpm.roles,MATCH(MAX(_xlpm.counts),_xlpm.counts,0)))</f>
        <v>Entry Fragger</v>
      </c>
      <c r="X970" s="2">
        <f t="shared" si="79"/>
        <v>13.057077625570777</v>
      </c>
    </row>
    <row r="971" spans="1:24" x14ac:dyDescent="0.3">
      <c r="A971">
        <v>950</v>
      </c>
      <c r="B971">
        <v>170</v>
      </c>
      <c r="C971" t="s">
        <v>16</v>
      </c>
      <c r="D971" t="s">
        <v>17</v>
      </c>
      <c r="E971" t="s">
        <v>23</v>
      </c>
      <c r="F971" t="s">
        <v>26</v>
      </c>
      <c r="G971">
        <v>15</v>
      </c>
      <c r="H971">
        <v>6</v>
      </c>
      <c r="I971">
        <v>12</v>
      </c>
      <c r="J971">
        <v>37.659999999999997</v>
      </c>
      <c r="K971">
        <v>225.5</v>
      </c>
      <c r="L971">
        <v>0.18</v>
      </c>
      <c r="M971">
        <v>41.03</v>
      </c>
      <c r="N971">
        <v>0.77</v>
      </c>
      <c r="O971" t="s">
        <v>20</v>
      </c>
      <c r="P971" t="s">
        <v>21</v>
      </c>
      <c r="Q971">
        <f t="shared" si="75"/>
        <v>9</v>
      </c>
      <c r="R971" s="4">
        <f>RANK(N971,$N$2:N$2800,0)</f>
        <v>2511</v>
      </c>
      <c r="S971">
        <f t="shared" si="76"/>
        <v>1.25</v>
      </c>
      <c r="T971" t="str">
        <f t="shared" si="77"/>
        <v>Low</v>
      </c>
      <c r="U971" t="str" cm="1">
        <f t="array" ref="U971">_xlfn.LET(_xlpm.roles,_xlfn.UNIQUE(D971:D3769),_xlpm.kills, SUMIF(D971:D3769,_xlpm.roles,G971:G3769),INDEX(_xlpm.roles,MATCH(MAX(_xlpm.kills),_xlpm.kills,0)))</f>
        <v>Entry Fragger</v>
      </c>
      <c r="V971" t="str">
        <f t="shared" si="78"/>
        <v>Medium Accuracy</v>
      </c>
      <c r="W971" t="str" cm="1">
        <f t="array" ref="W971">_xlfn.LET(_xlpm.roles,_xlfn.UNIQUE(D971:D3769), _xlpm.counts,COUNTIF(D971:D3769,_xlpm.roles), INDEX(_xlpm.roles,MATCH(MAX(_xlpm.counts),_xlpm.counts,0)))</f>
        <v>Entry Fragger</v>
      </c>
      <c r="X971" s="2">
        <f t="shared" si="79"/>
        <v>12.520971302428256</v>
      </c>
    </row>
    <row r="972" spans="1:24" x14ac:dyDescent="0.3">
      <c r="A972">
        <v>1361</v>
      </c>
      <c r="B972">
        <v>170</v>
      </c>
      <c r="C972" t="s">
        <v>39</v>
      </c>
      <c r="D972" t="s">
        <v>17</v>
      </c>
      <c r="E972" t="s">
        <v>32</v>
      </c>
      <c r="F972" t="s">
        <v>24</v>
      </c>
      <c r="G972">
        <v>12</v>
      </c>
      <c r="H972">
        <v>10</v>
      </c>
      <c r="I972">
        <v>15</v>
      </c>
      <c r="J972">
        <v>40.049999999999997</v>
      </c>
      <c r="K972">
        <v>206.35</v>
      </c>
      <c r="L972">
        <v>0.18</v>
      </c>
      <c r="M972">
        <v>37.229999999999997</v>
      </c>
      <c r="N972">
        <v>0.91</v>
      </c>
      <c r="O972" t="s">
        <v>20</v>
      </c>
      <c r="P972" t="s">
        <v>21</v>
      </c>
      <c r="Q972">
        <f t="shared" si="75"/>
        <v>7</v>
      </c>
      <c r="R972" s="4">
        <f>RANK(N972,$N$2:N$2800,0)</f>
        <v>1665</v>
      </c>
      <c r="S972">
        <f t="shared" si="76"/>
        <v>0.8</v>
      </c>
      <c r="T972" t="str">
        <f t="shared" si="77"/>
        <v>Low</v>
      </c>
      <c r="U972" t="str" cm="1">
        <f t="array" ref="U972">_xlfn.LET(_xlpm.roles,_xlfn.UNIQUE(D972:D3770),_xlpm.kills, SUMIF(D972:D3770,_xlpm.roles,G972:G3770),INDEX(_xlpm.roles,MATCH(MAX(_xlpm.kills),_xlpm.kills,0)))</f>
        <v>Entry Fragger</v>
      </c>
      <c r="V972" t="str">
        <f t="shared" si="78"/>
        <v>Medium Accuracy</v>
      </c>
      <c r="W972" t="str" cm="1">
        <f t="array" ref="W972">_xlfn.LET(_xlpm.roles,_xlfn.UNIQUE(D972:D3770), _xlpm.counts,COUNTIF(D972:D3770,_xlpm.roles), INDEX(_xlpm.roles,MATCH(MAX(_xlpm.counts),_xlpm.counts,0)))</f>
        <v>Entry Fragger</v>
      </c>
      <c r="X972" s="2">
        <f t="shared" si="79"/>
        <v>13.103594080338267</v>
      </c>
    </row>
    <row r="973" spans="1:24" x14ac:dyDescent="0.3">
      <c r="A973">
        <v>1657</v>
      </c>
      <c r="B973">
        <v>170</v>
      </c>
      <c r="C973" t="s">
        <v>16</v>
      </c>
      <c r="D973" t="s">
        <v>31</v>
      </c>
      <c r="E973" t="s">
        <v>18</v>
      </c>
      <c r="F973" t="s">
        <v>37</v>
      </c>
      <c r="G973">
        <v>23</v>
      </c>
      <c r="H973">
        <v>8</v>
      </c>
      <c r="I973">
        <v>10</v>
      </c>
      <c r="J973">
        <v>46.87</v>
      </c>
      <c r="K973">
        <v>211.64</v>
      </c>
      <c r="L973">
        <v>0.48</v>
      </c>
      <c r="M973">
        <v>62.64</v>
      </c>
      <c r="N973">
        <v>1</v>
      </c>
      <c r="O973" t="s">
        <v>20</v>
      </c>
      <c r="P973" t="s">
        <v>38</v>
      </c>
      <c r="Q973">
        <f t="shared" si="75"/>
        <v>21</v>
      </c>
      <c r="R973" s="4">
        <f>RANK(N973,$N$2:N$2800,0)</f>
        <v>1</v>
      </c>
      <c r="S973">
        <f t="shared" si="76"/>
        <v>2.2999999999999998</v>
      </c>
      <c r="T973" t="str">
        <f t="shared" si="77"/>
        <v>Good</v>
      </c>
      <c r="U973" t="str" cm="1">
        <f t="array" ref="U973">_xlfn.LET(_xlpm.roles,_xlfn.UNIQUE(D973:D3771),_xlpm.kills, SUMIF(D973:D3771,_xlpm.roles,G973:G3771),INDEX(_xlpm.roles,MATCH(MAX(_xlpm.kills),_xlpm.kills,0)))</f>
        <v>Entry Fragger</v>
      </c>
      <c r="V973" t="str">
        <f t="shared" si="78"/>
        <v>Medium Accuracy</v>
      </c>
      <c r="W973" t="str" cm="1">
        <f t="array" ref="W973">_xlfn.LET(_xlpm.roles,_xlfn.UNIQUE(D973:D3771), _xlpm.counts,COUNTIF(D973:D3771,_xlpm.roles), INDEX(_xlpm.roles,MATCH(MAX(_xlpm.counts),_xlpm.counts,0)))</f>
        <v>Entry Fragger</v>
      </c>
      <c r="X973" s="2">
        <f t="shared" si="79"/>
        <v>12.520971302428256</v>
      </c>
    </row>
    <row r="974" spans="1:24" x14ac:dyDescent="0.3">
      <c r="A974">
        <v>2439</v>
      </c>
      <c r="B974">
        <v>170</v>
      </c>
      <c r="C974" t="s">
        <v>30</v>
      </c>
      <c r="D974" t="s">
        <v>22</v>
      </c>
      <c r="E974" t="s">
        <v>18</v>
      </c>
      <c r="F974" t="s">
        <v>37</v>
      </c>
      <c r="G974">
        <v>20</v>
      </c>
      <c r="H974">
        <v>9</v>
      </c>
      <c r="I974">
        <v>10</v>
      </c>
      <c r="J974">
        <v>43.68</v>
      </c>
      <c r="K974">
        <v>178.91</v>
      </c>
      <c r="L974">
        <v>0.12</v>
      </c>
      <c r="M974">
        <v>59.64</v>
      </c>
      <c r="N974">
        <v>0.99</v>
      </c>
      <c r="O974" t="s">
        <v>20</v>
      </c>
      <c r="P974" t="s">
        <v>21</v>
      </c>
      <c r="Q974">
        <f t="shared" si="75"/>
        <v>19</v>
      </c>
      <c r="R974" s="4">
        <f>RANK(N974,$N$2:N$2800,0)</f>
        <v>1080</v>
      </c>
      <c r="S974">
        <f t="shared" si="76"/>
        <v>2</v>
      </c>
      <c r="T974" t="str">
        <f t="shared" si="77"/>
        <v>Good</v>
      </c>
      <c r="U974" t="str" cm="1">
        <f t="array" ref="U974">_xlfn.LET(_xlpm.roles,_xlfn.UNIQUE(D974:D3772),_xlpm.kills, SUMIF(D974:D3772,_xlpm.roles,G974:G3772),INDEX(_xlpm.roles,MATCH(MAX(_xlpm.kills),_xlpm.kills,0)))</f>
        <v>Entry Fragger</v>
      </c>
      <c r="V974" t="str">
        <f t="shared" si="78"/>
        <v>Medium Accuracy</v>
      </c>
      <c r="W974" t="str" cm="1">
        <f t="array" ref="W974">_xlfn.LET(_xlpm.roles,_xlfn.UNIQUE(D974:D3772), _xlpm.counts,COUNTIF(D974:D3772,_xlpm.roles), INDEX(_xlpm.roles,MATCH(MAX(_xlpm.counts),_xlpm.counts,0)))</f>
        <v>Entry Fragger</v>
      </c>
      <c r="X974" s="2">
        <f t="shared" si="79"/>
        <v>13.135802469135802</v>
      </c>
    </row>
    <row r="975" spans="1:24" x14ac:dyDescent="0.3">
      <c r="A975">
        <v>2670</v>
      </c>
      <c r="B975">
        <v>170</v>
      </c>
      <c r="C975" t="s">
        <v>39</v>
      </c>
      <c r="D975" t="s">
        <v>31</v>
      </c>
      <c r="E975" t="s">
        <v>18</v>
      </c>
      <c r="F975" t="s">
        <v>34</v>
      </c>
      <c r="G975">
        <v>14</v>
      </c>
      <c r="H975">
        <v>4</v>
      </c>
      <c r="I975">
        <v>7</v>
      </c>
      <c r="J975">
        <v>51.55</v>
      </c>
      <c r="K975">
        <v>199.19</v>
      </c>
      <c r="L975">
        <v>0.2</v>
      </c>
      <c r="M975">
        <v>48.77</v>
      </c>
      <c r="N975">
        <v>0.94</v>
      </c>
      <c r="O975" t="s">
        <v>20</v>
      </c>
      <c r="P975" t="s">
        <v>21</v>
      </c>
      <c r="Q975">
        <f t="shared" si="75"/>
        <v>11</v>
      </c>
      <c r="R975" s="4">
        <f>RANK(N975,$N$2:N$2800,0)</f>
        <v>1431</v>
      </c>
      <c r="S975">
        <f t="shared" si="76"/>
        <v>2</v>
      </c>
      <c r="T975" t="str">
        <f t="shared" si="77"/>
        <v>Low</v>
      </c>
      <c r="U975" t="str" cm="1">
        <f t="array" ref="U975">_xlfn.LET(_xlpm.roles,_xlfn.UNIQUE(D975:D3773),_xlpm.kills, SUMIF(D975:D3773,_xlpm.roles,G975:G3773),INDEX(_xlpm.roles,MATCH(MAX(_xlpm.kills),_xlpm.kills,0)))</f>
        <v>Entry Fragger</v>
      </c>
      <c r="V975" t="str">
        <f t="shared" si="78"/>
        <v>High Accuracy</v>
      </c>
      <c r="W975" t="str" cm="1">
        <f t="array" ref="W975">_xlfn.LET(_xlpm.roles,_xlfn.UNIQUE(D975:D3773), _xlpm.counts,COUNTIF(D975:D3773,_xlpm.roles), INDEX(_xlpm.roles,MATCH(MAX(_xlpm.counts),_xlpm.counts,0)))</f>
        <v>Entry Fragger</v>
      </c>
      <c r="X975" s="2">
        <f t="shared" si="79"/>
        <v>13.103594080338267</v>
      </c>
    </row>
    <row r="976" spans="1:24" x14ac:dyDescent="0.3">
      <c r="A976">
        <v>322</v>
      </c>
      <c r="B976">
        <v>171</v>
      </c>
      <c r="C976" t="s">
        <v>35</v>
      </c>
      <c r="D976" t="s">
        <v>17</v>
      </c>
      <c r="E976" t="s">
        <v>33</v>
      </c>
      <c r="F976" t="s">
        <v>37</v>
      </c>
      <c r="G976">
        <v>12</v>
      </c>
      <c r="H976">
        <v>8</v>
      </c>
      <c r="I976">
        <v>5</v>
      </c>
      <c r="J976">
        <v>34.880000000000003</v>
      </c>
      <c r="K976">
        <v>239.37</v>
      </c>
      <c r="L976">
        <v>0.54</v>
      </c>
      <c r="M976">
        <v>39.04</v>
      </c>
      <c r="N976">
        <v>0.89</v>
      </c>
      <c r="O976" t="s">
        <v>20</v>
      </c>
      <c r="P976" t="s">
        <v>21</v>
      </c>
      <c r="Q976">
        <f t="shared" si="75"/>
        <v>15</v>
      </c>
      <c r="R976" s="4">
        <f>RANK(N976,$N$2:N$2800,0)</f>
        <v>1815</v>
      </c>
      <c r="S976">
        <f t="shared" si="76"/>
        <v>2.4</v>
      </c>
      <c r="T976" t="str">
        <f t="shared" si="77"/>
        <v>Good</v>
      </c>
      <c r="U976" t="str" cm="1">
        <f t="array" ref="U976">_xlfn.LET(_xlpm.roles,_xlfn.UNIQUE(D976:D3774),_xlpm.kills, SUMIF(D976:D3774,_xlpm.roles,G976:G3774),INDEX(_xlpm.roles,MATCH(MAX(_xlpm.kills),_xlpm.kills,0)))</f>
        <v>Entry Fragger</v>
      </c>
      <c r="V976" t="str">
        <f t="shared" si="78"/>
        <v>Medium Accuracy</v>
      </c>
      <c r="W976" t="str" cm="1">
        <f t="array" ref="W976">_xlfn.LET(_xlpm.roles,_xlfn.UNIQUE(D976:D3774), _xlpm.counts,COUNTIF(D976:D3774,_xlpm.roles), INDEX(_xlpm.roles,MATCH(MAX(_xlpm.counts),_xlpm.counts,0)))</f>
        <v>Entry Fragger</v>
      </c>
      <c r="X976" s="2">
        <f t="shared" si="79"/>
        <v>12.599585062240664</v>
      </c>
    </row>
    <row r="977" spans="1:24" x14ac:dyDescent="0.3">
      <c r="A977">
        <v>711</v>
      </c>
      <c r="B977">
        <v>171</v>
      </c>
      <c r="C977" t="s">
        <v>16</v>
      </c>
      <c r="D977" t="s">
        <v>36</v>
      </c>
      <c r="E977" t="s">
        <v>23</v>
      </c>
      <c r="F977" t="s">
        <v>24</v>
      </c>
      <c r="G977">
        <v>17</v>
      </c>
      <c r="H977">
        <v>7</v>
      </c>
      <c r="I977">
        <v>11</v>
      </c>
      <c r="J977">
        <v>43.51</v>
      </c>
      <c r="K977">
        <v>205.62</v>
      </c>
      <c r="L977">
        <v>0.23</v>
      </c>
      <c r="M977">
        <v>49.45</v>
      </c>
      <c r="N977">
        <v>1</v>
      </c>
      <c r="O977" t="s">
        <v>20</v>
      </c>
      <c r="P977" t="s">
        <v>21</v>
      </c>
      <c r="Q977">
        <f t="shared" si="75"/>
        <v>13</v>
      </c>
      <c r="R977" s="4">
        <f>RANK(N977,$N$2:N$2800,0)</f>
        <v>1</v>
      </c>
      <c r="S977">
        <f t="shared" si="76"/>
        <v>1.5454545454545454</v>
      </c>
      <c r="T977" t="str">
        <f t="shared" si="77"/>
        <v>Low</v>
      </c>
      <c r="U977" t="str" cm="1">
        <f t="array" ref="U977">_xlfn.LET(_xlpm.roles,_xlfn.UNIQUE(D977:D3775),_xlpm.kills, SUMIF(D977:D3775,_xlpm.roles,G977:G3775),INDEX(_xlpm.roles,MATCH(MAX(_xlpm.kills),_xlpm.kills,0)))</f>
        <v>Entry Fragger</v>
      </c>
      <c r="V977" t="str">
        <f t="shared" si="78"/>
        <v>Medium Accuracy</v>
      </c>
      <c r="W977" t="str" cm="1">
        <f t="array" ref="W977">_xlfn.LET(_xlpm.roles,_xlfn.UNIQUE(D977:D3775), _xlpm.counts,COUNTIF(D977:D3775,_xlpm.roles), INDEX(_xlpm.roles,MATCH(MAX(_xlpm.counts),_xlpm.counts,0)))</f>
        <v>Entry Fragger</v>
      </c>
      <c r="X977" s="2">
        <f t="shared" si="79"/>
        <v>12.520971302428256</v>
      </c>
    </row>
    <row r="978" spans="1:24" x14ac:dyDescent="0.3">
      <c r="A978">
        <v>990</v>
      </c>
      <c r="B978">
        <v>171</v>
      </c>
      <c r="C978" t="s">
        <v>39</v>
      </c>
      <c r="D978" t="s">
        <v>31</v>
      </c>
      <c r="E978" t="s">
        <v>23</v>
      </c>
      <c r="F978" t="s">
        <v>19</v>
      </c>
      <c r="G978">
        <v>12</v>
      </c>
      <c r="H978">
        <v>6</v>
      </c>
      <c r="I978">
        <v>7</v>
      </c>
      <c r="J978">
        <v>39.979999999999997</v>
      </c>
      <c r="K978">
        <v>243.06</v>
      </c>
      <c r="L978">
        <v>0.79</v>
      </c>
      <c r="M978">
        <v>35.090000000000003</v>
      </c>
      <c r="N978">
        <v>0.82</v>
      </c>
      <c r="O978" t="s">
        <v>20</v>
      </c>
      <c r="P978" t="s">
        <v>21</v>
      </c>
      <c r="Q978">
        <f t="shared" si="75"/>
        <v>11</v>
      </c>
      <c r="R978" s="4">
        <f>RANK(N978,$N$2:N$2800,0)</f>
        <v>2275</v>
      </c>
      <c r="S978">
        <f t="shared" si="76"/>
        <v>1.7142857142857142</v>
      </c>
      <c r="T978" t="str">
        <f t="shared" si="77"/>
        <v>Low</v>
      </c>
      <c r="U978" t="str" cm="1">
        <f t="array" ref="U978">_xlfn.LET(_xlpm.roles,_xlfn.UNIQUE(D978:D3776),_xlpm.kills, SUMIF(D978:D3776,_xlpm.roles,G978:G3776),INDEX(_xlpm.roles,MATCH(MAX(_xlpm.kills),_xlpm.kills,0)))</f>
        <v>Entry Fragger</v>
      </c>
      <c r="V978" t="str">
        <f t="shared" si="78"/>
        <v>Medium Accuracy</v>
      </c>
      <c r="W978" t="str" cm="1">
        <f t="array" ref="W978">_xlfn.LET(_xlpm.roles,_xlfn.UNIQUE(D978:D3776), _xlpm.counts,COUNTIF(D978:D3776,_xlpm.roles), INDEX(_xlpm.roles,MATCH(MAX(_xlpm.counts),_xlpm.counts,0)))</f>
        <v>Entry Fragger</v>
      </c>
      <c r="X978" s="2">
        <f t="shared" si="79"/>
        <v>13.103594080338267</v>
      </c>
    </row>
    <row r="979" spans="1:24" x14ac:dyDescent="0.3">
      <c r="A979">
        <v>1078</v>
      </c>
      <c r="B979">
        <v>171</v>
      </c>
      <c r="C979" t="s">
        <v>27</v>
      </c>
      <c r="D979" t="s">
        <v>31</v>
      </c>
      <c r="E979" t="s">
        <v>23</v>
      </c>
      <c r="F979" t="s">
        <v>37</v>
      </c>
      <c r="G979">
        <v>11</v>
      </c>
      <c r="H979">
        <v>6</v>
      </c>
      <c r="I979">
        <v>6</v>
      </c>
      <c r="J979">
        <v>40.869999999999997</v>
      </c>
      <c r="K979">
        <v>222.28</v>
      </c>
      <c r="L979">
        <v>0.68</v>
      </c>
      <c r="M979">
        <v>35.64</v>
      </c>
      <c r="N979">
        <v>0.88</v>
      </c>
      <c r="O979" t="s">
        <v>20</v>
      </c>
      <c r="P979" t="s">
        <v>21</v>
      </c>
      <c r="Q979">
        <f t="shared" si="75"/>
        <v>11</v>
      </c>
      <c r="R979" s="4">
        <f>RANK(N979,$N$2:N$2800,0)</f>
        <v>1894</v>
      </c>
      <c r="S979">
        <f t="shared" si="76"/>
        <v>1.8333333333333333</v>
      </c>
      <c r="T979" t="str">
        <f t="shared" si="77"/>
        <v>Low</v>
      </c>
      <c r="U979" t="str" cm="1">
        <f t="array" ref="U979">_xlfn.LET(_xlpm.roles,_xlfn.UNIQUE(D979:D3777),_xlpm.kills, SUMIF(D979:D3777,_xlpm.roles,G979:G3777),INDEX(_xlpm.roles,MATCH(MAX(_xlpm.kills),_xlpm.kills,0)))</f>
        <v>Entry Fragger</v>
      </c>
      <c r="V979" t="str">
        <f t="shared" si="78"/>
        <v>Medium Accuracy</v>
      </c>
      <c r="W979" t="str" cm="1">
        <f t="array" ref="W979">_xlfn.LET(_xlpm.roles,_xlfn.UNIQUE(D979:D3777), _xlpm.counts,COUNTIF(D979:D3777,_xlpm.roles), INDEX(_xlpm.roles,MATCH(MAX(_xlpm.counts),_xlpm.counts,0)))</f>
        <v>Entry Fragger</v>
      </c>
      <c r="X979" s="2">
        <f t="shared" si="79"/>
        <v>13.057077625570777</v>
      </c>
    </row>
    <row r="980" spans="1:24" x14ac:dyDescent="0.3">
      <c r="A980">
        <v>2098</v>
      </c>
      <c r="B980">
        <v>171</v>
      </c>
      <c r="C980" t="s">
        <v>30</v>
      </c>
      <c r="D980" t="s">
        <v>17</v>
      </c>
      <c r="E980" t="s">
        <v>33</v>
      </c>
      <c r="F980" t="s">
        <v>24</v>
      </c>
      <c r="G980">
        <v>12</v>
      </c>
      <c r="H980">
        <v>9</v>
      </c>
      <c r="I980">
        <v>13</v>
      </c>
      <c r="J980">
        <v>46.64</v>
      </c>
      <c r="K980">
        <v>172.3</v>
      </c>
      <c r="L980">
        <v>0.76</v>
      </c>
      <c r="M980">
        <v>35.72</v>
      </c>
      <c r="N980">
        <v>0.82</v>
      </c>
      <c r="O980" t="s">
        <v>20</v>
      </c>
      <c r="P980" t="s">
        <v>21</v>
      </c>
      <c r="Q980">
        <f t="shared" si="75"/>
        <v>8</v>
      </c>
      <c r="R980" s="4">
        <f>RANK(N980,$N$2:N$2800,0)</f>
        <v>2275</v>
      </c>
      <c r="S980">
        <f t="shared" si="76"/>
        <v>0.92307692307692313</v>
      </c>
      <c r="T980" t="str">
        <f t="shared" si="77"/>
        <v>Low</v>
      </c>
      <c r="U980" t="str" cm="1">
        <f t="array" ref="U980">_xlfn.LET(_xlpm.roles,_xlfn.UNIQUE(D980:D3778),_xlpm.kills, SUMIF(D980:D3778,_xlpm.roles,G980:G3778),INDEX(_xlpm.roles,MATCH(MAX(_xlpm.kills),_xlpm.kills,0)))</f>
        <v>Entry Fragger</v>
      </c>
      <c r="V980" t="str">
        <f t="shared" si="78"/>
        <v>Medium Accuracy</v>
      </c>
      <c r="W980" t="str" cm="1">
        <f t="array" ref="W980">_xlfn.LET(_xlpm.roles,_xlfn.UNIQUE(D980:D3778), _xlpm.counts,COUNTIF(D980:D3778,_xlpm.roles), INDEX(_xlpm.roles,MATCH(MAX(_xlpm.counts),_xlpm.counts,0)))</f>
        <v>Entry Fragger</v>
      </c>
      <c r="X980" s="2">
        <f t="shared" si="79"/>
        <v>13.135802469135802</v>
      </c>
    </row>
    <row r="981" spans="1:24" x14ac:dyDescent="0.3">
      <c r="A981">
        <v>2699</v>
      </c>
      <c r="B981">
        <v>171</v>
      </c>
      <c r="C981" t="s">
        <v>27</v>
      </c>
      <c r="D981" t="s">
        <v>31</v>
      </c>
      <c r="E981" t="s">
        <v>29</v>
      </c>
      <c r="F981" t="s">
        <v>26</v>
      </c>
      <c r="G981">
        <v>11</v>
      </c>
      <c r="H981">
        <v>9</v>
      </c>
      <c r="I981">
        <v>7</v>
      </c>
      <c r="J981">
        <v>42.51</v>
      </c>
      <c r="K981">
        <v>249.31</v>
      </c>
      <c r="L981">
        <v>0.56000000000000005</v>
      </c>
      <c r="M981">
        <v>39.65</v>
      </c>
      <c r="N981">
        <v>0.91</v>
      </c>
      <c r="O981" t="s">
        <v>20</v>
      </c>
      <c r="P981" t="s">
        <v>21</v>
      </c>
      <c r="Q981">
        <f t="shared" si="75"/>
        <v>13</v>
      </c>
      <c r="R981" s="4">
        <f>RANK(N981,$N$2:N$2800,0)</f>
        <v>1665</v>
      </c>
      <c r="S981">
        <f t="shared" si="76"/>
        <v>1.5714285714285714</v>
      </c>
      <c r="T981" t="str">
        <f t="shared" si="77"/>
        <v>Low</v>
      </c>
      <c r="U981" t="str" cm="1">
        <f t="array" ref="U981">_xlfn.LET(_xlpm.roles,_xlfn.UNIQUE(D981:D3779),_xlpm.kills, SUMIF(D981:D3779,_xlpm.roles,G981:G3779),INDEX(_xlpm.roles,MATCH(MAX(_xlpm.kills),_xlpm.kills,0)))</f>
        <v>Entry Fragger</v>
      </c>
      <c r="V981" t="str">
        <f t="shared" si="78"/>
        <v>Medium Accuracy</v>
      </c>
      <c r="W981" t="str" cm="1">
        <f t="array" ref="W981">_xlfn.LET(_xlpm.roles,_xlfn.UNIQUE(D981:D3779), _xlpm.counts,COUNTIF(D981:D3779,_xlpm.roles), INDEX(_xlpm.roles,MATCH(MAX(_xlpm.counts),_xlpm.counts,0)))</f>
        <v>Entry Fragger</v>
      </c>
      <c r="X981" s="2">
        <f t="shared" si="79"/>
        <v>13.057077625570777</v>
      </c>
    </row>
    <row r="982" spans="1:24" x14ac:dyDescent="0.3">
      <c r="A982">
        <v>581</v>
      </c>
      <c r="B982">
        <v>172</v>
      </c>
      <c r="C982" t="s">
        <v>39</v>
      </c>
      <c r="D982" t="s">
        <v>17</v>
      </c>
      <c r="E982" t="s">
        <v>32</v>
      </c>
      <c r="F982" t="s">
        <v>37</v>
      </c>
      <c r="G982">
        <v>16</v>
      </c>
      <c r="H982">
        <v>4</v>
      </c>
      <c r="I982">
        <v>11</v>
      </c>
      <c r="J982">
        <v>64.709999999999994</v>
      </c>
      <c r="K982">
        <v>216.73</v>
      </c>
      <c r="L982">
        <v>0.27</v>
      </c>
      <c r="M982">
        <v>54.65</v>
      </c>
      <c r="N982">
        <v>1</v>
      </c>
      <c r="O982" t="s">
        <v>20</v>
      </c>
      <c r="P982" t="s">
        <v>21</v>
      </c>
      <c r="Q982">
        <f t="shared" si="75"/>
        <v>9</v>
      </c>
      <c r="R982" s="4">
        <f>RANK(N982,$N$2:N$2800,0)</f>
        <v>1</v>
      </c>
      <c r="S982">
        <f t="shared" si="76"/>
        <v>1.4545454545454546</v>
      </c>
      <c r="T982" t="str">
        <f t="shared" si="77"/>
        <v>Low</v>
      </c>
      <c r="U982" t="str" cm="1">
        <f t="array" ref="U982">_xlfn.LET(_xlpm.roles,_xlfn.UNIQUE(D982:D3780),_xlpm.kills, SUMIF(D982:D3780,_xlpm.roles,G982:G3780),INDEX(_xlpm.roles,MATCH(MAX(_xlpm.kills),_xlpm.kills,0)))</f>
        <v>Entry Fragger</v>
      </c>
      <c r="V982" t="str">
        <f t="shared" si="78"/>
        <v>High Accuracy</v>
      </c>
      <c r="W982" t="str" cm="1">
        <f t="array" ref="W982">_xlfn.LET(_xlpm.roles,_xlfn.UNIQUE(D982:D3780), _xlpm.counts,COUNTIF(D982:D3780,_xlpm.roles), INDEX(_xlpm.roles,MATCH(MAX(_xlpm.counts),_xlpm.counts,0)))</f>
        <v>Entry Fragger</v>
      </c>
      <c r="X982" s="2">
        <f t="shared" si="79"/>
        <v>13.103594080338267</v>
      </c>
    </row>
    <row r="983" spans="1:24" x14ac:dyDescent="0.3">
      <c r="A983">
        <v>662</v>
      </c>
      <c r="B983">
        <v>172</v>
      </c>
      <c r="C983" t="s">
        <v>39</v>
      </c>
      <c r="D983" t="s">
        <v>28</v>
      </c>
      <c r="E983" t="s">
        <v>29</v>
      </c>
      <c r="F983" t="s">
        <v>34</v>
      </c>
      <c r="G983">
        <v>13</v>
      </c>
      <c r="H983">
        <v>6</v>
      </c>
      <c r="I983">
        <v>12</v>
      </c>
      <c r="J983">
        <v>35.86</v>
      </c>
      <c r="K983">
        <v>200.82</v>
      </c>
      <c r="L983">
        <v>0.23</v>
      </c>
      <c r="M983">
        <v>35.630000000000003</v>
      </c>
      <c r="N983">
        <v>0.84</v>
      </c>
      <c r="O983" t="s">
        <v>20</v>
      </c>
      <c r="P983" t="s">
        <v>21</v>
      </c>
      <c r="Q983">
        <f t="shared" si="75"/>
        <v>7</v>
      </c>
      <c r="R983" s="4">
        <f>RANK(N983,$N$2:N$2800,0)</f>
        <v>2156</v>
      </c>
      <c r="S983">
        <f t="shared" si="76"/>
        <v>1.0833333333333333</v>
      </c>
      <c r="T983" t="str">
        <f t="shared" si="77"/>
        <v>Low</v>
      </c>
      <c r="U983" t="str" cm="1">
        <f t="array" ref="U983">_xlfn.LET(_xlpm.roles,_xlfn.UNIQUE(D983:D3781),_xlpm.kills, SUMIF(D983:D3781,_xlpm.roles,G983:G3781),INDEX(_xlpm.roles,MATCH(MAX(_xlpm.kills),_xlpm.kills,0)))</f>
        <v>Entry Fragger</v>
      </c>
      <c r="V983" t="str">
        <f t="shared" si="78"/>
        <v>Medium Accuracy</v>
      </c>
      <c r="W983" t="str" cm="1">
        <f t="array" ref="W983">_xlfn.LET(_xlpm.roles,_xlfn.UNIQUE(D983:D3781), _xlpm.counts,COUNTIF(D983:D3781,_xlpm.roles), INDEX(_xlpm.roles,MATCH(MAX(_xlpm.counts),_xlpm.counts,0)))</f>
        <v>Entry Fragger</v>
      </c>
      <c r="X983" s="2">
        <f t="shared" si="79"/>
        <v>13.103594080338267</v>
      </c>
    </row>
    <row r="984" spans="1:24" x14ac:dyDescent="0.3">
      <c r="A984">
        <v>2377</v>
      </c>
      <c r="B984">
        <v>172</v>
      </c>
      <c r="C984" t="s">
        <v>30</v>
      </c>
      <c r="D984" t="s">
        <v>22</v>
      </c>
      <c r="E984" t="s">
        <v>23</v>
      </c>
      <c r="F984" t="s">
        <v>34</v>
      </c>
      <c r="G984">
        <v>19</v>
      </c>
      <c r="H984">
        <v>10</v>
      </c>
      <c r="I984">
        <v>14</v>
      </c>
      <c r="J984">
        <v>49.29</v>
      </c>
      <c r="K984">
        <v>232.43</v>
      </c>
      <c r="L984">
        <v>0.99</v>
      </c>
      <c r="M984">
        <v>48.74</v>
      </c>
      <c r="N984">
        <v>0.92</v>
      </c>
      <c r="O984" t="s">
        <v>20</v>
      </c>
      <c r="P984" t="s">
        <v>21</v>
      </c>
      <c r="Q984">
        <f t="shared" si="75"/>
        <v>15</v>
      </c>
      <c r="R984" s="4">
        <f>RANK(N984,$N$2:N$2800,0)</f>
        <v>1585</v>
      </c>
      <c r="S984">
        <f t="shared" si="76"/>
        <v>1.3571428571428572</v>
      </c>
      <c r="T984" t="str">
        <f t="shared" si="77"/>
        <v>Good</v>
      </c>
      <c r="U984" t="str" cm="1">
        <f t="array" ref="U984">_xlfn.LET(_xlpm.roles,_xlfn.UNIQUE(D984:D3782),_xlpm.kills, SUMIF(D984:D3782,_xlpm.roles,G984:G3782),INDEX(_xlpm.roles,MATCH(MAX(_xlpm.kills),_xlpm.kills,0)))</f>
        <v>Entry Fragger</v>
      </c>
      <c r="V984" t="str">
        <f t="shared" si="78"/>
        <v>Medium Accuracy</v>
      </c>
      <c r="W984" t="str" cm="1">
        <f t="array" ref="W984">_xlfn.LET(_xlpm.roles,_xlfn.UNIQUE(D984:D3782), _xlpm.counts,COUNTIF(D984:D3782,_xlpm.roles), INDEX(_xlpm.roles,MATCH(MAX(_xlpm.counts),_xlpm.counts,0)))</f>
        <v>Entry Fragger</v>
      </c>
      <c r="X984" s="2">
        <f t="shared" si="79"/>
        <v>13.135802469135802</v>
      </c>
    </row>
    <row r="985" spans="1:24" x14ac:dyDescent="0.3">
      <c r="A985">
        <v>2403</v>
      </c>
      <c r="B985">
        <v>172</v>
      </c>
      <c r="C985" t="s">
        <v>27</v>
      </c>
      <c r="D985" t="s">
        <v>36</v>
      </c>
      <c r="E985" t="s">
        <v>32</v>
      </c>
      <c r="F985" t="s">
        <v>19</v>
      </c>
      <c r="G985">
        <v>12</v>
      </c>
      <c r="H985">
        <v>9</v>
      </c>
      <c r="I985">
        <v>16</v>
      </c>
      <c r="J985">
        <v>56.18</v>
      </c>
      <c r="K985">
        <v>164.25</v>
      </c>
      <c r="L985">
        <v>0.11</v>
      </c>
      <c r="M985">
        <v>43.99</v>
      </c>
      <c r="N985">
        <v>1</v>
      </c>
      <c r="O985" t="s">
        <v>20</v>
      </c>
      <c r="P985" t="s">
        <v>21</v>
      </c>
      <c r="Q985">
        <f t="shared" si="75"/>
        <v>5</v>
      </c>
      <c r="R985" s="4">
        <f>RANK(N985,$N$2:N$2800,0)</f>
        <v>1</v>
      </c>
      <c r="S985">
        <f t="shared" si="76"/>
        <v>0.75</v>
      </c>
      <c r="T985" t="str">
        <f t="shared" si="77"/>
        <v>Low</v>
      </c>
      <c r="U985" t="str" cm="1">
        <f t="array" ref="U985">_xlfn.LET(_xlpm.roles,_xlfn.UNIQUE(D985:D3783),_xlpm.kills, SUMIF(D985:D3783,_xlpm.roles,G985:G3783),INDEX(_xlpm.roles,MATCH(MAX(_xlpm.kills),_xlpm.kills,0)))</f>
        <v>Entry Fragger</v>
      </c>
      <c r="V985" t="str">
        <f t="shared" si="78"/>
        <v>High Accuracy</v>
      </c>
      <c r="W985" t="str" cm="1">
        <f t="array" ref="W985">_xlfn.LET(_xlpm.roles,_xlfn.UNIQUE(D985:D3783), _xlpm.counts,COUNTIF(D985:D3783,_xlpm.roles), INDEX(_xlpm.roles,MATCH(MAX(_xlpm.counts),_xlpm.counts,0)))</f>
        <v>Entry Fragger</v>
      </c>
      <c r="X985" s="2">
        <f t="shared" si="79"/>
        <v>13.057077625570777</v>
      </c>
    </row>
    <row r="986" spans="1:24" x14ac:dyDescent="0.3">
      <c r="A986">
        <v>2515</v>
      </c>
      <c r="B986">
        <v>172</v>
      </c>
      <c r="C986" t="s">
        <v>35</v>
      </c>
      <c r="D986" t="s">
        <v>31</v>
      </c>
      <c r="E986" t="s">
        <v>29</v>
      </c>
      <c r="F986" t="s">
        <v>24</v>
      </c>
      <c r="G986">
        <v>12</v>
      </c>
      <c r="H986">
        <v>7</v>
      </c>
      <c r="I986">
        <v>7</v>
      </c>
      <c r="J986">
        <v>47.14</v>
      </c>
      <c r="K986">
        <v>246.85</v>
      </c>
      <c r="L986">
        <v>0.06</v>
      </c>
      <c r="M986">
        <v>46.97</v>
      </c>
      <c r="N986">
        <v>0.94</v>
      </c>
      <c r="O986" t="s">
        <v>20</v>
      </c>
      <c r="P986" t="s">
        <v>21</v>
      </c>
      <c r="Q986">
        <f t="shared" si="75"/>
        <v>12</v>
      </c>
      <c r="R986" s="4">
        <f>RANK(N986,$N$2:N$2800,0)</f>
        <v>1431</v>
      </c>
      <c r="S986">
        <f t="shared" si="76"/>
        <v>1.7142857142857142</v>
      </c>
      <c r="T986" t="str">
        <f t="shared" si="77"/>
        <v>Low</v>
      </c>
      <c r="U986" t="str" cm="1">
        <f t="array" ref="U986">_xlfn.LET(_xlpm.roles,_xlfn.UNIQUE(D986:D3784),_xlpm.kills, SUMIF(D986:D3784,_xlpm.roles,G986:G3784),INDEX(_xlpm.roles,MATCH(MAX(_xlpm.kills),_xlpm.kills,0)))</f>
        <v>Entry Fragger</v>
      </c>
      <c r="V986" t="str">
        <f t="shared" si="78"/>
        <v>Medium Accuracy</v>
      </c>
      <c r="W986" t="str" cm="1">
        <f t="array" ref="W986">_xlfn.LET(_xlpm.roles,_xlfn.UNIQUE(D986:D3784), _xlpm.counts,COUNTIF(D986:D3784,_xlpm.roles), INDEX(_xlpm.roles,MATCH(MAX(_xlpm.counts),_xlpm.counts,0)))</f>
        <v>Entry Fragger</v>
      </c>
      <c r="X986" s="2">
        <f t="shared" si="79"/>
        <v>12.599585062240664</v>
      </c>
    </row>
    <row r="987" spans="1:24" x14ac:dyDescent="0.3">
      <c r="A987">
        <v>6</v>
      </c>
      <c r="B987">
        <v>173</v>
      </c>
      <c r="C987" t="s">
        <v>25</v>
      </c>
      <c r="D987" t="s">
        <v>31</v>
      </c>
      <c r="E987" t="s">
        <v>33</v>
      </c>
      <c r="F987" t="s">
        <v>34</v>
      </c>
      <c r="G987">
        <v>9</v>
      </c>
      <c r="H987">
        <v>8</v>
      </c>
      <c r="I987">
        <v>8</v>
      </c>
      <c r="J987">
        <v>44.51</v>
      </c>
      <c r="K987">
        <v>247.46</v>
      </c>
      <c r="L987">
        <v>0.8</v>
      </c>
      <c r="M987">
        <v>32.25</v>
      </c>
      <c r="N987">
        <v>0.86</v>
      </c>
      <c r="O987" t="s">
        <v>20</v>
      </c>
      <c r="P987" t="s">
        <v>21</v>
      </c>
      <c r="Q987">
        <f t="shared" si="75"/>
        <v>9</v>
      </c>
      <c r="R987" s="4">
        <f>RANK(N987,$N$2:N$2800,0)</f>
        <v>2040</v>
      </c>
      <c r="S987">
        <f t="shared" si="76"/>
        <v>1.125</v>
      </c>
      <c r="T987" t="str">
        <f t="shared" si="77"/>
        <v>Low</v>
      </c>
      <c r="U987" t="str" cm="1">
        <f t="array" ref="U987">_xlfn.LET(_xlpm.roles,_xlfn.UNIQUE(D987:D3785),_xlpm.kills, SUMIF(D987:D3785,_xlpm.roles,G987:G3785),INDEX(_xlpm.roles,MATCH(MAX(_xlpm.kills),_xlpm.kills,0)))</f>
        <v>Entry Fragger</v>
      </c>
      <c r="V987" t="str">
        <f t="shared" si="78"/>
        <v>Medium Accuracy</v>
      </c>
      <c r="W987" t="str" cm="1">
        <f t="array" ref="W987">_xlfn.LET(_xlpm.roles,_xlfn.UNIQUE(D987:D3785), _xlpm.counts,COUNTIF(D987:D3785,_xlpm.roles), INDEX(_xlpm.roles,MATCH(MAX(_xlpm.counts),_xlpm.counts,0)))</f>
        <v>Entry Fragger</v>
      </c>
      <c r="X987" s="2">
        <f t="shared" si="79"/>
        <v>12.809421841541756</v>
      </c>
    </row>
    <row r="988" spans="1:24" x14ac:dyDescent="0.3">
      <c r="A988">
        <v>929</v>
      </c>
      <c r="B988">
        <v>173</v>
      </c>
      <c r="C988" t="s">
        <v>16</v>
      </c>
      <c r="D988" t="s">
        <v>28</v>
      </c>
      <c r="E988" t="s">
        <v>32</v>
      </c>
      <c r="F988" t="s">
        <v>24</v>
      </c>
      <c r="G988">
        <v>16</v>
      </c>
      <c r="H988">
        <v>9</v>
      </c>
      <c r="I988">
        <v>3</v>
      </c>
      <c r="J988">
        <v>45.07</v>
      </c>
      <c r="K988">
        <v>272.72000000000003</v>
      </c>
      <c r="L988">
        <v>0.37</v>
      </c>
      <c r="M988">
        <v>56.83</v>
      </c>
      <c r="N988">
        <v>1</v>
      </c>
      <c r="O988" t="s">
        <v>20</v>
      </c>
      <c r="P988" t="s">
        <v>21</v>
      </c>
      <c r="Q988">
        <f t="shared" si="75"/>
        <v>22</v>
      </c>
      <c r="R988" s="4">
        <f>RANK(N988,$N$2:N$2800,0)</f>
        <v>1</v>
      </c>
      <c r="S988">
        <f t="shared" si="76"/>
        <v>5.333333333333333</v>
      </c>
      <c r="T988" t="str">
        <f t="shared" si="77"/>
        <v>Good</v>
      </c>
      <c r="U988" t="str" cm="1">
        <f t="array" ref="U988">_xlfn.LET(_xlpm.roles,_xlfn.UNIQUE(D988:D3786),_xlpm.kills, SUMIF(D988:D3786,_xlpm.roles,G988:G3786),INDEX(_xlpm.roles,MATCH(MAX(_xlpm.kills),_xlpm.kills,0)))</f>
        <v>Entry Fragger</v>
      </c>
      <c r="V988" t="str">
        <f t="shared" si="78"/>
        <v>Medium Accuracy</v>
      </c>
      <c r="W988" t="str" cm="1">
        <f t="array" ref="W988">_xlfn.LET(_xlpm.roles,_xlfn.UNIQUE(D988:D3786), _xlpm.counts,COUNTIF(D988:D3786,_xlpm.roles), INDEX(_xlpm.roles,MATCH(MAX(_xlpm.counts),_xlpm.counts,0)))</f>
        <v>Entry Fragger</v>
      </c>
      <c r="X988" s="2">
        <f t="shared" si="79"/>
        <v>12.520971302428256</v>
      </c>
    </row>
    <row r="989" spans="1:24" x14ac:dyDescent="0.3">
      <c r="A989">
        <v>1493</v>
      </c>
      <c r="B989">
        <v>173</v>
      </c>
      <c r="C989" t="s">
        <v>25</v>
      </c>
      <c r="D989" t="s">
        <v>17</v>
      </c>
      <c r="E989" t="s">
        <v>29</v>
      </c>
      <c r="F989" t="s">
        <v>19</v>
      </c>
      <c r="G989">
        <v>12</v>
      </c>
      <c r="H989">
        <v>13</v>
      </c>
      <c r="I989">
        <v>12</v>
      </c>
      <c r="J989">
        <v>35.67</v>
      </c>
      <c r="K989">
        <v>199.38</v>
      </c>
      <c r="L989">
        <v>0.24</v>
      </c>
      <c r="M989">
        <v>40.44</v>
      </c>
      <c r="N989">
        <v>0.85</v>
      </c>
      <c r="O989" t="s">
        <v>20</v>
      </c>
      <c r="P989" t="s">
        <v>21</v>
      </c>
      <c r="Q989">
        <f t="shared" si="75"/>
        <v>13</v>
      </c>
      <c r="R989" s="4">
        <f>RANK(N989,$N$2:N$2800,0)</f>
        <v>2105</v>
      </c>
      <c r="S989">
        <f t="shared" si="76"/>
        <v>1</v>
      </c>
      <c r="T989" t="str">
        <f t="shared" si="77"/>
        <v>Low</v>
      </c>
      <c r="U989" t="str" cm="1">
        <f t="array" ref="U989">_xlfn.LET(_xlpm.roles,_xlfn.UNIQUE(D989:D3787),_xlpm.kills, SUMIF(D989:D3787,_xlpm.roles,G989:G3787),INDEX(_xlpm.roles,MATCH(MAX(_xlpm.kills),_xlpm.kills,0)))</f>
        <v>Entry Fragger</v>
      </c>
      <c r="V989" t="str">
        <f t="shared" si="78"/>
        <v>Medium Accuracy</v>
      </c>
      <c r="W989" t="str" cm="1">
        <f t="array" ref="W989">_xlfn.LET(_xlpm.roles,_xlfn.UNIQUE(D989:D3787), _xlpm.counts,COUNTIF(D989:D3787,_xlpm.roles), INDEX(_xlpm.roles,MATCH(MAX(_xlpm.counts),_xlpm.counts,0)))</f>
        <v>Entry Fragger</v>
      </c>
      <c r="X989" s="2">
        <f t="shared" si="79"/>
        <v>12.809421841541756</v>
      </c>
    </row>
    <row r="990" spans="1:24" x14ac:dyDescent="0.3">
      <c r="A990">
        <v>2407</v>
      </c>
      <c r="B990">
        <v>173</v>
      </c>
      <c r="C990" t="s">
        <v>35</v>
      </c>
      <c r="D990" t="s">
        <v>28</v>
      </c>
      <c r="E990" t="s">
        <v>29</v>
      </c>
      <c r="F990" t="s">
        <v>24</v>
      </c>
      <c r="G990">
        <v>18</v>
      </c>
      <c r="H990">
        <v>6</v>
      </c>
      <c r="I990">
        <v>9</v>
      </c>
      <c r="J990">
        <v>56.81</v>
      </c>
      <c r="K990">
        <v>267.17</v>
      </c>
      <c r="L990">
        <v>0.56000000000000005</v>
      </c>
      <c r="M990">
        <v>55.8</v>
      </c>
      <c r="N990">
        <v>1</v>
      </c>
      <c r="O990" t="s">
        <v>20</v>
      </c>
      <c r="P990" t="s">
        <v>21</v>
      </c>
      <c r="Q990">
        <f t="shared" si="75"/>
        <v>15</v>
      </c>
      <c r="R990" s="4">
        <f>RANK(N990,$N$2:N$2800,0)</f>
        <v>1</v>
      </c>
      <c r="S990">
        <f t="shared" si="76"/>
        <v>2</v>
      </c>
      <c r="T990" t="str">
        <f t="shared" si="77"/>
        <v>Good</v>
      </c>
      <c r="U990" t="str" cm="1">
        <f t="array" ref="U990">_xlfn.LET(_xlpm.roles,_xlfn.UNIQUE(D990:D3788),_xlpm.kills, SUMIF(D990:D3788,_xlpm.roles,G990:G3788),INDEX(_xlpm.roles,MATCH(MAX(_xlpm.kills),_xlpm.kills,0)))</f>
        <v>Entry Fragger</v>
      </c>
      <c r="V990" t="str">
        <f t="shared" si="78"/>
        <v>High Accuracy</v>
      </c>
      <c r="W990" t="str" cm="1">
        <f t="array" ref="W990">_xlfn.LET(_xlpm.roles,_xlfn.UNIQUE(D990:D3788), _xlpm.counts,COUNTIF(D990:D3788,_xlpm.roles), INDEX(_xlpm.roles,MATCH(MAX(_xlpm.counts),_xlpm.counts,0)))</f>
        <v>Entry Fragger</v>
      </c>
      <c r="X990" s="2">
        <f t="shared" si="79"/>
        <v>12.599585062240664</v>
      </c>
    </row>
    <row r="991" spans="1:24" x14ac:dyDescent="0.3">
      <c r="A991">
        <v>2428</v>
      </c>
      <c r="B991">
        <v>173</v>
      </c>
      <c r="C991" t="s">
        <v>35</v>
      </c>
      <c r="D991" t="s">
        <v>28</v>
      </c>
      <c r="E991" t="s">
        <v>23</v>
      </c>
      <c r="F991" t="s">
        <v>24</v>
      </c>
      <c r="G991">
        <v>15</v>
      </c>
      <c r="H991">
        <v>15</v>
      </c>
      <c r="I991">
        <v>9</v>
      </c>
      <c r="J991">
        <v>51.16</v>
      </c>
      <c r="K991">
        <v>258.33999999999997</v>
      </c>
      <c r="L991">
        <v>0.02</v>
      </c>
      <c r="M991">
        <v>61.38</v>
      </c>
      <c r="N991">
        <v>1</v>
      </c>
      <c r="O991" t="s">
        <v>20</v>
      </c>
      <c r="P991" t="s">
        <v>38</v>
      </c>
      <c r="Q991">
        <f t="shared" si="75"/>
        <v>21</v>
      </c>
      <c r="R991" s="4">
        <f>RANK(N991,$N$2:N$2800,0)</f>
        <v>1</v>
      </c>
      <c r="S991">
        <f t="shared" si="76"/>
        <v>1.6666666666666667</v>
      </c>
      <c r="T991" t="str">
        <f t="shared" si="77"/>
        <v>Good</v>
      </c>
      <c r="U991" t="str" cm="1">
        <f t="array" ref="U991">_xlfn.LET(_xlpm.roles,_xlfn.UNIQUE(D991:D3789),_xlpm.kills, SUMIF(D991:D3789,_xlpm.roles,G991:G3789),INDEX(_xlpm.roles,MATCH(MAX(_xlpm.kills),_xlpm.kills,0)))</f>
        <v>Entry Fragger</v>
      </c>
      <c r="V991" t="str">
        <f t="shared" si="78"/>
        <v>High Accuracy</v>
      </c>
      <c r="W991" t="str" cm="1">
        <f t="array" ref="W991">_xlfn.LET(_xlpm.roles,_xlfn.UNIQUE(D991:D3789), _xlpm.counts,COUNTIF(D991:D3789,_xlpm.roles), INDEX(_xlpm.roles,MATCH(MAX(_xlpm.counts),_xlpm.counts,0)))</f>
        <v>Entry Fragger</v>
      </c>
      <c r="X991" s="2">
        <f t="shared" si="79"/>
        <v>12.599585062240664</v>
      </c>
    </row>
    <row r="992" spans="1:24" x14ac:dyDescent="0.3">
      <c r="A992">
        <v>287</v>
      </c>
      <c r="B992">
        <v>174</v>
      </c>
      <c r="C992" t="s">
        <v>35</v>
      </c>
      <c r="D992" t="s">
        <v>28</v>
      </c>
      <c r="E992" t="s">
        <v>32</v>
      </c>
      <c r="F992" t="s">
        <v>37</v>
      </c>
      <c r="G992">
        <v>17</v>
      </c>
      <c r="H992">
        <v>4</v>
      </c>
      <c r="I992">
        <v>8</v>
      </c>
      <c r="J992">
        <v>36.950000000000003</v>
      </c>
      <c r="K992">
        <v>202.41</v>
      </c>
      <c r="L992">
        <v>0.31</v>
      </c>
      <c r="M992">
        <v>45.38</v>
      </c>
      <c r="N992">
        <v>0.95</v>
      </c>
      <c r="O992" t="s">
        <v>20</v>
      </c>
      <c r="P992" t="s">
        <v>21</v>
      </c>
      <c r="Q992">
        <f t="shared" si="75"/>
        <v>13</v>
      </c>
      <c r="R992" s="4">
        <f>RANK(N992,$N$2:N$2800,0)</f>
        <v>1367</v>
      </c>
      <c r="S992">
        <f t="shared" si="76"/>
        <v>2.125</v>
      </c>
      <c r="T992" t="str">
        <f t="shared" si="77"/>
        <v>Low</v>
      </c>
      <c r="U992" t="str" cm="1">
        <f t="array" ref="U992">_xlfn.LET(_xlpm.roles,_xlfn.UNIQUE(D992:D3790),_xlpm.kills, SUMIF(D992:D3790,_xlpm.roles,G992:G3790),INDEX(_xlpm.roles,MATCH(MAX(_xlpm.kills),_xlpm.kills,0)))</f>
        <v>Entry Fragger</v>
      </c>
      <c r="V992" t="str">
        <f t="shared" si="78"/>
        <v>Medium Accuracy</v>
      </c>
      <c r="W992" t="str" cm="1">
        <f t="array" ref="W992">_xlfn.LET(_xlpm.roles,_xlfn.UNIQUE(D992:D3790), _xlpm.counts,COUNTIF(D992:D3790,_xlpm.roles), INDEX(_xlpm.roles,MATCH(MAX(_xlpm.counts),_xlpm.counts,0)))</f>
        <v>Entry Fragger</v>
      </c>
      <c r="X992" s="2">
        <f t="shared" si="79"/>
        <v>12.599585062240664</v>
      </c>
    </row>
    <row r="993" spans="1:24" x14ac:dyDescent="0.3">
      <c r="A993">
        <v>372</v>
      </c>
      <c r="B993">
        <v>174</v>
      </c>
      <c r="C993" t="s">
        <v>39</v>
      </c>
      <c r="D993" t="s">
        <v>36</v>
      </c>
      <c r="E993" t="s">
        <v>18</v>
      </c>
      <c r="F993" t="s">
        <v>26</v>
      </c>
      <c r="G993">
        <v>7</v>
      </c>
      <c r="H993">
        <v>10</v>
      </c>
      <c r="I993">
        <v>8</v>
      </c>
      <c r="J993">
        <v>34.79</v>
      </c>
      <c r="K993">
        <v>183.42</v>
      </c>
      <c r="L993">
        <v>0.03</v>
      </c>
      <c r="M993">
        <v>33.090000000000003</v>
      </c>
      <c r="N993">
        <v>0.82</v>
      </c>
      <c r="O993" t="s">
        <v>20</v>
      </c>
      <c r="P993" t="s">
        <v>21</v>
      </c>
      <c r="Q993">
        <f t="shared" si="75"/>
        <v>9</v>
      </c>
      <c r="R993" s="4">
        <f>RANK(N993,$N$2:N$2800,0)</f>
        <v>2275</v>
      </c>
      <c r="S993">
        <f t="shared" si="76"/>
        <v>0.875</v>
      </c>
      <c r="T993" t="str">
        <f t="shared" si="77"/>
        <v>Low</v>
      </c>
      <c r="U993" t="str" cm="1">
        <f t="array" ref="U993">_xlfn.LET(_xlpm.roles,_xlfn.UNIQUE(D993:D3791),_xlpm.kills, SUMIF(D993:D3791,_xlpm.roles,G993:G3791),INDEX(_xlpm.roles,MATCH(MAX(_xlpm.kills),_xlpm.kills,0)))</f>
        <v>Entry Fragger</v>
      </c>
      <c r="V993" t="str">
        <f t="shared" si="78"/>
        <v>Medium Accuracy</v>
      </c>
      <c r="W993" t="str" cm="1">
        <f t="array" ref="W993">_xlfn.LET(_xlpm.roles,_xlfn.UNIQUE(D993:D3791), _xlpm.counts,COUNTIF(D993:D3791,_xlpm.roles), INDEX(_xlpm.roles,MATCH(MAX(_xlpm.counts),_xlpm.counts,0)))</f>
        <v>Entry Fragger</v>
      </c>
      <c r="X993" s="2">
        <f t="shared" si="79"/>
        <v>13.103594080338267</v>
      </c>
    </row>
    <row r="994" spans="1:24" x14ac:dyDescent="0.3">
      <c r="A994">
        <v>2169</v>
      </c>
      <c r="B994">
        <v>174</v>
      </c>
      <c r="C994" t="s">
        <v>25</v>
      </c>
      <c r="D994" t="s">
        <v>31</v>
      </c>
      <c r="E994" t="s">
        <v>18</v>
      </c>
      <c r="F994" t="s">
        <v>19</v>
      </c>
      <c r="G994">
        <v>18</v>
      </c>
      <c r="H994">
        <v>10</v>
      </c>
      <c r="I994">
        <v>11</v>
      </c>
      <c r="J994">
        <v>39.119999999999997</v>
      </c>
      <c r="K994">
        <v>239.58</v>
      </c>
      <c r="L994">
        <v>0.44</v>
      </c>
      <c r="M994">
        <v>50.16</v>
      </c>
      <c r="N994">
        <v>1</v>
      </c>
      <c r="O994" t="s">
        <v>20</v>
      </c>
      <c r="P994" t="s">
        <v>21</v>
      </c>
      <c r="Q994">
        <f t="shared" si="75"/>
        <v>17</v>
      </c>
      <c r="R994" s="4">
        <f>RANK(N994,$N$2:N$2800,0)</f>
        <v>1</v>
      </c>
      <c r="S994">
        <f t="shared" si="76"/>
        <v>1.6363636363636365</v>
      </c>
      <c r="T994" t="str">
        <f t="shared" si="77"/>
        <v>Good</v>
      </c>
      <c r="U994" t="str" cm="1">
        <f t="array" ref="U994">_xlfn.LET(_xlpm.roles,_xlfn.UNIQUE(D994:D3792),_xlpm.kills, SUMIF(D994:D3792,_xlpm.roles,G994:G3792),INDEX(_xlpm.roles,MATCH(MAX(_xlpm.kills),_xlpm.kills,0)))</f>
        <v>Entry Fragger</v>
      </c>
      <c r="V994" t="str">
        <f t="shared" si="78"/>
        <v>Medium Accuracy</v>
      </c>
      <c r="W994" t="str" cm="1">
        <f t="array" ref="W994">_xlfn.LET(_xlpm.roles,_xlfn.UNIQUE(D994:D3792), _xlpm.counts,COUNTIF(D994:D3792,_xlpm.roles), INDEX(_xlpm.roles,MATCH(MAX(_xlpm.counts),_xlpm.counts,0)))</f>
        <v>Entry Fragger</v>
      </c>
      <c r="X994" s="2">
        <f t="shared" si="79"/>
        <v>12.809421841541756</v>
      </c>
    </row>
    <row r="995" spans="1:24" x14ac:dyDescent="0.3">
      <c r="A995">
        <v>2295</v>
      </c>
      <c r="B995">
        <v>174</v>
      </c>
      <c r="C995" t="s">
        <v>30</v>
      </c>
      <c r="D995" t="s">
        <v>31</v>
      </c>
      <c r="E995" t="s">
        <v>23</v>
      </c>
      <c r="F995" t="s">
        <v>24</v>
      </c>
      <c r="G995">
        <v>19</v>
      </c>
      <c r="H995">
        <v>9</v>
      </c>
      <c r="I995">
        <v>15</v>
      </c>
      <c r="J995">
        <v>50.44</v>
      </c>
      <c r="K995">
        <v>171.24</v>
      </c>
      <c r="L995">
        <v>0.48</v>
      </c>
      <c r="M995">
        <v>52.42</v>
      </c>
      <c r="N995">
        <v>0.99</v>
      </c>
      <c r="O995" t="s">
        <v>20</v>
      </c>
      <c r="P995" t="s">
        <v>21</v>
      </c>
      <c r="Q995">
        <f t="shared" si="75"/>
        <v>13</v>
      </c>
      <c r="R995" s="4">
        <f>RANK(N995,$N$2:N$2800,0)</f>
        <v>1080</v>
      </c>
      <c r="S995">
        <f t="shared" si="76"/>
        <v>1.2666666666666666</v>
      </c>
      <c r="T995" t="str">
        <f t="shared" si="77"/>
        <v>Low</v>
      </c>
      <c r="U995" t="str" cm="1">
        <f t="array" ref="U995">_xlfn.LET(_xlpm.roles,_xlfn.UNIQUE(D995:D3793),_xlpm.kills, SUMIF(D995:D3793,_xlpm.roles,G995:G3793),INDEX(_xlpm.roles,MATCH(MAX(_xlpm.kills),_xlpm.kills,0)))</f>
        <v>Entry Fragger</v>
      </c>
      <c r="V995" t="str">
        <f t="shared" si="78"/>
        <v>High Accuracy</v>
      </c>
      <c r="W995" t="str" cm="1">
        <f t="array" ref="W995">_xlfn.LET(_xlpm.roles,_xlfn.UNIQUE(D995:D3793), _xlpm.counts,COUNTIF(D995:D3793,_xlpm.roles), INDEX(_xlpm.roles,MATCH(MAX(_xlpm.counts),_xlpm.counts,0)))</f>
        <v>Entry Fragger</v>
      </c>
      <c r="X995" s="2">
        <f t="shared" si="79"/>
        <v>13.135802469135802</v>
      </c>
    </row>
    <row r="996" spans="1:24" x14ac:dyDescent="0.3">
      <c r="A996">
        <v>2793</v>
      </c>
      <c r="B996">
        <v>174</v>
      </c>
      <c r="C996" t="s">
        <v>25</v>
      </c>
      <c r="D996" t="s">
        <v>31</v>
      </c>
      <c r="E996" t="s">
        <v>33</v>
      </c>
      <c r="F996" t="s">
        <v>37</v>
      </c>
      <c r="G996">
        <v>12</v>
      </c>
      <c r="H996">
        <v>9</v>
      </c>
      <c r="I996">
        <v>7</v>
      </c>
      <c r="J996">
        <v>60.09</v>
      </c>
      <c r="K996">
        <v>197.76</v>
      </c>
      <c r="L996">
        <v>0.97</v>
      </c>
      <c r="M996">
        <v>46.34</v>
      </c>
      <c r="N996">
        <v>1</v>
      </c>
      <c r="O996" t="s">
        <v>20</v>
      </c>
      <c r="P996" t="s">
        <v>21</v>
      </c>
      <c r="Q996">
        <f t="shared" si="75"/>
        <v>14</v>
      </c>
      <c r="R996" s="4">
        <f>RANK(N996,$N$2:N$2800,0)</f>
        <v>1</v>
      </c>
      <c r="S996">
        <f t="shared" si="76"/>
        <v>1.7142857142857142</v>
      </c>
      <c r="T996" t="str">
        <f t="shared" si="77"/>
        <v>Low</v>
      </c>
      <c r="U996" t="str" cm="1">
        <f t="array" ref="U996">_xlfn.LET(_xlpm.roles,_xlfn.UNIQUE(D996:D3794),_xlpm.kills, SUMIF(D996:D3794,_xlpm.roles,G996:G3794),INDEX(_xlpm.roles,MATCH(MAX(_xlpm.kills),_xlpm.kills,0)))</f>
        <v>Entry Fragger</v>
      </c>
      <c r="V996" t="str">
        <f t="shared" si="78"/>
        <v>High Accuracy</v>
      </c>
      <c r="W996" t="str" cm="1">
        <f t="array" ref="W996">_xlfn.LET(_xlpm.roles,_xlfn.UNIQUE(D996:D3794), _xlpm.counts,COUNTIF(D996:D3794,_xlpm.roles), INDEX(_xlpm.roles,MATCH(MAX(_xlpm.counts),_xlpm.counts,0)))</f>
        <v>Entry Fragger</v>
      </c>
      <c r="X996" s="2">
        <f t="shared" si="79"/>
        <v>12.809421841541756</v>
      </c>
    </row>
    <row r="997" spans="1:24" x14ac:dyDescent="0.3">
      <c r="A997">
        <v>378</v>
      </c>
      <c r="B997">
        <v>175</v>
      </c>
      <c r="C997" t="s">
        <v>16</v>
      </c>
      <c r="D997" t="s">
        <v>17</v>
      </c>
      <c r="E997" t="s">
        <v>29</v>
      </c>
      <c r="F997" t="s">
        <v>34</v>
      </c>
      <c r="G997">
        <v>13</v>
      </c>
      <c r="H997">
        <v>7</v>
      </c>
      <c r="I997">
        <v>8</v>
      </c>
      <c r="J997">
        <v>57.32</v>
      </c>
      <c r="K997">
        <v>213.58</v>
      </c>
      <c r="L997">
        <v>0.72</v>
      </c>
      <c r="M997">
        <v>46.46</v>
      </c>
      <c r="N997">
        <v>1</v>
      </c>
      <c r="O997" t="s">
        <v>20</v>
      </c>
      <c r="P997" t="s">
        <v>21</v>
      </c>
      <c r="Q997">
        <f t="shared" si="75"/>
        <v>12</v>
      </c>
      <c r="R997" s="4">
        <f>RANK(N997,$N$2:N$2800,0)</f>
        <v>1</v>
      </c>
      <c r="S997">
        <f t="shared" si="76"/>
        <v>1.625</v>
      </c>
      <c r="T997" t="str">
        <f t="shared" si="77"/>
        <v>Low</v>
      </c>
      <c r="U997" t="str" cm="1">
        <f t="array" ref="U997">_xlfn.LET(_xlpm.roles,_xlfn.UNIQUE(D997:D3795),_xlpm.kills, SUMIF(D997:D3795,_xlpm.roles,G997:G3795),INDEX(_xlpm.roles,MATCH(MAX(_xlpm.kills),_xlpm.kills,0)))</f>
        <v>Entry Fragger</v>
      </c>
      <c r="V997" t="str">
        <f t="shared" si="78"/>
        <v>High Accuracy</v>
      </c>
      <c r="W997" t="str" cm="1">
        <f t="array" ref="W997">_xlfn.LET(_xlpm.roles,_xlfn.UNIQUE(D997:D3795), _xlpm.counts,COUNTIF(D997:D3795,_xlpm.roles), INDEX(_xlpm.roles,MATCH(MAX(_xlpm.counts),_xlpm.counts,0)))</f>
        <v>Entry Fragger</v>
      </c>
      <c r="X997" s="2">
        <f t="shared" si="79"/>
        <v>12.520971302428256</v>
      </c>
    </row>
    <row r="998" spans="1:24" x14ac:dyDescent="0.3">
      <c r="A998">
        <v>1120</v>
      </c>
      <c r="B998">
        <v>175</v>
      </c>
      <c r="C998" t="s">
        <v>35</v>
      </c>
      <c r="D998" t="s">
        <v>17</v>
      </c>
      <c r="E998" t="s">
        <v>23</v>
      </c>
      <c r="F998" t="s">
        <v>37</v>
      </c>
      <c r="G998">
        <v>9</v>
      </c>
      <c r="H998">
        <v>9</v>
      </c>
      <c r="I998">
        <v>10</v>
      </c>
      <c r="J998">
        <v>46.95</v>
      </c>
      <c r="K998">
        <v>234.65</v>
      </c>
      <c r="L998">
        <v>0.59</v>
      </c>
      <c r="M998">
        <v>34.58</v>
      </c>
      <c r="N998">
        <v>0.73</v>
      </c>
      <c r="O998" t="s">
        <v>20</v>
      </c>
      <c r="P998" t="s">
        <v>21</v>
      </c>
      <c r="Q998">
        <f t="shared" si="75"/>
        <v>8</v>
      </c>
      <c r="R998" s="4">
        <f>RANK(N998,$N$2:N$2800,0)</f>
        <v>2642</v>
      </c>
      <c r="S998">
        <f t="shared" si="76"/>
        <v>0.9</v>
      </c>
      <c r="T998" t="str">
        <f t="shared" si="77"/>
        <v>Low</v>
      </c>
      <c r="U998" t="str" cm="1">
        <f t="array" ref="U998">_xlfn.LET(_xlpm.roles,_xlfn.UNIQUE(D998:D3796),_xlpm.kills, SUMIF(D998:D3796,_xlpm.roles,G998:G3796),INDEX(_xlpm.roles,MATCH(MAX(_xlpm.kills),_xlpm.kills,0)))</f>
        <v>Entry Fragger</v>
      </c>
      <c r="V998" t="str">
        <f t="shared" si="78"/>
        <v>Medium Accuracy</v>
      </c>
      <c r="W998" t="str" cm="1">
        <f t="array" ref="W998">_xlfn.LET(_xlpm.roles,_xlfn.UNIQUE(D998:D3796), _xlpm.counts,COUNTIF(D998:D3796,_xlpm.roles), INDEX(_xlpm.roles,MATCH(MAX(_xlpm.counts),_xlpm.counts,0)))</f>
        <v>Entry Fragger</v>
      </c>
      <c r="X998" s="2">
        <f t="shared" si="79"/>
        <v>12.599585062240664</v>
      </c>
    </row>
    <row r="999" spans="1:24" x14ac:dyDescent="0.3">
      <c r="A999">
        <v>2193</v>
      </c>
      <c r="B999">
        <v>175</v>
      </c>
      <c r="C999" t="s">
        <v>35</v>
      </c>
      <c r="D999" t="s">
        <v>36</v>
      </c>
      <c r="E999" t="s">
        <v>18</v>
      </c>
      <c r="F999" t="s">
        <v>26</v>
      </c>
      <c r="G999">
        <v>10</v>
      </c>
      <c r="H999">
        <v>8</v>
      </c>
      <c r="I999">
        <v>7</v>
      </c>
      <c r="J999">
        <v>48.17</v>
      </c>
      <c r="K999">
        <v>233.49</v>
      </c>
      <c r="L999">
        <v>0.67</v>
      </c>
      <c r="M999">
        <v>38.380000000000003</v>
      </c>
      <c r="N999">
        <v>0.87</v>
      </c>
      <c r="O999" t="s">
        <v>20</v>
      </c>
      <c r="P999" t="s">
        <v>21</v>
      </c>
      <c r="Q999">
        <f t="shared" si="75"/>
        <v>11</v>
      </c>
      <c r="R999" s="4">
        <f>RANK(N999,$N$2:N$2800,0)</f>
        <v>1965</v>
      </c>
      <c r="S999">
        <f t="shared" si="76"/>
        <v>1.4285714285714286</v>
      </c>
      <c r="T999" t="str">
        <f t="shared" si="77"/>
        <v>Low</v>
      </c>
      <c r="U999" t="str" cm="1">
        <f t="array" ref="U999">_xlfn.LET(_xlpm.roles,_xlfn.UNIQUE(D999:D3797),_xlpm.kills, SUMIF(D999:D3797,_xlpm.roles,G999:G3797),INDEX(_xlpm.roles,MATCH(MAX(_xlpm.kills),_xlpm.kills,0)))</f>
        <v>Entry Fragger</v>
      </c>
      <c r="V999" t="str">
        <f t="shared" si="78"/>
        <v>Medium Accuracy</v>
      </c>
      <c r="W999" t="str" cm="1">
        <f t="array" ref="W999">_xlfn.LET(_xlpm.roles,_xlfn.UNIQUE(D999:D3797), _xlpm.counts,COUNTIF(D999:D3797,_xlpm.roles), INDEX(_xlpm.roles,MATCH(MAX(_xlpm.counts),_xlpm.counts,0)))</f>
        <v>Entry Fragger</v>
      </c>
      <c r="X999" s="2">
        <f t="shared" si="79"/>
        <v>12.599585062240664</v>
      </c>
    </row>
    <row r="1000" spans="1:24" x14ac:dyDescent="0.3">
      <c r="A1000">
        <v>201</v>
      </c>
      <c r="B1000">
        <v>176</v>
      </c>
      <c r="C1000" t="s">
        <v>27</v>
      </c>
      <c r="D1000" t="s">
        <v>36</v>
      </c>
      <c r="E1000" t="s">
        <v>32</v>
      </c>
      <c r="F1000" t="s">
        <v>26</v>
      </c>
      <c r="G1000">
        <v>11</v>
      </c>
      <c r="H1000">
        <v>6</v>
      </c>
      <c r="I1000">
        <v>11</v>
      </c>
      <c r="J1000">
        <v>44.47</v>
      </c>
      <c r="K1000">
        <v>233.52</v>
      </c>
      <c r="L1000">
        <v>0.35</v>
      </c>
      <c r="M1000">
        <v>35.729999999999997</v>
      </c>
      <c r="N1000">
        <v>0.82</v>
      </c>
      <c r="O1000" t="s">
        <v>20</v>
      </c>
      <c r="P1000" t="s">
        <v>21</v>
      </c>
      <c r="Q1000">
        <f t="shared" si="75"/>
        <v>6</v>
      </c>
      <c r="R1000" s="4">
        <f>RANK(N1000,$N$2:N$2800,0)</f>
        <v>2275</v>
      </c>
      <c r="S1000">
        <f t="shared" si="76"/>
        <v>1</v>
      </c>
      <c r="T1000" t="str">
        <f t="shared" si="77"/>
        <v>Low</v>
      </c>
      <c r="U1000" t="str" cm="1">
        <f t="array" ref="U1000">_xlfn.LET(_xlpm.roles,_xlfn.UNIQUE(D1000:D3798),_xlpm.kills, SUMIF(D1000:D3798,_xlpm.roles,G1000:G3798),INDEX(_xlpm.roles,MATCH(MAX(_xlpm.kills),_xlpm.kills,0)))</f>
        <v>Entry Fragger</v>
      </c>
      <c r="V1000" t="str">
        <f t="shared" si="78"/>
        <v>Medium Accuracy</v>
      </c>
      <c r="W1000" t="str" cm="1">
        <f t="array" ref="W1000">_xlfn.LET(_xlpm.roles,_xlfn.UNIQUE(D1000:D3798), _xlpm.counts,COUNTIF(D1000:D3798,_xlpm.roles), INDEX(_xlpm.roles,MATCH(MAX(_xlpm.counts),_xlpm.counts,0)))</f>
        <v>Entry Fragger</v>
      </c>
      <c r="X1000" s="2">
        <f t="shared" si="79"/>
        <v>13.057077625570777</v>
      </c>
    </row>
    <row r="1001" spans="1:24" x14ac:dyDescent="0.3">
      <c r="A1001">
        <v>290</v>
      </c>
      <c r="B1001">
        <v>176</v>
      </c>
      <c r="C1001" t="s">
        <v>16</v>
      </c>
      <c r="D1001" t="s">
        <v>36</v>
      </c>
      <c r="E1001" t="s">
        <v>18</v>
      </c>
      <c r="F1001" t="s">
        <v>24</v>
      </c>
      <c r="G1001">
        <v>17</v>
      </c>
      <c r="H1001">
        <v>8</v>
      </c>
      <c r="I1001">
        <v>10</v>
      </c>
      <c r="J1001">
        <v>34.08</v>
      </c>
      <c r="K1001">
        <v>223.05</v>
      </c>
      <c r="L1001">
        <v>0.36</v>
      </c>
      <c r="M1001">
        <v>45.44</v>
      </c>
      <c r="N1001">
        <v>0.96</v>
      </c>
      <c r="O1001" t="s">
        <v>20</v>
      </c>
      <c r="P1001" t="s">
        <v>21</v>
      </c>
      <c r="Q1001">
        <f t="shared" si="75"/>
        <v>15</v>
      </c>
      <c r="R1001" s="4">
        <f>RANK(N1001,$N$2:N$2800,0)</f>
        <v>1301</v>
      </c>
      <c r="S1001">
        <f t="shared" si="76"/>
        <v>1.7</v>
      </c>
      <c r="T1001" t="str">
        <f t="shared" si="77"/>
        <v>Good</v>
      </c>
      <c r="U1001" t="str" cm="1">
        <f t="array" ref="U1001">_xlfn.LET(_xlpm.roles,_xlfn.UNIQUE(D1001:D3799),_xlpm.kills, SUMIF(D1001:D3799,_xlpm.roles,G1001:G3799),INDEX(_xlpm.roles,MATCH(MAX(_xlpm.kills),_xlpm.kills,0)))</f>
        <v>Entry Fragger</v>
      </c>
      <c r="V1001" t="str">
        <f t="shared" si="78"/>
        <v>Medium Accuracy</v>
      </c>
      <c r="W1001" t="str" cm="1">
        <f t="array" ref="W1001">_xlfn.LET(_xlpm.roles,_xlfn.UNIQUE(D1001:D3799), _xlpm.counts,COUNTIF(D1001:D3799,_xlpm.roles), INDEX(_xlpm.roles,MATCH(MAX(_xlpm.counts),_xlpm.counts,0)))</f>
        <v>Entry Fragger</v>
      </c>
      <c r="X1001" s="2">
        <f t="shared" si="79"/>
        <v>12.520971302428256</v>
      </c>
    </row>
    <row r="1002" spans="1:24" x14ac:dyDescent="0.3">
      <c r="A1002">
        <v>2347</v>
      </c>
      <c r="B1002">
        <v>176</v>
      </c>
      <c r="C1002" t="s">
        <v>27</v>
      </c>
      <c r="D1002" t="s">
        <v>36</v>
      </c>
      <c r="E1002" t="s">
        <v>33</v>
      </c>
      <c r="F1002" t="s">
        <v>24</v>
      </c>
      <c r="G1002">
        <v>16</v>
      </c>
      <c r="H1002">
        <v>3</v>
      </c>
      <c r="I1002">
        <v>10</v>
      </c>
      <c r="J1002">
        <v>48.38</v>
      </c>
      <c r="K1002">
        <v>229.23</v>
      </c>
      <c r="L1002">
        <v>0.37</v>
      </c>
      <c r="M1002">
        <v>45.49</v>
      </c>
      <c r="N1002">
        <v>1</v>
      </c>
      <c r="O1002" t="s">
        <v>20</v>
      </c>
      <c r="P1002" t="s">
        <v>21</v>
      </c>
      <c r="Q1002">
        <f t="shared" si="75"/>
        <v>9</v>
      </c>
      <c r="R1002" s="4">
        <f>RANK(N1002,$N$2:N$2800,0)</f>
        <v>1</v>
      </c>
      <c r="S1002">
        <f t="shared" si="76"/>
        <v>1.6</v>
      </c>
      <c r="T1002" t="str">
        <f t="shared" si="77"/>
        <v>Low</v>
      </c>
      <c r="U1002" t="str" cm="1">
        <f t="array" ref="U1002">_xlfn.LET(_xlpm.roles,_xlfn.UNIQUE(D1002:D3800),_xlpm.kills, SUMIF(D1002:D3800,_xlpm.roles,G1002:G3800),INDEX(_xlpm.roles,MATCH(MAX(_xlpm.kills),_xlpm.kills,0)))</f>
        <v>Entry Fragger</v>
      </c>
      <c r="V1002" t="str">
        <f t="shared" si="78"/>
        <v>Medium Accuracy</v>
      </c>
      <c r="W1002" t="str" cm="1">
        <f t="array" ref="W1002">_xlfn.LET(_xlpm.roles,_xlfn.UNIQUE(D1002:D3800), _xlpm.counts,COUNTIF(D1002:D3800,_xlpm.roles), INDEX(_xlpm.roles,MATCH(MAX(_xlpm.counts),_xlpm.counts,0)))</f>
        <v>Entry Fragger</v>
      </c>
      <c r="X1002" s="2">
        <f t="shared" si="79"/>
        <v>13.057077625570777</v>
      </c>
    </row>
    <row r="1003" spans="1:24" x14ac:dyDescent="0.3">
      <c r="A1003">
        <v>260</v>
      </c>
      <c r="B1003">
        <v>177</v>
      </c>
      <c r="C1003" t="s">
        <v>27</v>
      </c>
      <c r="D1003" t="s">
        <v>28</v>
      </c>
      <c r="E1003" t="s">
        <v>29</v>
      </c>
      <c r="F1003" t="s">
        <v>19</v>
      </c>
      <c r="G1003">
        <v>19</v>
      </c>
      <c r="H1003">
        <v>7</v>
      </c>
      <c r="I1003">
        <v>12</v>
      </c>
      <c r="J1003">
        <v>56.24</v>
      </c>
      <c r="K1003">
        <v>224.28</v>
      </c>
      <c r="L1003">
        <v>0.24</v>
      </c>
      <c r="M1003">
        <v>58.72</v>
      </c>
      <c r="N1003">
        <v>1</v>
      </c>
      <c r="O1003" t="s">
        <v>20</v>
      </c>
      <c r="P1003" t="s">
        <v>21</v>
      </c>
      <c r="Q1003">
        <f t="shared" si="75"/>
        <v>14</v>
      </c>
      <c r="R1003" s="4">
        <f>RANK(N1003,$N$2:N$2800,0)</f>
        <v>1</v>
      </c>
      <c r="S1003">
        <f t="shared" si="76"/>
        <v>1.5833333333333333</v>
      </c>
      <c r="T1003" t="str">
        <f t="shared" si="77"/>
        <v>Low</v>
      </c>
      <c r="U1003" t="str" cm="1">
        <f t="array" ref="U1003">_xlfn.LET(_xlpm.roles,_xlfn.UNIQUE(D1003:D3801),_xlpm.kills, SUMIF(D1003:D3801,_xlpm.roles,G1003:G3801),INDEX(_xlpm.roles,MATCH(MAX(_xlpm.kills),_xlpm.kills,0)))</f>
        <v>Entry Fragger</v>
      </c>
      <c r="V1003" t="str">
        <f t="shared" si="78"/>
        <v>High Accuracy</v>
      </c>
      <c r="W1003" t="str" cm="1">
        <f t="array" ref="W1003">_xlfn.LET(_xlpm.roles,_xlfn.UNIQUE(D1003:D3801), _xlpm.counts,COUNTIF(D1003:D3801,_xlpm.roles), INDEX(_xlpm.roles,MATCH(MAX(_xlpm.counts),_xlpm.counts,0)))</f>
        <v>Entry Fragger</v>
      </c>
      <c r="X1003" s="2">
        <f t="shared" si="79"/>
        <v>13.057077625570777</v>
      </c>
    </row>
    <row r="1004" spans="1:24" x14ac:dyDescent="0.3">
      <c r="A1004">
        <v>1248</v>
      </c>
      <c r="B1004">
        <v>177</v>
      </c>
      <c r="C1004" t="s">
        <v>25</v>
      </c>
      <c r="D1004" t="s">
        <v>36</v>
      </c>
      <c r="E1004" t="s">
        <v>33</v>
      </c>
      <c r="F1004" t="s">
        <v>37</v>
      </c>
      <c r="G1004">
        <v>14</v>
      </c>
      <c r="H1004">
        <v>10</v>
      </c>
      <c r="I1004">
        <v>7</v>
      </c>
      <c r="J1004">
        <v>50.55</v>
      </c>
      <c r="K1004">
        <v>254.53</v>
      </c>
      <c r="L1004">
        <v>0.18</v>
      </c>
      <c r="M1004">
        <v>54.48</v>
      </c>
      <c r="N1004">
        <v>1</v>
      </c>
      <c r="O1004" t="s">
        <v>20</v>
      </c>
      <c r="P1004" t="s">
        <v>21</v>
      </c>
      <c r="Q1004">
        <f t="shared" si="75"/>
        <v>17</v>
      </c>
      <c r="R1004" s="4">
        <f>RANK(N1004,$N$2:N$2800,0)</f>
        <v>1</v>
      </c>
      <c r="S1004">
        <f t="shared" si="76"/>
        <v>2</v>
      </c>
      <c r="T1004" t="str">
        <f t="shared" si="77"/>
        <v>Good</v>
      </c>
      <c r="U1004" t="str" cm="1">
        <f t="array" ref="U1004">_xlfn.LET(_xlpm.roles,_xlfn.UNIQUE(D1004:D3802),_xlpm.kills, SUMIF(D1004:D3802,_xlpm.roles,G1004:G3802),INDEX(_xlpm.roles,MATCH(MAX(_xlpm.kills),_xlpm.kills,0)))</f>
        <v>Entry Fragger</v>
      </c>
      <c r="V1004" t="str">
        <f t="shared" si="78"/>
        <v>High Accuracy</v>
      </c>
      <c r="W1004" t="str" cm="1">
        <f t="array" ref="W1004">_xlfn.LET(_xlpm.roles,_xlfn.UNIQUE(D1004:D3802), _xlpm.counts,COUNTIF(D1004:D3802,_xlpm.roles), INDEX(_xlpm.roles,MATCH(MAX(_xlpm.counts),_xlpm.counts,0)))</f>
        <v>Entry Fragger</v>
      </c>
      <c r="X1004" s="2">
        <f t="shared" si="79"/>
        <v>12.809421841541756</v>
      </c>
    </row>
    <row r="1005" spans="1:24" x14ac:dyDescent="0.3">
      <c r="A1005">
        <v>1366</v>
      </c>
      <c r="B1005">
        <v>177</v>
      </c>
      <c r="C1005" t="s">
        <v>30</v>
      </c>
      <c r="D1005" t="s">
        <v>22</v>
      </c>
      <c r="E1005" t="s">
        <v>23</v>
      </c>
      <c r="F1005" t="s">
        <v>34</v>
      </c>
      <c r="G1005">
        <v>13</v>
      </c>
      <c r="H1005">
        <v>10</v>
      </c>
      <c r="I1005">
        <v>12</v>
      </c>
      <c r="J1005">
        <v>36.83</v>
      </c>
      <c r="K1005">
        <v>216.79</v>
      </c>
      <c r="L1005">
        <v>0.82</v>
      </c>
      <c r="M1005">
        <v>34.22</v>
      </c>
      <c r="N1005">
        <v>0.9</v>
      </c>
      <c r="O1005" t="s">
        <v>20</v>
      </c>
      <c r="P1005" t="s">
        <v>21</v>
      </c>
      <c r="Q1005">
        <f t="shared" si="75"/>
        <v>11</v>
      </c>
      <c r="R1005" s="4">
        <f>RANK(N1005,$N$2:N$2800,0)</f>
        <v>1738</v>
      </c>
      <c r="S1005">
        <f t="shared" si="76"/>
        <v>1.0833333333333333</v>
      </c>
      <c r="T1005" t="str">
        <f t="shared" si="77"/>
        <v>Low</v>
      </c>
      <c r="U1005" t="str" cm="1">
        <f t="array" ref="U1005">_xlfn.LET(_xlpm.roles,_xlfn.UNIQUE(D1005:D3803),_xlpm.kills, SUMIF(D1005:D3803,_xlpm.roles,G1005:G3803),INDEX(_xlpm.roles,MATCH(MAX(_xlpm.kills),_xlpm.kills,0)))</f>
        <v>Entry Fragger</v>
      </c>
      <c r="V1005" t="str">
        <f t="shared" si="78"/>
        <v>Medium Accuracy</v>
      </c>
      <c r="W1005" t="str" cm="1">
        <f t="array" ref="W1005">_xlfn.LET(_xlpm.roles,_xlfn.UNIQUE(D1005:D3803), _xlpm.counts,COUNTIF(D1005:D3803,_xlpm.roles), INDEX(_xlpm.roles,MATCH(MAX(_xlpm.counts),_xlpm.counts,0)))</f>
        <v>Entry Fragger</v>
      </c>
      <c r="X1005" s="2">
        <f t="shared" si="79"/>
        <v>13.135802469135802</v>
      </c>
    </row>
    <row r="1006" spans="1:24" x14ac:dyDescent="0.3">
      <c r="A1006">
        <v>1367</v>
      </c>
      <c r="B1006">
        <v>177</v>
      </c>
      <c r="C1006" t="s">
        <v>30</v>
      </c>
      <c r="D1006" t="s">
        <v>22</v>
      </c>
      <c r="E1006" t="s">
        <v>32</v>
      </c>
      <c r="F1006" t="s">
        <v>26</v>
      </c>
      <c r="G1006">
        <v>12</v>
      </c>
      <c r="H1006">
        <v>13</v>
      </c>
      <c r="I1006">
        <v>14</v>
      </c>
      <c r="J1006">
        <v>54.59</v>
      </c>
      <c r="K1006">
        <v>211.21</v>
      </c>
      <c r="L1006">
        <v>0.09</v>
      </c>
      <c r="M1006">
        <v>49.4</v>
      </c>
      <c r="N1006">
        <v>1</v>
      </c>
      <c r="O1006" t="s">
        <v>20</v>
      </c>
      <c r="P1006" t="s">
        <v>21</v>
      </c>
      <c r="Q1006">
        <f t="shared" si="75"/>
        <v>11</v>
      </c>
      <c r="R1006" s="4">
        <f>RANK(N1006,$N$2:N$2800,0)</f>
        <v>1</v>
      </c>
      <c r="S1006">
        <f t="shared" si="76"/>
        <v>0.8571428571428571</v>
      </c>
      <c r="T1006" t="str">
        <f t="shared" si="77"/>
        <v>Low</v>
      </c>
      <c r="U1006" t="str" cm="1">
        <f t="array" ref="U1006">_xlfn.LET(_xlpm.roles,_xlfn.UNIQUE(D1006:D3804),_xlpm.kills, SUMIF(D1006:D3804,_xlpm.roles,G1006:G3804),INDEX(_xlpm.roles,MATCH(MAX(_xlpm.kills),_xlpm.kills,0)))</f>
        <v>Entry Fragger</v>
      </c>
      <c r="V1006" t="str">
        <f t="shared" si="78"/>
        <v>High Accuracy</v>
      </c>
      <c r="W1006" t="str" cm="1">
        <f t="array" ref="W1006">_xlfn.LET(_xlpm.roles,_xlfn.UNIQUE(D1006:D3804), _xlpm.counts,COUNTIF(D1006:D3804,_xlpm.roles), INDEX(_xlpm.roles,MATCH(MAX(_xlpm.counts),_xlpm.counts,0)))</f>
        <v>Entry Fragger</v>
      </c>
      <c r="X1006" s="2">
        <f t="shared" si="79"/>
        <v>13.135802469135802</v>
      </c>
    </row>
    <row r="1007" spans="1:24" x14ac:dyDescent="0.3">
      <c r="A1007">
        <v>1373</v>
      </c>
      <c r="B1007">
        <v>177</v>
      </c>
      <c r="C1007" t="s">
        <v>39</v>
      </c>
      <c r="D1007" t="s">
        <v>31</v>
      </c>
      <c r="E1007" t="s">
        <v>23</v>
      </c>
      <c r="F1007" t="s">
        <v>34</v>
      </c>
      <c r="G1007">
        <v>10</v>
      </c>
      <c r="H1007">
        <v>12</v>
      </c>
      <c r="I1007">
        <v>10</v>
      </c>
      <c r="J1007">
        <v>57.41</v>
      </c>
      <c r="K1007">
        <v>243.08</v>
      </c>
      <c r="L1007">
        <v>0.83</v>
      </c>
      <c r="M1007">
        <v>42.41</v>
      </c>
      <c r="N1007">
        <v>0.91</v>
      </c>
      <c r="O1007" t="s">
        <v>20</v>
      </c>
      <c r="P1007" t="s">
        <v>21</v>
      </c>
      <c r="Q1007">
        <f t="shared" si="75"/>
        <v>12</v>
      </c>
      <c r="R1007" s="4">
        <f>RANK(N1007,$N$2:N$2800,0)</f>
        <v>1665</v>
      </c>
      <c r="S1007">
        <f t="shared" si="76"/>
        <v>1</v>
      </c>
      <c r="T1007" t="str">
        <f t="shared" si="77"/>
        <v>Low</v>
      </c>
      <c r="U1007" t="str" cm="1">
        <f t="array" ref="U1007">_xlfn.LET(_xlpm.roles,_xlfn.UNIQUE(D1007:D3805),_xlpm.kills, SUMIF(D1007:D3805,_xlpm.roles,G1007:G3805),INDEX(_xlpm.roles,MATCH(MAX(_xlpm.kills),_xlpm.kills,0)))</f>
        <v>Entry Fragger</v>
      </c>
      <c r="V1007" t="str">
        <f t="shared" si="78"/>
        <v>High Accuracy</v>
      </c>
      <c r="W1007" t="str" cm="1">
        <f t="array" ref="W1007">_xlfn.LET(_xlpm.roles,_xlfn.UNIQUE(D1007:D3805), _xlpm.counts,COUNTIF(D1007:D3805,_xlpm.roles), INDEX(_xlpm.roles,MATCH(MAX(_xlpm.counts),_xlpm.counts,0)))</f>
        <v>Entry Fragger</v>
      </c>
      <c r="X1007" s="2">
        <f t="shared" si="79"/>
        <v>13.103594080338267</v>
      </c>
    </row>
    <row r="1008" spans="1:24" x14ac:dyDescent="0.3">
      <c r="A1008">
        <v>1414</v>
      </c>
      <c r="B1008">
        <v>177</v>
      </c>
      <c r="C1008" t="s">
        <v>39</v>
      </c>
      <c r="D1008" t="s">
        <v>31</v>
      </c>
      <c r="E1008" t="s">
        <v>23</v>
      </c>
      <c r="F1008" t="s">
        <v>24</v>
      </c>
      <c r="G1008">
        <v>13</v>
      </c>
      <c r="H1008">
        <v>15</v>
      </c>
      <c r="I1008">
        <v>8</v>
      </c>
      <c r="J1008">
        <v>32.619999999999997</v>
      </c>
      <c r="K1008">
        <v>186.53</v>
      </c>
      <c r="L1008">
        <v>0.39</v>
      </c>
      <c r="M1008">
        <v>45.41</v>
      </c>
      <c r="N1008">
        <v>0.96</v>
      </c>
      <c r="O1008" t="s">
        <v>20</v>
      </c>
      <c r="P1008" t="s">
        <v>21</v>
      </c>
      <c r="Q1008">
        <f t="shared" si="75"/>
        <v>20</v>
      </c>
      <c r="R1008" s="4">
        <f>RANK(N1008,$N$2:N$2800,0)</f>
        <v>1301</v>
      </c>
      <c r="S1008">
        <f t="shared" si="76"/>
        <v>1.625</v>
      </c>
      <c r="T1008" t="str">
        <f t="shared" si="77"/>
        <v>Good</v>
      </c>
      <c r="U1008" t="str" cm="1">
        <f t="array" ref="U1008">_xlfn.LET(_xlpm.roles,_xlfn.UNIQUE(D1008:D3806),_xlpm.kills, SUMIF(D1008:D3806,_xlpm.roles,G1008:G3806),INDEX(_xlpm.roles,MATCH(MAX(_xlpm.kills),_xlpm.kills,0)))</f>
        <v>Entry Fragger</v>
      </c>
      <c r="V1008" t="str">
        <f t="shared" si="78"/>
        <v>Medium Accuracy</v>
      </c>
      <c r="W1008" t="str" cm="1">
        <f t="array" ref="W1008">_xlfn.LET(_xlpm.roles,_xlfn.UNIQUE(D1008:D3806), _xlpm.counts,COUNTIF(D1008:D3806,_xlpm.roles), INDEX(_xlpm.roles,MATCH(MAX(_xlpm.counts),_xlpm.counts,0)))</f>
        <v>Entry Fragger</v>
      </c>
      <c r="X1008" s="2">
        <f t="shared" si="79"/>
        <v>13.103594080338267</v>
      </c>
    </row>
    <row r="1009" spans="1:24" x14ac:dyDescent="0.3">
      <c r="A1009">
        <v>1760</v>
      </c>
      <c r="B1009">
        <v>177</v>
      </c>
      <c r="C1009" t="s">
        <v>35</v>
      </c>
      <c r="D1009" t="s">
        <v>17</v>
      </c>
      <c r="E1009" t="s">
        <v>18</v>
      </c>
      <c r="F1009" t="s">
        <v>37</v>
      </c>
      <c r="G1009">
        <v>13</v>
      </c>
      <c r="H1009">
        <v>6</v>
      </c>
      <c r="I1009">
        <v>9</v>
      </c>
      <c r="J1009">
        <v>49.26</v>
      </c>
      <c r="K1009">
        <v>196.33</v>
      </c>
      <c r="L1009">
        <v>0.97</v>
      </c>
      <c r="M1009">
        <v>37.93</v>
      </c>
      <c r="N1009">
        <v>0.89</v>
      </c>
      <c r="O1009" t="s">
        <v>20</v>
      </c>
      <c r="P1009" t="s">
        <v>21</v>
      </c>
      <c r="Q1009">
        <f t="shared" si="75"/>
        <v>10</v>
      </c>
      <c r="R1009" s="4">
        <f>RANK(N1009,$N$2:N$2800,0)</f>
        <v>1815</v>
      </c>
      <c r="S1009">
        <f t="shared" si="76"/>
        <v>1.4444444444444444</v>
      </c>
      <c r="T1009" t="str">
        <f t="shared" si="77"/>
        <v>Low</v>
      </c>
      <c r="U1009" t="str" cm="1">
        <f t="array" ref="U1009">_xlfn.LET(_xlpm.roles,_xlfn.UNIQUE(D1009:D3807),_xlpm.kills, SUMIF(D1009:D3807,_xlpm.roles,G1009:G3807),INDEX(_xlpm.roles,MATCH(MAX(_xlpm.kills),_xlpm.kills,0)))</f>
        <v>Entry Fragger</v>
      </c>
      <c r="V1009" t="str">
        <f t="shared" si="78"/>
        <v>Medium Accuracy</v>
      </c>
      <c r="W1009" t="str" cm="1">
        <f t="array" ref="W1009">_xlfn.LET(_xlpm.roles,_xlfn.UNIQUE(D1009:D3807), _xlpm.counts,COUNTIF(D1009:D3807,_xlpm.roles), INDEX(_xlpm.roles,MATCH(MAX(_xlpm.counts),_xlpm.counts,0)))</f>
        <v>Entry Fragger</v>
      </c>
      <c r="X1009" s="2">
        <f t="shared" si="79"/>
        <v>12.599585062240664</v>
      </c>
    </row>
    <row r="1010" spans="1:24" x14ac:dyDescent="0.3">
      <c r="A1010">
        <v>2697</v>
      </c>
      <c r="B1010">
        <v>177</v>
      </c>
      <c r="C1010" t="s">
        <v>25</v>
      </c>
      <c r="D1010" t="s">
        <v>28</v>
      </c>
      <c r="E1010" t="s">
        <v>32</v>
      </c>
      <c r="F1010" t="s">
        <v>26</v>
      </c>
      <c r="G1010">
        <v>17</v>
      </c>
      <c r="H1010">
        <v>8</v>
      </c>
      <c r="I1010">
        <v>11</v>
      </c>
      <c r="J1010">
        <v>31.17</v>
      </c>
      <c r="K1010">
        <v>196.81</v>
      </c>
      <c r="L1010">
        <v>0.71</v>
      </c>
      <c r="M1010">
        <v>39.479999999999997</v>
      </c>
      <c r="N1010">
        <v>1</v>
      </c>
      <c r="O1010" t="s">
        <v>20</v>
      </c>
      <c r="P1010" t="s">
        <v>21</v>
      </c>
      <c r="Q1010">
        <f t="shared" si="75"/>
        <v>14</v>
      </c>
      <c r="R1010" s="4">
        <f>RANK(N1010,$N$2:N$2800,0)</f>
        <v>1</v>
      </c>
      <c r="S1010">
        <f t="shared" si="76"/>
        <v>1.5454545454545454</v>
      </c>
      <c r="T1010" t="str">
        <f t="shared" si="77"/>
        <v>Low</v>
      </c>
      <c r="U1010" t="str" cm="1">
        <f t="array" ref="U1010">_xlfn.LET(_xlpm.roles,_xlfn.UNIQUE(D1010:D3808),_xlpm.kills, SUMIF(D1010:D3808,_xlpm.roles,G1010:G3808),INDEX(_xlpm.roles,MATCH(MAX(_xlpm.kills),_xlpm.kills,0)))</f>
        <v>Entry Fragger</v>
      </c>
      <c r="V1010" t="str">
        <f t="shared" si="78"/>
        <v>Medium Accuracy</v>
      </c>
      <c r="W1010" t="str" cm="1">
        <f t="array" ref="W1010">_xlfn.LET(_xlpm.roles,_xlfn.UNIQUE(D1010:D3808), _xlpm.counts,COUNTIF(D1010:D3808,_xlpm.roles), INDEX(_xlpm.roles,MATCH(MAX(_xlpm.counts),_xlpm.counts,0)))</f>
        <v>Entry Fragger</v>
      </c>
      <c r="X1010" s="2">
        <f t="shared" si="79"/>
        <v>12.809421841541756</v>
      </c>
    </row>
    <row r="1011" spans="1:24" x14ac:dyDescent="0.3">
      <c r="A1011">
        <v>384</v>
      </c>
      <c r="B1011">
        <v>178</v>
      </c>
      <c r="C1011" t="s">
        <v>30</v>
      </c>
      <c r="D1011" t="s">
        <v>22</v>
      </c>
      <c r="E1011" t="s">
        <v>29</v>
      </c>
      <c r="F1011" t="s">
        <v>26</v>
      </c>
      <c r="G1011">
        <v>14</v>
      </c>
      <c r="H1011">
        <v>8</v>
      </c>
      <c r="I1011">
        <v>17</v>
      </c>
      <c r="J1011">
        <v>39.1</v>
      </c>
      <c r="K1011">
        <v>208</v>
      </c>
      <c r="L1011">
        <v>0.9</v>
      </c>
      <c r="M1011">
        <v>29.55</v>
      </c>
      <c r="N1011">
        <v>0.72</v>
      </c>
      <c r="O1011" t="s">
        <v>20</v>
      </c>
      <c r="P1011" t="s">
        <v>21</v>
      </c>
      <c r="Q1011">
        <f t="shared" si="75"/>
        <v>5</v>
      </c>
      <c r="R1011" s="4">
        <f>RANK(N1011,$N$2:N$2800,0)</f>
        <v>2663</v>
      </c>
      <c r="S1011">
        <f t="shared" si="76"/>
        <v>0.82352941176470584</v>
      </c>
      <c r="T1011" t="str">
        <f t="shared" si="77"/>
        <v>Low</v>
      </c>
      <c r="U1011" t="str" cm="1">
        <f t="array" ref="U1011">_xlfn.LET(_xlpm.roles,_xlfn.UNIQUE(D1011:D3809),_xlpm.kills, SUMIF(D1011:D3809,_xlpm.roles,G1011:G3809),INDEX(_xlpm.roles,MATCH(MAX(_xlpm.kills),_xlpm.kills,0)))</f>
        <v>Entry Fragger</v>
      </c>
      <c r="V1011" t="str">
        <f t="shared" si="78"/>
        <v>Medium Accuracy</v>
      </c>
      <c r="W1011" t="str" cm="1">
        <f t="array" ref="W1011">_xlfn.LET(_xlpm.roles,_xlfn.UNIQUE(D1011:D3809), _xlpm.counts,COUNTIF(D1011:D3809,_xlpm.roles), INDEX(_xlpm.roles,MATCH(MAX(_xlpm.counts),_xlpm.counts,0)))</f>
        <v>Entry Fragger</v>
      </c>
      <c r="X1011" s="2">
        <f t="shared" si="79"/>
        <v>13.135802469135802</v>
      </c>
    </row>
    <row r="1012" spans="1:24" x14ac:dyDescent="0.3">
      <c r="A1012">
        <v>624</v>
      </c>
      <c r="B1012">
        <v>178</v>
      </c>
      <c r="C1012" t="s">
        <v>39</v>
      </c>
      <c r="D1012" t="s">
        <v>22</v>
      </c>
      <c r="E1012" t="s">
        <v>23</v>
      </c>
      <c r="F1012" t="s">
        <v>24</v>
      </c>
      <c r="G1012">
        <v>10</v>
      </c>
      <c r="H1012">
        <v>10</v>
      </c>
      <c r="I1012">
        <v>9</v>
      </c>
      <c r="J1012">
        <v>38.869999999999997</v>
      </c>
      <c r="K1012">
        <v>222.61</v>
      </c>
      <c r="L1012">
        <v>0.86</v>
      </c>
      <c r="M1012">
        <v>31.84</v>
      </c>
      <c r="N1012">
        <v>0.72</v>
      </c>
      <c r="O1012" t="s">
        <v>20</v>
      </c>
      <c r="P1012" t="s">
        <v>21</v>
      </c>
      <c r="Q1012">
        <f t="shared" si="75"/>
        <v>11</v>
      </c>
      <c r="R1012" s="4">
        <f>RANK(N1012,$N$2:N$2800,0)</f>
        <v>2663</v>
      </c>
      <c r="S1012">
        <f t="shared" si="76"/>
        <v>1.1111111111111112</v>
      </c>
      <c r="T1012" t="str">
        <f t="shared" si="77"/>
        <v>Low</v>
      </c>
      <c r="U1012" t="str" cm="1">
        <f t="array" ref="U1012">_xlfn.LET(_xlpm.roles,_xlfn.UNIQUE(D1012:D3810),_xlpm.kills, SUMIF(D1012:D3810,_xlpm.roles,G1012:G3810),INDEX(_xlpm.roles,MATCH(MAX(_xlpm.kills),_xlpm.kills,0)))</f>
        <v>Entry Fragger</v>
      </c>
      <c r="V1012" t="str">
        <f t="shared" si="78"/>
        <v>Medium Accuracy</v>
      </c>
      <c r="W1012" t="str" cm="1">
        <f t="array" ref="W1012">_xlfn.LET(_xlpm.roles,_xlfn.UNIQUE(D1012:D3810), _xlpm.counts,COUNTIF(D1012:D3810,_xlpm.roles), INDEX(_xlpm.roles,MATCH(MAX(_xlpm.counts),_xlpm.counts,0)))</f>
        <v>Entry Fragger</v>
      </c>
      <c r="X1012" s="2">
        <f t="shared" si="79"/>
        <v>13.103594080338267</v>
      </c>
    </row>
    <row r="1013" spans="1:24" x14ac:dyDescent="0.3">
      <c r="A1013">
        <v>1177</v>
      </c>
      <c r="B1013">
        <v>178</v>
      </c>
      <c r="C1013" t="s">
        <v>16</v>
      </c>
      <c r="D1013" t="s">
        <v>31</v>
      </c>
      <c r="E1013" t="s">
        <v>23</v>
      </c>
      <c r="F1013" t="s">
        <v>19</v>
      </c>
      <c r="G1013">
        <v>14</v>
      </c>
      <c r="H1013">
        <v>7</v>
      </c>
      <c r="I1013">
        <v>10</v>
      </c>
      <c r="J1013">
        <v>23.99</v>
      </c>
      <c r="K1013">
        <v>215.11</v>
      </c>
      <c r="L1013">
        <v>0.89</v>
      </c>
      <c r="M1013">
        <v>28.09</v>
      </c>
      <c r="N1013">
        <v>0.68</v>
      </c>
      <c r="O1013" t="s">
        <v>20</v>
      </c>
      <c r="P1013" t="s">
        <v>21</v>
      </c>
      <c r="Q1013">
        <f t="shared" si="75"/>
        <v>11</v>
      </c>
      <c r="R1013" s="4">
        <f>RANK(N1013,$N$2:N$2800,0)</f>
        <v>2719</v>
      </c>
      <c r="S1013">
        <f t="shared" si="76"/>
        <v>1.4</v>
      </c>
      <c r="T1013" t="str">
        <f t="shared" si="77"/>
        <v>Low</v>
      </c>
      <c r="U1013" t="str" cm="1">
        <f t="array" ref="U1013">_xlfn.LET(_xlpm.roles,_xlfn.UNIQUE(D1013:D3811),_xlpm.kills, SUMIF(D1013:D3811,_xlpm.roles,G1013:G3811),INDEX(_xlpm.roles,MATCH(MAX(_xlpm.kills),_xlpm.kills,0)))</f>
        <v>Entry Fragger</v>
      </c>
      <c r="V1013" t="str">
        <f t="shared" si="78"/>
        <v>Low Accuracy</v>
      </c>
      <c r="W1013" t="str" cm="1">
        <f t="array" ref="W1013">_xlfn.LET(_xlpm.roles,_xlfn.UNIQUE(D1013:D3811), _xlpm.counts,COUNTIF(D1013:D3811,_xlpm.roles), INDEX(_xlpm.roles,MATCH(MAX(_xlpm.counts),_xlpm.counts,0)))</f>
        <v>Entry Fragger</v>
      </c>
      <c r="X1013" s="2">
        <f t="shared" si="79"/>
        <v>12.520971302428256</v>
      </c>
    </row>
    <row r="1014" spans="1:24" x14ac:dyDescent="0.3">
      <c r="A1014">
        <v>2750</v>
      </c>
      <c r="B1014">
        <v>178</v>
      </c>
      <c r="C1014" t="s">
        <v>35</v>
      </c>
      <c r="D1014" t="s">
        <v>17</v>
      </c>
      <c r="E1014" t="s">
        <v>18</v>
      </c>
      <c r="F1014" t="s">
        <v>34</v>
      </c>
      <c r="G1014">
        <v>16</v>
      </c>
      <c r="H1014">
        <v>7</v>
      </c>
      <c r="I1014">
        <v>11</v>
      </c>
      <c r="J1014">
        <v>52.74</v>
      </c>
      <c r="K1014">
        <v>217.57</v>
      </c>
      <c r="L1014">
        <v>0.88</v>
      </c>
      <c r="M1014">
        <v>45.57</v>
      </c>
      <c r="N1014">
        <v>0.82</v>
      </c>
      <c r="O1014" t="s">
        <v>20</v>
      </c>
      <c r="P1014" t="s">
        <v>21</v>
      </c>
      <c r="Q1014">
        <f t="shared" si="75"/>
        <v>12</v>
      </c>
      <c r="R1014" s="4">
        <f>RANK(N1014,$N$2:N$2800,0)</f>
        <v>2275</v>
      </c>
      <c r="S1014">
        <f t="shared" si="76"/>
        <v>1.4545454545454546</v>
      </c>
      <c r="T1014" t="str">
        <f t="shared" si="77"/>
        <v>Low</v>
      </c>
      <c r="U1014" t="str" cm="1">
        <f t="array" ref="U1014">_xlfn.LET(_xlpm.roles,_xlfn.UNIQUE(D1014:D3812),_xlpm.kills, SUMIF(D1014:D3812,_xlpm.roles,G1014:G3812),INDEX(_xlpm.roles,MATCH(MAX(_xlpm.kills),_xlpm.kills,0)))</f>
        <v>Entry Fragger</v>
      </c>
      <c r="V1014" t="str">
        <f t="shared" si="78"/>
        <v>High Accuracy</v>
      </c>
      <c r="W1014" t="str" cm="1">
        <f t="array" ref="W1014">_xlfn.LET(_xlpm.roles,_xlfn.UNIQUE(D1014:D3812), _xlpm.counts,COUNTIF(D1014:D3812,_xlpm.roles), INDEX(_xlpm.roles,MATCH(MAX(_xlpm.counts),_xlpm.counts,0)))</f>
        <v>Entry Fragger</v>
      </c>
      <c r="X1014" s="2">
        <f t="shared" si="79"/>
        <v>12.599585062240664</v>
      </c>
    </row>
    <row r="1015" spans="1:24" x14ac:dyDescent="0.3">
      <c r="A1015">
        <v>674</v>
      </c>
      <c r="B1015">
        <v>179</v>
      </c>
      <c r="C1015" t="s">
        <v>39</v>
      </c>
      <c r="D1015" t="s">
        <v>22</v>
      </c>
      <c r="E1015" t="s">
        <v>32</v>
      </c>
      <c r="F1015" t="s">
        <v>26</v>
      </c>
      <c r="G1015">
        <v>18</v>
      </c>
      <c r="H1015">
        <v>11</v>
      </c>
      <c r="I1015">
        <v>11</v>
      </c>
      <c r="J1015">
        <v>43.27</v>
      </c>
      <c r="K1015">
        <v>213.32</v>
      </c>
      <c r="L1015">
        <v>0.23</v>
      </c>
      <c r="M1015">
        <v>55.34</v>
      </c>
      <c r="N1015">
        <v>0.89</v>
      </c>
      <c r="O1015" t="s">
        <v>20</v>
      </c>
      <c r="P1015" t="s">
        <v>21</v>
      </c>
      <c r="Q1015">
        <f t="shared" si="75"/>
        <v>18</v>
      </c>
      <c r="R1015" s="4">
        <f>RANK(N1015,$N$2:N$2800,0)</f>
        <v>1815</v>
      </c>
      <c r="S1015">
        <f t="shared" si="76"/>
        <v>1.6363636363636365</v>
      </c>
      <c r="T1015" t="str">
        <f t="shared" si="77"/>
        <v>Good</v>
      </c>
      <c r="U1015" t="str" cm="1">
        <f t="array" ref="U1015">_xlfn.LET(_xlpm.roles,_xlfn.UNIQUE(D1015:D3813),_xlpm.kills, SUMIF(D1015:D3813,_xlpm.roles,G1015:G3813),INDEX(_xlpm.roles,MATCH(MAX(_xlpm.kills),_xlpm.kills,0)))</f>
        <v>Entry Fragger</v>
      </c>
      <c r="V1015" t="str">
        <f t="shared" si="78"/>
        <v>Medium Accuracy</v>
      </c>
      <c r="W1015" t="str" cm="1">
        <f t="array" ref="W1015">_xlfn.LET(_xlpm.roles,_xlfn.UNIQUE(D1015:D3813), _xlpm.counts,COUNTIF(D1015:D3813,_xlpm.roles), INDEX(_xlpm.roles,MATCH(MAX(_xlpm.counts),_xlpm.counts,0)))</f>
        <v>Entry Fragger</v>
      </c>
      <c r="X1015" s="2">
        <f t="shared" si="79"/>
        <v>13.103594080338267</v>
      </c>
    </row>
    <row r="1016" spans="1:24" x14ac:dyDescent="0.3">
      <c r="A1016">
        <v>1619</v>
      </c>
      <c r="B1016">
        <v>179</v>
      </c>
      <c r="C1016" t="s">
        <v>30</v>
      </c>
      <c r="D1016" t="s">
        <v>31</v>
      </c>
      <c r="E1016" t="s">
        <v>29</v>
      </c>
      <c r="F1016" t="s">
        <v>24</v>
      </c>
      <c r="G1016">
        <v>19</v>
      </c>
      <c r="H1016">
        <v>10</v>
      </c>
      <c r="I1016">
        <v>5</v>
      </c>
      <c r="J1016">
        <v>41.3</v>
      </c>
      <c r="K1016">
        <v>156.69</v>
      </c>
      <c r="L1016">
        <v>0.56999999999999995</v>
      </c>
      <c r="M1016">
        <v>57.95</v>
      </c>
      <c r="N1016">
        <v>1</v>
      </c>
      <c r="O1016" t="s">
        <v>20</v>
      </c>
      <c r="P1016" t="s">
        <v>21</v>
      </c>
      <c r="Q1016">
        <f t="shared" si="75"/>
        <v>24</v>
      </c>
      <c r="R1016" s="4">
        <f>RANK(N1016,$N$2:N$2800,0)</f>
        <v>1</v>
      </c>
      <c r="S1016">
        <f t="shared" si="76"/>
        <v>3.8</v>
      </c>
      <c r="T1016" t="str">
        <f t="shared" si="77"/>
        <v>Good</v>
      </c>
      <c r="U1016" t="str" cm="1">
        <f t="array" ref="U1016">_xlfn.LET(_xlpm.roles,_xlfn.UNIQUE(D1016:D3814),_xlpm.kills, SUMIF(D1016:D3814,_xlpm.roles,G1016:G3814),INDEX(_xlpm.roles,MATCH(MAX(_xlpm.kills),_xlpm.kills,0)))</f>
        <v>Entry Fragger</v>
      </c>
      <c r="V1016" t="str">
        <f t="shared" si="78"/>
        <v>Medium Accuracy</v>
      </c>
      <c r="W1016" t="str" cm="1">
        <f t="array" ref="W1016">_xlfn.LET(_xlpm.roles,_xlfn.UNIQUE(D1016:D3814), _xlpm.counts,COUNTIF(D1016:D3814,_xlpm.roles), INDEX(_xlpm.roles,MATCH(MAX(_xlpm.counts),_xlpm.counts,0)))</f>
        <v>Entry Fragger</v>
      </c>
      <c r="X1016" s="2">
        <f t="shared" si="79"/>
        <v>13.135802469135802</v>
      </c>
    </row>
    <row r="1017" spans="1:24" x14ac:dyDescent="0.3">
      <c r="A1017">
        <v>1889</v>
      </c>
      <c r="B1017">
        <v>179</v>
      </c>
      <c r="C1017" t="s">
        <v>35</v>
      </c>
      <c r="D1017" t="s">
        <v>31</v>
      </c>
      <c r="E1017" t="s">
        <v>32</v>
      </c>
      <c r="F1017" t="s">
        <v>19</v>
      </c>
      <c r="G1017">
        <v>10</v>
      </c>
      <c r="H1017">
        <v>5</v>
      </c>
      <c r="I1017">
        <v>11</v>
      </c>
      <c r="J1017">
        <v>44.74</v>
      </c>
      <c r="K1017">
        <v>186.9</v>
      </c>
      <c r="L1017">
        <v>0.4</v>
      </c>
      <c r="M1017">
        <v>32.369999999999997</v>
      </c>
      <c r="N1017">
        <v>0.93</v>
      </c>
      <c r="O1017" t="s">
        <v>20</v>
      </c>
      <c r="P1017" t="s">
        <v>21</v>
      </c>
      <c r="Q1017">
        <f t="shared" si="75"/>
        <v>4</v>
      </c>
      <c r="R1017" s="4">
        <f>RANK(N1017,$N$2:N$2800,0)</f>
        <v>1505</v>
      </c>
      <c r="S1017">
        <f t="shared" si="76"/>
        <v>0.90909090909090906</v>
      </c>
      <c r="T1017" t="str">
        <f t="shared" si="77"/>
        <v>Low</v>
      </c>
      <c r="U1017" t="str" cm="1">
        <f t="array" ref="U1017">_xlfn.LET(_xlpm.roles,_xlfn.UNIQUE(D1017:D3815),_xlpm.kills, SUMIF(D1017:D3815,_xlpm.roles,G1017:G3815),INDEX(_xlpm.roles,MATCH(MAX(_xlpm.kills),_xlpm.kills,0)))</f>
        <v>Entry Fragger</v>
      </c>
      <c r="V1017" t="str">
        <f t="shared" si="78"/>
        <v>Medium Accuracy</v>
      </c>
      <c r="W1017" t="str" cm="1">
        <f t="array" ref="W1017">_xlfn.LET(_xlpm.roles,_xlfn.UNIQUE(D1017:D3815), _xlpm.counts,COUNTIF(D1017:D3815,_xlpm.roles), INDEX(_xlpm.roles,MATCH(MAX(_xlpm.counts),_xlpm.counts,0)))</f>
        <v>Entry Fragger</v>
      </c>
      <c r="X1017" s="2">
        <f t="shared" si="79"/>
        <v>12.599585062240664</v>
      </c>
    </row>
    <row r="1018" spans="1:24" x14ac:dyDescent="0.3">
      <c r="A1018">
        <v>2570</v>
      </c>
      <c r="B1018">
        <v>179</v>
      </c>
      <c r="C1018" t="s">
        <v>16</v>
      </c>
      <c r="D1018" t="s">
        <v>28</v>
      </c>
      <c r="E1018" t="s">
        <v>18</v>
      </c>
      <c r="F1018" t="s">
        <v>19</v>
      </c>
      <c r="G1018">
        <v>17</v>
      </c>
      <c r="H1018">
        <v>8</v>
      </c>
      <c r="I1018">
        <v>10</v>
      </c>
      <c r="J1018">
        <v>51.96</v>
      </c>
      <c r="K1018">
        <v>166.46</v>
      </c>
      <c r="L1018">
        <v>0</v>
      </c>
      <c r="M1018">
        <v>57.98</v>
      </c>
      <c r="N1018">
        <v>1</v>
      </c>
      <c r="O1018" t="s">
        <v>20</v>
      </c>
      <c r="P1018" t="s">
        <v>21</v>
      </c>
      <c r="Q1018">
        <f t="shared" si="75"/>
        <v>15</v>
      </c>
      <c r="R1018" s="4">
        <f>RANK(N1018,$N$2:N$2800,0)</f>
        <v>1</v>
      </c>
      <c r="S1018">
        <f t="shared" si="76"/>
        <v>1.7</v>
      </c>
      <c r="T1018" t="str">
        <f t="shared" si="77"/>
        <v>Good</v>
      </c>
      <c r="U1018" t="str" cm="1">
        <f t="array" ref="U1018">_xlfn.LET(_xlpm.roles,_xlfn.UNIQUE(D1018:D3816),_xlpm.kills, SUMIF(D1018:D3816,_xlpm.roles,G1018:G3816),INDEX(_xlpm.roles,MATCH(MAX(_xlpm.kills),_xlpm.kills,0)))</f>
        <v>Entry Fragger</v>
      </c>
      <c r="V1018" t="str">
        <f t="shared" si="78"/>
        <v>High Accuracy</v>
      </c>
      <c r="W1018" t="str" cm="1">
        <f t="array" ref="W1018">_xlfn.LET(_xlpm.roles,_xlfn.UNIQUE(D1018:D3816), _xlpm.counts,COUNTIF(D1018:D3816,_xlpm.roles), INDEX(_xlpm.roles,MATCH(MAX(_xlpm.counts),_xlpm.counts,0)))</f>
        <v>Entry Fragger</v>
      </c>
      <c r="X1018" s="2">
        <f t="shared" si="79"/>
        <v>12.520971302428256</v>
      </c>
    </row>
    <row r="1019" spans="1:24" x14ac:dyDescent="0.3">
      <c r="A1019">
        <v>88</v>
      </c>
      <c r="B1019">
        <v>180</v>
      </c>
      <c r="C1019" t="s">
        <v>30</v>
      </c>
      <c r="D1019" t="s">
        <v>22</v>
      </c>
      <c r="E1019" t="s">
        <v>32</v>
      </c>
      <c r="F1019" t="s">
        <v>37</v>
      </c>
      <c r="G1019">
        <v>9</v>
      </c>
      <c r="H1019">
        <v>12</v>
      </c>
      <c r="I1019">
        <v>13</v>
      </c>
      <c r="J1019">
        <v>34.35</v>
      </c>
      <c r="K1019">
        <v>237.05</v>
      </c>
      <c r="L1019">
        <v>0.3</v>
      </c>
      <c r="M1019">
        <v>31.17</v>
      </c>
      <c r="N1019">
        <v>0.87</v>
      </c>
      <c r="O1019" t="s">
        <v>20</v>
      </c>
      <c r="P1019" t="s">
        <v>21</v>
      </c>
      <c r="Q1019">
        <f t="shared" si="75"/>
        <v>8</v>
      </c>
      <c r="R1019" s="4">
        <f>RANK(N1019,$N$2:N$2800,0)</f>
        <v>1965</v>
      </c>
      <c r="S1019">
        <f t="shared" si="76"/>
        <v>0.69230769230769229</v>
      </c>
      <c r="T1019" t="str">
        <f t="shared" si="77"/>
        <v>Low</v>
      </c>
      <c r="U1019" t="str" cm="1">
        <f t="array" ref="U1019">_xlfn.LET(_xlpm.roles,_xlfn.UNIQUE(D1019:D3817),_xlpm.kills, SUMIF(D1019:D3817,_xlpm.roles,G1019:G3817),INDEX(_xlpm.roles,MATCH(MAX(_xlpm.kills),_xlpm.kills,0)))</f>
        <v>Entry Fragger</v>
      </c>
      <c r="V1019" t="str">
        <f t="shared" si="78"/>
        <v>Medium Accuracy</v>
      </c>
      <c r="W1019" t="str" cm="1">
        <f t="array" ref="W1019">_xlfn.LET(_xlpm.roles,_xlfn.UNIQUE(D1019:D3817), _xlpm.counts,COUNTIF(D1019:D3817,_xlpm.roles), INDEX(_xlpm.roles,MATCH(MAX(_xlpm.counts),_xlpm.counts,0)))</f>
        <v>Entry Fragger</v>
      </c>
      <c r="X1019" s="2">
        <f t="shared" si="79"/>
        <v>13.135802469135802</v>
      </c>
    </row>
    <row r="1020" spans="1:24" x14ac:dyDescent="0.3">
      <c r="A1020">
        <v>1537</v>
      </c>
      <c r="B1020">
        <v>180</v>
      </c>
      <c r="C1020" t="s">
        <v>35</v>
      </c>
      <c r="D1020" t="s">
        <v>17</v>
      </c>
      <c r="E1020" t="s">
        <v>29</v>
      </c>
      <c r="F1020" t="s">
        <v>19</v>
      </c>
      <c r="G1020">
        <v>15</v>
      </c>
      <c r="H1020">
        <v>5</v>
      </c>
      <c r="I1020">
        <v>11</v>
      </c>
      <c r="J1020">
        <v>56.23</v>
      </c>
      <c r="K1020">
        <v>215.07</v>
      </c>
      <c r="L1020">
        <v>0.33</v>
      </c>
      <c r="M1020">
        <v>48.81</v>
      </c>
      <c r="N1020">
        <v>0.92</v>
      </c>
      <c r="O1020" t="s">
        <v>20</v>
      </c>
      <c r="P1020" t="s">
        <v>21</v>
      </c>
      <c r="Q1020">
        <f t="shared" si="75"/>
        <v>9</v>
      </c>
      <c r="R1020" s="4">
        <f>RANK(N1020,$N$2:N$2800,0)</f>
        <v>1585</v>
      </c>
      <c r="S1020">
        <f t="shared" si="76"/>
        <v>1.3636363636363635</v>
      </c>
      <c r="T1020" t="str">
        <f t="shared" si="77"/>
        <v>Low</v>
      </c>
      <c r="U1020" t="str" cm="1">
        <f t="array" ref="U1020">_xlfn.LET(_xlpm.roles,_xlfn.UNIQUE(D1020:D3818),_xlpm.kills, SUMIF(D1020:D3818,_xlpm.roles,G1020:G3818),INDEX(_xlpm.roles,MATCH(MAX(_xlpm.kills),_xlpm.kills,0)))</f>
        <v>Entry Fragger</v>
      </c>
      <c r="V1020" t="str">
        <f t="shared" si="78"/>
        <v>High Accuracy</v>
      </c>
      <c r="W1020" t="str" cm="1">
        <f t="array" ref="W1020">_xlfn.LET(_xlpm.roles,_xlfn.UNIQUE(D1020:D3818), _xlpm.counts,COUNTIF(D1020:D3818,_xlpm.roles), INDEX(_xlpm.roles,MATCH(MAX(_xlpm.counts),_xlpm.counts,0)))</f>
        <v>Entry Fragger</v>
      </c>
      <c r="X1020" s="2">
        <f t="shared" si="79"/>
        <v>12.599585062240664</v>
      </c>
    </row>
    <row r="1021" spans="1:24" x14ac:dyDescent="0.3">
      <c r="A1021">
        <v>1569</v>
      </c>
      <c r="B1021">
        <v>180</v>
      </c>
      <c r="C1021" t="s">
        <v>27</v>
      </c>
      <c r="D1021" t="s">
        <v>36</v>
      </c>
      <c r="E1021" t="s">
        <v>18</v>
      </c>
      <c r="F1021" t="s">
        <v>34</v>
      </c>
      <c r="G1021">
        <v>13</v>
      </c>
      <c r="H1021">
        <v>9</v>
      </c>
      <c r="I1021">
        <v>8</v>
      </c>
      <c r="J1021">
        <v>46.58</v>
      </c>
      <c r="K1021">
        <v>226.12</v>
      </c>
      <c r="L1021">
        <v>0.1</v>
      </c>
      <c r="M1021">
        <v>49.29</v>
      </c>
      <c r="N1021">
        <v>0.85</v>
      </c>
      <c r="O1021" t="s">
        <v>20</v>
      </c>
      <c r="P1021" t="s">
        <v>21</v>
      </c>
      <c r="Q1021">
        <f t="shared" si="75"/>
        <v>14</v>
      </c>
      <c r="R1021" s="4">
        <f>RANK(N1021,$N$2:N$2800,0)</f>
        <v>2105</v>
      </c>
      <c r="S1021">
        <f t="shared" si="76"/>
        <v>1.625</v>
      </c>
      <c r="T1021" t="str">
        <f t="shared" si="77"/>
        <v>Low</v>
      </c>
      <c r="U1021" t="str" cm="1">
        <f t="array" ref="U1021">_xlfn.LET(_xlpm.roles,_xlfn.UNIQUE(D1021:D3819),_xlpm.kills, SUMIF(D1021:D3819,_xlpm.roles,G1021:G3819),INDEX(_xlpm.roles,MATCH(MAX(_xlpm.kills),_xlpm.kills,0)))</f>
        <v>Entry Fragger</v>
      </c>
      <c r="V1021" t="str">
        <f t="shared" si="78"/>
        <v>Medium Accuracy</v>
      </c>
      <c r="W1021" t="str" cm="1">
        <f t="array" ref="W1021">_xlfn.LET(_xlpm.roles,_xlfn.UNIQUE(D1021:D3819), _xlpm.counts,COUNTIF(D1021:D3819,_xlpm.roles), INDEX(_xlpm.roles,MATCH(MAX(_xlpm.counts),_xlpm.counts,0)))</f>
        <v>Entry Fragger</v>
      </c>
      <c r="X1021" s="2">
        <f t="shared" si="79"/>
        <v>13.057077625570777</v>
      </c>
    </row>
    <row r="1022" spans="1:24" x14ac:dyDescent="0.3">
      <c r="A1022">
        <v>1680</v>
      </c>
      <c r="B1022">
        <v>180</v>
      </c>
      <c r="C1022" t="s">
        <v>39</v>
      </c>
      <c r="D1022" t="s">
        <v>22</v>
      </c>
      <c r="E1022" t="s">
        <v>23</v>
      </c>
      <c r="F1022" t="s">
        <v>24</v>
      </c>
      <c r="G1022">
        <v>14</v>
      </c>
      <c r="H1022">
        <v>4</v>
      </c>
      <c r="I1022">
        <v>9</v>
      </c>
      <c r="J1022">
        <v>44.33</v>
      </c>
      <c r="K1022">
        <v>204.52</v>
      </c>
      <c r="L1022">
        <v>0.55000000000000004</v>
      </c>
      <c r="M1022">
        <v>39.659999999999997</v>
      </c>
      <c r="N1022">
        <v>0.92</v>
      </c>
      <c r="O1022" t="s">
        <v>20</v>
      </c>
      <c r="P1022" t="s">
        <v>21</v>
      </c>
      <c r="Q1022">
        <f t="shared" si="75"/>
        <v>9</v>
      </c>
      <c r="R1022" s="4">
        <f>RANK(N1022,$N$2:N$2800,0)</f>
        <v>1585</v>
      </c>
      <c r="S1022">
        <f t="shared" si="76"/>
        <v>1.5555555555555556</v>
      </c>
      <c r="T1022" t="str">
        <f t="shared" si="77"/>
        <v>Low</v>
      </c>
      <c r="U1022" t="str" cm="1">
        <f t="array" ref="U1022">_xlfn.LET(_xlpm.roles,_xlfn.UNIQUE(D1022:D3820),_xlpm.kills, SUMIF(D1022:D3820,_xlpm.roles,G1022:G3820),INDEX(_xlpm.roles,MATCH(MAX(_xlpm.kills),_xlpm.kills,0)))</f>
        <v>Entry Fragger</v>
      </c>
      <c r="V1022" t="str">
        <f t="shared" si="78"/>
        <v>Medium Accuracy</v>
      </c>
      <c r="W1022" t="str" cm="1">
        <f t="array" ref="W1022">_xlfn.LET(_xlpm.roles,_xlfn.UNIQUE(D1022:D3820), _xlpm.counts,COUNTIF(D1022:D3820,_xlpm.roles), INDEX(_xlpm.roles,MATCH(MAX(_xlpm.counts),_xlpm.counts,0)))</f>
        <v>Entry Fragger</v>
      </c>
      <c r="X1022" s="2">
        <f t="shared" si="79"/>
        <v>13.103594080338267</v>
      </c>
    </row>
    <row r="1023" spans="1:24" x14ac:dyDescent="0.3">
      <c r="A1023">
        <v>194</v>
      </c>
      <c r="B1023">
        <v>181</v>
      </c>
      <c r="C1023" t="s">
        <v>35</v>
      </c>
      <c r="D1023" t="s">
        <v>36</v>
      </c>
      <c r="E1023" t="s">
        <v>23</v>
      </c>
      <c r="F1023" t="s">
        <v>24</v>
      </c>
      <c r="G1023">
        <v>14</v>
      </c>
      <c r="H1023">
        <v>4</v>
      </c>
      <c r="I1023">
        <v>12</v>
      </c>
      <c r="J1023">
        <v>45.01</v>
      </c>
      <c r="K1023">
        <v>174.48</v>
      </c>
      <c r="L1023">
        <v>0.17</v>
      </c>
      <c r="M1023">
        <v>40.799999999999997</v>
      </c>
      <c r="N1023">
        <v>0.98</v>
      </c>
      <c r="O1023" t="s">
        <v>20</v>
      </c>
      <c r="P1023" t="s">
        <v>21</v>
      </c>
      <c r="Q1023">
        <f t="shared" si="75"/>
        <v>6</v>
      </c>
      <c r="R1023" s="4">
        <f>RANK(N1023,$N$2:N$2800,0)</f>
        <v>1157</v>
      </c>
      <c r="S1023">
        <f t="shared" si="76"/>
        <v>1.1666666666666667</v>
      </c>
      <c r="T1023" t="str">
        <f t="shared" si="77"/>
        <v>Low</v>
      </c>
      <c r="U1023" t="str" cm="1">
        <f t="array" ref="U1023">_xlfn.LET(_xlpm.roles,_xlfn.UNIQUE(D1023:D3821),_xlpm.kills, SUMIF(D1023:D3821,_xlpm.roles,G1023:G3821),INDEX(_xlpm.roles,MATCH(MAX(_xlpm.kills),_xlpm.kills,0)))</f>
        <v>Entry Fragger</v>
      </c>
      <c r="V1023" t="str">
        <f t="shared" si="78"/>
        <v>Medium Accuracy</v>
      </c>
      <c r="W1023" t="str" cm="1">
        <f t="array" ref="W1023">_xlfn.LET(_xlpm.roles,_xlfn.UNIQUE(D1023:D3821), _xlpm.counts,COUNTIF(D1023:D3821,_xlpm.roles), INDEX(_xlpm.roles,MATCH(MAX(_xlpm.counts),_xlpm.counts,0)))</f>
        <v>Entry Fragger</v>
      </c>
      <c r="X1023" s="2">
        <f t="shared" si="79"/>
        <v>12.599585062240664</v>
      </c>
    </row>
    <row r="1024" spans="1:24" x14ac:dyDescent="0.3">
      <c r="A1024">
        <v>401</v>
      </c>
      <c r="B1024">
        <v>181</v>
      </c>
      <c r="C1024" t="s">
        <v>35</v>
      </c>
      <c r="D1024" t="s">
        <v>22</v>
      </c>
      <c r="E1024" t="s">
        <v>29</v>
      </c>
      <c r="F1024" t="s">
        <v>26</v>
      </c>
      <c r="G1024">
        <v>13</v>
      </c>
      <c r="H1024">
        <v>9</v>
      </c>
      <c r="I1024">
        <v>7</v>
      </c>
      <c r="J1024">
        <v>48.94</v>
      </c>
      <c r="K1024">
        <v>245.01</v>
      </c>
      <c r="L1024">
        <v>0.79</v>
      </c>
      <c r="M1024">
        <v>44.57</v>
      </c>
      <c r="N1024">
        <v>0.84</v>
      </c>
      <c r="O1024" t="s">
        <v>20</v>
      </c>
      <c r="P1024" t="s">
        <v>21</v>
      </c>
      <c r="Q1024">
        <f t="shared" si="75"/>
        <v>15</v>
      </c>
      <c r="R1024" s="4">
        <f>RANK(N1024,$N$2:N$2800,0)</f>
        <v>2156</v>
      </c>
      <c r="S1024">
        <f t="shared" si="76"/>
        <v>1.8571428571428572</v>
      </c>
      <c r="T1024" t="str">
        <f t="shared" si="77"/>
        <v>Good</v>
      </c>
      <c r="U1024" t="str" cm="1">
        <f t="array" ref="U1024">_xlfn.LET(_xlpm.roles,_xlfn.UNIQUE(D1024:D3822),_xlpm.kills, SUMIF(D1024:D3822,_xlpm.roles,G1024:G3822),INDEX(_xlpm.roles,MATCH(MAX(_xlpm.kills),_xlpm.kills,0)))</f>
        <v>Entry Fragger</v>
      </c>
      <c r="V1024" t="str">
        <f t="shared" si="78"/>
        <v>Medium Accuracy</v>
      </c>
      <c r="W1024" t="str" cm="1">
        <f t="array" ref="W1024">_xlfn.LET(_xlpm.roles,_xlfn.UNIQUE(D1024:D3822), _xlpm.counts,COUNTIF(D1024:D3822,_xlpm.roles), INDEX(_xlpm.roles,MATCH(MAX(_xlpm.counts),_xlpm.counts,0)))</f>
        <v>Entry Fragger</v>
      </c>
      <c r="X1024" s="2">
        <f t="shared" si="79"/>
        <v>12.599585062240664</v>
      </c>
    </row>
    <row r="1025" spans="1:24" x14ac:dyDescent="0.3">
      <c r="A1025">
        <v>470</v>
      </c>
      <c r="B1025">
        <v>181</v>
      </c>
      <c r="C1025" t="s">
        <v>25</v>
      </c>
      <c r="D1025" t="s">
        <v>22</v>
      </c>
      <c r="E1025" t="s">
        <v>32</v>
      </c>
      <c r="F1025" t="s">
        <v>26</v>
      </c>
      <c r="G1025">
        <v>12</v>
      </c>
      <c r="H1025">
        <v>7</v>
      </c>
      <c r="I1025">
        <v>9</v>
      </c>
      <c r="J1025">
        <v>43.87</v>
      </c>
      <c r="K1025">
        <v>258.76</v>
      </c>
      <c r="L1025">
        <v>0.71</v>
      </c>
      <c r="M1025">
        <v>36.840000000000003</v>
      </c>
      <c r="N1025">
        <v>0.74</v>
      </c>
      <c r="O1025" t="s">
        <v>20</v>
      </c>
      <c r="P1025" t="s">
        <v>21</v>
      </c>
      <c r="Q1025">
        <f t="shared" si="75"/>
        <v>10</v>
      </c>
      <c r="R1025" s="4">
        <f>RANK(N1025,$N$2:N$2800,0)</f>
        <v>2613</v>
      </c>
      <c r="S1025">
        <f t="shared" si="76"/>
        <v>1.3333333333333333</v>
      </c>
      <c r="T1025" t="str">
        <f t="shared" si="77"/>
        <v>Low</v>
      </c>
      <c r="U1025" t="str" cm="1">
        <f t="array" ref="U1025">_xlfn.LET(_xlpm.roles,_xlfn.UNIQUE(D1025:D3823),_xlpm.kills, SUMIF(D1025:D3823,_xlpm.roles,G1025:G3823),INDEX(_xlpm.roles,MATCH(MAX(_xlpm.kills),_xlpm.kills,0)))</f>
        <v>Entry Fragger</v>
      </c>
      <c r="V1025" t="str">
        <f t="shared" si="78"/>
        <v>Medium Accuracy</v>
      </c>
      <c r="W1025" t="str" cm="1">
        <f t="array" ref="W1025">_xlfn.LET(_xlpm.roles,_xlfn.UNIQUE(D1025:D3823), _xlpm.counts,COUNTIF(D1025:D3823,_xlpm.roles), INDEX(_xlpm.roles,MATCH(MAX(_xlpm.counts),_xlpm.counts,0)))</f>
        <v>Entry Fragger</v>
      </c>
      <c r="X1025" s="2">
        <f t="shared" si="79"/>
        <v>12.809421841541756</v>
      </c>
    </row>
    <row r="1026" spans="1:24" x14ac:dyDescent="0.3">
      <c r="A1026">
        <v>1306</v>
      </c>
      <c r="B1026">
        <v>181</v>
      </c>
      <c r="C1026" t="s">
        <v>30</v>
      </c>
      <c r="D1026" t="s">
        <v>28</v>
      </c>
      <c r="E1026" t="s">
        <v>33</v>
      </c>
      <c r="F1026" t="s">
        <v>19</v>
      </c>
      <c r="G1026">
        <v>16</v>
      </c>
      <c r="H1026">
        <v>7</v>
      </c>
      <c r="I1026">
        <v>11</v>
      </c>
      <c r="J1026">
        <v>48.17</v>
      </c>
      <c r="K1026">
        <v>145.29</v>
      </c>
      <c r="L1026">
        <v>0.35</v>
      </c>
      <c r="M1026">
        <v>48.59</v>
      </c>
      <c r="N1026">
        <v>0.92</v>
      </c>
      <c r="O1026" t="s">
        <v>20</v>
      </c>
      <c r="P1026" t="s">
        <v>21</v>
      </c>
      <c r="Q1026">
        <f t="shared" si="75"/>
        <v>12</v>
      </c>
      <c r="R1026" s="4">
        <f>RANK(N1026,$N$2:N$2800,0)</f>
        <v>1585</v>
      </c>
      <c r="S1026">
        <f t="shared" si="76"/>
        <v>1.4545454545454546</v>
      </c>
      <c r="T1026" t="str">
        <f t="shared" si="77"/>
        <v>Low</v>
      </c>
      <c r="U1026" t="str" cm="1">
        <f t="array" ref="U1026">_xlfn.LET(_xlpm.roles,_xlfn.UNIQUE(D1026:D3824),_xlpm.kills, SUMIF(D1026:D3824,_xlpm.roles,G1026:G3824),INDEX(_xlpm.roles,MATCH(MAX(_xlpm.kills),_xlpm.kills,0)))</f>
        <v>Entry Fragger</v>
      </c>
      <c r="V1026" t="str">
        <f t="shared" si="78"/>
        <v>Medium Accuracy</v>
      </c>
      <c r="W1026" t="str" cm="1">
        <f t="array" ref="W1026">_xlfn.LET(_xlpm.roles,_xlfn.UNIQUE(D1026:D3824), _xlpm.counts,COUNTIF(D1026:D3824,_xlpm.roles), INDEX(_xlpm.roles,MATCH(MAX(_xlpm.counts),_xlpm.counts,0)))</f>
        <v>Entry Fragger</v>
      </c>
      <c r="X1026" s="2">
        <f t="shared" si="79"/>
        <v>13.135802469135802</v>
      </c>
    </row>
    <row r="1027" spans="1:24" x14ac:dyDescent="0.3">
      <c r="A1027">
        <v>1701</v>
      </c>
      <c r="B1027">
        <v>181</v>
      </c>
      <c r="C1027" t="s">
        <v>27</v>
      </c>
      <c r="D1027" t="s">
        <v>36</v>
      </c>
      <c r="E1027" t="s">
        <v>23</v>
      </c>
      <c r="F1027" t="s">
        <v>26</v>
      </c>
      <c r="G1027">
        <v>18</v>
      </c>
      <c r="H1027">
        <v>5</v>
      </c>
      <c r="I1027">
        <v>9</v>
      </c>
      <c r="J1027">
        <v>51.94</v>
      </c>
      <c r="K1027">
        <v>191.57</v>
      </c>
      <c r="L1027">
        <v>0.27</v>
      </c>
      <c r="M1027">
        <v>55.27</v>
      </c>
      <c r="N1027">
        <v>1</v>
      </c>
      <c r="O1027" t="s">
        <v>20</v>
      </c>
      <c r="P1027" t="s">
        <v>21</v>
      </c>
      <c r="Q1027">
        <f t="shared" ref="Q1027:Q1090" si="80">G1027+H1027-I1027</f>
        <v>14</v>
      </c>
      <c r="R1027" s="4">
        <f>RANK(N1027,$N$2:N$2800,0)</f>
        <v>1</v>
      </c>
      <c r="S1027">
        <f t="shared" ref="S1027:S1090" si="81">G1027/I1027</f>
        <v>2</v>
      </c>
      <c r="T1027" t="str">
        <f t="shared" ref="T1027:T1090" si="82">IF(Q1027&lt;15,"Low",IF(Q1027&lt;25,"Good","Excellent"))</f>
        <v>Low</v>
      </c>
      <c r="U1027" t="str" cm="1">
        <f t="array" ref="U1027">_xlfn.LET(_xlpm.roles,_xlfn.UNIQUE(D1027:D3825),_xlpm.kills, SUMIF(D1027:D3825,_xlpm.roles,G1027:G3825),INDEX(_xlpm.roles,MATCH(MAX(_xlpm.kills),_xlpm.kills,0)))</f>
        <v>Entry Fragger</v>
      </c>
      <c r="V1027" t="str">
        <f t="shared" ref="V1027:V1090" si="83">IF(J1027&gt;=50,"High Accuracy",IF(J1027&gt;=30,"Medium Accuracy","Low Accuracy"))</f>
        <v>High Accuracy</v>
      </c>
      <c r="W1027" t="str" cm="1">
        <f t="array" ref="W1027">_xlfn.LET(_xlpm.roles,_xlfn.UNIQUE(D1027:D3825), _xlpm.counts,COUNTIF(D1027:D3825,_xlpm.roles), INDEX(_xlpm.roles,MATCH(MAX(_xlpm.counts),_xlpm.counts,0)))</f>
        <v>Entry Fragger</v>
      </c>
      <c r="X1027" s="2">
        <f t="shared" ref="X1027:X1090" si="84">AVERAGEIF($C$2:$C$2800,C1027,$Q$2:$Q$2800)</f>
        <v>13.057077625570777</v>
      </c>
    </row>
    <row r="1028" spans="1:24" x14ac:dyDescent="0.3">
      <c r="A1028">
        <v>1898</v>
      </c>
      <c r="B1028">
        <v>181</v>
      </c>
      <c r="C1028" t="s">
        <v>35</v>
      </c>
      <c r="D1028" t="s">
        <v>36</v>
      </c>
      <c r="E1028" t="s">
        <v>32</v>
      </c>
      <c r="F1028" t="s">
        <v>24</v>
      </c>
      <c r="G1028">
        <v>17</v>
      </c>
      <c r="H1028">
        <v>4</v>
      </c>
      <c r="I1028">
        <v>9</v>
      </c>
      <c r="J1028">
        <v>47.98</v>
      </c>
      <c r="K1028">
        <v>213.2</v>
      </c>
      <c r="L1028">
        <v>0.04</v>
      </c>
      <c r="M1028">
        <v>52.59</v>
      </c>
      <c r="N1028">
        <v>0.89</v>
      </c>
      <c r="O1028" t="s">
        <v>20</v>
      </c>
      <c r="P1028" t="s">
        <v>21</v>
      </c>
      <c r="Q1028">
        <f t="shared" si="80"/>
        <v>12</v>
      </c>
      <c r="R1028" s="4">
        <f>RANK(N1028,$N$2:N$2800,0)</f>
        <v>1815</v>
      </c>
      <c r="S1028">
        <f t="shared" si="81"/>
        <v>1.8888888888888888</v>
      </c>
      <c r="T1028" t="str">
        <f t="shared" si="82"/>
        <v>Low</v>
      </c>
      <c r="U1028" t="str" cm="1">
        <f t="array" ref="U1028">_xlfn.LET(_xlpm.roles,_xlfn.UNIQUE(D1028:D3826),_xlpm.kills, SUMIF(D1028:D3826,_xlpm.roles,G1028:G3826),INDEX(_xlpm.roles,MATCH(MAX(_xlpm.kills),_xlpm.kills,0)))</f>
        <v>Entry Fragger</v>
      </c>
      <c r="V1028" t="str">
        <f t="shared" si="83"/>
        <v>Medium Accuracy</v>
      </c>
      <c r="W1028" t="str" cm="1">
        <f t="array" ref="W1028">_xlfn.LET(_xlpm.roles,_xlfn.UNIQUE(D1028:D3826), _xlpm.counts,COUNTIF(D1028:D3826,_xlpm.roles), INDEX(_xlpm.roles,MATCH(MAX(_xlpm.counts),_xlpm.counts,0)))</f>
        <v>Entry Fragger</v>
      </c>
      <c r="X1028" s="2">
        <f t="shared" si="84"/>
        <v>12.599585062240664</v>
      </c>
    </row>
    <row r="1029" spans="1:24" x14ac:dyDescent="0.3">
      <c r="A1029">
        <v>2144</v>
      </c>
      <c r="B1029">
        <v>181</v>
      </c>
      <c r="C1029" t="s">
        <v>27</v>
      </c>
      <c r="D1029" t="s">
        <v>31</v>
      </c>
      <c r="E1029" t="s">
        <v>23</v>
      </c>
      <c r="F1029" t="s">
        <v>37</v>
      </c>
      <c r="G1029">
        <v>8</v>
      </c>
      <c r="H1029">
        <v>10</v>
      </c>
      <c r="I1029">
        <v>12</v>
      </c>
      <c r="J1029">
        <v>45.7</v>
      </c>
      <c r="K1029">
        <v>200.11</v>
      </c>
      <c r="L1029">
        <v>0.08</v>
      </c>
      <c r="M1029">
        <v>36.049999999999997</v>
      </c>
      <c r="N1029">
        <v>0.8</v>
      </c>
      <c r="O1029" t="s">
        <v>20</v>
      </c>
      <c r="P1029" t="s">
        <v>21</v>
      </c>
      <c r="Q1029">
        <f t="shared" si="80"/>
        <v>6</v>
      </c>
      <c r="R1029" s="4">
        <f>RANK(N1029,$N$2:N$2800,0)</f>
        <v>2393</v>
      </c>
      <c r="S1029">
        <f t="shared" si="81"/>
        <v>0.66666666666666663</v>
      </c>
      <c r="T1029" t="str">
        <f t="shared" si="82"/>
        <v>Low</v>
      </c>
      <c r="U1029" t="str" cm="1">
        <f t="array" ref="U1029">_xlfn.LET(_xlpm.roles,_xlfn.UNIQUE(D1029:D3827),_xlpm.kills, SUMIF(D1029:D3827,_xlpm.roles,G1029:G3827),INDEX(_xlpm.roles,MATCH(MAX(_xlpm.kills),_xlpm.kills,0)))</f>
        <v>Entry Fragger</v>
      </c>
      <c r="V1029" t="str">
        <f t="shared" si="83"/>
        <v>Medium Accuracy</v>
      </c>
      <c r="W1029" t="str" cm="1">
        <f t="array" ref="W1029">_xlfn.LET(_xlpm.roles,_xlfn.UNIQUE(D1029:D3827), _xlpm.counts,COUNTIF(D1029:D3827,_xlpm.roles), INDEX(_xlpm.roles,MATCH(MAX(_xlpm.counts),_xlpm.counts,0)))</f>
        <v>Entry Fragger</v>
      </c>
      <c r="X1029" s="2">
        <f t="shared" si="84"/>
        <v>13.057077625570777</v>
      </c>
    </row>
    <row r="1030" spans="1:24" x14ac:dyDescent="0.3">
      <c r="A1030">
        <v>298</v>
      </c>
      <c r="B1030">
        <v>182</v>
      </c>
      <c r="C1030" t="s">
        <v>16</v>
      </c>
      <c r="D1030" t="s">
        <v>17</v>
      </c>
      <c r="E1030" t="s">
        <v>29</v>
      </c>
      <c r="F1030" t="s">
        <v>34</v>
      </c>
      <c r="G1030">
        <v>15</v>
      </c>
      <c r="H1030">
        <v>7</v>
      </c>
      <c r="I1030">
        <v>15</v>
      </c>
      <c r="J1030">
        <v>45.35</v>
      </c>
      <c r="K1030">
        <v>195.92</v>
      </c>
      <c r="L1030">
        <v>0.67</v>
      </c>
      <c r="M1030">
        <v>37.97</v>
      </c>
      <c r="N1030">
        <v>0.87</v>
      </c>
      <c r="O1030" t="s">
        <v>20</v>
      </c>
      <c r="P1030" t="s">
        <v>21</v>
      </c>
      <c r="Q1030">
        <f t="shared" si="80"/>
        <v>7</v>
      </c>
      <c r="R1030" s="4">
        <f>RANK(N1030,$N$2:N$2800,0)</f>
        <v>1965</v>
      </c>
      <c r="S1030">
        <f t="shared" si="81"/>
        <v>1</v>
      </c>
      <c r="T1030" t="str">
        <f t="shared" si="82"/>
        <v>Low</v>
      </c>
      <c r="U1030" t="str" cm="1">
        <f t="array" ref="U1030">_xlfn.LET(_xlpm.roles,_xlfn.UNIQUE(D1030:D3828),_xlpm.kills, SUMIF(D1030:D3828,_xlpm.roles,G1030:G3828),INDEX(_xlpm.roles,MATCH(MAX(_xlpm.kills),_xlpm.kills,0)))</f>
        <v>Entry Fragger</v>
      </c>
      <c r="V1030" t="str">
        <f t="shared" si="83"/>
        <v>Medium Accuracy</v>
      </c>
      <c r="W1030" t="str" cm="1">
        <f t="array" ref="W1030">_xlfn.LET(_xlpm.roles,_xlfn.UNIQUE(D1030:D3828), _xlpm.counts,COUNTIF(D1030:D3828,_xlpm.roles), INDEX(_xlpm.roles,MATCH(MAX(_xlpm.counts),_xlpm.counts,0)))</f>
        <v>Entry Fragger</v>
      </c>
      <c r="X1030" s="2">
        <f t="shared" si="84"/>
        <v>12.520971302428256</v>
      </c>
    </row>
    <row r="1031" spans="1:24" x14ac:dyDescent="0.3">
      <c r="A1031">
        <v>1748</v>
      </c>
      <c r="B1031">
        <v>182</v>
      </c>
      <c r="C1031" t="s">
        <v>16</v>
      </c>
      <c r="D1031" t="s">
        <v>17</v>
      </c>
      <c r="E1031" t="s">
        <v>29</v>
      </c>
      <c r="F1031" t="s">
        <v>37</v>
      </c>
      <c r="G1031">
        <v>18</v>
      </c>
      <c r="H1031">
        <v>4</v>
      </c>
      <c r="I1031">
        <v>10</v>
      </c>
      <c r="J1031">
        <v>49.78</v>
      </c>
      <c r="K1031">
        <v>220.22</v>
      </c>
      <c r="L1031">
        <v>0.56999999999999995</v>
      </c>
      <c r="M1031">
        <v>49.19</v>
      </c>
      <c r="N1031">
        <v>1</v>
      </c>
      <c r="O1031" t="s">
        <v>20</v>
      </c>
      <c r="P1031" t="s">
        <v>21</v>
      </c>
      <c r="Q1031">
        <f t="shared" si="80"/>
        <v>12</v>
      </c>
      <c r="R1031" s="4">
        <f>RANK(N1031,$N$2:N$2800,0)</f>
        <v>1</v>
      </c>
      <c r="S1031">
        <f t="shared" si="81"/>
        <v>1.8</v>
      </c>
      <c r="T1031" t="str">
        <f t="shared" si="82"/>
        <v>Low</v>
      </c>
      <c r="U1031" t="str" cm="1">
        <f t="array" ref="U1031">_xlfn.LET(_xlpm.roles,_xlfn.UNIQUE(D1031:D3829),_xlpm.kills, SUMIF(D1031:D3829,_xlpm.roles,G1031:G3829),INDEX(_xlpm.roles,MATCH(MAX(_xlpm.kills),_xlpm.kills,0)))</f>
        <v>Entry Fragger</v>
      </c>
      <c r="V1031" t="str">
        <f t="shared" si="83"/>
        <v>Medium Accuracy</v>
      </c>
      <c r="W1031" t="str" cm="1">
        <f t="array" ref="W1031">_xlfn.LET(_xlpm.roles,_xlfn.UNIQUE(D1031:D3829), _xlpm.counts,COUNTIF(D1031:D3829,_xlpm.roles), INDEX(_xlpm.roles,MATCH(MAX(_xlpm.counts),_xlpm.counts,0)))</f>
        <v>Entry Fragger</v>
      </c>
      <c r="X1031" s="2">
        <f t="shared" si="84"/>
        <v>12.520971302428256</v>
      </c>
    </row>
    <row r="1032" spans="1:24" x14ac:dyDescent="0.3">
      <c r="A1032">
        <v>2242</v>
      </c>
      <c r="B1032">
        <v>182</v>
      </c>
      <c r="C1032" t="s">
        <v>30</v>
      </c>
      <c r="D1032" t="s">
        <v>31</v>
      </c>
      <c r="E1032" t="s">
        <v>18</v>
      </c>
      <c r="F1032" t="s">
        <v>19</v>
      </c>
      <c r="G1032">
        <v>20</v>
      </c>
      <c r="H1032">
        <v>8</v>
      </c>
      <c r="I1032">
        <v>12</v>
      </c>
      <c r="J1032">
        <v>42.2</v>
      </c>
      <c r="K1032">
        <v>181.2</v>
      </c>
      <c r="L1032">
        <v>0.45</v>
      </c>
      <c r="M1032">
        <v>52.6</v>
      </c>
      <c r="N1032">
        <v>1</v>
      </c>
      <c r="O1032" t="s">
        <v>20</v>
      </c>
      <c r="P1032" t="s">
        <v>21</v>
      </c>
      <c r="Q1032">
        <f t="shared" si="80"/>
        <v>16</v>
      </c>
      <c r="R1032" s="4">
        <f>RANK(N1032,$N$2:N$2800,0)</f>
        <v>1</v>
      </c>
      <c r="S1032">
        <f t="shared" si="81"/>
        <v>1.6666666666666667</v>
      </c>
      <c r="T1032" t="str">
        <f t="shared" si="82"/>
        <v>Good</v>
      </c>
      <c r="U1032" t="str" cm="1">
        <f t="array" ref="U1032">_xlfn.LET(_xlpm.roles,_xlfn.UNIQUE(D1032:D3830),_xlpm.kills, SUMIF(D1032:D3830,_xlpm.roles,G1032:G3830),INDEX(_xlpm.roles,MATCH(MAX(_xlpm.kills),_xlpm.kills,0)))</f>
        <v>Entry Fragger</v>
      </c>
      <c r="V1032" t="str">
        <f t="shared" si="83"/>
        <v>Medium Accuracy</v>
      </c>
      <c r="W1032" t="str" cm="1">
        <f t="array" ref="W1032">_xlfn.LET(_xlpm.roles,_xlfn.UNIQUE(D1032:D3830), _xlpm.counts,COUNTIF(D1032:D3830,_xlpm.roles), INDEX(_xlpm.roles,MATCH(MAX(_xlpm.counts),_xlpm.counts,0)))</f>
        <v>Entry Fragger</v>
      </c>
      <c r="X1032" s="2">
        <f t="shared" si="84"/>
        <v>13.135802469135802</v>
      </c>
    </row>
    <row r="1033" spans="1:24" x14ac:dyDescent="0.3">
      <c r="A1033">
        <v>1103</v>
      </c>
      <c r="B1033">
        <v>183</v>
      </c>
      <c r="C1033" t="s">
        <v>35</v>
      </c>
      <c r="D1033" t="s">
        <v>28</v>
      </c>
      <c r="E1033" t="s">
        <v>18</v>
      </c>
      <c r="F1033" t="s">
        <v>37</v>
      </c>
      <c r="G1033">
        <v>18</v>
      </c>
      <c r="H1033">
        <v>4</v>
      </c>
      <c r="I1033">
        <v>13</v>
      </c>
      <c r="J1033">
        <v>37.76</v>
      </c>
      <c r="K1033">
        <v>247.98</v>
      </c>
      <c r="L1033">
        <v>0.99</v>
      </c>
      <c r="M1033">
        <v>35.979999999999997</v>
      </c>
      <c r="N1033">
        <v>0.81</v>
      </c>
      <c r="O1033" t="s">
        <v>20</v>
      </c>
      <c r="P1033" t="s">
        <v>21</v>
      </c>
      <c r="Q1033">
        <f t="shared" si="80"/>
        <v>9</v>
      </c>
      <c r="R1033" s="4">
        <f>RANK(N1033,$N$2:N$2800,0)</f>
        <v>2341</v>
      </c>
      <c r="S1033">
        <f t="shared" si="81"/>
        <v>1.3846153846153846</v>
      </c>
      <c r="T1033" t="str">
        <f t="shared" si="82"/>
        <v>Low</v>
      </c>
      <c r="U1033" t="str" cm="1">
        <f t="array" ref="U1033">_xlfn.LET(_xlpm.roles,_xlfn.UNIQUE(D1033:D3831),_xlpm.kills, SUMIF(D1033:D3831,_xlpm.roles,G1033:G3831),INDEX(_xlpm.roles,MATCH(MAX(_xlpm.kills),_xlpm.kills,0)))</f>
        <v>Entry Fragger</v>
      </c>
      <c r="V1033" t="str">
        <f t="shared" si="83"/>
        <v>Medium Accuracy</v>
      </c>
      <c r="W1033" t="str" cm="1">
        <f t="array" ref="W1033">_xlfn.LET(_xlpm.roles,_xlfn.UNIQUE(D1033:D3831), _xlpm.counts,COUNTIF(D1033:D3831,_xlpm.roles), INDEX(_xlpm.roles,MATCH(MAX(_xlpm.counts),_xlpm.counts,0)))</f>
        <v>Entry Fragger</v>
      </c>
      <c r="X1033" s="2">
        <f t="shared" si="84"/>
        <v>12.599585062240664</v>
      </c>
    </row>
    <row r="1034" spans="1:24" x14ac:dyDescent="0.3">
      <c r="A1034">
        <v>1611</v>
      </c>
      <c r="B1034">
        <v>183</v>
      </c>
      <c r="C1034" t="s">
        <v>39</v>
      </c>
      <c r="D1034" t="s">
        <v>22</v>
      </c>
      <c r="E1034" t="s">
        <v>29</v>
      </c>
      <c r="F1034" t="s">
        <v>34</v>
      </c>
      <c r="G1034">
        <v>15</v>
      </c>
      <c r="H1034">
        <v>11</v>
      </c>
      <c r="I1034">
        <v>15</v>
      </c>
      <c r="J1034">
        <v>40.31</v>
      </c>
      <c r="K1034">
        <v>214.61</v>
      </c>
      <c r="L1034">
        <v>0.64</v>
      </c>
      <c r="M1034">
        <v>39.76</v>
      </c>
      <c r="N1034">
        <v>0.95</v>
      </c>
      <c r="O1034" t="s">
        <v>20</v>
      </c>
      <c r="P1034" t="s">
        <v>21</v>
      </c>
      <c r="Q1034">
        <f t="shared" si="80"/>
        <v>11</v>
      </c>
      <c r="R1034" s="4">
        <f>RANK(N1034,$N$2:N$2800,0)</f>
        <v>1367</v>
      </c>
      <c r="S1034">
        <f t="shared" si="81"/>
        <v>1</v>
      </c>
      <c r="T1034" t="str">
        <f t="shared" si="82"/>
        <v>Low</v>
      </c>
      <c r="U1034" t="str" cm="1">
        <f t="array" ref="U1034">_xlfn.LET(_xlpm.roles,_xlfn.UNIQUE(D1034:D3832),_xlpm.kills, SUMIF(D1034:D3832,_xlpm.roles,G1034:G3832),INDEX(_xlpm.roles,MATCH(MAX(_xlpm.kills),_xlpm.kills,0)))</f>
        <v>Entry Fragger</v>
      </c>
      <c r="V1034" t="str">
        <f t="shared" si="83"/>
        <v>Medium Accuracy</v>
      </c>
      <c r="W1034" t="str" cm="1">
        <f t="array" ref="W1034">_xlfn.LET(_xlpm.roles,_xlfn.UNIQUE(D1034:D3832), _xlpm.counts,COUNTIF(D1034:D3832,_xlpm.roles), INDEX(_xlpm.roles,MATCH(MAX(_xlpm.counts),_xlpm.counts,0)))</f>
        <v>Entry Fragger</v>
      </c>
      <c r="X1034" s="2">
        <f t="shared" si="84"/>
        <v>13.103594080338267</v>
      </c>
    </row>
    <row r="1035" spans="1:24" x14ac:dyDescent="0.3">
      <c r="A1035">
        <v>2208</v>
      </c>
      <c r="B1035">
        <v>183</v>
      </c>
      <c r="C1035" t="s">
        <v>16</v>
      </c>
      <c r="D1035" t="s">
        <v>22</v>
      </c>
      <c r="E1035" t="s">
        <v>29</v>
      </c>
      <c r="F1035" t="s">
        <v>24</v>
      </c>
      <c r="G1035">
        <v>14</v>
      </c>
      <c r="H1035">
        <v>6</v>
      </c>
      <c r="I1035">
        <v>15</v>
      </c>
      <c r="J1035">
        <v>30.73</v>
      </c>
      <c r="K1035">
        <v>265.91000000000003</v>
      </c>
      <c r="L1035">
        <v>0.66</v>
      </c>
      <c r="M1035">
        <v>27.77</v>
      </c>
      <c r="N1035">
        <v>0.87</v>
      </c>
      <c r="O1035" t="s">
        <v>20</v>
      </c>
      <c r="P1035" t="s">
        <v>21</v>
      </c>
      <c r="Q1035">
        <f t="shared" si="80"/>
        <v>5</v>
      </c>
      <c r="R1035" s="4">
        <f>RANK(N1035,$N$2:N$2800,0)</f>
        <v>1965</v>
      </c>
      <c r="S1035">
        <f t="shared" si="81"/>
        <v>0.93333333333333335</v>
      </c>
      <c r="T1035" t="str">
        <f t="shared" si="82"/>
        <v>Low</v>
      </c>
      <c r="U1035" t="str" cm="1">
        <f t="array" ref="U1035">_xlfn.LET(_xlpm.roles,_xlfn.UNIQUE(D1035:D3833),_xlpm.kills, SUMIF(D1035:D3833,_xlpm.roles,G1035:G3833),INDEX(_xlpm.roles,MATCH(MAX(_xlpm.kills),_xlpm.kills,0)))</f>
        <v>Entry Fragger</v>
      </c>
      <c r="V1035" t="str">
        <f t="shared" si="83"/>
        <v>Medium Accuracy</v>
      </c>
      <c r="W1035" t="str" cm="1">
        <f t="array" ref="W1035">_xlfn.LET(_xlpm.roles,_xlfn.UNIQUE(D1035:D3833), _xlpm.counts,COUNTIF(D1035:D3833,_xlpm.roles), INDEX(_xlpm.roles,MATCH(MAX(_xlpm.counts),_xlpm.counts,0)))</f>
        <v>Entry Fragger</v>
      </c>
      <c r="X1035" s="2">
        <f t="shared" si="84"/>
        <v>12.520971302428256</v>
      </c>
    </row>
    <row r="1036" spans="1:24" x14ac:dyDescent="0.3">
      <c r="A1036">
        <v>944</v>
      </c>
      <c r="B1036">
        <v>184</v>
      </c>
      <c r="C1036" t="s">
        <v>39</v>
      </c>
      <c r="D1036" t="s">
        <v>22</v>
      </c>
      <c r="E1036" t="s">
        <v>29</v>
      </c>
      <c r="F1036" t="s">
        <v>19</v>
      </c>
      <c r="G1036">
        <v>12</v>
      </c>
      <c r="H1036">
        <v>11</v>
      </c>
      <c r="I1036">
        <v>6</v>
      </c>
      <c r="J1036">
        <v>42.25</v>
      </c>
      <c r="K1036">
        <v>231.94</v>
      </c>
      <c r="L1036">
        <v>0.06</v>
      </c>
      <c r="M1036">
        <v>49.52</v>
      </c>
      <c r="N1036">
        <v>0.95</v>
      </c>
      <c r="O1036" t="s">
        <v>20</v>
      </c>
      <c r="P1036" t="s">
        <v>21</v>
      </c>
      <c r="Q1036">
        <f t="shared" si="80"/>
        <v>17</v>
      </c>
      <c r="R1036" s="4">
        <f>RANK(N1036,$N$2:N$2800,0)</f>
        <v>1367</v>
      </c>
      <c r="S1036">
        <f t="shared" si="81"/>
        <v>2</v>
      </c>
      <c r="T1036" t="str">
        <f t="shared" si="82"/>
        <v>Good</v>
      </c>
      <c r="U1036" t="str" cm="1">
        <f t="array" ref="U1036">_xlfn.LET(_xlpm.roles,_xlfn.UNIQUE(D1036:D3834),_xlpm.kills, SUMIF(D1036:D3834,_xlpm.roles,G1036:G3834),INDEX(_xlpm.roles,MATCH(MAX(_xlpm.kills),_xlpm.kills,0)))</f>
        <v>Entry Fragger</v>
      </c>
      <c r="V1036" t="str">
        <f t="shared" si="83"/>
        <v>Medium Accuracy</v>
      </c>
      <c r="W1036" t="str" cm="1">
        <f t="array" ref="W1036">_xlfn.LET(_xlpm.roles,_xlfn.UNIQUE(D1036:D3834), _xlpm.counts,COUNTIF(D1036:D3834,_xlpm.roles), INDEX(_xlpm.roles,MATCH(MAX(_xlpm.counts),_xlpm.counts,0)))</f>
        <v>Entry Fragger</v>
      </c>
      <c r="X1036" s="2">
        <f t="shared" si="84"/>
        <v>13.103594080338267</v>
      </c>
    </row>
    <row r="1037" spans="1:24" x14ac:dyDescent="0.3">
      <c r="A1037">
        <v>1247</v>
      </c>
      <c r="B1037">
        <v>184</v>
      </c>
      <c r="C1037" t="s">
        <v>30</v>
      </c>
      <c r="D1037" t="s">
        <v>22</v>
      </c>
      <c r="E1037" t="s">
        <v>18</v>
      </c>
      <c r="F1037" t="s">
        <v>24</v>
      </c>
      <c r="G1037">
        <v>19</v>
      </c>
      <c r="H1037">
        <v>6</v>
      </c>
      <c r="I1037">
        <v>11</v>
      </c>
      <c r="J1037">
        <v>43.37</v>
      </c>
      <c r="K1037">
        <v>200.98</v>
      </c>
      <c r="L1037">
        <v>0.41</v>
      </c>
      <c r="M1037">
        <v>50.59</v>
      </c>
      <c r="N1037">
        <v>0.98</v>
      </c>
      <c r="O1037" t="s">
        <v>20</v>
      </c>
      <c r="P1037" t="s">
        <v>21</v>
      </c>
      <c r="Q1037">
        <f t="shared" si="80"/>
        <v>14</v>
      </c>
      <c r="R1037" s="4">
        <f>RANK(N1037,$N$2:N$2800,0)</f>
        <v>1157</v>
      </c>
      <c r="S1037">
        <f t="shared" si="81"/>
        <v>1.7272727272727273</v>
      </c>
      <c r="T1037" t="str">
        <f t="shared" si="82"/>
        <v>Low</v>
      </c>
      <c r="U1037" t="str" cm="1">
        <f t="array" ref="U1037">_xlfn.LET(_xlpm.roles,_xlfn.UNIQUE(D1037:D3835),_xlpm.kills, SUMIF(D1037:D3835,_xlpm.roles,G1037:G3835),INDEX(_xlpm.roles,MATCH(MAX(_xlpm.kills),_xlpm.kills,0)))</f>
        <v>Entry Fragger</v>
      </c>
      <c r="V1037" t="str">
        <f t="shared" si="83"/>
        <v>Medium Accuracy</v>
      </c>
      <c r="W1037" t="str" cm="1">
        <f t="array" ref="W1037">_xlfn.LET(_xlpm.roles,_xlfn.UNIQUE(D1037:D3835), _xlpm.counts,COUNTIF(D1037:D3835,_xlpm.roles), INDEX(_xlpm.roles,MATCH(MAX(_xlpm.counts),_xlpm.counts,0)))</f>
        <v>Entry Fragger</v>
      </c>
      <c r="X1037" s="2">
        <f t="shared" si="84"/>
        <v>13.135802469135802</v>
      </c>
    </row>
    <row r="1038" spans="1:24" x14ac:dyDescent="0.3">
      <c r="A1038">
        <v>1391</v>
      </c>
      <c r="B1038">
        <v>184</v>
      </c>
      <c r="C1038" t="s">
        <v>30</v>
      </c>
      <c r="D1038" t="s">
        <v>36</v>
      </c>
      <c r="E1038" t="s">
        <v>18</v>
      </c>
      <c r="F1038" t="s">
        <v>37</v>
      </c>
      <c r="G1038">
        <v>15</v>
      </c>
      <c r="H1038">
        <v>9</v>
      </c>
      <c r="I1038">
        <v>17</v>
      </c>
      <c r="J1038">
        <v>47.4</v>
      </c>
      <c r="K1038">
        <v>204.49</v>
      </c>
      <c r="L1038">
        <v>0.63</v>
      </c>
      <c r="M1038">
        <v>39.4</v>
      </c>
      <c r="N1038">
        <v>0.87</v>
      </c>
      <c r="O1038" t="s">
        <v>20</v>
      </c>
      <c r="P1038" t="s">
        <v>21</v>
      </c>
      <c r="Q1038">
        <f t="shared" si="80"/>
        <v>7</v>
      </c>
      <c r="R1038" s="4">
        <f>RANK(N1038,$N$2:N$2800,0)</f>
        <v>1965</v>
      </c>
      <c r="S1038">
        <f t="shared" si="81"/>
        <v>0.88235294117647056</v>
      </c>
      <c r="T1038" t="str">
        <f t="shared" si="82"/>
        <v>Low</v>
      </c>
      <c r="U1038" t="str" cm="1">
        <f t="array" ref="U1038">_xlfn.LET(_xlpm.roles,_xlfn.UNIQUE(D1038:D3836),_xlpm.kills, SUMIF(D1038:D3836,_xlpm.roles,G1038:G3836),INDEX(_xlpm.roles,MATCH(MAX(_xlpm.kills),_xlpm.kills,0)))</f>
        <v>Entry Fragger</v>
      </c>
      <c r="V1038" t="str">
        <f t="shared" si="83"/>
        <v>Medium Accuracy</v>
      </c>
      <c r="W1038" t="str" cm="1">
        <f t="array" ref="W1038">_xlfn.LET(_xlpm.roles,_xlfn.UNIQUE(D1038:D3836), _xlpm.counts,COUNTIF(D1038:D3836,_xlpm.roles), INDEX(_xlpm.roles,MATCH(MAX(_xlpm.counts),_xlpm.counts,0)))</f>
        <v>Entry Fragger</v>
      </c>
      <c r="X1038" s="2">
        <f t="shared" si="84"/>
        <v>13.135802469135802</v>
      </c>
    </row>
    <row r="1039" spans="1:24" x14ac:dyDescent="0.3">
      <c r="A1039">
        <v>1542</v>
      </c>
      <c r="B1039">
        <v>184</v>
      </c>
      <c r="C1039" t="s">
        <v>35</v>
      </c>
      <c r="D1039" t="s">
        <v>28</v>
      </c>
      <c r="E1039" t="s">
        <v>33</v>
      </c>
      <c r="F1039" t="s">
        <v>19</v>
      </c>
      <c r="G1039">
        <v>14</v>
      </c>
      <c r="H1039">
        <v>8</v>
      </c>
      <c r="I1039">
        <v>14</v>
      </c>
      <c r="J1039">
        <v>56.89</v>
      </c>
      <c r="K1039">
        <v>232.32</v>
      </c>
      <c r="L1039">
        <v>0.82</v>
      </c>
      <c r="M1039">
        <v>42.25</v>
      </c>
      <c r="N1039">
        <v>0.8</v>
      </c>
      <c r="O1039" t="s">
        <v>20</v>
      </c>
      <c r="P1039" t="s">
        <v>21</v>
      </c>
      <c r="Q1039">
        <f t="shared" si="80"/>
        <v>8</v>
      </c>
      <c r="R1039" s="4">
        <f>RANK(N1039,$N$2:N$2800,0)</f>
        <v>2393</v>
      </c>
      <c r="S1039">
        <f t="shared" si="81"/>
        <v>1</v>
      </c>
      <c r="T1039" t="str">
        <f t="shared" si="82"/>
        <v>Low</v>
      </c>
      <c r="U1039" t="str" cm="1">
        <f t="array" ref="U1039">_xlfn.LET(_xlpm.roles,_xlfn.UNIQUE(D1039:D3837),_xlpm.kills, SUMIF(D1039:D3837,_xlpm.roles,G1039:G3837),INDEX(_xlpm.roles,MATCH(MAX(_xlpm.kills),_xlpm.kills,0)))</f>
        <v>Entry Fragger</v>
      </c>
      <c r="V1039" t="str">
        <f t="shared" si="83"/>
        <v>High Accuracy</v>
      </c>
      <c r="W1039" t="str" cm="1">
        <f t="array" ref="W1039">_xlfn.LET(_xlpm.roles,_xlfn.UNIQUE(D1039:D3837), _xlpm.counts,COUNTIF(D1039:D3837,_xlpm.roles), INDEX(_xlpm.roles,MATCH(MAX(_xlpm.counts),_xlpm.counts,0)))</f>
        <v>Entry Fragger</v>
      </c>
      <c r="X1039" s="2">
        <f t="shared" si="84"/>
        <v>12.599585062240664</v>
      </c>
    </row>
    <row r="1040" spans="1:24" x14ac:dyDescent="0.3">
      <c r="A1040">
        <v>1555</v>
      </c>
      <c r="B1040">
        <v>184</v>
      </c>
      <c r="C1040" t="s">
        <v>39</v>
      </c>
      <c r="D1040" t="s">
        <v>36</v>
      </c>
      <c r="E1040" t="s">
        <v>23</v>
      </c>
      <c r="F1040" t="s">
        <v>34</v>
      </c>
      <c r="G1040">
        <v>16</v>
      </c>
      <c r="H1040">
        <v>15</v>
      </c>
      <c r="I1040">
        <v>8</v>
      </c>
      <c r="J1040">
        <v>55.93</v>
      </c>
      <c r="K1040">
        <v>210.75</v>
      </c>
      <c r="L1040">
        <v>0.76</v>
      </c>
      <c r="M1040">
        <v>59.37</v>
      </c>
      <c r="N1040">
        <v>1</v>
      </c>
      <c r="O1040" t="s">
        <v>20</v>
      </c>
      <c r="P1040" t="s">
        <v>21</v>
      </c>
      <c r="Q1040">
        <f t="shared" si="80"/>
        <v>23</v>
      </c>
      <c r="R1040" s="4">
        <f>RANK(N1040,$N$2:N$2800,0)</f>
        <v>1</v>
      </c>
      <c r="S1040">
        <f t="shared" si="81"/>
        <v>2</v>
      </c>
      <c r="T1040" t="str">
        <f t="shared" si="82"/>
        <v>Good</v>
      </c>
      <c r="U1040" t="str" cm="1">
        <f t="array" ref="U1040">_xlfn.LET(_xlpm.roles,_xlfn.UNIQUE(D1040:D3838),_xlpm.kills, SUMIF(D1040:D3838,_xlpm.roles,G1040:G3838),INDEX(_xlpm.roles,MATCH(MAX(_xlpm.kills),_xlpm.kills,0)))</f>
        <v>Entry Fragger</v>
      </c>
      <c r="V1040" t="str">
        <f t="shared" si="83"/>
        <v>High Accuracy</v>
      </c>
      <c r="W1040" t="str" cm="1">
        <f t="array" ref="W1040">_xlfn.LET(_xlpm.roles,_xlfn.UNIQUE(D1040:D3838), _xlpm.counts,COUNTIF(D1040:D3838,_xlpm.roles), INDEX(_xlpm.roles,MATCH(MAX(_xlpm.counts),_xlpm.counts,0)))</f>
        <v>Entry Fragger</v>
      </c>
      <c r="X1040" s="2">
        <f t="shared" si="84"/>
        <v>13.103594080338267</v>
      </c>
    </row>
    <row r="1041" spans="1:24" x14ac:dyDescent="0.3">
      <c r="A1041">
        <v>1173</v>
      </c>
      <c r="B1041">
        <v>185</v>
      </c>
      <c r="C1041" t="s">
        <v>35</v>
      </c>
      <c r="D1041" t="s">
        <v>28</v>
      </c>
      <c r="E1041" t="s">
        <v>32</v>
      </c>
      <c r="F1041" t="s">
        <v>37</v>
      </c>
      <c r="G1041">
        <v>14</v>
      </c>
      <c r="H1041">
        <v>7</v>
      </c>
      <c r="I1041">
        <v>14</v>
      </c>
      <c r="J1041">
        <v>44.55</v>
      </c>
      <c r="K1041">
        <v>263.8</v>
      </c>
      <c r="L1041">
        <v>0.73</v>
      </c>
      <c r="M1041">
        <v>35.979999999999997</v>
      </c>
      <c r="N1041">
        <v>0.71</v>
      </c>
      <c r="O1041" t="s">
        <v>20</v>
      </c>
      <c r="P1041" t="s">
        <v>21</v>
      </c>
      <c r="Q1041">
        <f t="shared" si="80"/>
        <v>7</v>
      </c>
      <c r="R1041" s="4">
        <f>RANK(N1041,$N$2:N$2800,0)</f>
        <v>2688</v>
      </c>
      <c r="S1041">
        <f t="shared" si="81"/>
        <v>1</v>
      </c>
      <c r="T1041" t="str">
        <f t="shared" si="82"/>
        <v>Low</v>
      </c>
      <c r="U1041" t="str" cm="1">
        <f t="array" ref="U1041">_xlfn.LET(_xlpm.roles,_xlfn.UNIQUE(D1041:D3839),_xlpm.kills, SUMIF(D1041:D3839,_xlpm.roles,G1041:G3839),INDEX(_xlpm.roles,MATCH(MAX(_xlpm.kills),_xlpm.kills,0)))</f>
        <v>Entry Fragger</v>
      </c>
      <c r="V1041" t="str">
        <f t="shared" si="83"/>
        <v>Medium Accuracy</v>
      </c>
      <c r="W1041" t="str" cm="1">
        <f t="array" ref="W1041">_xlfn.LET(_xlpm.roles,_xlfn.UNIQUE(D1041:D3839), _xlpm.counts,COUNTIF(D1041:D3839,_xlpm.roles), INDEX(_xlpm.roles,MATCH(MAX(_xlpm.counts),_xlpm.counts,0)))</f>
        <v>Entry Fragger</v>
      </c>
      <c r="X1041" s="2">
        <f t="shared" si="84"/>
        <v>12.599585062240664</v>
      </c>
    </row>
    <row r="1042" spans="1:24" x14ac:dyDescent="0.3">
      <c r="A1042">
        <v>1433</v>
      </c>
      <c r="B1042">
        <v>185</v>
      </c>
      <c r="C1042" t="s">
        <v>30</v>
      </c>
      <c r="D1042" t="s">
        <v>36</v>
      </c>
      <c r="E1042" t="s">
        <v>18</v>
      </c>
      <c r="F1042" t="s">
        <v>24</v>
      </c>
      <c r="G1042">
        <v>7</v>
      </c>
      <c r="H1042">
        <v>7</v>
      </c>
      <c r="I1042">
        <v>17</v>
      </c>
      <c r="J1042">
        <v>52.72</v>
      </c>
      <c r="K1042">
        <v>227.49</v>
      </c>
      <c r="L1042">
        <v>0.08</v>
      </c>
      <c r="M1042">
        <v>29.56</v>
      </c>
      <c r="N1042">
        <v>0.92</v>
      </c>
      <c r="O1042" t="s">
        <v>20</v>
      </c>
      <c r="P1042" t="s">
        <v>21</v>
      </c>
      <c r="Q1042">
        <f t="shared" si="80"/>
        <v>-3</v>
      </c>
      <c r="R1042" s="4">
        <f>RANK(N1042,$N$2:N$2800,0)</f>
        <v>1585</v>
      </c>
      <c r="S1042">
        <f t="shared" si="81"/>
        <v>0.41176470588235292</v>
      </c>
      <c r="T1042" t="str">
        <f t="shared" si="82"/>
        <v>Low</v>
      </c>
      <c r="U1042" t="str" cm="1">
        <f t="array" ref="U1042">_xlfn.LET(_xlpm.roles,_xlfn.UNIQUE(D1042:D3840),_xlpm.kills, SUMIF(D1042:D3840,_xlpm.roles,G1042:G3840),INDEX(_xlpm.roles,MATCH(MAX(_xlpm.kills),_xlpm.kills,0)))</f>
        <v>Entry Fragger</v>
      </c>
      <c r="V1042" t="str">
        <f t="shared" si="83"/>
        <v>High Accuracy</v>
      </c>
      <c r="W1042" t="str" cm="1">
        <f t="array" ref="W1042">_xlfn.LET(_xlpm.roles,_xlfn.UNIQUE(D1042:D3840), _xlpm.counts,COUNTIF(D1042:D3840,_xlpm.roles), INDEX(_xlpm.roles,MATCH(MAX(_xlpm.counts),_xlpm.counts,0)))</f>
        <v>Entry Fragger</v>
      </c>
      <c r="X1042" s="2">
        <f t="shared" si="84"/>
        <v>13.135802469135802</v>
      </c>
    </row>
    <row r="1043" spans="1:24" x14ac:dyDescent="0.3">
      <c r="A1043">
        <v>63</v>
      </c>
      <c r="B1043">
        <v>186</v>
      </c>
      <c r="C1043" t="s">
        <v>16</v>
      </c>
      <c r="D1043" t="s">
        <v>22</v>
      </c>
      <c r="E1043" t="s">
        <v>29</v>
      </c>
      <c r="F1043" t="s">
        <v>19</v>
      </c>
      <c r="G1043">
        <v>18</v>
      </c>
      <c r="H1043">
        <v>3</v>
      </c>
      <c r="I1043">
        <v>10</v>
      </c>
      <c r="J1043">
        <v>40.56</v>
      </c>
      <c r="K1043">
        <v>276.43</v>
      </c>
      <c r="L1043">
        <v>0.27</v>
      </c>
      <c r="M1043">
        <v>46.58</v>
      </c>
      <c r="N1043">
        <v>0.84</v>
      </c>
      <c r="O1043" t="s">
        <v>20</v>
      </c>
      <c r="P1043" t="s">
        <v>21</v>
      </c>
      <c r="Q1043">
        <f t="shared" si="80"/>
        <v>11</v>
      </c>
      <c r="R1043" s="4">
        <f>RANK(N1043,$N$2:N$2800,0)</f>
        <v>2156</v>
      </c>
      <c r="S1043">
        <f t="shared" si="81"/>
        <v>1.8</v>
      </c>
      <c r="T1043" t="str">
        <f t="shared" si="82"/>
        <v>Low</v>
      </c>
      <c r="U1043" t="str" cm="1">
        <f t="array" ref="U1043">_xlfn.LET(_xlpm.roles,_xlfn.UNIQUE(D1043:D3841),_xlpm.kills, SUMIF(D1043:D3841,_xlpm.roles,G1043:G3841),INDEX(_xlpm.roles,MATCH(MAX(_xlpm.kills),_xlpm.kills,0)))</f>
        <v>Entry Fragger</v>
      </c>
      <c r="V1043" t="str">
        <f t="shared" si="83"/>
        <v>Medium Accuracy</v>
      </c>
      <c r="W1043" t="str" cm="1">
        <f t="array" ref="W1043">_xlfn.LET(_xlpm.roles,_xlfn.UNIQUE(D1043:D3841), _xlpm.counts,COUNTIF(D1043:D3841,_xlpm.roles), INDEX(_xlpm.roles,MATCH(MAX(_xlpm.counts),_xlpm.counts,0)))</f>
        <v>Entry Fragger</v>
      </c>
      <c r="X1043" s="2">
        <f t="shared" si="84"/>
        <v>12.520971302428256</v>
      </c>
    </row>
    <row r="1044" spans="1:24" x14ac:dyDescent="0.3">
      <c r="A1044">
        <v>1857</v>
      </c>
      <c r="B1044">
        <v>186</v>
      </c>
      <c r="C1044" t="s">
        <v>30</v>
      </c>
      <c r="D1044" t="s">
        <v>17</v>
      </c>
      <c r="E1044" t="s">
        <v>23</v>
      </c>
      <c r="F1044" t="s">
        <v>24</v>
      </c>
      <c r="G1044">
        <v>17</v>
      </c>
      <c r="H1044">
        <v>11</v>
      </c>
      <c r="I1044">
        <v>8</v>
      </c>
      <c r="J1044">
        <v>42.04</v>
      </c>
      <c r="K1044">
        <v>204.1</v>
      </c>
      <c r="L1044">
        <v>0.16</v>
      </c>
      <c r="M1044">
        <v>56.42</v>
      </c>
      <c r="N1044">
        <v>1</v>
      </c>
      <c r="O1044" t="s">
        <v>20</v>
      </c>
      <c r="P1044" t="s">
        <v>21</v>
      </c>
      <c r="Q1044">
        <f t="shared" si="80"/>
        <v>20</v>
      </c>
      <c r="R1044" s="4">
        <f>RANK(N1044,$N$2:N$2800,0)</f>
        <v>1</v>
      </c>
      <c r="S1044">
        <f t="shared" si="81"/>
        <v>2.125</v>
      </c>
      <c r="T1044" t="str">
        <f t="shared" si="82"/>
        <v>Good</v>
      </c>
      <c r="U1044" t="str" cm="1">
        <f t="array" ref="U1044">_xlfn.LET(_xlpm.roles,_xlfn.UNIQUE(D1044:D3842),_xlpm.kills, SUMIF(D1044:D3842,_xlpm.roles,G1044:G3842),INDEX(_xlpm.roles,MATCH(MAX(_xlpm.kills),_xlpm.kills,0)))</f>
        <v>Entry Fragger</v>
      </c>
      <c r="V1044" t="str">
        <f t="shared" si="83"/>
        <v>Medium Accuracy</v>
      </c>
      <c r="W1044" t="str" cm="1">
        <f t="array" ref="W1044">_xlfn.LET(_xlpm.roles,_xlfn.UNIQUE(D1044:D3842), _xlpm.counts,COUNTIF(D1044:D3842,_xlpm.roles), INDEX(_xlpm.roles,MATCH(MAX(_xlpm.counts),_xlpm.counts,0)))</f>
        <v>Entry Fragger</v>
      </c>
      <c r="X1044" s="2">
        <f t="shared" si="84"/>
        <v>13.135802469135802</v>
      </c>
    </row>
    <row r="1045" spans="1:24" x14ac:dyDescent="0.3">
      <c r="A1045">
        <v>2158</v>
      </c>
      <c r="B1045">
        <v>186</v>
      </c>
      <c r="C1045" t="s">
        <v>27</v>
      </c>
      <c r="D1045" t="s">
        <v>31</v>
      </c>
      <c r="E1045" t="s">
        <v>33</v>
      </c>
      <c r="F1045" t="s">
        <v>24</v>
      </c>
      <c r="G1045">
        <v>11</v>
      </c>
      <c r="H1045">
        <v>15</v>
      </c>
      <c r="I1045">
        <v>13</v>
      </c>
      <c r="J1045">
        <v>31.14</v>
      </c>
      <c r="K1045">
        <v>192.63</v>
      </c>
      <c r="L1045">
        <v>0.62</v>
      </c>
      <c r="M1045">
        <v>33.369999999999997</v>
      </c>
      <c r="N1045">
        <v>0.84</v>
      </c>
      <c r="O1045" t="s">
        <v>20</v>
      </c>
      <c r="P1045" t="s">
        <v>21</v>
      </c>
      <c r="Q1045">
        <f t="shared" si="80"/>
        <v>13</v>
      </c>
      <c r="R1045" s="4">
        <f>RANK(N1045,$N$2:N$2800,0)</f>
        <v>2156</v>
      </c>
      <c r="S1045">
        <f t="shared" si="81"/>
        <v>0.84615384615384615</v>
      </c>
      <c r="T1045" t="str">
        <f t="shared" si="82"/>
        <v>Low</v>
      </c>
      <c r="U1045" t="str" cm="1">
        <f t="array" ref="U1045">_xlfn.LET(_xlpm.roles,_xlfn.UNIQUE(D1045:D3843),_xlpm.kills, SUMIF(D1045:D3843,_xlpm.roles,G1045:G3843),INDEX(_xlpm.roles,MATCH(MAX(_xlpm.kills),_xlpm.kills,0)))</f>
        <v>Entry Fragger</v>
      </c>
      <c r="V1045" t="str">
        <f t="shared" si="83"/>
        <v>Medium Accuracy</v>
      </c>
      <c r="W1045" t="str" cm="1">
        <f t="array" ref="W1045">_xlfn.LET(_xlpm.roles,_xlfn.UNIQUE(D1045:D3843), _xlpm.counts,COUNTIF(D1045:D3843,_xlpm.roles), INDEX(_xlpm.roles,MATCH(MAX(_xlpm.counts),_xlpm.counts,0)))</f>
        <v>Entry Fragger</v>
      </c>
      <c r="X1045" s="2">
        <f t="shared" si="84"/>
        <v>13.057077625570777</v>
      </c>
    </row>
    <row r="1046" spans="1:24" x14ac:dyDescent="0.3">
      <c r="A1046">
        <v>2417</v>
      </c>
      <c r="B1046">
        <v>186</v>
      </c>
      <c r="C1046" t="s">
        <v>39</v>
      </c>
      <c r="D1046" t="s">
        <v>22</v>
      </c>
      <c r="E1046" t="s">
        <v>18</v>
      </c>
      <c r="F1046" t="s">
        <v>26</v>
      </c>
      <c r="G1046">
        <v>21</v>
      </c>
      <c r="H1046">
        <v>7</v>
      </c>
      <c r="I1046">
        <v>10</v>
      </c>
      <c r="J1046">
        <v>40.79</v>
      </c>
      <c r="K1046">
        <v>251.87</v>
      </c>
      <c r="L1046">
        <v>0.64</v>
      </c>
      <c r="M1046">
        <v>52.99</v>
      </c>
      <c r="N1046">
        <v>1</v>
      </c>
      <c r="O1046" t="s">
        <v>20</v>
      </c>
      <c r="P1046" t="s">
        <v>21</v>
      </c>
      <c r="Q1046">
        <f t="shared" si="80"/>
        <v>18</v>
      </c>
      <c r="R1046" s="4">
        <f>RANK(N1046,$N$2:N$2800,0)</f>
        <v>1</v>
      </c>
      <c r="S1046">
        <f t="shared" si="81"/>
        <v>2.1</v>
      </c>
      <c r="T1046" t="str">
        <f t="shared" si="82"/>
        <v>Good</v>
      </c>
      <c r="U1046" t="str" cm="1">
        <f t="array" ref="U1046">_xlfn.LET(_xlpm.roles,_xlfn.UNIQUE(D1046:D3844),_xlpm.kills, SUMIF(D1046:D3844,_xlpm.roles,G1046:G3844),INDEX(_xlpm.roles,MATCH(MAX(_xlpm.kills),_xlpm.kills,0)))</f>
        <v>Entry Fragger</v>
      </c>
      <c r="V1046" t="str">
        <f t="shared" si="83"/>
        <v>Medium Accuracy</v>
      </c>
      <c r="W1046" t="str" cm="1">
        <f t="array" ref="W1046">_xlfn.LET(_xlpm.roles,_xlfn.UNIQUE(D1046:D3844), _xlpm.counts,COUNTIF(D1046:D3844,_xlpm.roles), INDEX(_xlpm.roles,MATCH(MAX(_xlpm.counts),_xlpm.counts,0)))</f>
        <v>Entry Fragger</v>
      </c>
      <c r="X1046" s="2">
        <f t="shared" si="84"/>
        <v>13.103594080338267</v>
      </c>
    </row>
    <row r="1047" spans="1:24" x14ac:dyDescent="0.3">
      <c r="A1047">
        <v>1308</v>
      </c>
      <c r="B1047">
        <v>187</v>
      </c>
      <c r="C1047" t="s">
        <v>35</v>
      </c>
      <c r="D1047" t="s">
        <v>36</v>
      </c>
      <c r="E1047" t="s">
        <v>29</v>
      </c>
      <c r="F1047" t="s">
        <v>19</v>
      </c>
      <c r="G1047">
        <v>12</v>
      </c>
      <c r="H1047">
        <v>3</v>
      </c>
      <c r="I1047">
        <v>14</v>
      </c>
      <c r="J1047">
        <v>50.65</v>
      </c>
      <c r="K1047">
        <v>303.58</v>
      </c>
      <c r="L1047">
        <v>0.33</v>
      </c>
      <c r="M1047">
        <v>35.03</v>
      </c>
      <c r="N1047">
        <v>0.95</v>
      </c>
      <c r="O1047" t="s">
        <v>20</v>
      </c>
      <c r="P1047" t="s">
        <v>21</v>
      </c>
      <c r="Q1047">
        <f t="shared" si="80"/>
        <v>1</v>
      </c>
      <c r="R1047" s="4">
        <f>RANK(N1047,$N$2:N$2800,0)</f>
        <v>1367</v>
      </c>
      <c r="S1047">
        <f t="shared" si="81"/>
        <v>0.8571428571428571</v>
      </c>
      <c r="T1047" t="str">
        <f t="shared" si="82"/>
        <v>Low</v>
      </c>
      <c r="U1047" t="str" cm="1">
        <f t="array" ref="U1047">_xlfn.LET(_xlpm.roles,_xlfn.UNIQUE(D1047:D3845),_xlpm.kills, SUMIF(D1047:D3845,_xlpm.roles,G1047:G3845),INDEX(_xlpm.roles,MATCH(MAX(_xlpm.kills),_xlpm.kills,0)))</f>
        <v>Entry Fragger</v>
      </c>
      <c r="V1047" t="str">
        <f t="shared" si="83"/>
        <v>High Accuracy</v>
      </c>
      <c r="W1047" t="str" cm="1">
        <f t="array" ref="W1047">_xlfn.LET(_xlpm.roles,_xlfn.UNIQUE(D1047:D3845), _xlpm.counts,COUNTIF(D1047:D3845,_xlpm.roles), INDEX(_xlpm.roles,MATCH(MAX(_xlpm.counts),_xlpm.counts,0)))</f>
        <v>Entry Fragger</v>
      </c>
      <c r="X1047" s="2">
        <f t="shared" si="84"/>
        <v>12.599585062240664</v>
      </c>
    </row>
    <row r="1048" spans="1:24" x14ac:dyDescent="0.3">
      <c r="A1048">
        <v>1694</v>
      </c>
      <c r="B1048">
        <v>187</v>
      </c>
      <c r="C1048" t="s">
        <v>27</v>
      </c>
      <c r="D1048" t="s">
        <v>17</v>
      </c>
      <c r="E1048" t="s">
        <v>29</v>
      </c>
      <c r="F1048" t="s">
        <v>24</v>
      </c>
      <c r="G1048">
        <v>14</v>
      </c>
      <c r="H1048">
        <v>6</v>
      </c>
      <c r="I1048">
        <v>8</v>
      </c>
      <c r="J1048">
        <v>41.77</v>
      </c>
      <c r="K1048">
        <v>129.38</v>
      </c>
      <c r="L1048">
        <v>0.57999999999999996</v>
      </c>
      <c r="M1048">
        <v>41.09</v>
      </c>
      <c r="N1048">
        <v>0.98</v>
      </c>
      <c r="O1048" t="s">
        <v>20</v>
      </c>
      <c r="P1048" t="s">
        <v>21</v>
      </c>
      <c r="Q1048">
        <f t="shared" si="80"/>
        <v>12</v>
      </c>
      <c r="R1048" s="4">
        <f>RANK(N1048,$N$2:N$2800,0)</f>
        <v>1157</v>
      </c>
      <c r="S1048">
        <f t="shared" si="81"/>
        <v>1.75</v>
      </c>
      <c r="T1048" t="str">
        <f t="shared" si="82"/>
        <v>Low</v>
      </c>
      <c r="U1048" t="str" cm="1">
        <f t="array" ref="U1048">_xlfn.LET(_xlpm.roles,_xlfn.UNIQUE(D1048:D3846),_xlpm.kills, SUMIF(D1048:D3846,_xlpm.roles,G1048:G3846),INDEX(_xlpm.roles,MATCH(MAX(_xlpm.kills),_xlpm.kills,0)))</f>
        <v>Entry Fragger</v>
      </c>
      <c r="V1048" t="str">
        <f t="shared" si="83"/>
        <v>Medium Accuracy</v>
      </c>
      <c r="W1048" t="str" cm="1">
        <f t="array" ref="W1048">_xlfn.LET(_xlpm.roles,_xlfn.UNIQUE(D1048:D3846), _xlpm.counts,COUNTIF(D1048:D3846,_xlpm.roles), INDEX(_xlpm.roles,MATCH(MAX(_xlpm.counts),_xlpm.counts,0)))</f>
        <v>Entry Fragger</v>
      </c>
      <c r="X1048" s="2">
        <f t="shared" si="84"/>
        <v>13.057077625570777</v>
      </c>
    </row>
    <row r="1049" spans="1:24" x14ac:dyDescent="0.3">
      <c r="A1049">
        <v>2495</v>
      </c>
      <c r="B1049">
        <v>187</v>
      </c>
      <c r="C1049" t="s">
        <v>16</v>
      </c>
      <c r="D1049" t="s">
        <v>22</v>
      </c>
      <c r="E1049" t="s">
        <v>23</v>
      </c>
      <c r="F1049" t="s">
        <v>26</v>
      </c>
      <c r="G1049">
        <v>8</v>
      </c>
      <c r="H1049">
        <v>3</v>
      </c>
      <c r="I1049">
        <v>11</v>
      </c>
      <c r="J1049">
        <v>51.08</v>
      </c>
      <c r="K1049">
        <v>286.31</v>
      </c>
      <c r="L1049">
        <v>0.17</v>
      </c>
      <c r="M1049">
        <v>31.84</v>
      </c>
      <c r="N1049">
        <v>0.77</v>
      </c>
      <c r="O1049" t="s">
        <v>20</v>
      </c>
      <c r="P1049" t="s">
        <v>21</v>
      </c>
      <c r="Q1049">
        <f t="shared" si="80"/>
        <v>0</v>
      </c>
      <c r="R1049" s="4">
        <f>RANK(N1049,$N$2:N$2800,0)</f>
        <v>2511</v>
      </c>
      <c r="S1049">
        <f t="shared" si="81"/>
        <v>0.72727272727272729</v>
      </c>
      <c r="T1049" t="str">
        <f t="shared" si="82"/>
        <v>Low</v>
      </c>
      <c r="U1049" t="str" cm="1">
        <f t="array" ref="U1049">_xlfn.LET(_xlpm.roles,_xlfn.UNIQUE(D1049:D3847),_xlpm.kills, SUMIF(D1049:D3847,_xlpm.roles,G1049:G3847),INDEX(_xlpm.roles,MATCH(MAX(_xlpm.kills),_xlpm.kills,0)))</f>
        <v>Entry Fragger</v>
      </c>
      <c r="V1049" t="str">
        <f t="shared" si="83"/>
        <v>High Accuracy</v>
      </c>
      <c r="W1049" t="str" cm="1">
        <f t="array" ref="W1049">_xlfn.LET(_xlpm.roles,_xlfn.UNIQUE(D1049:D3847), _xlpm.counts,COUNTIF(D1049:D3847,_xlpm.roles), INDEX(_xlpm.roles,MATCH(MAX(_xlpm.counts),_xlpm.counts,0)))</f>
        <v>Entry Fragger</v>
      </c>
      <c r="X1049" s="2">
        <f t="shared" si="84"/>
        <v>12.520971302428256</v>
      </c>
    </row>
    <row r="1050" spans="1:24" x14ac:dyDescent="0.3">
      <c r="A1050">
        <v>2690</v>
      </c>
      <c r="B1050">
        <v>187</v>
      </c>
      <c r="C1050" t="s">
        <v>39</v>
      </c>
      <c r="D1050" t="s">
        <v>22</v>
      </c>
      <c r="E1050" t="s">
        <v>23</v>
      </c>
      <c r="F1050" t="s">
        <v>26</v>
      </c>
      <c r="G1050">
        <v>15</v>
      </c>
      <c r="H1050">
        <v>8</v>
      </c>
      <c r="I1050">
        <v>14</v>
      </c>
      <c r="J1050">
        <v>53.02</v>
      </c>
      <c r="K1050">
        <v>216.89</v>
      </c>
      <c r="L1050">
        <v>0.68</v>
      </c>
      <c r="M1050">
        <v>43.71</v>
      </c>
      <c r="N1050">
        <v>1</v>
      </c>
      <c r="O1050" t="s">
        <v>20</v>
      </c>
      <c r="P1050" t="s">
        <v>21</v>
      </c>
      <c r="Q1050">
        <f t="shared" si="80"/>
        <v>9</v>
      </c>
      <c r="R1050" s="4">
        <f>RANK(N1050,$N$2:N$2800,0)</f>
        <v>1</v>
      </c>
      <c r="S1050">
        <f t="shared" si="81"/>
        <v>1.0714285714285714</v>
      </c>
      <c r="T1050" t="str">
        <f t="shared" si="82"/>
        <v>Low</v>
      </c>
      <c r="U1050" t="str" cm="1">
        <f t="array" ref="U1050">_xlfn.LET(_xlpm.roles,_xlfn.UNIQUE(D1050:D3848),_xlpm.kills, SUMIF(D1050:D3848,_xlpm.roles,G1050:G3848),INDEX(_xlpm.roles,MATCH(MAX(_xlpm.kills),_xlpm.kills,0)))</f>
        <v>Entry Fragger</v>
      </c>
      <c r="V1050" t="str">
        <f t="shared" si="83"/>
        <v>High Accuracy</v>
      </c>
      <c r="W1050" t="str" cm="1">
        <f t="array" ref="W1050">_xlfn.LET(_xlpm.roles,_xlfn.UNIQUE(D1050:D3848), _xlpm.counts,COUNTIF(D1050:D3848,_xlpm.roles), INDEX(_xlpm.roles,MATCH(MAX(_xlpm.counts),_xlpm.counts,0)))</f>
        <v>Entry Fragger</v>
      </c>
      <c r="X1050" s="2">
        <f t="shared" si="84"/>
        <v>13.103594080338267</v>
      </c>
    </row>
    <row r="1051" spans="1:24" x14ac:dyDescent="0.3">
      <c r="A1051">
        <v>60</v>
      </c>
      <c r="B1051">
        <v>188</v>
      </c>
      <c r="C1051" t="s">
        <v>25</v>
      </c>
      <c r="D1051" t="s">
        <v>17</v>
      </c>
      <c r="E1051" t="s">
        <v>32</v>
      </c>
      <c r="F1051" t="s">
        <v>24</v>
      </c>
      <c r="G1051">
        <v>15</v>
      </c>
      <c r="H1051">
        <v>17</v>
      </c>
      <c r="I1051">
        <v>6</v>
      </c>
      <c r="J1051">
        <v>36.51</v>
      </c>
      <c r="K1051">
        <v>199.31</v>
      </c>
      <c r="L1051">
        <v>0.82</v>
      </c>
      <c r="M1051">
        <v>51.05</v>
      </c>
      <c r="N1051">
        <v>1</v>
      </c>
      <c r="O1051" t="s">
        <v>20</v>
      </c>
      <c r="P1051" t="s">
        <v>21</v>
      </c>
      <c r="Q1051">
        <f t="shared" si="80"/>
        <v>26</v>
      </c>
      <c r="R1051" s="4">
        <f>RANK(N1051,$N$2:N$2800,0)</f>
        <v>1</v>
      </c>
      <c r="S1051">
        <f t="shared" si="81"/>
        <v>2.5</v>
      </c>
      <c r="T1051" t="str">
        <f t="shared" si="82"/>
        <v>Excellent</v>
      </c>
      <c r="U1051" t="str" cm="1">
        <f t="array" ref="U1051">_xlfn.LET(_xlpm.roles,_xlfn.UNIQUE(D1051:D3849),_xlpm.kills, SUMIF(D1051:D3849,_xlpm.roles,G1051:G3849),INDEX(_xlpm.roles,MATCH(MAX(_xlpm.kills),_xlpm.kills,0)))</f>
        <v>Entry Fragger</v>
      </c>
      <c r="V1051" t="str">
        <f t="shared" si="83"/>
        <v>Medium Accuracy</v>
      </c>
      <c r="W1051" t="str" cm="1">
        <f t="array" ref="W1051">_xlfn.LET(_xlpm.roles,_xlfn.UNIQUE(D1051:D3849), _xlpm.counts,COUNTIF(D1051:D3849,_xlpm.roles), INDEX(_xlpm.roles,MATCH(MAX(_xlpm.counts),_xlpm.counts,0)))</f>
        <v>Entry Fragger</v>
      </c>
      <c r="X1051" s="2">
        <f t="shared" si="84"/>
        <v>12.809421841541756</v>
      </c>
    </row>
    <row r="1052" spans="1:24" x14ac:dyDescent="0.3">
      <c r="A1052">
        <v>125</v>
      </c>
      <c r="B1052">
        <v>188</v>
      </c>
      <c r="C1052" t="s">
        <v>16</v>
      </c>
      <c r="D1052" t="s">
        <v>31</v>
      </c>
      <c r="E1052" t="s">
        <v>32</v>
      </c>
      <c r="F1052" t="s">
        <v>26</v>
      </c>
      <c r="G1052">
        <v>18</v>
      </c>
      <c r="H1052">
        <v>4</v>
      </c>
      <c r="I1052">
        <v>9</v>
      </c>
      <c r="J1052">
        <v>66.42</v>
      </c>
      <c r="K1052">
        <v>205.43</v>
      </c>
      <c r="L1052">
        <v>0.04</v>
      </c>
      <c r="M1052">
        <v>63.81</v>
      </c>
      <c r="N1052">
        <v>1</v>
      </c>
      <c r="O1052" t="s">
        <v>20</v>
      </c>
      <c r="P1052" t="s">
        <v>38</v>
      </c>
      <c r="Q1052">
        <f t="shared" si="80"/>
        <v>13</v>
      </c>
      <c r="R1052" s="4">
        <f>RANK(N1052,$N$2:N$2800,0)</f>
        <v>1</v>
      </c>
      <c r="S1052">
        <f t="shared" si="81"/>
        <v>2</v>
      </c>
      <c r="T1052" t="str">
        <f t="shared" si="82"/>
        <v>Low</v>
      </c>
      <c r="U1052" t="str" cm="1">
        <f t="array" ref="U1052">_xlfn.LET(_xlpm.roles,_xlfn.UNIQUE(D1052:D3850),_xlpm.kills, SUMIF(D1052:D3850,_xlpm.roles,G1052:G3850),INDEX(_xlpm.roles,MATCH(MAX(_xlpm.kills),_xlpm.kills,0)))</f>
        <v>Entry Fragger</v>
      </c>
      <c r="V1052" t="str">
        <f t="shared" si="83"/>
        <v>High Accuracy</v>
      </c>
      <c r="W1052" t="str" cm="1">
        <f t="array" ref="W1052">_xlfn.LET(_xlpm.roles,_xlfn.UNIQUE(D1052:D3850), _xlpm.counts,COUNTIF(D1052:D3850,_xlpm.roles), INDEX(_xlpm.roles,MATCH(MAX(_xlpm.counts),_xlpm.counts,0)))</f>
        <v>Entry Fragger</v>
      </c>
      <c r="X1052" s="2">
        <f t="shared" si="84"/>
        <v>12.520971302428256</v>
      </c>
    </row>
    <row r="1053" spans="1:24" x14ac:dyDescent="0.3">
      <c r="A1053">
        <v>863</v>
      </c>
      <c r="B1053">
        <v>188</v>
      </c>
      <c r="C1053" t="s">
        <v>16</v>
      </c>
      <c r="D1053" t="s">
        <v>17</v>
      </c>
      <c r="E1053" t="s">
        <v>29</v>
      </c>
      <c r="F1053" t="s">
        <v>26</v>
      </c>
      <c r="G1053">
        <v>24</v>
      </c>
      <c r="H1053">
        <v>10</v>
      </c>
      <c r="I1053">
        <v>11</v>
      </c>
      <c r="J1053">
        <v>49.71</v>
      </c>
      <c r="K1053">
        <v>236.72</v>
      </c>
      <c r="L1053">
        <v>0.46</v>
      </c>
      <c r="M1053">
        <v>67.260000000000005</v>
      </c>
      <c r="N1053">
        <v>1</v>
      </c>
      <c r="O1053" t="s">
        <v>20</v>
      </c>
      <c r="P1053" t="s">
        <v>38</v>
      </c>
      <c r="Q1053">
        <f t="shared" si="80"/>
        <v>23</v>
      </c>
      <c r="R1053" s="4">
        <f>RANK(N1053,$N$2:N$2800,0)</f>
        <v>1</v>
      </c>
      <c r="S1053">
        <f t="shared" si="81"/>
        <v>2.1818181818181817</v>
      </c>
      <c r="T1053" t="str">
        <f t="shared" si="82"/>
        <v>Good</v>
      </c>
      <c r="U1053" t="str" cm="1">
        <f t="array" ref="U1053">_xlfn.LET(_xlpm.roles,_xlfn.UNIQUE(D1053:D3851),_xlpm.kills, SUMIF(D1053:D3851,_xlpm.roles,G1053:G3851),INDEX(_xlpm.roles,MATCH(MAX(_xlpm.kills),_xlpm.kills,0)))</f>
        <v>Entry Fragger</v>
      </c>
      <c r="V1053" t="str">
        <f t="shared" si="83"/>
        <v>Medium Accuracy</v>
      </c>
      <c r="W1053" t="str" cm="1">
        <f t="array" ref="W1053">_xlfn.LET(_xlpm.roles,_xlfn.UNIQUE(D1053:D3851), _xlpm.counts,COUNTIF(D1053:D3851,_xlpm.roles), INDEX(_xlpm.roles,MATCH(MAX(_xlpm.counts),_xlpm.counts,0)))</f>
        <v>Entry Fragger</v>
      </c>
      <c r="X1053" s="2">
        <f t="shared" si="84"/>
        <v>12.520971302428256</v>
      </c>
    </row>
    <row r="1054" spans="1:24" x14ac:dyDescent="0.3">
      <c r="A1054">
        <v>1062</v>
      </c>
      <c r="B1054">
        <v>188</v>
      </c>
      <c r="C1054" t="s">
        <v>30</v>
      </c>
      <c r="D1054" t="s">
        <v>36</v>
      </c>
      <c r="E1054" t="s">
        <v>33</v>
      </c>
      <c r="F1054" t="s">
        <v>19</v>
      </c>
      <c r="G1054">
        <v>17</v>
      </c>
      <c r="H1054">
        <v>4</v>
      </c>
      <c r="I1054">
        <v>7</v>
      </c>
      <c r="J1054">
        <v>42.13</v>
      </c>
      <c r="K1054">
        <v>198.7</v>
      </c>
      <c r="L1054">
        <v>0.8</v>
      </c>
      <c r="M1054">
        <v>44.06</v>
      </c>
      <c r="N1054">
        <v>1</v>
      </c>
      <c r="O1054" t="s">
        <v>20</v>
      </c>
      <c r="P1054" t="s">
        <v>21</v>
      </c>
      <c r="Q1054">
        <f t="shared" si="80"/>
        <v>14</v>
      </c>
      <c r="R1054" s="4">
        <f>RANK(N1054,$N$2:N$2800,0)</f>
        <v>1</v>
      </c>
      <c r="S1054">
        <f t="shared" si="81"/>
        <v>2.4285714285714284</v>
      </c>
      <c r="T1054" t="str">
        <f t="shared" si="82"/>
        <v>Low</v>
      </c>
      <c r="U1054" t="str" cm="1">
        <f t="array" ref="U1054">_xlfn.LET(_xlpm.roles,_xlfn.UNIQUE(D1054:D3852),_xlpm.kills, SUMIF(D1054:D3852,_xlpm.roles,G1054:G3852),INDEX(_xlpm.roles,MATCH(MAX(_xlpm.kills),_xlpm.kills,0)))</f>
        <v>Entry Fragger</v>
      </c>
      <c r="V1054" t="str">
        <f t="shared" si="83"/>
        <v>Medium Accuracy</v>
      </c>
      <c r="W1054" t="str" cm="1">
        <f t="array" ref="W1054">_xlfn.LET(_xlpm.roles,_xlfn.UNIQUE(D1054:D3852), _xlpm.counts,COUNTIF(D1054:D3852,_xlpm.roles), INDEX(_xlpm.roles,MATCH(MAX(_xlpm.counts),_xlpm.counts,0)))</f>
        <v>Entry Fragger</v>
      </c>
      <c r="X1054" s="2">
        <f t="shared" si="84"/>
        <v>13.135802469135802</v>
      </c>
    </row>
    <row r="1055" spans="1:24" x14ac:dyDescent="0.3">
      <c r="A1055">
        <v>2124</v>
      </c>
      <c r="B1055">
        <v>188</v>
      </c>
      <c r="C1055" t="s">
        <v>25</v>
      </c>
      <c r="D1055" t="s">
        <v>31</v>
      </c>
      <c r="E1055" t="s">
        <v>18</v>
      </c>
      <c r="F1055" t="s">
        <v>34</v>
      </c>
      <c r="G1055">
        <v>15</v>
      </c>
      <c r="H1055">
        <v>8</v>
      </c>
      <c r="I1055">
        <v>7</v>
      </c>
      <c r="J1055">
        <v>56.56</v>
      </c>
      <c r="K1055">
        <v>187.54</v>
      </c>
      <c r="L1055">
        <v>0.22</v>
      </c>
      <c r="M1055">
        <v>57.08</v>
      </c>
      <c r="N1055">
        <v>1</v>
      </c>
      <c r="O1055" t="s">
        <v>20</v>
      </c>
      <c r="P1055" t="s">
        <v>21</v>
      </c>
      <c r="Q1055">
        <f t="shared" si="80"/>
        <v>16</v>
      </c>
      <c r="R1055" s="4">
        <f>RANK(N1055,$N$2:N$2800,0)</f>
        <v>1</v>
      </c>
      <c r="S1055">
        <f t="shared" si="81"/>
        <v>2.1428571428571428</v>
      </c>
      <c r="T1055" t="str">
        <f t="shared" si="82"/>
        <v>Good</v>
      </c>
      <c r="U1055" t="str" cm="1">
        <f t="array" ref="U1055">_xlfn.LET(_xlpm.roles,_xlfn.UNIQUE(D1055:D3853),_xlpm.kills, SUMIF(D1055:D3853,_xlpm.roles,G1055:G3853),INDEX(_xlpm.roles,MATCH(MAX(_xlpm.kills),_xlpm.kills,0)))</f>
        <v>Entry Fragger</v>
      </c>
      <c r="V1055" t="str">
        <f t="shared" si="83"/>
        <v>High Accuracy</v>
      </c>
      <c r="W1055" t="str" cm="1">
        <f t="array" ref="W1055">_xlfn.LET(_xlpm.roles,_xlfn.UNIQUE(D1055:D3853), _xlpm.counts,COUNTIF(D1055:D3853,_xlpm.roles), INDEX(_xlpm.roles,MATCH(MAX(_xlpm.counts),_xlpm.counts,0)))</f>
        <v>Entry Fragger</v>
      </c>
      <c r="X1055" s="2">
        <f t="shared" si="84"/>
        <v>12.809421841541756</v>
      </c>
    </row>
    <row r="1056" spans="1:24" x14ac:dyDescent="0.3">
      <c r="A1056">
        <v>2209</v>
      </c>
      <c r="B1056">
        <v>188</v>
      </c>
      <c r="C1056" t="s">
        <v>39</v>
      </c>
      <c r="D1056" t="s">
        <v>36</v>
      </c>
      <c r="E1056" t="s">
        <v>33</v>
      </c>
      <c r="F1056" t="s">
        <v>34</v>
      </c>
      <c r="G1056">
        <v>13</v>
      </c>
      <c r="H1056">
        <v>12</v>
      </c>
      <c r="I1056">
        <v>8</v>
      </c>
      <c r="J1056">
        <v>41.07</v>
      </c>
      <c r="K1056">
        <v>248.67</v>
      </c>
      <c r="L1056">
        <v>0.31</v>
      </c>
      <c r="M1056">
        <v>47.43</v>
      </c>
      <c r="N1056">
        <v>1</v>
      </c>
      <c r="O1056" t="s">
        <v>20</v>
      </c>
      <c r="P1056" t="s">
        <v>21</v>
      </c>
      <c r="Q1056">
        <f t="shared" si="80"/>
        <v>17</v>
      </c>
      <c r="R1056" s="4">
        <f>RANK(N1056,$N$2:N$2800,0)</f>
        <v>1</v>
      </c>
      <c r="S1056">
        <f t="shared" si="81"/>
        <v>1.625</v>
      </c>
      <c r="T1056" t="str">
        <f t="shared" si="82"/>
        <v>Good</v>
      </c>
      <c r="U1056" t="str" cm="1">
        <f t="array" ref="U1056">_xlfn.LET(_xlpm.roles,_xlfn.UNIQUE(D1056:D3854),_xlpm.kills, SUMIF(D1056:D3854,_xlpm.roles,G1056:G3854),INDEX(_xlpm.roles,MATCH(MAX(_xlpm.kills),_xlpm.kills,0)))</f>
        <v>Entry Fragger</v>
      </c>
      <c r="V1056" t="str">
        <f t="shared" si="83"/>
        <v>Medium Accuracy</v>
      </c>
      <c r="W1056" t="str" cm="1">
        <f t="array" ref="W1056">_xlfn.LET(_xlpm.roles,_xlfn.UNIQUE(D1056:D3854), _xlpm.counts,COUNTIF(D1056:D3854,_xlpm.roles), INDEX(_xlpm.roles,MATCH(MAX(_xlpm.counts),_xlpm.counts,0)))</f>
        <v>Entry Fragger</v>
      </c>
      <c r="X1056" s="2">
        <f t="shared" si="84"/>
        <v>13.103594080338267</v>
      </c>
    </row>
    <row r="1057" spans="1:24" x14ac:dyDescent="0.3">
      <c r="A1057">
        <v>2429</v>
      </c>
      <c r="B1057">
        <v>188</v>
      </c>
      <c r="C1057" t="s">
        <v>35</v>
      </c>
      <c r="D1057" t="s">
        <v>36</v>
      </c>
      <c r="E1057" t="s">
        <v>33</v>
      </c>
      <c r="F1057" t="s">
        <v>37</v>
      </c>
      <c r="G1057">
        <v>22</v>
      </c>
      <c r="H1057">
        <v>10</v>
      </c>
      <c r="I1057">
        <v>10</v>
      </c>
      <c r="J1057">
        <v>39.6</v>
      </c>
      <c r="K1057">
        <v>183.1</v>
      </c>
      <c r="L1057">
        <v>0.27</v>
      </c>
      <c r="M1057">
        <v>61.1</v>
      </c>
      <c r="N1057">
        <v>1</v>
      </c>
      <c r="O1057" t="s">
        <v>20</v>
      </c>
      <c r="P1057" t="s">
        <v>38</v>
      </c>
      <c r="Q1057">
        <f t="shared" si="80"/>
        <v>22</v>
      </c>
      <c r="R1057" s="4">
        <f>RANK(N1057,$N$2:N$2800,0)</f>
        <v>1</v>
      </c>
      <c r="S1057">
        <f t="shared" si="81"/>
        <v>2.2000000000000002</v>
      </c>
      <c r="T1057" t="str">
        <f t="shared" si="82"/>
        <v>Good</v>
      </c>
      <c r="U1057" t="str" cm="1">
        <f t="array" ref="U1057">_xlfn.LET(_xlpm.roles,_xlfn.UNIQUE(D1057:D3855),_xlpm.kills, SUMIF(D1057:D3855,_xlpm.roles,G1057:G3855),INDEX(_xlpm.roles,MATCH(MAX(_xlpm.kills),_xlpm.kills,0)))</f>
        <v>Entry Fragger</v>
      </c>
      <c r="V1057" t="str">
        <f t="shared" si="83"/>
        <v>Medium Accuracy</v>
      </c>
      <c r="W1057" t="str" cm="1">
        <f t="array" ref="W1057">_xlfn.LET(_xlpm.roles,_xlfn.UNIQUE(D1057:D3855), _xlpm.counts,COUNTIF(D1057:D3855,_xlpm.roles), INDEX(_xlpm.roles,MATCH(MAX(_xlpm.counts),_xlpm.counts,0)))</f>
        <v>Entry Fragger</v>
      </c>
      <c r="X1057" s="2">
        <f t="shared" si="84"/>
        <v>12.599585062240664</v>
      </c>
    </row>
    <row r="1058" spans="1:24" x14ac:dyDescent="0.3">
      <c r="A1058">
        <v>2555</v>
      </c>
      <c r="B1058">
        <v>188</v>
      </c>
      <c r="C1058" t="s">
        <v>35</v>
      </c>
      <c r="D1058" t="s">
        <v>28</v>
      </c>
      <c r="E1058" t="s">
        <v>33</v>
      </c>
      <c r="F1058" t="s">
        <v>24</v>
      </c>
      <c r="G1058">
        <v>13</v>
      </c>
      <c r="H1058">
        <v>8</v>
      </c>
      <c r="I1058">
        <v>13</v>
      </c>
      <c r="J1058">
        <v>43.76</v>
      </c>
      <c r="K1058">
        <v>220.25</v>
      </c>
      <c r="L1058">
        <v>0.44</v>
      </c>
      <c r="M1058">
        <v>38.479999999999997</v>
      </c>
      <c r="N1058">
        <v>0.87</v>
      </c>
      <c r="O1058" t="s">
        <v>20</v>
      </c>
      <c r="P1058" t="s">
        <v>21</v>
      </c>
      <c r="Q1058">
        <f t="shared" si="80"/>
        <v>8</v>
      </c>
      <c r="R1058" s="4">
        <f>RANK(N1058,$N$2:N$2800,0)</f>
        <v>1965</v>
      </c>
      <c r="S1058">
        <f t="shared" si="81"/>
        <v>1</v>
      </c>
      <c r="T1058" t="str">
        <f t="shared" si="82"/>
        <v>Low</v>
      </c>
      <c r="U1058" t="str" cm="1">
        <f t="array" ref="U1058">_xlfn.LET(_xlpm.roles,_xlfn.UNIQUE(D1058:D3856),_xlpm.kills, SUMIF(D1058:D3856,_xlpm.roles,G1058:G3856),INDEX(_xlpm.roles,MATCH(MAX(_xlpm.kills),_xlpm.kills,0)))</f>
        <v>Entry Fragger</v>
      </c>
      <c r="V1058" t="str">
        <f t="shared" si="83"/>
        <v>Medium Accuracy</v>
      </c>
      <c r="W1058" t="str" cm="1">
        <f t="array" ref="W1058">_xlfn.LET(_xlpm.roles,_xlfn.UNIQUE(D1058:D3856), _xlpm.counts,COUNTIF(D1058:D3856,_xlpm.roles), INDEX(_xlpm.roles,MATCH(MAX(_xlpm.counts),_xlpm.counts,0)))</f>
        <v>Entry Fragger</v>
      </c>
      <c r="X1058" s="2">
        <f t="shared" si="84"/>
        <v>12.599585062240664</v>
      </c>
    </row>
    <row r="1059" spans="1:24" x14ac:dyDescent="0.3">
      <c r="A1059">
        <v>1378</v>
      </c>
      <c r="B1059">
        <v>189</v>
      </c>
      <c r="C1059" t="s">
        <v>25</v>
      </c>
      <c r="D1059" t="s">
        <v>22</v>
      </c>
      <c r="E1059" t="s">
        <v>18</v>
      </c>
      <c r="F1059" t="s">
        <v>37</v>
      </c>
      <c r="G1059">
        <v>16</v>
      </c>
      <c r="H1059">
        <v>9</v>
      </c>
      <c r="I1059">
        <v>11</v>
      </c>
      <c r="J1059">
        <v>49.88</v>
      </c>
      <c r="K1059">
        <v>228.95</v>
      </c>
      <c r="L1059">
        <v>0.15</v>
      </c>
      <c r="M1059">
        <v>53.44</v>
      </c>
      <c r="N1059">
        <v>1</v>
      </c>
      <c r="O1059" t="s">
        <v>20</v>
      </c>
      <c r="P1059" t="s">
        <v>21</v>
      </c>
      <c r="Q1059">
        <f t="shared" si="80"/>
        <v>14</v>
      </c>
      <c r="R1059" s="4">
        <f>RANK(N1059,$N$2:N$2800,0)</f>
        <v>1</v>
      </c>
      <c r="S1059">
        <f t="shared" si="81"/>
        <v>1.4545454545454546</v>
      </c>
      <c r="T1059" t="str">
        <f t="shared" si="82"/>
        <v>Low</v>
      </c>
      <c r="U1059" t="str" cm="1">
        <f t="array" ref="U1059">_xlfn.LET(_xlpm.roles,_xlfn.UNIQUE(D1059:D3857),_xlpm.kills, SUMIF(D1059:D3857,_xlpm.roles,G1059:G3857),INDEX(_xlpm.roles,MATCH(MAX(_xlpm.kills),_xlpm.kills,0)))</f>
        <v>Entry Fragger</v>
      </c>
      <c r="V1059" t="str">
        <f t="shared" si="83"/>
        <v>Medium Accuracy</v>
      </c>
      <c r="W1059" t="str" cm="1">
        <f t="array" ref="W1059">_xlfn.LET(_xlpm.roles,_xlfn.UNIQUE(D1059:D3857), _xlpm.counts,COUNTIF(D1059:D3857,_xlpm.roles), INDEX(_xlpm.roles,MATCH(MAX(_xlpm.counts),_xlpm.counts,0)))</f>
        <v>Entry Fragger</v>
      </c>
      <c r="X1059" s="2">
        <f t="shared" si="84"/>
        <v>12.809421841541756</v>
      </c>
    </row>
    <row r="1060" spans="1:24" x14ac:dyDescent="0.3">
      <c r="A1060">
        <v>1412</v>
      </c>
      <c r="B1060">
        <v>189</v>
      </c>
      <c r="C1060" t="s">
        <v>30</v>
      </c>
      <c r="D1060" t="s">
        <v>17</v>
      </c>
      <c r="E1060" t="s">
        <v>23</v>
      </c>
      <c r="F1060" t="s">
        <v>34</v>
      </c>
      <c r="G1060">
        <v>19</v>
      </c>
      <c r="H1060">
        <v>8</v>
      </c>
      <c r="I1060">
        <v>11</v>
      </c>
      <c r="J1060">
        <v>34.54</v>
      </c>
      <c r="K1060">
        <v>236.15</v>
      </c>
      <c r="L1060">
        <v>0.53</v>
      </c>
      <c r="M1060">
        <v>46.97</v>
      </c>
      <c r="N1060">
        <v>0.83</v>
      </c>
      <c r="O1060" t="s">
        <v>20</v>
      </c>
      <c r="P1060" t="s">
        <v>21</v>
      </c>
      <c r="Q1060">
        <f t="shared" si="80"/>
        <v>16</v>
      </c>
      <c r="R1060" s="4">
        <f>RANK(N1060,$N$2:N$2800,0)</f>
        <v>2218</v>
      </c>
      <c r="S1060">
        <f t="shared" si="81"/>
        <v>1.7272727272727273</v>
      </c>
      <c r="T1060" t="str">
        <f t="shared" si="82"/>
        <v>Good</v>
      </c>
      <c r="U1060" t="str" cm="1">
        <f t="array" ref="U1060">_xlfn.LET(_xlpm.roles,_xlfn.UNIQUE(D1060:D3858),_xlpm.kills, SUMIF(D1060:D3858,_xlpm.roles,G1060:G3858),INDEX(_xlpm.roles,MATCH(MAX(_xlpm.kills),_xlpm.kills,0)))</f>
        <v>Entry Fragger</v>
      </c>
      <c r="V1060" t="str">
        <f t="shared" si="83"/>
        <v>Medium Accuracy</v>
      </c>
      <c r="W1060" t="str" cm="1">
        <f t="array" ref="W1060">_xlfn.LET(_xlpm.roles,_xlfn.UNIQUE(D1060:D3858), _xlpm.counts,COUNTIF(D1060:D3858,_xlpm.roles), INDEX(_xlpm.roles,MATCH(MAX(_xlpm.counts),_xlpm.counts,0)))</f>
        <v>Entry Fragger</v>
      </c>
      <c r="X1060" s="2">
        <f t="shared" si="84"/>
        <v>13.135802469135802</v>
      </c>
    </row>
    <row r="1061" spans="1:24" x14ac:dyDescent="0.3">
      <c r="A1061">
        <v>2016</v>
      </c>
      <c r="B1061">
        <v>189</v>
      </c>
      <c r="C1061" t="s">
        <v>16</v>
      </c>
      <c r="D1061" t="s">
        <v>17</v>
      </c>
      <c r="E1061" t="s">
        <v>29</v>
      </c>
      <c r="F1061" t="s">
        <v>19</v>
      </c>
      <c r="G1061">
        <v>28</v>
      </c>
      <c r="H1061">
        <v>7</v>
      </c>
      <c r="I1061">
        <v>16</v>
      </c>
      <c r="J1061">
        <v>43.76</v>
      </c>
      <c r="K1061">
        <v>178.95</v>
      </c>
      <c r="L1061">
        <v>0.17</v>
      </c>
      <c r="M1061">
        <v>67.180000000000007</v>
      </c>
      <c r="N1061">
        <v>1</v>
      </c>
      <c r="O1061" t="s">
        <v>20</v>
      </c>
      <c r="P1061" t="s">
        <v>38</v>
      </c>
      <c r="Q1061">
        <f t="shared" si="80"/>
        <v>19</v>
      </c>
      <c r="R1061" s="4">
        <f>RANK(N1061,$N$2:N$2800,0)</f>
        <v>1</v>
      </c>
      <c r="S1061">
        <f t="shared" si="81"/>
        <v>1.75</v>
      </c>
      <c r="T1061" t="str">
        <f t="shared" si="82"/>
        <v>Good</v>
      </c>
      <c r="U1061" t="str" cm="1">
        <f t="array" ref="U1061">_xlfn.LET(_xlpm.roles,_xlfn.UNIQUE(D1061:D3859),_xlpm.kills, SUMIF(D1061:D3859,_xlpm.roles,G1061:G3859),INDEX(_xlpm.roles,MATCH(MAX(_xlpm.kills),_xlpm.kills,0)))</f>
        <v>Entry Fragger</v>
      </c>
      <c r="V1061" t="str">
        <f t="shared" si="83"/>
        <v>Medium Accuracy</v>
      </c>
      <c r="W1061" t="str" cm="1">
        <f t="array" ref="W1061">_xlfn.LET(_xlpm.roles,_xlfn.UNIQUE(D1061:D3859), _xlpm.counts,COUNTIF(D1061:D3859,_xlpm.roles), INDEX(_xlpm.roles,MATCH(MAX(_xlpm.counts),_xlpm.counts,0)))</f>
        <v>Entry Fragger</v>
      </c>
      <c r="X1061" s="2">
        <f t="shared" si="84"/>
        <v>12.520971302428256</v>
      </c>
    </row>
    <row r="1062" spans="1:24" x14ac:dyDescent="0.3">
      <c r="A1062">
        <v>2102</v>
      </c>
      <c r="B1062">
        <v>189</v>
      </c>
      <c r="C1062" t="s">
        <v>35</v>
      </c>
      <c r="D1062" t="s">
        <v>17</v>
      </c>
      <c r="E1062" t="s">
        <v>18</v>
      </c>
      <c r="F1062" t="s">
        <v>37</v>
      </c>
      <c r="G1062">
        <v>19</v>
      </c>
      <c r="H1062">
        <v>4</v>
      </c>
      <c r="I1062">
        <v>12</v>
      </c>
      <c r="J1062">
        <v>54.95</v>
      </c>
      <c r="K1062">
        <v>158.49</v>
      </c>
      <c r="L1062">
        <v>0.14000000000000001</v>
      </c>
      <c r="M1062">
        <v>56.08</v>
      </c>
      <c r="N1062">
        <v>0.99</v>
      </c>
      <c r="O1062" t="s">
        <v>20</v>
      </c>
      <c r="P1062" t="s">
        <v>21</v>
      </c>
      <c r="Q1062">
        <f t="shared" si="80"/>
        <v>11</v>
      </c>
      <c r="R1062" s="4">
        <f>RANK(N1062,$N$2:N$2800,0)</f>
        <v>1080</v>
      </c>
      <c r="S1062">
        <f t="shared" si="81"/>
        <v>1.5833333333333333</v>
      </c>
      <c r="T1062" t="str">
        <f t="shared" si="82"/>
        <v>Low</v>
      </c>
      <c r="U1062" t="str" cm="1">
        <f t="array" ref="U1062">_xlfn.LET(_xlpm.roles,_xlfn.UNIQUE(D1062:D3860),_xlpm.kills, SUMIF(D1062:D3860,_xlpm.roles,G1062:G3860),INDEX(_xlpm.roles,MATCH(MAX(_xlpm.kills),_xlpm.kills,0)))</f>
        <v>Entry Fragger</v>
      </c>
      <c r="V1062" t="str">
        <f t="shared" si="83"/>
        <v>High Accuracy</v>
      </c>
      <c r="W1062" t="str" cm="1">
        <f t="array" ref="W1062">_xlfn.LET(_xlpm.roles,_xlfn.UNIQUE(D1062:D3860), _xlpm.counts,COUNTIF(D1062:D3860,_xlpm.roles), INDEX(_xlpm.roles,MATCH(MAX(_xlpm.counts),_xlpm.counts,0)))</f>
        <v>Entry Fragger</v>
      </c>
      <c r="X1062" s="2">
        <f t="shared" si="84"/>
        <v>12.599585062240664</v>
      </c>
    </row>
    <row r="1063" spans="1:24" x14ac:dyDescent="0.3">
      <c r="A1063">
        <v>2715</v>
      </c>
      <c r="B1063">
        <v>189</v>
      </c>
      <c r="C1063" t="s">
        <v>30</v>
      </c>
      <c r="D1063" t="s">
        <v>22</v>
      </c>
      <c r="E1063" t="s">
        <v>29</v>
      </c>
      <c r="F1063" t="s">
        <v>34</v>
      </c>
      <c r="G1063">
        <v>15</v>
      </c>
      <c r="H1063">
        <v>11</v>
      </c>
      <c r="I1063">
        <v>10</v>
      </c>
      <c r="J1063">
        <v>50.23</v>
      </c>
      <c r="K1063">
        <v>228.87</v>
      </c>
      <c r="L1063">
        <v>0.92</v>
      </c>
      <c r="M1063">
        <v>46.91</v>
      </c>
      <c r="N1063">
        <v>1</v>
      </c>
      <c r="O1063" t="s">
        <v>20</v>
      </c>
      <c r="P1063" t="s">
        <v>21</v>
      </c>
      <c r="Q1063">
        <f t="shared" si="80"/>
        <v>16</v>
      </c>
      <c r="R1063" s="4">
        <f>RANK(N1063,$N$2:N$2800,0)</f>
        <v>1</v>
      </c>
      <c r="S1063">
        <f t="shared" si="81"/>
        <v>1.5</v>
      </c>
      <c r="T1063" t="str">
        <f t="shared" si="82"/>
        <v>Good</v>
      </c>
      <c r="U1063" t="str" cm="1">
        <f t="array" ref="U1063">_xlfn.LET(_xlpm.roles,_xlfn.UNIQUE(D1063:D3861),_xlpm.kills, SUMIF(D1063:D3861,_xlpm.roles,G1063:G3861),INDEX(_xlpm.roles,MATCH(MAX(_xlpm.kills),_xlpm.kills,0)))</f>
        <v>Entry Fragger</v>
      </c>
      <c r="V1063" t="str">
        <f t="shared" si="83"/>
        <v>High Accuracy</v>
      </c>
      <c r="W1063" t="str" cm="1">
        <f t="array" ref="W1063">_xlfn.LET(_xlpm.roles,_xlfn.UNIQUE(D1063:D3861), _xlpm.counts,COUNTIF(D1063:D3861,_xlpm.roles), INDEX(_xlpm.roles,MATCH(MAX(_xlpm.counts),_xlpm.counts,0)))</f>
        <v>Entry Fragger</v>
      </c>
      <c r="X1063" s="2">
        <f t="shared" si="84"/>
        <v>13.135802469135802</v>
      </c>
    </row>
    <row r="1064" spans="1:24" x14ac:dyDescent="0.3">
      <c r="A1064">
        <v>148</v>
      </c>
      <c r="B1064">
        <v>190</v>
      </c>
      <c r="C1064" t="s">
        <v>25</v>
      </c>
      <c r="D1064" t="s">
        <v>31</v>
      </c>
      <c r="E1064" t="s">
        <v>32</v>
      </c>
      <c r="F1064" t="s">
        <v>19</v>
      </c>
      <c r="G1064">
        <v>12</v>
      </c>
      <c r="H1064">
        <v>6</v>
      </c>
      <c r="I1064">
        <v>14</v>
      </c>
      <c r="J1064">
        <v>46.8</v>
      </c>
      <c r="K1064">
        <v>172.06</v>
      </c>
      <c r="L1064">
        <v>0.44</v>
      </c>
      <c r="M1064">
        <v>35</v>
      </c>
      <c r="N1064">
        <v>0.9</v>
      </c>
      <c r="O1064" t="s">
        <v>20</v>
      </c>
      <c r="P1064" t="s">
        <v>21</v>
      </c>
      <c r="Q1064">
        <f t="shared" si="80"/>
        <v>4</v>
      </c>
      <c r="R1064" s="4">
        <f>RANK(N1064,$N$2:N$2800,0)</f>
        <v>1738</v>
      </c>
      <c r="S1064">
        <f t="shared" si="81"/>
        <v>0.8571428571428571</v>
      </c>
      <c r="T1064" t="str">
        <f t="shared" si="82"/>
        <v>Low</v>
      </c>
      <c r="U1064" t="str" cm="1">
        <f t="array" ref="U1064">_xlfn.LET(_xlpm.roles,_xlfn.UNIQUE(D1064:D3862),_xlpm.kills, SUMIF(D1064:D3862,_xlpm.roles,G1064:G3862),INDEX(_xlpm.roles,MATCH(MAX(_xlpm.kills),_xlpm.kills,0)))</f>
        <v>Entry Fragger</v>
      </c>
      <c r="V1064" t="str">
        <f t="shared" si="83"/>
        <v>Medium Accuracy</v>
      </c>
      <c r="W1064" t="str" cm="1">
        <f t="array" ref="W1064">_xlfn.LET(_xlpm.roles,_xlfn.UNIQUE(D1064:D3862), _xlpm.counts,COUNTIF(D1064:D3862,_xlpm.roles), INDEX(_xlpm.roles,MATCH(MAX(_xlpm.counts),_xlpm.counts,0)))</f>
        <v>Entry Fragger</v>
      </c>
      <c r="X1064" s="2">
        <f t="shared" si="84"/>
        <v>12.809421841541756</v>
      </c>
    </row>
    <row r="1065" spans="1:24" x14ac:dyDescent="0.3">
      <c r="A1065">
        <v>1730</v>
      </c>
      <c r="B1065">
        <v>190</v>
      </c>
      <c r="C1065" t="s">
        <v>25</v>
      </c>
      <c r="D1065" t="s">
        <v>31</v>
      </c>
      <c r="E1065" t="s">
        <v>23</v>
      </c>
      <c r="F1065" t="s">
        <v>19</v>
      </c>
      <c r="G1065">
        <v>15</v>
      </c>
      <c r="H1065">
        <v>4</v>
      </c>
      <c r="I1065">
        <v>16</v>
      </c>
      <c r="J1065">
        <v>52.74</v>
      </c>
      <c r="K1065">
        <v>175.72</v>
      </c>
      <c r="L1065">
        <v>0.56000000000000005</v>
      </c>
      <c r="M1065">
        <v>38.770000000000003</v>
      </c>
      <c r="N1065">
        <v>0.85</v>
      </c>
      <c r="O1065" t="s">
        <v>20</v>
      </c>
      <c r="P1065" t="s">
        <v>21</v>
      </c>
      <c r="Q1065">
        <f t="shared" si="80"/>
        <v>3</v>
      </c>
      <c r="R1065" s="4">
        <f>RANK(N1065,$N$2:N$2800,0)</f>
        <v>2105</v>
      </c>
      <c r="S1065">
        <f t="shared" si="81"/>
        <v>0.9375</v>
      </c>
      <c r="T1065" t="str">
        <f t="shared" si="82"/>
        <v>Low</v>
      </c>
      <c r="U1065" t="str" cm="1">
        <f t="array" ref="U1065">_xlfn.LET(_xlpm.roles,_xlfn.UNIQUE(D1065:D3863),_xlpm.kills, SUMIF(D1065:D3863,_xlpm.roles,G1065:G3863),INDEX(_xlpm.roles,MATCH(MAX(_xlpm.kills),_xlpm.kills,0)))</f>
        <v>Entry Fragger</v>
      </c>
      <c r="V1065" t="str">
        <f t="shared" si="83"/>
        <v>High Accuracy</v>
      </c>
      <c r="W1065" t="str" cm="1">
        <f t="array" ref="W1065">_xlfn.LET(_xlpm.roles,_xlfn.UNIQUE(D1065:D3863), _xlpm.counts,COUNTIF(D1065:D3863,_xlpm.roles), INDEX(_xlpm.roles,MATCH(MAX(_xlpm.counts),_xlpm.counts,0)))</f>
        <v>Entry Fragger</v>
      </c>
      <c r="X1065" s="2">
        <f t="shared" si="84"/>
        <v>12.809421841541756</v>
      </c>
    </row>
    <row r="1066" spans="1:24" x14ac:dyDescent="0.3">
      <c r="A1066">
        <v>2597</v>
      </c>
      <c r="B1066">
        <v>190</v>
      </c>
      <c r="C1066" t="s">
        <v>35</v>
      </c>
      <c r="D1066" t="s">
        <v>22</v>
      </c>
      <c r="E1066" t="s">
        <v>23</v>
      </c>
      <c r="F1066" t="s">
        <v>24</v>
      </c>
      <c r="G1066">
        <v>9</v>
      </c>
      <c r="H1066">
        <v>9</v>
      </c>
      <c r="I1066">
        <v>10</v>
      </c>
      <c r="J1066">
        <v>52.78</v>
      </c>
      <c r="K1066">
        <v>261.43</v>
      </c>
      <c r="L1066">
        <v>0.16</v>
      </c>
      <c r="M1066">
        <v>41.79</v>
      </c>
      <c r="N1066">
        <v>0.96</v>
      </c>
      <c r="O1066" t="s">
        <v>20</v>
      </c>
      <c r="P1066" t="s">
        <v>21</v>
      </c>
      <c r="Q1066">
        <f t="shared" si="80"/>
        <v>8</v>
      </c>
      <c r="R1066" s="4">
        <f>RANK(N1066,$N$2:N$2800,0)</f>
        <v>1301</v>
      </c>
      <c r="S1066">
        <f t="shared" si="81"/>
        <v>0.9</v>
      </c>
      <c r="T1066" t="str">
        <f t="shared" si="82"/>
        <v>Low</v>
      </c>
      <c r="U1066" t="str" cm="1">
        <f t="array" ref="U1066">_xlfn.LET(_xlpm.roles,_xlfn.UNIQUE(D1066:D3864),_xlpm.kills, SUMIF(D1066:D3864,_xlpm.roles,G1066:G3864),INDEX(_xlpm.roles,MATCH(MAX(_xlpm.kills),_xlpm.kills,0)))</f>
        <v>Entry Fragger</v>
      </c>
      <c r="V1066" t="str">
        <f t="shared" si="83"/>
        <v>High Accuracy</v>
      </c>
      <c r="W1066" t="str" cm="1">
        <f t="array" ref="W1066">_xlfn.LET(_xlpm.roles,_xlfn.UNIQUE(D1066:D3864), _xlpm.counts,COUNTIF(D1066:D3864,_xlpm.roles), INDEX(_xlpm.roles,MATCH(MAX(_xlpm.counts),_xlpm.counts,0)))</f>
        <v>Entry Fragger</v>
      </c>
      <c r="X1066" s="2">
        <f t="shared" si="84"/>
        <v>12.599585062240664</v>
      </c>
    </row>
    <row r="1067" spans="1:24" x14ac:dyDescent="0.3">
      <c r="A1067">
        <v>305</v>
      </c>
      <c r="B1067">
        <v>191</v>
      </c>
      <c r="C1067" t="s">
        <v>30</v>
      </c>
      <c r="D1067" t="s">
        <v>28</v>
      </c>
      <c r="E1067" t="s">
        <v>33</v>
      </c>
      <c r="F1067" t="s">
        <v>24</v>
      </c>
      <c r="G1067">
        <v>10</v>
      </c>
      <c r="H1067">
        <v>7</v>
      </c>
      <c r="I1067">
        <v>12</v>
      </c>
      <c r="J1067">
        <v>33.9</v>
      </c>
      <c r="K1067">
        <v>242.92</v>
      </c>
      <c r="L1067">
        <v>0.04</v>
      </c>
      <c r="M1067">
        <v>31.55</v>
      </c>
      <c r="N1067">
        <v>0.91</v>
      </c>
      <c r="O1067" t="s">
        <v>20</v>
      </c>
      <c r="P1067" t="s">
        <v>21</v>
      </c>
      <c r="Q1067">
        <f t="shared" si="80"/>
        <v>5</v>
      </c>
      <c r="R1067" s="4">
        <f>RANK(N1067,$N$2:N$2800,0)</f>
        <v>1665</v>
      </c>
      <c r="S1067">
        <f t="shared" si="81"/>
        <v>0.83333333333333337</v>
      </c>
      <c r="T1067" t="str">
        <f t="shared" si="82"/>
        <v>Low</v>
      </c>
      <c r="U1067" t="str" cm="1">
        <f t="array" ref="U1067">_xlfn.LET(_xlpm.roles,_xlfn.UNIQUE(D1067:D3865),_xlpm.kills, SUMIF(D1067:D3865,_xlpm.roles,G1067:G3865),INDEX(_xlpm.roles,MATCH(MAX(_xlpm.kills),_xlpm.kills,0)))</f>
        <v>Entry Fragger</v>
      </c>
      <c r="V1067" t="str">
        <f t="shared" si="83"/>
        <v>Medium Accuracy</v>
      </c>
      <c r="W1067" t="str" cm="1">
        <f t="array" ref="W1067">_xlfn.LET(_xlpm.roles,_xlfn.UNIQUE(D1067:D3865), _xlpm.counts,COUNTIF(D1067:D3865,_xlpm.roles), INDEX(_xlpm.roles,MATCH(MAX(_xlpm.counts),_xlpm.counts,0)))</f>
        <v>Entry Fragger</v>
      </c>
      <c r="X1067" s="2">
        <f t="shared" si="84"/>
        <v>13.135802469135802</v>
      </c>
    </row>
    <row r="1068" spans="1:24" x14ac:dyDescent="0.3">
      <c r="A1068">
        <v>381</v>
      </c>
      <c r="B1068">
        <v>191</v>
      </c>
      <c r="C1068" t="s">
        <v>35</v>
      </c>
      <c r="D1068" t="s">
        <v>28</v>
      </c>
      <c r="E1068" t="s">
        <v>32</v>
      </c>
      <c r="F1068" t="s">
        <v>26</v>
      </c>
      <c r="G1068">
        <v>11</v>
      </c>
      <c r="H1068">
        <v>11</v>
      </c>
      <c r="I1068">
        <v>9</v>
      </c>
      <c r="J1068">
        <v>53.58</v>
      </c>
      <c r="K1068">
        <v>250.37</v>
      </c>
      <c r="L1068">
        <v>0.05</v>
      </c>
      <c r="M1068">
        <v>50.29</v>
      </c>
      <c r="N1068">
        <v>0.99</v>
      </c>
      <c r="O1068" t="s">
        <v>20</v>
      </c>
      <c r="P1068" t="s">
        <v>21</v>
      </c>
      <c r="Q1068">
        <f t="shared" si="80"/>
        <v>13</v>
      </c>
      <c r="R1068" s="4">
        <f>RANK(N1068,$N$2:N$2800,0)</f>
        <v>1080</v>
      </c>
      <c r="S1068">
        <f t="shared" si="81"/>
        <v>1.2222222222222223</v>
      </c>
      <c r="T1068" t="str">
        <f t="shared" si="82"/>
        <v>Low</v>
      </c>
      <c r="U1068" t="str" cm="1">
        <f t="array" ref="U1068">_xlfn.LET(_xlpm.roles,_xlfn.UNIQUE(D1068:D3866),_xlpm.kills, SUMIF(D1068:D3866,_xlpm.roles,G1068:G3866),INDEX(_xlpm.roles,MATCH(MAX(_xlpm.kills),_xlpm.kills,0)))</f>
        <v>Entry Fragger</v>
      </c>
      <c r="V1068" t="str">
        <f t="shared" si="83"/>
        <v>High Accuracy</v>
      </c>
      <c r="W1068" t="str" cm="1">
        <f t="array" ref="W1068">_xlfn.LET(_xlpm.roles,_xlfn.UNIQUE(D1068:D3866), _xlpm.counts,COUNTIF(D1068:D3866,_xlpm.roles), INDEX(_xlpm.roles,MATCH(MAX(_xlpm.counts),_xlpm.counts,0)))</f>
        <v>Entry Fragger</v>
      </c>
      <c r="X1068" s="2">
        <f t="shared" si="84"/>
        <v>12.599585062240664</v>
      </c>
    </row>
    <row r="1069" spans="1:24" x14ac:dyDescent="0.3">
      <c r="A1069">
        <v>649</v>
      </c>
      <c r="B1069">
        <v>191</v>
      </c>
      <c r="C1069" t="s">
        <v>35</v>
      </c>
      <c r="D1069" t="s">
        <v>17</v>
      </c>
      <c r="E1069" t="s">
        <v>29</v>
      </c>
      <c r="F1069" t="s">
        <v>26</v>
      </c>
      <c r="G1069">
        <v>14</v>
      </c>
      <c r="H1069">
        <v>4</v>
      </c>
      <c r="I1069">
        <v>7</v>
      </c>
      <c r="J1069">
        <v>44.39</v>
      </c>
      <c r="K1069">
        <v>264.91000000000003</v>
      </c>
      <c r="L1069">
        <v>0.34</v>
      </c>
      <c r="M1069">
        <v>43.8</v>
      </c>
      <c r="N1069">
        <v>0.95</v>
      </c>
      <c r="O1069" t="s">
        <v>20</v>
      </c>
      <c r="P1069" t="s">
        <v>21</v>
      </c>
      <c r="Q1069">
        <f t="shared" si="80"/>
        <v>11</v>
      </c>
      <c r="R1069" s="4">
        <f>RANK(N1069,$N$2:N$2800,0)</f>
        <v>1367</v>
      </c>
      <c r="S1069">
        <f t="shared" si="81"/>
        <v>2</v>
      </c>
      <c r="T1069" t="str">
        <f t="shared" si="82"/>
        <v>Low</v>
      </c>
      <c r="U1069" t="str" cm="1">
        <f t="array" ref="U1069">_xlfn.LET(_xlpm.roles,_xlfn.UNIQUE(D1069:D3867),_xlpm.kills, SUMIF(D1069:D3867,_xlpm.roles,G1069:G3867),INDEX(_xlpm.roles,MATCH(MAX(_xlpm.kills),_xlpm.kills,0)))</f>
        <v>Entry Fragger</v>
      </c>
      <c r="V1069" t="str">
        <f t="shared" si="83"/>
        <v>Medium Accuracy</v>
      </c>
      <c r="W1069" t="str" cm="1">
        <f t="array" ref="W1069">_xlfn.LET(_xlpm.roles,_xlfn.UNIQUE(D1069:D3867), _xlpm.counts,COUNTIF(D1069:D3867,_xlpm.roles), INDEX(_xlpm.roles,MATCH(MAX(_xlpm.counts),_xlpm.counts,0)))</f>
        <v>Entry Fragger</v>
      </c>
      <c r="X1069" s="2">
        <f t="shared" si="84"/>
        <v>12.599585062240664</v>
      </c>
    </row>
    <row r="1070" spans="1:24" x14ac:dyDescent="0.3">
      <c r="A1070">
        <v>727</v>
      </c>
      <c r="B1070">
        <v>191</v>
      </c>
      <c r="C1070" t="s">
        <v>27</v>
      </c>
      <c r="D1070" t="s">
        <v>31</v>
      </c>
      <c r="E1070" t="s">
        <v>18</v>
      </c>
      <c r="F1070" t="s">
        <v>24</v>
      </c>
      <c r="G1070">
        <v>20</v>
      </c>
      <c r="H1070">
        <v>8</v>
      </c>
      <c r="I1070">
        <v>6</v>
      </c>
      <c r="J1070">
        <v>37.21</v>
      </c>
      <c r="K1070">
        <v>197.76</v>
      </c>
      <c r="L1070">
        <v>0.13</v>
      </c>
      <c r="M1070">
        <v>59.31</v>
      </c>
      <c r="N1070">
        <v>1</v>
      </c>
      <c r="O1070" t="s">
        <v>20</v>
      </c>
      <c r="P1070" t="s">
        <v>21</v>
      </c>
      <c r="Q1070">
        <f t="shared" si="80"/>
        <v>22</v>
      </c>
      <c r="R1070" s="4">
        <f>RANK(N1070,$N$2:N$2800,0)</f>
        <v>1</v>
      </c>
      <c r="S1070">
        <f t="shared" si="81"/>
        <v>3.3333333333333335</v>
      </c>
      <c r="T1070" t="str">
        <f t="shared" si="82"/>
        <v>Good</v>
      </c>
      <c r="U1070" t="str" cm="1">
        <f t="array" ref="U1070">_xlfn.LET(_xlpm.roles,_xlfn.UNIQUE(D1070:D3868),_xlpm.kills, SUMIF(D1070:D3868,_xlpm.roles,G1070:G3868),INDEX(_xlpm.roles,MATCH(MAX(_xlpm.kills),_xlpm.kills,0)))</f>
        <v>Entry Fragger</v>
      </c>
      <c r="V1070" t="str">
        <f t="shared" si="83"/>
        <v>Medium Accuracy</v>
      </c>
      <c r="W1070" t="str" cm="1">
        <f t="array" ref="W1070">_xlfn.LET(_xlpm.roles,_xlfn.UNIQUE(D1070:D3868), _xlpm.counts,COUNTIF(D1070:D3868,_xlpm.roles), INDEX(_xlpm.roles,MATCH(MAX(_xlpm.counts),_xlpm.counts,0)))</f>
        <v>Entry Fragger</v>
      </c>
      <c r="X1070" s="2">
        <f t="shared" si="84"/>
        <v>13.057077625570777</v>
      </c>
    </row>
    <row r="1071" spans="1:24" x14ac:dyDescent="0.3">
      <c r="A1071">
        <v>1310</v>
      </c>
      <c r="B1071">
        <v>191</v>
      </c>
      <c r="C1071" t="s">
        <v>27</v>
      </c>
      <c r="D1071" t="s">
        <v>36</v>
      </c>
      <c r="E1071" t="s">
        <v>32</v>
      </c>
      <c r="F1071" t="s">
        <v>37</v>
      </c>
      <c r="G1071">
        <v>18</v>
      </c>
      <c r="H1071">
        <v>5</v>
      </c>
      <c r="I1071">
        <v>12</v>
      </c>
      <c r="J1071">
        <v>45.13</v>
      </c>
      <c r="K1071">
        <v>228.56</v>
      </c>
      <c r="L1071">
        <v>0.13</v>
      </c>
      <c r="M1071">
        <v>50.27</v>
      </c>
      <c r="N1071">
        <v>0.9</v>
      </c>
      <c r="O1071" t="s">
        <v>20</v>
      </c>
      <c r="P1071" t="s">
        <v>21</v>
      </c>
      <c r="Q1071">
        <f t="shared" si="80"/>
        <v>11</v>
      </c>
      <c r="R1071" s="4">
        <f>RANK(N1071,$N$2:N$2800,0)</f>
        <v>1738</v>
      </c>
      <c r="S1071">
        <f t="shared" si="81"/>
        <v>1.5</v>
      </c>
      <c r="T1071" t="str">
        <f t="shared" si="82"/>
        <v>Low</v>
      </c>
      <c r="U1071" t="str" cm="1">
        <f t="array" ref="U1071">_xlfn.LET(_xlpm.roles,_xlfn.UNIQUE(D1071:D3869),_xlpm.kills, SUMIF(D1071:D3869,_xlpm.roles,G1071:G3869),INDEX(_xlpm.roles,MATCH(MAX(_xlpm.kills),_xlpm.kills,0)))</f>
        <v>Entry Fragger</v>
      </c>
      <c r="V1071" t="str">
        <f t="shared" si="83"/>
        <v>Medium Accuracy</v>
      </c>
      <c r="W1071" t="str" cm="1">
        <f t="array" ref="W1071">_xlfn.LET(_xlpm.roles,_xlfn.UNIQUE(D1071:D3869), _xlpm.counts,COUNTIF(D1071:D3869,_xlpm.roles), INDEX(_xlpm.roles,MATCH(MAX(_xlpm.counts),_xlpm.counts,0)))</f>
        <v>Entry Fragger</v>
      </c>
      <c r="X1071" s="2">
        <f t="shared" si="84"/>
        <v>13.057077625570777</v>
      </c>
    </row>
    <row r="1072" spans="1:24" x14ac:dyDescent="0.3">
      <c r="A1072">
        <v>2614</v>
      </c>
      <c r="B1072">
        <v>191</v>
      </c>
      <c r="C1072" t="s">
        <v>25</v>
      </c>
      <c r="D1072" t="s">
        <v>17</v>
      </c>
      <c r="E1072" t="s">
        <v>33</v>
      </c>
      <c r="F1072" t="s">
        <v>37</v>
      </c>
      <c r="G1072">
        <v>11</v>
      </c>
      <c r="H1072">
        <v>5</v>
      </c>
      <c r="I1072">
        <v>8</v>
      </c>
      <c r="J1072">
        <v>54.4</v>
      </c>
      <c r="K1072">
        <v>225.68</v>
      </c>
      <c r="L1072">
        <v>0.71</v>
      </c>
      <c r="M1072">
        <v>39.1</v>
      </c>
      <c r="N1072">
        <v>0.86</v>
      </c>
      <c r="O1072" t="s">
        <v>20</v>
      </c>
      <c r="P1072" t="s">
        <v>21</v>
      </c>
      <c r="Q1072">
        <f t="shared" si="80"/>
        <v>8</v>
      </c>
      <c r="R1072" s="4">
        <f>RANK(N1072,$N$2:N$2800,0)</f>
        <v>2040</v>
      </c>
      <c r="S1072">
        <f t="shared" si="81"/>
        <v>1.375</v>
      </c>
      <c r="T1072" t="str">
        <f t="shared" si="82"/>
        <v>Low</v>
      </c>
      <c r="U1072" t="str" cm="1">
        <f t="array" ref="U1072">_xlfn.LET(_xlpm.roles,_xlfn.UNIQUE(D1072:D3870),_xlpm.kills, SUMIF(D1072:D3870,_xlpm.roles,G1072:G3870),INDEX(_xlpm.roles,MATCH(MAX(_xlpm.kills),_xlpm.kills,0)))</f>
        <v>Entry Fragger</v>
      </c>
      <c r="V1072" t="str">
        <f t="shared" si="83"/>
        <v>High Accuracy</v>
      </c>
      <c r="W1072" t="str" cm="1">
        <f t="array" ref="W1072">_xlfn.LET(_xlpm.roles,_xlfn.UNIQUE(D1072:D3870), _xlpm.counts,COUNTIF(D1072:D3870,_xlpm.roles), INDEX(_xlpm.roles,MATCH(MAX(_xlpm.counts),_xlpm.counts,0)))</f>
        <v>Entry Fragger</v>
      </c>
      <c r="X1072" s="2">
        <f t="shared" si="84"/>
        <v>12.809421841541756</v>
      </c>
    </row>
    <row r="1073" spans="1:24" x14ac:dyDescent="0.3">
      <c r="A1073">
        <v>2768</v>
      </c>
      <c r="B1073">
        <v>191</v>
      </c>
      <c r="C1073" t="s">
        <v>27</v>
      </c>
      <c r="D1073" t="s">
        <v>22</v>
      </c>
      <c r="E1073" t="s">
        <v>23</v>
      </c>
      <c r="F1073" t="s">
        <v>24</v>
      </c>
      <c r="G1073">
        <v>19</v>
      </c>
      <c r="H1073">
        <v>12</v>
      </c>
      <c r="I1073">
        <v>16</v>
      </c>
      <c r="J1073">
        <v>50.12</v>
      </c>
      <c r="K1073">
        <v>203.2</v>
      </c>
      <c r="L1073">
        <v>0.27</v>
      </c>
      <c r="M1073">
        <v>56.36</v>
      </c>
      <c r="N1073">
        <v>0.84</v>
      </c>
      <c r="O1073" t="s">
        <v>20</v>
      </c>
      <c r="P1073" t="s">
        <v>21</v>
      </c>
      <c r="Q1073">
        <f t="shared" si="80"/>
        <v>15</v>
      </c>
      <c r="R1073" s="4">
        <f>RANK(N1073,$N$2:N$2800,0)</f>
        <v>2156</v>
      </c>
      <c r="S1073">
        <f t="shared" si="81"/>
        <v>1.1875</v>
      </c>
      <c r="T1073" t="str">
        <f t="shared" si="82"/>
        <v>Good</v>
      </c>
      <c r="U1073" t="str" cm="1">
        <f t="array" ref="U1073">_xlfn.LET(_xlpm.roles,_xlfn.UNIQUE(D1073:D3871),_xlpm.kills, SUMIF(D1073:D3871,_xlpm.roles,G1073:G3871),INDEX(_xlpm.roles,MATCH(MAX(_xlpm.kills),_xlpm.kills,0)))</f>
        <v>Entry Fragger</v>
      </c>
      <c r="V1073" t="str">
        <f t="shared" si="83"/>
        <v>High Accuracy</v>
      </c>
      <c r="W1073" t="str" cm="1">
        <f t="array" ref="W1073">_xlfn.LET(_xlpm.roles,_xlfn.UNIQUE(D1073:D3871), _xlpm.counts,COUNTIF(D1073:D3871,_xlpm.roles), INDEX(_xlpm.roles,MATCH(MAX(_xlpm.counts),_xlpm.counts,0)))</f>
        <v>Entry Fragger</v>
      </c>
      <c r="X1073" s="2">
        <f t="shared" si="84"/>
        <v>13.057077625570777</v>
      </c>
    </row>
    <row r="1074" spans="1:24" x14ac:dyDescent="0.3">
      <c r="A1074">
        <v>170</v>
      </c>
      <c r="B1074">
        <v>192</v>
      </c>
      <c r="C1074" t="s">
        <v>30</v>
      </c>
      <c r="D1074" t="s">
        <v>28</v>
      </c>
      <c r="E1074" t="s">
        <v>32</v>
      </c>
      <c r="F1074" t="s">
        <v>26</v>
      </c>
      <c r="G1074">
        <v>16</v>
      </c>
      <c r="H1074">
        <v>10</v>
      </c>
      <c r="I1074">
        <v>12</v>
      </c>
      <c r="J1074">
        <v>38.19</v>
      </c>
      <c r="K1074">
        <v>223.36</v>
      </c>
      <c r="L1074">
        <v>0.16</v>
      </c>
      <c r="M1074">
        <v>47.49</v>
      </c>
      <c r="N1074">
        <v>1</v>
      </c>
      <c r="O1074" t="s">
        <v>20</v>
      </c>
      <c r="P1074" t="s">
        <v>21</v>
      </c>
      <c r="Q1074">
        <f t="shared" si="80"/>
        <v>14</v>
      </c>
      <c r="R1074" s="4">
        <f>RANK(N1074,$N$2:N$2800,0)</f>
        <v>1</v>
      </c>
      <c r="S1074">
        <f t="shared" si="81"/>
        <v>1.3333333333333333</v>
      </c>
      <c r="T1074" t="str">
        <f t="shared" si="82"/>
        <v>Low</v>
      </c>
      <c r="U1074" t="str" cm="1">
        <f t="array" ref="U1074">_xlfn.LET(_xlpm.roles,_xlfn.UNIQUE(D1074:D3872),_xlpm.kills, SUMIF(D1074:D3872,_xlpm.roles,G1074:G3872),INDEX(_xlpm.roles,MATCH(MAX(_xlpm.kills),_xlpm.kills,0)))</f>
        <v>Entry Fragger</v>
      </c>
      <c r="V1074" t="str">
        <f t="shared" si="83"/>
        <v>Medium Accuracy</v>
      </c>
      <c r="W1074" t="str" cm="1">
        <f t="array" ref="W1074">_xlfn.LET(_xlpm.roles,_xlfn.UNIQUE(D1074:D3872), _xlpm.counts,COUNTIF(D1074:D3872,_xlpm.roles), INDEX(_xlpm.roles,MATCH(MAX(_xlpm.counts),_xlpm.counts,0)))</f>
        <v>Entry Fragger</v>
      </c>
      <c r="X1074" s="2">
        <f t="shared" si="84"/>
        <v>13.135802469135802</v>
      </c>
    </row>
    <row r="1075" spans="1:24" x14ac:dyDescent="0.3">
      <c r="A1075">
        <v>425</v>
      </c>
      <c r="B1075">
        <v>192</v>
      </c>
      <c r="C1075" t="s">
        <v>39</v>
      </c>
      <c r="D1075" t="s">
        <v>28</v>
      </c>
      <c r="E1075" t="s">
        <v>18</v>
      </c>
      <c r="F1075" t="s">
        <v>19</v>
      </c>
      <c r="G1075">
        <v>15</v>
      </c>
      <c r="H1075">
        <v>5</v>
      </c>
      <c r="I1075">
        <v>10</v>
      </c>
      <c r="J1075">
        <v>44.38</v>
      </c>
      <c r="K1075">
        <v>206.32</v>
      </c>
      <c r="L1075">
        <v>0.9</v>
      </c>
      <c r="M1075">
        <v>38.19</v>
      </c>
      <c r="N1075">
        <v>0.76</v>
      </c>
      <c r="O1075" t="s">
        <v>20</v>
      </c>
      <c r="P1075" t="s">
        <v>21</v>
      </c>
      <c r="Q1075">
        <f t="shared" si="80"/>
        <v>10</v>
      </c>
      <c r="R1075" s="4">
        <f>RANK(N1075,$N$2:N$2800,0)</f>
        <v>2547</v>
      </c>
      <c r="S1075">
        <f t="shared" si="81"/>
        <v>1.5</v>
      </c>
      <c r="T1075" t="str">
        <f t="shared" si="82"/>
        <v>Low</v>
      </c>
      <c r="U1075" t="str" cm="1">
        <f t="array" ref="U1075">_xlfn.LET(_xlpm.roles,_xlfn.UNIQUE(D1075:D3873),_xlpm.kills, SUMIF(D1075:D3873,_xlpm.roles,G1075:G3873),INDEX(_xlpm.roles,MATCH(MAX(_xlpm.kills),_xlpm.kills,0)))</f>
        <v>Entry Fragger</v>
      </c>
      <c r="V1075" t="str">
        <f t="shared" si="83"/>
        <v>Medium Accuracy</v>
      </c>
      <c r="W1075" t="str" cm="1">
        <f t="array" ref="W1075">_xlfn.LET(_xlpm.roles,_xlfn.UNIQUE(D1075:D3873), _xlpm.counts,COUNTIF(D1075:D3873,_xlpm.roles), INDEX(_xlpm.roles,MATCH(MAX(_xlpm.counts),_xlpm.counts,0)))</f>
        <v>Entry Fragger</v>
      </c>
      <c r="X1075" s="2">
        <f t="shared" si="84"/>
        <v>13.103594080338267</v>
      </c>
    </row>
    <row r="1076" spans="1:24" x14ac:dyDescent="0.3">
      <c r="A1076">
        <v>573</v>
      </c>
      <c r="B1076">
        <v>192</v>
      </c>
      <c r="C1076" t="s">
        <v>25</v>
      </c>
      <c r="D1076" t="s">
        <v>28</v>
      </c>
      <c r="E1076" t="s">
        <v>18</v>
      </c>
      <c r="F1076" t="s">
        <v>19</v>
      </c>
      <c r="G1076">
        <v>15</v>
      </c>
      <c r="H1076">
        <v>5</v>
      </c>
      <c r="I1076">
        <v>8</v>
      </c>
      <c r="J1076">
        <v>40.200000000000003</v>
      </c>
      <c r="K1076">
        <v>237.81</v>
      </c>
      <c r="L1076">
        <v>0.96</v>
      </c>
      <c r="M1076">
        <v>37.5</v>
      </c>
      <c r="N1076">
        <v>0.96</v>
      </c>
      <c r="O1076" t="s">
        <v>20</v>
      </c>
      <c r="P1076" t="s">
        <v>21</v>
      </c>
      <c r="Q1076">
        <f t="shared" si="80"/>
        <v>12</v>
      </c>
      <c r="R1076" s="4">
        <f>RANK(N1076,$N$2:N$2800,0)</f>
        <v>1301</v>
      </c>
      <c r="S1076">
        <f t="shared" si="81"/>
        <v>1.875</v>
      </c>
      <c r="T1076" t="str">
        <f t="shared" si="82"/>
        <v>Low</v>
      </c>
      <c r="U1076" t="str" cm="1">
        <f t="array" ref="U1076">_xlfn.LET(_xlpm.roles,_xlfn.UNIQUE(D1076:D3874),_xlpm.kills, SUMIF(D1076:D3874,_xlpm.roles,G1076:G3874),INDEX(_xlpm.roles,MATCH(MAX(_xlpm.kills),_xlpm.kills,0)))</f>
        <v>Entry Fragger</v>
      </c>
      <c r="V1076" t="str">
        <f t="shared" si="83"/>
        <v>Medium Accuracy</v>
      </c>
      <c r="W1076" t="str" cm="1">
        <f t="array" ref="W1076">_xlfn.LET(_xlpm.roles,_xlfn.UNIQUE(D1076:D3874), _xlpm.counts,COUNTIF(D1076:D3874,_xlpm.roles), INDEX(_xlpm.roles,MATCH(MAX(_xlpm.counts),_xlpm.counts,0)))</f>
        <v>Entry Fragger</v>
      </c>
      <c r="X1076" s="2">
        <f t="shared" si="84"/>
        <v>12.809421841541756</v>
      </c>
    </row>
    <row r="1077" spans="1:24" x14ac:dyDescent="0.3">
      <c r="A1077">
        <v>1396</v>
      </c>
      <c r="B1077">
        <v>192</v>
      </c>
      <c r="C1077" t="s">
        <v>35</v>
      </c>
      <c r="D1077" t="s">
        <v>17</v>
      </c>
      <c r="E1077" t="s">
        <v>18</v>
      </c>
      <c r="F1077" t="s">
        <v>26</v>
      </c>
      <c r="G1077">
        <v>15</v>
      </c>
      <c r="H1077">
        <v>13</v>
      </c>
      <c r="I1077">
        <v>13</v>
      </c>
      <c r="J1077">
        <v>36.56</v>
      </c>
      <c r="K1077">
        <v>188.18</v>
      </c>
      <c r="L1077">
        <v>0.87</v>
      </c>
      <c r="M1077">
        <v>39.58</v>
      </c>
      <c r="N1077">
        <v>1</v>
      </c>
      <c r="O1077" t="s">
        <v>20</v>
      </c>
      <c r="P1077" t="s">
        <v>21</v>
      </c>
      <c r="Q1077">
        <f t="shared" si="80"/>
        <v>15</v>
      </c>
      <c r="R1077" s="4">
        <f>RANK(N1077,$N$2:N$2800,0)</f>
        <v>1</v>
      </c>
      <c r="S1077">
        <f t="shared" si="81"/>
        <v>1.1538461538461537</v>
      </c>
      <c r="T1077" t="str">
        <f t="shared" si="82"/>
        <v>Good</v>
      </c>
      <c r="U1077" t="str" cm="1">
        <f t="array" ref="U1077">_xlfn.LET(_xlpm.roles,_xlfn.UNIQUE(D1077:D3875),_xlpm.kills, SUMIF(D1077:D3875,_xlpm.roles,G1077:G3875),INDEX(_xlpm.roles,MATCH(MAX(_xlpm.kills),_xlpm.kills,0)))</f>
        <v>Entry Fragger</v>
      </c>
      <c r="V1077" t="str">
        <f t="shared" si="83"/>
        <v>Medium Accuracy</v>
      </c>
      <c r="W1077" t="str" cm="1">
        <f t="array" ref="W1077">_xlfn.LET(_xlpm.roles,_xlfn.UNIQUE(D1077:D3875), _xlpm.counts,COUNTIF(D1077:D3875,_xlpm.roles), INDEX(_xlpm.roles,MATCH(MAX(_xlpm.counts),_xlpm.counts,0)))</f>
        <v>Entry Fragger</v>
      </c>
      <c r="X1077" s="2">
        <f t="shared" si="84"/>
        <v>12.599585062240664</v>
      </c>
    </row>
    <row r="1078" spans="1:24" x14ac:dyDescent="0.3">
      <c r="A1078">
        <v>1417</v>
      </c>
      <c r="B1078">
        <v>192</v>
      </c>
      <c r="C1078" t="s">
        <v>16</v>
      </c>
      <c r="D1078" t="s">
        <v>36</v>
      </c>
      <c r="E1078" t="s">
        <v>23</v>
      </c>
      <c r="F1078" t="s">
        <v>37</v>
      </c>
      <c r="G1078">
        <v>12</v>
      </c>
      <c r="H1078">
        <v>9</v>
      </c>
      <c r="I1078">
        <v>7</v>
      </c>
      <c r="J1078">
        <v>39.14</v>
      </c>
      <c r="K1078">
        <v>239.78</v>
      </c>
      <c r="L1078">
        <v>0.59</v>
      </c>
      <c r="M1078">
        <v>39.67</v>
      </c>
      <c r="N1078">
        <v>1</v>
      </c>
      <c r="O1078" t="s">
        <v>20</v>
      </c>
      <c r="P1078" t="s">
        <v>21</v>
      </c>
      <c r="Q1078">
        <f t="shared" si="80"/>
        <v>14</v>
      </c>
      <c r="R1078" s="4">
        <f>RANK(N1078,$N$2:N$2800,0)</f>
        <v>1</v>
      </c>
      <c r="S1078">
        <f t="shared" si="81"/>
        <v>1.7142857142857142</v>
      </c>
      <c r="T1078" t="str">
        <f t="shared" si="82"/>
        <v>Low</v>
      </c>
      <c r="U1078" t="str" cm="1">
        <f t="array" ref="U1078">_xlfn.LET(_xlpm.roles,_xlfn.UNIQUE(D1078:D3876),_xlpm.kills, SUMIF(D1078:D3876,_xlpm.roles,G1078:G3876),INDEX(_xlpm.roles,MATCH(MAX(_xlpm.kills),_xlpm.kills,0)))</f>
        <v>Entry Fragger</v>
      </c>
      <c r="V1078" t="str">
        <f t="shared" si="83"/>
        <v>Medium Accuracy</v>
      </c>
      <c r="W1078" t="str" cm="1">
        <f t="array" ref="W1078">_xlfn.LET(_xlpm.roles,_xlfn.UNIQUE(D1078:D3876), _xlpm.counts,COUNTIF(D1078:D3876,_xlpm.roles), INDEX(_xlpm.roles,MATCH(MAX(_xlpm.counts),_xlpm.counts,0)))</f>
        <v>Entry Fragger</v>
      </c>
      <c r="X1078" s="2">
        <f t="shared" si="84"/>
        <v>12.520971302428256</v>
      </c>
    </row>
    <row r="1079" spans="1:24" x14ac:dyDescent="0.3">
      <c r="A1079">
        <v>1624</v>
      </c>
      <c r="B1079">
        <v>192</v>
      </c>
      <c r="C1079" t="s">
        <v>39</v>
      </c>
      <c r="D1079" t="s">
        <v>31</v>
      </c>
      <c r="E1079" t="s">
        <v>33</v>
      </c>
      <c r="F1079" t="s">
        <v>24</v>
      </c>
      <c r="G1079">
        <v>23</v>
      </c>
      <c r="H1079">
        <v>9</v>
      </c>
      <c r="I1079">
        <v>13</v>
      </c>
      <c r="J1079">
        <v>48.03</v>
      </c>
      <c r="K1079">
        <v>213.03</v>
      </c>
      <c r="L1079">
        <v>0.57999999999999996</v>
      </c>
      <c r="M1079">
        <v>60.22</v>
      </c>
      <c r="N1079">
        <v>1</v>
      </c>
      <c r="O1079" t="s">
        <v>20</v>
      </c>
      <c r="P1079" t="s">
        <v>38</v>
      </c>
      <c r="Q1079">
        <f t="shared" si="80"/>
        <v>19</v>
      </c>
      <c r="R1079" s="4">
        <f>RANK(N1079,$N$2:N$2800,0)</f>
        <v>1</v>
      </c>
      <c r="S1079">
        <f t="shared" si="81"/>
        <v>1.7692307692307692</v>
      </c>
      <c r="T1079" t="str">
        <f t="shared" si="82"/>
        <v>Good</v>
      </c>
      <c r="U1079" t="str" cm="1">
        <f t="array" ref="U1079">_xlfn.LET(_xlpm.roles,_xlfn.UNIQUE(D1079:D3877),_xlpm.kills, SUMIF(D1079:D3877,_xlpm.roles,G1079:G3877),INDEX(_xlpm.roles,MATCH(MAX(_xlpm.kills),_xlpm.kills,0)))</f>
        <v>Entry Fragger</v>
      </c>
      <c r="V1079" t="str">
        <f t="shared" si="83"/>
        <v>Medium Accuracy</v>
      </c>
      <c r="W1079" t="str" cm="1">
        <f t="array" ref="W1079">_xlfn.LET(_xlpm.roles,_xlfn.UNIQUE(D1079:D3877), _xlpm.counts,COUNTIF(D1079:D3877,_xlpm.roles), INDEX(_xlpm.roles,MATCH(MAX(_xlpm.counts),_xlpm.counts,0)))</f>
        <v>Entry Fragger</v>
      </c>
      <c r="X1079" s="2">
        <f t="shared" si="84"/>
        <v>13.103594080338267</v>
      </c>
    </row>
    <row r="1080" spans="1:24" x14ac:dyDescent="0.3">
      <c r="A1080">
        <v>2226</v>
      </c>
      <c r="B1080">
        <v>192</v>
      </c>
      <c r="C1080" t="s">
        <v>27</v>
      </c>
      <c r="D1080" t="s">
        <v>31</v>
      </c>
      <c r="E1080" t="s">
        <v>33</v>
      </c>
      <c r="F1080" t="s">
        <v>37</v>
      </c>
      <c r="G1080">
        <v>19</v>
      </c>
      <c r="H1080">
        <v>6</v>
      </c>
      <c r="I1080">
        <v>10</v>
      </c>
      <c r="J1080">
        <v>37.6</v>
      </c>
      <c r="K1080">
        <v>223.2</v>
      </c>
      <c r="L1080">
        <v>0.68</v>
      </c>
      <c r="M1080">
        <v>46</v>
      </c>
      <c r="N1080">
        <v>1</v>
      </c>
      <c r="O1080" t="s">
        <v>20</v>
      </c>
      <c r="P1080" t="s">
        <v>21</v>
      </c>
      <c r="Q1080">
        <f t="shared" si="80"/>
        <v>15</v>
      </c>
      <c r="R1080" s="4">
        <f>RANK(N1080,$N$2:N$2800,0)</f>
        <v>1</v>
      </c>
      <c r="S1080">
        <f t="shared" si="81"/>
        <v>1.9</v>
      </c>
      <c r="T1080" t="str">
        <f t="shared" si="82"/>
        <v>Good</v>
      </c>
      <c r="U1080" t="str" cm="1">
        <f t="array" ref="U1080">_xlfn.LET(_xlpm.roles,_xlfn.UNIQUE(D1080:D3878),_xlpm.kills, SUMIF(D1080:D3878,_xlpm.roles,G1080:G3878),INDEX(_xlpm.roles,MATCH(MAX(_xlpm.kills),_xlpm.kills,0)))</f>
        <v>Entry Fragger</v>
      </c>
      <c r="V1080" t="str">
        <f t="shared" si="83"/>
        <v>Medium Accuracy</v>
      </c>
      <c r="W1080" t="str" cm="1">
        <f t="array" ref="W1080">_xlfn.LET(_xlpm.roles,_xlfn.UNIQUE(D1080:D3878), _xlpm.counts,COUNTIF(D1080:D3878,_xlpm.roles), INDEX(_xlpm.roles,MATCH(MAX(_xlpm.counts),_xlpm.counts,0)))</f>
        <v>Entry Fragger</v>
      </c>
      <c r="X1080" s="2">
        <f t="shared" si="84"/>
        <v>13.057077625570777</v>
      </c>
    </row>
    <row r="1081" spans="1:24" x14ac:dyDescent="0.3">
      <c r="A1081">
        <v>2305</v>
      </c>
      <c r="B1081">
        <v>192</v>
      </c>
      <c r="C1081" t="s">
        <v>35</v>
      </c>
      <c r="D1081" t="s">
        <v>22</v>
      </c>
      <c r="E1081" t="s">
        <v>33</v>
      </c>
      <c r="F1081" t="s">
        <v>26</v>
      </c>
      <c r="G1081">
        <v>9</v>
      </c>
      <c r="H1081">
        <v>6</v>
      </c>
      <c r="I1081">
        <v>10</v>
      </c>
      <c r="J1081">
        <v>29.86</v>
      </c>
      <c r="K1081">
        <v>233.16</v>
      </c>
      <c r="L1081">
        <v>0.99</v>
      </c>
      <c r="M1081">
        <v>19.03</v>
      </c>
      <c r="N1081">
        <v>0.56000000000000005</v>
      </c>
      <c r="O1081" t="s">
        <v>20</v>
      </c>
      <c r="P1081" t="s">
        <v>21</v>
      </c>
      <c r="Q1081">
        <f t="shared" si="80"/>
        <v>5</v>
      </c>
      <c r="R1081" s="4">
        <f>RANK(N1081,$N$2:N$2800,0)</f>
        <v>2789</v>
      </c>
      <c r="S1081">
        <f t="shared" si="81"/>
        <v>0.9</v>
      </c>
      <c r="T1081" t="str">
        <f t="shared" si="82"/>
        <v>Low</v>
      </c>
      <c r="U1081" t="str" cm="1">
        <f t="array" ref="U1081">_xlfn.LET(_xlpm.roles,_xlfn.UNIQUE(D1081:D3879),_xlpm.kills, SUMIF(D1081:D3879,_xlpm.roles,G1081:G3879),INDEX(_xlpm.roles,MATCH(MAX(_xlpm.kills),_xlpm.kills,0)))</f>
        <v>Entry Fragger</v>
      </c>
      <c r="V1081" t="str">
        <f t="shared" si="83"/>
        <v>Low Accuracy</v>
      </c>
      <c r="W1081" t="str" cm="1">
        <f t="array" ref="W1081">_xlfn.LET(_xlpm.roles,_xlfn.UNIQUE(D1081:D3879), _xlpm.counts,COUNTIF(D1081:D3879,_xlpm.roles), INDEX(_xlpm.roles,MATCH(MAX(_xlpm.counts),_xlpm.counts,0)))</f>
        <v>Entry Fragger</v>
      </c>
      <c r="X1081" s="2">
        <f t="shared" si="84"/>
        <v>12.599585062240664</v>
      </c>
    </row>
    <row r="1082" spans="1:24" x14ac:dyDescent="0.3">
      <c r="A1082">
        <v>2463</v>
      </c>
      <c r="B1082">
        <v>192</v>
      </c>
      <c r="C1082" t="s">
        <v>25</v>
      </c>
      <c r="D1082" t="s">
        <v>17</v>
      </c>
      <c r="E1082" t="s">
        <v>29</v>
      </c>
      <c r="F1082" t="s">
        <v>26</v>
      </c>
      <c r="G1082">
        <v>14</v>
      </c>
      <c r="H1082">
        <v>9</v>
      </c>
      <c r="I1082">
        <v>8</v>
      </c>
      <c r="J1082">
        <v>59.6</v>
      </c>
      <c r="K1082">
        <v>188.74</v>
      </c>
      <c r="L1082">
        <v>0.92</v>
      </c>
      <c r="M1082">
        <v>49.6</v>
      </c>
      <c r="N1082">
        <v>1</v>
      </c>
      <c r="O1082" t="s">
        <v>20</v>
      </c>
      <c r="P1082" t="s">
        <v>21</v>
      </c>
      <c r="Q1082">
        <f t="shared" si="80"/>
        <v>15</v>
      </c>
      <c r="R1082" s="4">
        <f>RANK(N1082,$N$2:N$2800,0)</f>
        <v>1</v>
      </c>
      <c r="S1082">
        <f t="shared" si="81"/>
        <v>1.75</v>
      </c>
      <c r="T1082" t="str">
        <f t="shared" si="82"/>
        <v>Good</v>
      </c>
      <c r="U1082" t="str" cm="1">
        <f t="array" ref="U1082">_xlfn.LET(_xlpm.roles,_xlfn.UNIQUE(D1082:D3880),_xlpm.kills, SUMIF(D1082:D3880,_xlpm.roles,G1082:G3880),INDEX(_xlpm.roles,MATCH(MAX(_xlpm.kills),_xlpm.kills,0)))</f>
        <v>Entry Fragger</v>
      </c>
      <c r="V1082" t="str">
        <f t="shared" si="83"/>
        <v>High Accuracy</v>
      </c>
      <c r="W1082" t="str" cm="1">
        <f t="array" ref="W1082">_xlfn.LET(_xlpm.roles,_xlfn.UNIQUE(D1082:D3880), _xlpm.counts,COUNTIF(D1082:D3880,_xlpm.roles), INDEX(_xlpm.roles,MATCH(MAX(_xlpm.counts),_xlpm.counts,0)))</f>
        <v>Entry Fragger</v>
      </c>
      <c r="X1082" s="2">
        <f t="shared" si="84"/>
        <v>12.809421841541756</v>
      </c>
    </row>
    <row r="1083" spans="1:24" x14ac:dyDescent="0.3">
      <c r="A1083">
        <v>2466</v>
      </c>
      <c r="B1083">
        <v>192</v>
      </c>
      <c r="C1083" t="s">
        <v>27</v>
      </c>
      <c r="D1083" t="s">
        <v>17</v>
      </c>
      <c r="E1083" t="s">
        <v>29</v>
      </c>
      <c r="F1083" t="s">
        <v>19</v>
      </c>
      <c r="G1083">
        <v>12</v>
      </c>
      <c r="H1083">
        <v>8</v>
      </c>
      <c r="I1083">
        <v>6</v>
      </c>
      <c r="J1083">
        <v>40.85</v>
      </c>
      <c r="K1083">
        <v>261.60000000000002</v>
      </c>
      <c r="L1083">
        <v>0.46</v>
      </c>
      <c r="M1083">
        <v>41.82</v>
      </c>
      <c r="N1083">
        <v>0.86</v>
      </c>
      <c r="O1083" t="s">
        <v>20</v>
      </c>
      <c r="P1083" t="s">
        <v>21</v>
      </c>
      <c r="Q1083">
        <f t="shared" si="80"/>
        <v>14</v>
      </c>
      <c r="R1083" s="4">
        <f>RANK(N1083,$N$2:N$2800,0)</f>
        <v>2040</v>
      </c>
      <c r="S1083">
        <f t="shared" si="81"/>
        <v>2</v>
      </c>
      <c r="T1083" t="str">
        <f t="shared" si="82"/>
        <v>Low</v>
      </c>
      <c r="U1083" t="str" cm="1">
        <f t="array" ref="U1083">_xlfn.LET(_xlpm.roles,_xlfn.UNIQUE(D1083:D3881),_xlpm.kills, SUMIF(D1083:D3881,_xlpm.roles,G1083:G3881),INDEX(_xlpm.roles,MATCH(MAX(_xlpm.kills),_xlpm.kills,0)))</f>
        <v>Entry Fragger</v>
      </c>
      <c r="V1083" t="str">
        <f t="shared" si="83"/>
        <v>Medium Accuracy</v>
      </c>
      <c r="W1083" t="str" cm="1">
        <f t="array" ref="W1083">_xlfn.LET(_xlpm.roles,_xlfn.UNIQUE(D1083:D3881), _xlpm.counts,COUNTIF(D1083:D3881,_xlpm.roles), INDEX(_xlpm.roles,MATCH(MAX(_xlpm.counts),_xlpm.counts,0)))</f>
        <v>Entry Fragger</v>
      </c>
      <c r="X1083" s="2">
        <f t="shared" si="84"/>
        <v>13.057077625570777</v>
      </c>
    </row>
    <row r="1084" spans="1:24" x14ac:dyDescent="0.3">
      <c r="A1084">
        <v>367</v>
      </c>
      <c r="B1084">
        <v>193</v>
      </c>
      <c r="C1084" t="s">
        <v>39</v>
      </c>
      <c r="D1084" t="s">
        <v>31</v>
      </c>
      <c r="E1084" t="s">
        <v>23</v>
      </c>
      <c r="F1084" t="s">
        <v>37</v>
      </c>
      <c r="G1084">
        <v>11</v>
      </c>
      <c r="H1084">
        <v>9</v>
      </c>
      <c r="I1084">
        <v>10</v>
      </c>
      <c r="J1084">
        <v>43.63</v>
      </c>
      <c r="K1084">
        <v>147.81</v>
      </c>
      <c r="L1084">
        <v>0.9</v>
      </c>
      <c r="M1084">
        <v>33.81</v>
      </c>
      <c r="N1084">
        <v>0.76</v>
      </c>
      <c r="O1084" t="s">
        <v>20</v>
      </c>
      <c r="P1084" t="s">
        <v>21</v>
      </c>
      <c r="Q1084">
        <f t="shared" si="80"/>
        <v>10</v>
      </c>
      <c r="R1084" s="4">
        <f>RANK(N1084,$N$2:N$2800,0)</f>
        <v>2547</v>
      </c>
      <c r="S1084">
        <f t="shared" si="81"/>
        <v>1.1000000000000001</v>
      </c>
      <c r="T1084" t="str">
        <f t="shared" si="82"/>
        <v>Low</v>
      </c>
      <c r="U1084" t="str" cm="1">
        <f t="array" ref="U1084">_xlfn.LET(_xlpm.roles,_xlfn.UNIQUE(D1084:D3882),_xlpm.kills, SUMIF(D1084:D3882,_xlpm.roles,G1084:G3882),INDEX(_xlpm.roles,MATCH(MAX(_xlpm.kills),_xlpm.kills,0)))</f>
        <v>Entry Fragger</v>
      </c>
      <c r="V1084" t="str">
        <f t="shared" si="83"/>
        <v>Medium Accuracy</v>
      </c>
      <c r="W1084" t="str" cm="1">
        <f t="array" ref="W1084">_xlfn.LET(_xlpm.roles,_xlfn.UNIQUE(D1084:D3882), _xlpm.counts,COUNTIF(D1084:D3882,_xlpm.roles), INDEX(_xlpm.roles,MATCH(MAX(_xlpm.counts),_xlpm.counts,0)))</f>
        <v>Entry Fragger</v>
      </c>
      <c r="X1084" s="2">
        <f t="shared" si="84"/>
        <v>13.103594080338267</v>
      </c>
    </row>
    <row r="1085" spans="1:24" x14ac:dyDescent="0.3">
      <c r="A1085">
        <v>1095</v>
      </c>
      <c r="B1085">
        <v>193</v>
      </c>
      <c r="C1085" t="s">
        <v>16</v>
      </c>
      <c r="D1085" t="s">
        <v>36</v>
      </c>
      <c r="E1085" t="s">
        <v>33</v>
      </c>
      <c r="F1085" t="s">
        <v>26</v>
      </c>
      <c r="G1085">
        <v>14</v>
      </c>
      <c r="H1085">
        <v>7</v>
      </c>
      <c r="I1085">
        <v>13</v>
      </c>
      <c r="J1085">
        <v>49.27</v>
      </c>
      <c r="K1085">
        <v>259.02</v>
      </c>
      <c r="L1085">
        <v>0.32</v>
      </c>
      <c r="M1085">
        <v>43.44</v>
      </c>
      <c r="N1085">
        <v>1</v>
      </c>
      <c r="O1085" t="s">
        <v>20</v>
      </c>
      <c r="P1085" t="s">
        <v>21</v>
      </c>
      <c r="Q1085">
        <f t="shared" si="80"/>
        <v>8</v>
      </c>
      <c r="R1085" s="4">
        <f>RANK(N1085,$N$2:N$2800,0)</f>
        <v>1</v>
      </c>
      <c r="S1085">
        <f t="shared" si="81"/>
        <v>1.0769230769230769</v>
      </c>
      <c r="T1085" t="str">
        <f t="shared" si="82"/>
        <v>Low</v>
      </c>
      <c r="U1085" t="str" cm="1">
        <f t="array" ref="U1085">_xlfn.LET(_xlpm.roles,_xlfn.UNIQUE(D1085:D3883),_xlpm.kills, SUMIF(D1085:D3883,_xlpm.roles,G1085:G3883),INDEX(_xlpm.roles,MATCH(MAX(_xlpm.kills),_xlpm.kills,0)))</f>
        <v>Entry Fragger</v>
      </c>
      <c r="V1085" t="str">
        <f t="shared" si="83"/>
        <v>Medium Accuracy</v>
      </c>
      <c r="W1085" t="str" cm="1">
        <f t="array" ref="W1085">_xlfn.LET(_xlpm.roles,_xlfn.UNIQUE(D1085:D3883), _xlpm.counts,COUNTIF(D1085:D3883,_xlpm.roles), INDEX(_xlpm.roles,MATCH(MAX(_xlpm.counts),_xlpm.counts,0)))</f>
        <v>Entry Fragger</v>
      </c>
      <c r="X1085" s="2">
        <f t="shared" si="84"/>
        <v>12.520971302428256</v>
      </c>
    </row>
    <row r="1086" spans="1:24" x14ac:dyDescent="0.3">
      <c r="A1086">
        <v>1190</v>
      </c>
      <c r="B1086">
        <v>193</v>
      </c>
      <c r="C1086" t="s">
        <v>16</v>
      </c>
      <c r="D1086" t="s">
        <v>17</v>
      </c>
      <c r="E1086" t="s">
        <v>29</v>
      </c>
      <c r="F1086" t="s">
        <v>19</v>
      </c>
      <c r="G1086">
        <v>14</v>
      </c>
      <c r="H1086">
        <v>5</v>
      </c>
      <c r="I1086">
        <v>7</v>
      </c>
      <c r="J1086">
        <v>49.41</v>
      </c>
      <c r="K1086">
        <v>199.77</v>
      </c>
      <c r="L1086">
        <v>0.47</v>
      </c>
      <c r="M1086">
        <v>46</v>
      </c>
      <c r="N1086">
        <v>0.95</v>
      </c>
      <c r="O1086" t="s">
        <v>20</v>
      </c>
      <c r="P1086" t="s">
        <v>21</v>
      </c>
      <c r="Q1086">
        <f t="shared" si="80"/>
        <v>12</v>
      </c>
      <c r="R1086" s="4">
        <f>RANK(N1086,$N$2:N$2800,0)</f>
        <v>1367</v>
      </c>
      <c r="S1086">
        <f t="shared" si="81"/>
        <v>2</v>
      </c>
      <c r="T1086" t="str">
        <f t="shared" si="82"/>
        <v>Low</v>
      </c>
      <c r="U1086" t="str" cm="1">
        <f t="array" ref="U1086">_xlfn.LET(_xlpm.roles,_xlfn.UNIQUE(D1086:D3884),_xlpm.kills, SUMIF(D1086:D3884,_xlpm.roles,G1086:G3884),INDEX(_xlpm.roles,MATCH(MAX(_xlpm.kills),_xlpm.kills,0)))</f>
        <v>Entry Fragger</v>
      </c>
      <c r="V1086" t="str">
        <f t="shared" si="83"/>
        <v>Medium Accuracy</v>
      </c>
      <c r="W1086" t="str" cm="1">
        <f t="array" ref="W1086">_xlfn.LET(_xlpm.roles,_xlfn.UNIQUE(D1086:D3884), _xlpm.counts,COUNTIF(D1086:D3884,_xlpm.roles), INDEX(_xlpm.roles,MATCH(MAX(_xlpm.counts),_xlpm.counts,0)))</f>
        <v>Entry Fragger</v>
      </c>
      <c r="X1086" s="2">
        <f t="shared" si="84"/>
        <v>12.520971302428256</v>
      </c>
    </row>
    <row r="1087" spans="1:24" x14ac:dyDescent="0.3">
      <c r="A1087">
        <v>1434</v>
      </c>
      <c r="B1087">
        <v>193</v>
      </c>
      <c r="C1087" t="s">
        <v>35</v>
      </c>
      <c r="D1087" t="s">
        <v>22</v>
      </c>
      <c r="E1087" t="s">
        <v>23</v>
      </c>
      <c r="F1087" t="s">
        <v>24</v>
      </c>
      <c r="G1087">
        <v>12</v>
      </c>
      <c r="H1087">
        <v>15</v>
      </c>
      <c r="I1087">
        <v>6</v>
      </c>
      <c r="J1087">
        <v>46.7</v>
      </c>
      <c r="K1087">
        <v>227.04</v>
      </c>
      <c r="L1087">
        <v>0.31</v>
      </c>
      <c r="M1087">
        <v>53.25</v>
      </c>
      <c r="N1087">
        <v>1</v>
      </c>
      <c r="O1087" t="s">
        <v>20</v>
      </c>
      <c r="P1087" t="s">
        <v>21</v>
      </c>
      <c r="Q1087">
        <f t="shared" si="80"/>
        <v>21</v>
      </c>
      <c r="R1087" s="4">
        <f>RANK(N1087,$N$2:N$2800,0)</f>
        <v>1</v>
      </c>
      <c r="S1087">
        <f t="shared" si="81"/>
        <v>2</v>
      </c>
      <c r="T1087" t="str">
        <f t="shared" si="82"/>
        <v>Good</v>
      </c>
      <c r="U1087" t="str" cm="1">
        <f t="array" ref="U1087">_xlfn.LET(_xlpm.roles,_xlfn.UNIQUE(D1087:D3885),_xlpm.kills, SUMIF(D1087:D3885,_xlpm.roles,G1087:G3885),INDEX(_xlpm.roles,MATCH(MAX(_xlpm.kills),_xlpm.kills,0)))</f>
        <v>Entry Fragger</v>
      </c>
      <c r="V1087" t="str">
        <f t="shared" si="83"/>
        <v>Medium Accuracy</v>
      </c>
      <c r="W1087" t="str" cm="1">
        <f t="array" ref="W1087">_xlfn.LET(_xlpm.roles,_xlfn.UNIQUE(D1087:D3885), _xlpm.counts,COUNTIF(D1087:D3885,_xlpm.roles), INDEX(_xlpm.roles,MATCH(MAX(_xlpm.counts),_xlpm.counts,0)))</f>
        <v>Entry Fragger</v>
      </c>
      <c r="X1087" s="2">
        <f t="shared" si="84"/>
        <v>12.599585062240664</v>
      </c>
    </row>
    <row r="1088" spans="1:24" x14ac:dyDescent="0.3">
      <c r="A1088">
        <v>1517</v>
      </c>
      <c r="B1088">
        <v>193</v>
      </c>
      <c r="C1088" t="s">
        <v>25</v>
      </c>
      <c r="D1088" t="s">
        <v>17</v>
      </c>
      <c r="E1088" t="s">
        <v>18</v>
      </c>
      <c r="F1088" t="s">
        <v>26</v>
      </c>
      <c r="G1088">
        <v>14</v>
      </c>
      <c r="H1088">
        <v>8</v>
      </c>
      <c r="I1088">
        <v>9</v>
      </c>
      <c r="J1088">
        <v>62.45</v>
      </c>
      <c r="K1088">
        <v>221.43</v>
      </c>
      <c r="L1088">
        <v>0.04</v>
      </c>
      <c r="M1088">
        <v>57.83</v>
      </c>
      <c r="N1088">
        <v>1</v>
      </c>
      <c r="O1088" t="s">
        <v>20</v>
      </c>
      <c r="P1088" t="s">
        <v>21</v>
      </c>
      <c r="Q1088">
        <f t="shared" si="80"/>
        <v>13</v>
      </c>
      <c r="R1088" s="4">
        <f>RANK(N1088,$N$2:N$2800,0)</f>
        <v>1</v>
      </c>
      <c r="S1088">
        <f t="shared" si="81"/>
        <v>1.5555555555555556</v>
      </c>
      <c r="T1088" t="str">
        <f t="shared" si="82"/>
        <v>Low</v>
      </c>
      <c r="U1088" t="str" cm="1">
        <f t="array" ref="U1088">_xlfn.LET(_xlpm.roles,_xlfn.UNIQUE(D1088:D3886),_xlpm.kills, SUMIF(D1088:D3886,_xlpm.roles,G1088:G3886),INDEX(_xlpm.roles,MATCH(MAX(_xlpm.kills),_xlpm.kills,0)))</f>
        <v>Entry Fragger</v>
      </c>
      <c r="V1088" t="str">
        <f t="shared" si="83"/>
        <v>High Accuracy</v>
      </c>
      <c r="W1088" t="str" cm="1">
        <f t="array" ref="W1088">_xlfn.LET(_xlpm.roles,_xlfn.UNIQUE(D1088:D3886), _xlpm.counts,COUNTIF(D1088:D3886,_xlpm.roles), INDEX(_xlpm.roles,MATCH(MAX(_xlpm.counts),_xlpm.counts,0)))</f>
        <v>Entry Fragger</v>
      </c>
      <c r="X1088" s="2">
        <f t="shared" si="84"/>
        <v>12.809421841541756</v>
      </c>
    </row>
    <row r="1089" spans="1:24" x14ac:dyDescent="0.3">
      <c r="A1089">
        <v>1527</v>
      </c>
      <c r="B1089">
        <v>193</v>
      </c>
      <c r="C1089" t="s">
        <v>30</v>
      </c>
      <c r="D1089" t="s">
        <v>22</v>
      </c>
      <c r="E1089" t="s">
        <v>33</v>
      </c>
      <c r="F1089" t="s">
        <v>19</v>
      </c>
      <c r="G1089">
        <v>11</v>
      </c>
      <c r="H1089">
        <v>7</v>
      </c>
      <c r="I1089">
        <v>4</v>
      </c>
      <c r="J1089">
        <v>35.81</v>
      </c>
      <c r="K1089">
        <v>235.04</v>
      </c>
      <c r="L1089">
        <v>0.57999999999999996</v>
      </c>
      <c r="M1089">
        <v>37.11</v>
      </c>
      <c r="N1089">
        <v>0.73</v>
      </c>
      <c r="O1089" t="s">
        <v>20</v>
      </c>
      <c r="P1089" t="s">
        <v>21</v>
      </c>
      <c r="Q1089">
        <f t="shared" si="80"/>
        <v>14</v>
      </c>
      <c r="R1089" s="4">
        <f>RANK(N1089,$N$2:N$2800,0)</f>
        <v>2642</v>
      </c>
      <c r="S1089">
        <f t="shared" si="81"/>
        <v>2.75</v>
      </c>
      <c r="T1089" t="str">
        <f t="shared" si="82"/>
        <v>Low</v>
      </c>
      <c r="U1089" t="str" cm="1">
        <f t="array" ref="U1089">_xlfn.LET(_xlpm.roles,_xlfn.UNIQUE(D1089:D3887),_xlpm.kills, SUMIF(D1089:D3887,_xlpm.roles,G1089:G3887),INDEX(_xlpm.roles,MATCH(MAX(_xlpm.kills),_xlpm.kills,0)))</f>
        <v>Entry Fragger</v>
      </c>
      <c r="V1089" t="str">
        <f t="shared" si="83"/>
        <v>Medium Accuracy</v>
      </c>
      <c r="W1089" t="str" cm="1">
        <f t="array" ref="W1089">_xlfn.LET(_xlpm.roles,_xlfn.UNIQUE(D1089:D3887), _xlpm.counts,COUNTIF(D1089:D3887,_xlpm.roles), INDEX(_xlpm.roles,MATCH(MAX(_xlpm.counts),_xlpm.counts,0)))</f>
        <v>Entry Fragger</v>
      </c>
      <c r="X1089" s="2">
        <f t="shared" si="84"/>
        <v>13.135802469135802</v>
      </c>
    </row>
    <row r="1090" spans="1:24" x14ac:dyDescent="0.3">
      <c r="A1090">
        <v>118</v>
      </c>
      <c r="B1090">
        <v>194</v>
      </c>
      <c r="C1090" t="s">
        <v>39</v>
      </c>
      <c r="D1090" t="s">
        <v>36</v>
      </c>
      <c r="E1090" t="s">
        <v>29</v>
      </c>
      <c r="F1090" t="s">
        <v>26</v>
      </c>
      <c r="G1090">
        <v>16</v>
      </c>
      <c r="H1090">
        <v>9</v>
      </c>
      <c r="I1090">
        <v>7</v>
      </c>
      <c r="J1090">
        <v>42.63</v>
      </c>
      <c r="K1090">
        <v>222.49</v>
      </c>
      <c r="L1090">
        <v>1</v>
      </c>
      <c r="M1090">
        <v>45.31</v>
      </c>
      <c r="N1090">
        <v>0.91</v>
      </c>
      <c r="O1090" t="s">
        <v>20</v>
      </c>
      <c r="P1090" t="s">
        <v>21</v>
      </c>
      <c r="Q1090">
        <f t="shared" si="80"/>
        <v>18</v>
      </c>
      <c r="R1090" s="4">
        <f>RANK(N1090,$N$2:N$2800,0)</f>
        <v>1665</v>
      </c>
      <c r="S1090">
        <f t="shared" si="81"/>
        <v>2.2857142857142856</v>
      </c>
      <c r="T1090" t="str">
        <f t="shared" si="82"/>
        <v>Good</v>
      </c>
      <c r="U1090" t="str" cm="1">
        <f t="array" ref="U1090">_xlfn.LET(_xlpm.roles,_xlfn.UNIQUE(D1090:D3888),_xlpm.kills, SUMIF(D1090:D3888,_xlpm.roles,G1090:G3888),INDEX(_xlpm.roles,MATCH(MAX(_xlpm.kills),_xlpm.kills,0)))</f>
        <v>Entry Fragger</v>
      </c>
      <c r="V1090" t="str">
        <f t="shared" si="83"/>
        <v>Medium Accuracy</v>
      </c>
      <c r="W1090" t="str" cm="1">
        <f t="array" ref="W1090">_xlfn.LET(_xlpm.roles,_xlfn.UNIQUE(D1090:D3888), _xlpm.counts,COUNTIF(D1090:D3888,_xlpm.roles), INDEX(_xlpm.roles,MATCH(MAX(_xlpm.counts),_xlpm.counts,0)))</f>
        <v>Entry Fragger</v>
      </c>
      <c r="X1090" s="2">
        <f t="shared" si="84"/>
        <v>13.103594080338267</v>
      </c>
    </row>
    <row r="1091" spans="1:24" x14ac:dyDescent="0.3">
      <c r="A1091">
        <v>225</v>
      </c>
      <c r="B1091">
        <v>194</v>
      </c>
      <c r="C1091" t="s">
        <v>25</v>
      </c>
      <c r="D1091" t="s">
        <v>17</v>
      </c>
      <c r="E1091" t="s">
        <v>32</v>
      </c>
      <c r="F1091" t="s">
        <v>34</v>
      </c>
      <c r="G1091">
        <v>13</v>
      </c>
      <c r="H1091">
        <v>10</v>
      </c>
      <c r="I1091">
        <v>9</v>
      </c>
      <c r="J1091">
        <v>45.63</v>
      </c>
      <c r="K1091">
        <v>156.13999999999999</v>
      </c>
      <c r="L1091">
        <v>0.16</v>
      </c>
      <c r="M1091">
        <v>48.21</v>
      </c>
      <c r="N1091">
        <v>0.78</v>
      </c>
      <c r="O1091" t="s">
        <v>20</v>
      </c>
      <c r="P1091" t="s">
        <v>21</v>
      </c>
      <c r="Q1091">
        <f t="shared" ref="Q1091:Q1154" si="85">G1091+H1091-I1091</f>
        <v>14</v>
      </c>
      <c r="R1091" s="4">
        <f>RANK(N1091,$N$2:N$2800,0)</f>
        <v>2469</v>
      </c>
      <c r="S1091">
        <f t="shared" ref="S1091:S1154" si="86">G1091/I1091</f>
        <v>1.4444444444444444</v>
      </c>
      <c r="T1091" t="str">
        <f t="shared" ref="T1091:T1154" si="87">IF(Q1091&lt;15,"Low",IF(Q1091&lt;25,"Good","Excellent"))</f>
        <v>Low</v>
      </c>
      <c r="U1091" t="str" cm="1">
        <f t="array" ref="U1091">_xlfn.LET(_xlpm.roles,_xlfn.UNIQUE(D1091:D3889),_xlpm.kills, SUMIF(D1091:D3889,_xlpm.roles,G1091:G3889),INDEX(_xlpm.roles,MATCH(MAX(_xlpm.kills),_xlpm.kills,0)))</f>
        <v>Entry Fragger</v>
      </c>
      <c r="V1091" t="str">
        <f t="shared" ref="V1091:V1154" si="88">IF(J1091&gt;=50,"High Accuracy",IF(J1091&gt;=30,"Medium Accuracy","Low Accuracy"))</f>
        <v>Medium Accuracy</v>
      </c>
      <c r="W1091" t="str" cm="1">
        <f t="array" ref="W1091">_xlfn.LET(_xlpm.roles,_xlfn.UNIQUE(D1091:D3889), _xlpm.counts,COUNTIF(D1091:D3889,_xlpm.roles), INDEX(_xlpm.roles,MATCH(MAX(_xlpm.counts),_xlpm.counts,0)))</f>
        <v>Entry Fragger</v>
      </c>
      <c r="X1091" s="2">
        <f t="shared" ref="X1091:X1154" si="89">AVERAGEIF($C$2:$C$2800,C1091,$Q$2:$Q$2800)</f>
        <v>12.809421841541756</v>
      </c>
    </row>
    <row r="1092" spans="1:24" x14ac:dyDescent="0.3">
      <c r="A1092">
        <v>752</v>
      </c>
      <c r="B1092">
        <v>194</v>
      </c>
      <c r="C1092" t="s">
        <v>39</v>
      </c>
      <c r="D1092" t="s">
        <v>31</v>
      </c>
      <c r="E1092" t="s">
        <v>32</v>
      </c>
      <c r="F1092" t="s">
        <v>37</v>
      </c>
      <c r="G1092">
        <v>20</v>
      </c>
      <c r="H1092">
        <v>3</v>
      </c>
      <c r="I1092">
        <v>12</v>
      </c>
      <c r="J1092">
        <v>49.08</v>
      </c>
      <c r="K1092">
        <v>118.73</v>
      </c>
      <c r="L1092">
        <v>0.31</v>
      </c>
      <c r="M1092">
        <v>52.44</v>
      </c>
      <c r="N1092">
        <v>0.98</v>
      </c>
      <c r="O1092" t="s">
        <v>20</v>
      </c>
      <c r="P1092" t="s">
        <v>21</v>
      </c>
      <c r="Q1092">
        <f t="shared" si="85"/>
        <v>11</v>
      </c>
      <c r="R1092" s="4">
        <f>RANK(N1092,$N$2:N$2800,0)</f>
        <v>1157</v>
      </c>
      <c r="S1092">
        <f t="shared" si="86"/>
        <v>1.6666666666666667</v>
      </c>
      <c r="T1092" t="str">
        <f t="shared" si="87"/>
        <v>Low</v>
      </c>
      <c r="U1092" t="str" cm="1">
        <f t="array" ref="U1092">_xlfn.LET(_xlpm.roles,_xlfn.UNIQUE(D1092:D3890),_xlpm.kills, SUMIF(D1092:D3890,_xlpm.roles,G1092:G3890),INDEX(_xlpm.roles,MATCH(MAX(_xlpm.kills),_xlpm.kills,0)))</f>
        <v>Entry Fragger</v>
      </c>
      <c r="V1092" t="str">
        <f t="shared" si="88"/>
        <v>Medium Accuracy</v>
      </c>
      <c r="W1092" t="str" cm="1">
        <f t="array" ref="W1092">_xlfn.LET(_xlpm.roles,_xlfn.UNIQUE(D1092:D3890), _xlpm.counts,COUNTIF(D1092:D3890,_xlpm.roles), INDEX(_xlpm.roles,MATCH(MAX(_xlpm.counts),_xlpm.counts,0)))</f>
        <v>Entry Fragger</v>
      </c>
      <c r="X1092" s="2">
        <f t="shared" si="89"/>
        <v>13.103594080338267</v>
      </c>
    </row>
    <row r="1093" spans="1:24" x14ac:dyDescent="0.3">
      <c r="A1093">
        <v>1255</v>
      </c>
      <c r="B1093">
        <v>194</v>
      </c>
      <c r="C1093" t="s">
        <v>39</v>
      </c>
      <c r="D1093" t="s">
        <v>31</v>
      </c>
      <c r="E1093" t="s">
        <v>32</v>
      </c>
      <c r="F1093" t="s">
        <v>34</v>
      </c>
      <c r="G1093">
        <v>19</v>
      </c>
      <c r="H1093">
        <v>7</v>
      </c>
      <c r="I1093">
        <v>12</v>
      </c>
      <c r="J1093">
        <v>55.07</v>
      </c>
      <c r="K1093">
        <v>193.39</v>
      </c>
      <c r="L1093">
        <v>0.68</v>
      </c>
      <c r="M1093">
        <v>53.73</v>
      </c>
      <c r="N1093">
        <v>1</v>
      </c>
      <c r="O1093" t="s">
        <v>20</v>
      </c>
      <c r="P1093" t="s">
        <v>21</v>
      </c>
      <c r="Q1093">
        <f t="shared" si="85"/>
        <v>14</v>
      </c>
      <c r="R1093" s="4">
        <f>RANK(N1093,$N$2:N$2800,0)</f>
        <v>1</v>
      </c>
      <c r="S1093">
        <f t="shared" si="86"/>
        <v>1.5833333333333333</v>
      </c>
      <c r="T1093" t="str">
        <f t="shared" si="87"/>
        <v>Low</v>
      </c>
      <c r="U1093" t="str" cm="1">
        <f t="array" ref="U1093">_xlfn.LET(_xlpm.roles,_xlfn.UNIQUE(D1093:D3891),_xlpm.kills, SUMIF(D1093:D3891,_xlpm.roles,G1093:G3891),INDEX(_xlpm.roles,MATCH(MAX(_xlpm.kills),_xlpm.kills,0)))</f>
        <v>Entry Fragger</v>
      </c>
      <c r="V1093" t="str">
        <f t="shared" si="88"/>
        <v>High Accuracy</v>
      </c>
      <c r="W1093" t="str" cm="1">
        <f t="array" ref="W1093">_xlfn.LET(_xlpm.roles,_xlfn.UNIQUE(D1093:D3891), _xlpm.counts,COUNTIF(D1093:D3891,_xlpm.roles), INDEX(_xlpm.roles,MATCH(MAX(_xlpm.counts),_xlpm.counts,0)))</f>
        <v>Entry Fragger</v>
      </c>
      <c r="X1093" s="2">
        <f t="shared" si="89"/>
        <v>13.103594080338267</v>
      </c>
    </row>
    <row r="1094" spans="1:24" x14ac:dyDescent="0.3">
      <c r="A1094">
        <v>1274</v>
      </c>
      <c r="B1094">
        <v>194</v>
      </c>
      <c r="C1094" t="s">
        <v>30</v>
      </c>
      <c r="D1094" t="s">
        <v>31</v>
      </c>
      <c r="E1094" t="s">
        <v>33</v>
      </c>
      <c r="F1094" t="s">
        <v>19</v>
      </c>
      <c r="G1094">
        <v>21</v>
      </c>
      <c r="H1094">
        <v>12</v>
      </c>
      <c r="I1094">
        <v>9</v>
      </c>
      <c r="J1094">
        <v>51.72</v>
      </c>
      <c r="K1094">
        <v>206.81</v>
      </c>
      <c r="L1094">
        <v>0.96</v>
      </c>
      <c r="M1094">
        <v>61.26</v>
      </c>
      <c r="N1094">
        <v>0.99</v>
      </c>
      <c r="O1094" t="s">
        <v>20</v>
      </c>
      <c r="P1094" t="s">
        <v>38</v>
      </c>
      <c r="Q1094">
        <f t="shared" si="85"/>
        <v>24</v>
      </c>
      <c r="R1094" s="4">
        <f>RANK(N1094,$N$2:N$2800,0)</f>
        <v>1080</v>
      </c>
      <c r="S1094">
        <f t="shared" si="86"/>
        <v>2.3333333333333335</v>
      </c>
      <c r="T1094" t="str">
        <f t="shared" si="87"/>
        <v>Good</v>
      </c>
      <c r="U1094" t="str" cm="1">
        <f t="array" ref="U1094">_xlfn.LET(_xlpm.roles,_xlfn.UNIQUE(D1094:D3892),_xlpm.kills, SUMIF(D1094:D3892,_xlpm.roles,G1094:G3892),INDEX(_xlpm.roles,MATCH(MAX(_xlpm.kills),_xlpm.kills,0)))</f>
        <v>Entry Fragger</v>
      </c>
      <c r="V1094" t="str">
        <f t="shared" si="88"/>
        <v>High Accuracy</v>
      </c>
      <c r="W1094" t="str" cm="1">
        <f t="array" ref="W1094">_xlfn.LET(_xlpm.roles,_xlfn.UNIQUE(D1094:D3892), _xlpm.counts,COUNTIF(D1094:D3892,_xlpm.roles), INDEX(_xlpm.roles,MATCH(MAX(_xlpm.counts),_xlpm.counts,0)))</f>
        <v>Entry Fragger</v>
      </c>
      <c r="X1094" s="2">
        <f t="shared" si="89"/>
        <v>13.135802469135802</v>
      </c>
    </row>
    <row r="1095" spans="1:24" x14ac:dyDescent="0.3">
      <c r="A1095">
        <v>1475</v>
      </c>
      <c r="B1095">
        <v>194</v>
      </c>
      <c r="C1095" t="s">
        <v>25</v>
      </c>
      <c r="D1095" t="s">
        <v>28</v>
      </c>
      <c r="E1095" t="s">
        <v>23</v>
      </c>
      <c r="F1095" t="s">
        <v>19</v>
      </c>
      <c r="G1095">
        <v>19</v>
      </c>
      <c r="H1095">
        <v>10</v>
      </c>
      <c r="I1095">
        <v>8</v>
      </c>
      <c r="J1095">
        <v>33.89</v>
      </c>
      <c r="K1095">
        <v>246.26</v>
      </c>
      <c r="L1095">
        <v>0.65</v>
      </c>
      <c r="M1095">
        <v>50.45</v>
      </c>
      <c r="N1095">
        <v>1</v>
      </c>
      <c r="O1095" t="s">
        <v>20</v>
      </c>
      <c r="P1095" t="s">
        <v>21</v>
      </c>
      <c r="Q1095">
        <f t="shared" si="85"/>
        <v>21</v>
      </c>
      <c r="R1095" s="4">
        <f>RANK(N1095,$N$2:N$2800,0)</f>
        <v>1</v>
      </c>
      <c r="S1095">
        <f t="shared" si="86"/>
        <v>2.375</v>
      </c>
      <c r="T1095" t="str">
        <f t="shared" si="87"/>
        <v>Good</v>
      </c>
      <c r="U1095" t="str" cm="1">
        <f t="array" ref="U1095">_xlfn.LET(_xlpm.roles,_xlfn.UNIQUE(D1095:D3893),_xlpm.kills, SUMIF(D1095:D3893,_xlpm.roles,G1095:G3893),INDEX(_xlpm.roles,MATCH(MAX(_xlpm.kills),_xlpm.kills,0)))</f>
        <v>Entry Fragger</v>
      </c>
      <c r="V1095" t="str">
        <f t="shared" si="88"/>
        <v>Medium Accuracy</v>
      </c>
      <c r="W1095" t="str" cm="1">
        <f t="array" ref="W1095">_xlfn.LET(_xlpm.roles,_xlfn.UNIQUE(D1095:D3893), _xlpm.counts,COUNTIF(D1095:D3893,_xlpm.roles), INDEX(_xlpm.roles,MATCH(MAX(_xlpm.counts),_xlpm.counts,0)))</f>
        <v>Entry Fragger</v>
      </c>
      <c r="X1095" s="2">
        <f t="shared" si="89"/>
        <v>12.809421841541756</v>
      </c>
    </row>
    <row r="1096" spans="1:24" x14ac:dyDescent="0.3">
      <c r="A1096">
        <v>2527</v>
      </c>
      <c r="B1096">
        <v>194</v>
      </c>
      <c r="C1096" t="s">
        <v>16</v>
      </c>
      <c r="D1096" t="s">
        <v>28</v>
      </c>
      <c r="E1096" t="s">
        <v>18</v>
      </c>
      <c r="F1096" t="s">
        <v>26</v>
      </c>
      <c r="G1096">
        <v>8</v>
      </c>
      <c r="H1096">
        <v>4</v>
      </c>
      <c r="I1096">
        <v>7</v>
      </c>
      <c r="J1096">
        <v>46.1</v>
      </c>
      <c r="K1096">
        <v>215</v>
      </c>
      <c r="L1096">
        <v>0.2</v>
      </c>
      <c r="M1096">
        <v>34.049999999999997</v>
      </c>
      <c r="N1096">
        <v>0.82</v>
      </c>
      <c r="O1096" t="s">
        <v>20</v>
      </c>
      <c r="P1096" t="s">
        <v>21</v>
      </c>
      <c r="Q1096">
        <f t="shared" si="85"/>
        <v>5</v>
      </c>
      <c r="R1096" s="4">
        <f>RANK(N1096,$N$2:N$2800,0)</f>
        <v>2275</v>
      </c>
      <c r="S1096">
        <f t="shared" si="86"/>
        <v>1.1428571428571428</v>
      </c>
      <c r="T1096" t="str">
        <f t="shared" si="87"/>
        <v>Low</v>
      </c>
      <c r="U1096" t="str" cm="1">
        <f t="array" ref="U1096">_xlfn.LET(_xlpm.roles,_xlfn.UNIQUE(D1096:D3894),_xlpm.kills, SUMIF(D1096:D3894,_xlpm.roles,G1096:G3894),INDEX(_xlpm.roles,MATCH(MAX(_xlpm.kills),_xlpm.kills,0)))</f>
        <v>Entry Fragger</v>
      </c>
      <c r="V1096" t="str">
        <f t="shared" si="88"/>
        <v>Medium Accuracy</v>
      </c>
      <c r="W1096" t="str" cm="1">
        <f t="array" ref="W1096">_xlfn.LET(_xlpm.roles,_xlfn.UNIQUE(D1096:D3894), _xlpm.counts,COUNTIF(D1096:D3894,_xlpm.roles), INDEX(_xlpm.roles,MATCH(MAX(_xlpm.counts),_xlpm.counts,0)))</f>
        <v>Entry Fragger</v>
      </c>
      <c r="X1096" s="2">
        <f t="shared" si="89"/>
        <v>12.520971302428256</v>
      </c>
    </row>
    <row r="1097" spans="1:24" x14ac:dyDescent="0.3">
      <c r="A1097">
        <v>548</v>
      </c>
      <c r="B1097">
        <v>195</v>
      </c>
      <c r="C1097" t="s">
        <v>25</v>
      </c>
      <c r="D1097" t="s">
        <v>36</v>
      </c>
      <c r="E1097" t="s">
        <v>18</v>
      </c>
      <c r="F1097" t="s">
        <v>34</v>
      </c>
      <c r="G1097">
        <v>19</v>
      </c>
      <c r="H1097">
        <v>7</v>
      </c>
      <c r="I1097">
        <v>5</v>
      </c>
      <c r="J1097">
        <v>42.03</v>
      </c>
      <c r="K1097">
        <v>222.18</v>
      </c>
      <c r="L1097">
        <v>0.01</v>
      </c>
      <c r="M1097">
        <v>60.91</v>
      </c>
      <c r="N1097">
        <v>0.99</v>
      </c>
      <c r="O1097" t="s">
        <v>20</v>
      </c>
      <c r="P1097" t="s">
        <v>38</v>
      </c>
      <c r="Q1097">
        <f t="shared" si="85"/>
        <v>21</v>
      </c>
      <c r="R1097" s="4">
        <f>RANK(N1097,$N$2:N$2800,0)</f>
        <v>1080</v>
      </c>
      <c r="S1097">
        <f t="shared" si="86"/>
        <v>3.8</v>
      </c>
      <c r="T1097" t="str">
        <f t="shared" si="87"/>
        <v>Good</v>
      </c>
      <c r="U1097" t="str" cm="1">
        <f t="array" ref="U1097">_xlfn.LET(_xlpm.roles,_xlfn.UNIQUE(D1097:D3895),_xlpm.kills, SUMIF(D1097:D3895,_xlpm.roles,G1097:G3895),INDEX(_xlpm.roles,MATCH(MAX(_xlpm.kills),_xlpm.kills,0)))</f>
        <v>Entry Fragger</v>
      </c>
      <c r="V1097" t="str">
        <f t="shared" si="88"/>
        <v>Medium Accuracy</v>
      </c>
      <c r="W1097" t="str" cm="1">
        <f t="array" ref="W1097">_xlfn.LET(_xlpm.roles,_xlfn.UNIQUE(D1097:D3895), _xlpm.counts,COUNTIF(D1097:D3895,_xlpm.roles), INDEX(_xlpm.roles,MATCH(MAX(_xlpm.counts),_xlpm.counts,0)))</f>
        <v>Entry Fragger</v>
      </c>
      <c r="X1097" s="2">
        <f t="shared" si="89"/>
        <v>12.809421841541756</v>
      </c>
    </row>
    <row r="1098" spans="1:24" x14ac:dyDescent="0.3">
      <c r="A1098">
        <v>888</v>
      </c>
      <c r="B1098">
        <v>195</v>
      </c>
      <c r="C1098" t="s">
        <v>25</v>
      </c>
      <c r="D1098" t="s">
        <v>17</v>
      </c>
      <c r="E1098" t="s">
        <v>29</v>
      </c>
      <c r="F1098" t="s">
        <v>24</v>
      </c>
      <c r="G1098">
        <v>21</v>
      </c>
      <c r="H1098">
        <v>7</v>
      </c>
      <c r="I1098">
        <v>7</v>
      </c>
      <c r="J1098">
        <v>60.33</v>
      </c>
      <c r="K1098">
        <v>253.59</v>
      </c>
      <c r="L1098">
        <v>0.89</v>
      </c>
      <c r="M1098">
        <v>63.26</v>
      </c>
      <c r="N1098">
        <v>1</v>
      </c>
      <c r="O1098" t="s">
        <v>20</v>
      </c>
      <c r="P1098" t="s">
        <v>38</v>
      </c>
      <c r="Q1098">
        <f t="shared" si="85"/>
        <v>21</v>
      </c>
      <c r="R1098" s="4">
        <f>RANK(N1098,$N$2:N$2800,0)</f>
        <v>1</v>
      </c>
      <c r="S1098">
        <f t="shared" si="86"/>
        <v>3</v>
      </c>
      <c r="T1098" t="str">
        <f t="shared" si="87"/>
        <v>Good</v>
      </c>
      <c r="U1098" t="str" cm="1">
        <f t="array" ref="U1098">_xlfn.LET(_xlpm.roles,_xlfn.UNIQUE(D1098:D3896),_xlpm.kills, SUMIF(D1098:D3896,_xlpm.roles,G1098:G3896),INDEX(_xlpm.roles,MATCH(MAX(_xlpm.kills),_xlpm.kills,0)))</f>
        <v>Entry Fragger</v>
      </c>
      <c r="V1098" t="str">
        <f t="shared" si="88"/>
        <v>High Accuracy</v>
      </c>
      <c r="W1098" t="str" cm="1">
        <f t="array" ref="W1098">_xlfn.LET(_xlpm.roles,_xlfn.UNIQUE(D1098:D3896), _xlpm.counts,COUNTIF(D1098:D3896,_xlpm.roles), INDEX(_xlpm.roles,MATCH(MAX(_xlpm.counts),_xlpm.counts,0)))</f>
        <v>Entry Fragger</v>
      </c>
      <c r="X1098" s="2">
        <f t="shared" si="89"/>
        <v>12.809421841541756</v>
      </c>
    </row>
    <row r="1099" spans="1:24" x14ac:dyDescent="0.3">
      <c r="A1099">
        <v>1263</v>
      </c>
      <c r="B1099">
        <v>195</v>
      </c>
      <c r="C1099" t="s">
        <v>27</v>
      </c>
      <c r="D1099" t="s">
        <v>28</v>
      </c>
      <c r="E1099" t="s">
        <v>32</v>
      </c>
      <c r="F1099" t="s">
        <v>24</v>
      </c>
      <c r="G1099">
        <v>14</v>
      </c>
      <c r="H1099">
        <v>5</v>
      </c>
      <c r="I1099">
        <v>7</v>
      </c>
      <c r="J1099">
        <v>33.79</v>
      </c>
      <c r="K1099">
        <v>172.29</v>
      </c>
      <c r="L1099">
        <v>0.87</v>
      </c>
      <c r="M1099">
        <v>34.19</v>
      </c>
      <c r="N1099">
        <v>0.71</v>
      </c>
      <c r="O1099" t="s">
        <v>20</v>
      </c>
      <c r="P1099" t="s">
        <v>21</v>
      </c>
      <c r="Q1099">
        <f t="shared" si="85"/>
        <v>12</v>
      </c>
      <c r="R1099" s="4">
        <f>RANK(N1099,$N$2:N$2800,0)</f>
        <v>2688</v>
      </c>
      <c r="S1099">
        <f t="shared" si="86"/>
        <v>2</v>
      </c>
      <c r="T1099" t="str">
        <f t="shared" si="87"/>
        <v>Low</v>
      </c>
      <c r="U1099" t="str" cm="1">
        <f t="array" ref="U1099">_xlfn.LET(_xlpm.roles,_xlfn.UNIQUE(D1099:D3897),_xlpm.kills, SUMIF(D1099:D3897,_xlpm.roles,G1099:G3897),INDEX(_xlpm.roles,MATCH(MAX(_xlpm.kills),_xlpm.kills,0)))</f>
        <v>Entry Fragger</v>
      </c>
      <c r="V1099" t="str">
        <f t="shared" si="88"/>
        <v>Medium Accuracy</v>
      </c>
      <c r="W1099" t="str" cm="1">
        <f t="array" ref="W1099">_xlfn.LET(_xlpm.roles,_xlfn.UNIQUE(D1099:D3897), _xlpm.counts,COUNTIF(D1099:D3897,_xlpm.roles), INDEX(_xlpm.roles,MATCH(MAX(_xlpm.counts),_xlpm.counts,0)))</f>
        <v>Entry Fragger</v>
      </c>
      <c r="X1099" s="2">
        <f t="shared" si="89"/>
        <v>13.057077625570777</v>
      </c>
    </row>
    <row r="1100" spans="1:24" x14ac:dyDescent="0.3">
      <c r="A1100">
        <v>1994</v>
      </c>
      <c r="B1100">
        <v>195</v>
      </c>
      <c r="C1100" t="s">
        <v>27</v>
      </c>
      <c r="D1100" t="s">
        <v>17</v>
      </c>
      <c r="E1100" t="s">
        <v>29</v>
      </c>
      <c r="F1100" t="s">
        <v>19</v>
      </c>
      <c r="G1100">
        <v>16</v>
      </c>
      <c r="H1100">
        <v>4</v>
      </c>
      <c r="I1100">
        <v>9</v>
      </c>
      <c r="J1100">
        <v>36.299999999999997</v>
      </c>
      <c r="K1100">
        <v>172.65</v>
      </c>
      <c r="L1100">
        <v>0.09</v>
      </c>
      <c r="M1100">
        <v>44.25</v>
      </c>
      <c r="N1100">
        <v>0.92</v>
      </c>
      <c r="O1100" t="s">
        <v>20</v>
      </c>
      <c r="P1100" t="s">
        <v>21</v>
      </c>
      <c r="Q1100">
        <f t="shared" si="85"/>
        <v>11</v>
      </c>
      <c r="R1100" s="4">
        <f>RANK(N1100,$N$2:N$2800,0)</f>
        <v>1585</v>
      </c>
      <c r="S1100">
        <f t="shared" si="86"/>
        <v>1.7777777777777777</v>
      </c>
      <c r="T1100" t="str">
        <f t="shared" si="87"/>
        <v>Low</v>
      </c>
      <c r="U1100" t="str" cm="1">
        <f t="array" ref="U1100">_xlfn.LET(_xlpm.roles,_xlfn.UNIQUE(D1100:D3898),_xlpm.kills, SUMIF(D1100:D3898,_xlpm.roles,G1100:G3898),INDEX(_xlpm.roles,MATCH(MAX(_xlpm.kills),_xlpm.kills,0)))</f>
        <v>Entry Fragger</v>
      </c>
      <c r="V1100" t="str">
        <f t="shared" si="88"/>
        <v>Medium Accuracy</v>
      </c>
      <c r="W1100" t="str" cm="1">
        <f t="array" ref="W1100">_xlfn.LET(_xlpm.roles,_xlfn.UNIQUE(D1100:D3898), _xlpm.counts,COUNTIF(D1100:D3898,_xlpm.roles), INDEX(_xlpm.roles,MATCH(MAX(_xlpm.counts),_xlpm.counts,0)))</f>
        <v>Entry Fragger</v>
      </c>
      <c r="X1100" s="2">
        <f t="shared" si="89"/>
        <v>13.057077625570777</v>
      </c>
    </row>
    <row r="1101" spans="1:24" x14ac:dyDescent="0.3">
      <c r="A1101">
        <v>5</v>
      </c>
      <c r="B1101">
        <v>196</v>
      </c>
      <c r="C1101" t="s">
        <v>30</v>
      </c>
      <c r="D1101" t="s">
        <v>31</v>
      </c>
      <c r="E1101" t="s">
        <v>32</v>
      </c>
      <c r="F1101" t="s">
        <v>19</v>
      </c>
      <c r="G1101">
        <v>13</v>
      </c>
      <c r="H1101">
        <v>9</v>
      </c>
      <c r="I1101">
        <v>13</v>
      </c>
      <c r="J1101">
        <v>44.71</v>
      </c>
      <c r="K1101">
        <v>266.94</v>
      </c>
      <c r="L1101">
        <v>0.52</v>
      </c>
      <c r="M1101">
        <v>39.159999999999997</v>
      </c>
      <c r="N1101">
        <v>0.85</v>
      </c>
      <c r="O1101" t="s">
        <v>20</v>
      </c>
      <c r="P1101" t="s">
        <v>21</v>
      </c>
      <c r="Q1101">
        <f t="shared" si="85"/>
        <v>9</v>
      </c>
      <c r="R1101" s="4">
        <f>RANK(N1101,$N$2:N$2800,0)</f>
        <v>2105</v>
      </c>
      <c r="S1101">
        <f t="shared" si="86"/>
        <v>1</v>
      </c>
      <c r="T1101" t="str">
        <f t="shared" si="87"/>
        <v>Low</v>
      </c>
      <c r="U1101" t="str" cm="1">
        <f t="array" ref="U1101">_xlfn.LET(_xlpm.roles,_xlfn.UNIQUE(D1101:D3899),_xlpm.kills, SUMIF(D1101:D3899,_xlpm.roles,G1101:G3899),INDEX(_xlpm.roles,MATCH(MAX(_xlpm.kills),_xlpm.kills,0)))</f>
        <v>Entry Fragger</v>
      </c>
      <c r="V1101" t="str">
        <f t="shared" si="88"/>
        <v>Medium Accuracy</v>
      </c>
      <c r="W1101" t="str" cm="1">
        <f t="array" ref="W1101">_xlfn.LET(_xlpm.roles,_xlfn.UNIQUE(D1101:D3899), _xlpm.counts,COUNTIF(D1101:D3899,_xlpm.roles), INDEX(_xlpm.roles,MATCH(MAX(_xlpm.counts),_xlpm.counts,0)))</f>
        <v>Entry Fragger</v>
      </c>
      <c r="X1101" s="2">
        <f t="shared" si="89"/>
        <v>13.135802469135802</v>
      </c>
    </row>
    <row r="1102" spans="1:24" x14ac:dyDescent="0.3">
      <c r="A1102">
        <v>1024</v>
      </c>
      <c r="B1102">
        <v>196</v>
      </c>
      <c r="C1102" t="s">
        <v>27</v>
      </c>
      <c r="D1102" t="s">
        <v>17</v>
      </c>
      <c r="E1102" t="s">
        <v>18</v>
      </c>
      <c r="F1102" t="s">
        <v>26</v>
      </c>
      <c r="G1102">
        <v>21</v>
      </c>
      <c r="H1102">
        <v>7</v>
      </c>
      <c r="I1102">
        <v>9</v>
      </c>
      <c r="J1102">
        <v>40.229999999999997</v>
      </c>
      <c r="K1102">
        <v>233.9</v>
      </c>
      <c r="L1102">
        <v>0.09</v>
      </c>
      <c r="M1102">
        <v>59.21</v>
      </c>
      <c r="N1102">
        <v>1</v>
      </c>
      <c r="O1102" t="s">
        <v>20</v>
      </c>
      <c r="P1102" t="s">
        <v>21</v>
      </c>
      <c r="Q1102">
        <f t="shared" si="85"/>
        <v>19</v>
      </c>
      <c r="R1102" s="4">
        <f>RANK(N1102,$N$2:N$2800,0)</f>
        <v>1</v>
      </c>
      <c r="S1102">
        <f t="shared" si="86"/>
        <v>2.3333333333333335</v>
      </c>
      <c r="T1102" t="str">
        <f t="shared" si="87"/>
        <v>Good</v>
      </c>
      <c r="U1102" t="str" cm="1">
        <f t="array" ref="U1102">_xlfn.LET(_xlpm.roles,_xlfn.UNIQUE(D1102:D3900),_xlpm.kills, SUMIF(D1102:D3900,_xlpm.roles,G1102:G3900),INDEX(_xlpm.roles,MATCH(MAX(_xlpm.kills),_xlpm.kills,0)))</f>
        <v>Entry Fragger</v>
      </c>
      <c r="V1102" t="str">
        <f t="shared" si="88"/>
        <v>Medium Accuracy</v>
      </c>
      <c r="W1102" t="str" cm="1">
        <f t="array" ref="W1102">_xlfn.LET(_xlpm.roles,_xlfn.UNIQUE(D1102:D3900), _xlpm.counts,COUNTIF(D1102:D3900,_xlpm.roles), INDEX(_xlpm.roles,MATCH(MAX(_xlpm.counts),_xlpm.counts,0)))</f>
        <v>Entry Fragger</v>
      </c>
      <c r="X1102" s="2">
        <f t="shared" si="89"/>
        <v>13.057077625570777</v>
      </c>
    </row>
    <row r="1103" spans="1:24" x14ac:dyDescent="0.3">
      <c r="A1103">
        <v>1718</v>
      </c>
      <c r="B1103">
        <v>196</v>
      </c>
      <c r="C1103" t="s">
        <v>27</v>
      </c>
      <c r="D1103" t="s">
        <v>28</v>
      </c>
      <c r="E1103" t="s">
        <v>23</v>
      </c>
      <c r="F1103" t="s">
        <v>26</v>
      </c>
      <c r="G1103">
        <v>21</v>
      </c>
      <c r="H1103">
        <v>7</v>
      </c>
      <c r="I1103">
        <v>10</v>
      </c>
      <c r="J1103">
        <v>43.95</v>
      </c>
      <c r="K1103">
        <v>242.67</v>
      </c>
      <c r="L1103">
        <v>0.46</v>
      </c>
      <c r="M1103">
        <v>56.38</v>
      </c>
      <c r="N1103">
        <v>1</v>
      </c>
      <c r="O1103" t="s">
        <v>20</v>
      </c>
      <c r="P1103" t="s">
        <v>21</v>
      </c>
      <c r="Q1103">
        <f t="shared" si="85"/>
        <v>18</v>
      </c>
      <c r="R1103" s="4">
        <f>RANK(N1103,$N$2:N$2800,0)</f>
        <v>1</v>
      </c>
      <c r="S1103">
        <f t="shared" si="86"/>
        <v>2.1</v>
      </c>
      <c r="T1103" t="str">
        <f t="shared" si="87"/>
        <v>Good</v>
      </c>
      <c r="U1103" t="str" cm="1">
        <f t="array" ref="U1103">_xlfn.LET(_xlpm.roles,_xlfn.UNIQUE(D1103:D3901),_xlpm.kills, SUMIF(D1103:D3901,_xlpm.roles,G1103:G3901),INDEX(_xlpm.roles,MATCH(MAX(_xlpm.kills),_xlpm.kills,0)))</f>
        <v>Entry Fragger</v>
      </c>
      <c r="V1103" t="str">
        <f t="shared" si="88"/>
        <v>Medium Accuracy</v>
      </c>
      <c r="W1103" t="str" cm="1">
        <f t="array" ref="W1103">_xlfn.LET(_xlpm.roles,_xlfn.UNIQUE(D1103:D3901), _xlpm.counts,COUNTIF(D1103:D3901,_xlpm.roles), INDEX(_xlpm.roles,MATCH(MAX(_xlpm.counts),_xlpm.counts,0)))</f>
        <v>Entry Fragger</v>
      </c>
      <c r="X1103" s="2">
        <f t="shared" si="89"/>
        <v>13.057077625570777</v>
      </c>
    </row>
    <row r="1104" spans="1:24" x14ac:dyDescent="0.3">
      <c r="A1104">
        <v>1835</v>
      </c>
      <c r="B1104">
        <v>196</v>
      </c>
      <c r="C1104" t="s">
        <v>35</v>
      </c>
      <c r="D1104" t="s">
        <v>31</v>
      </c>
      <c r="E1104" t="s">
        <v>33</v>
      </c>
      <c r="F1104" t="s">
        <v>37</v>
      </c>
      <c r="G1104">
        <v>9</v>
      </c>
      <c r="H1104">
        <v>4</v>
      </c>
      <c r="I1104">
        <v>12</v>
      </c>
      <c r="J1104">
        <v>41.44</v>
      </c>
      <c r="K1104">
        <v>178.93</v>
      </c>
      <c r="L1104">
        <v>0.38</v>
      </c>
      <c r="M1104">
        <v>26.92</v>
      </c>
      <c r="N1104">
        <v>0.87</v>
      </c>
      <c r="O1104" t="s">
        <v>20</v>
      </c>
      <c r="P1104" t="s">
        <v>21</v>
      </c>
      <c r="Q1104">
        <f t="shared" si="85"/>
        <v>1</v>
      </c>
      <c r="R1104" s="4">
        <f>RANK(N1104,$N$2:N$2800,0)</f>
        <v>1965</v>
      </c>
      <c r="S1104">
        <f t="shared" si="86"/>
        <v>0.75</v>
      </c>
      <c r="T1104" t="str">
        <f t="shared" si="87"/>
        <v>Low</v>
      </c>
      <c r="U1104" t="str" cm="1">
        <f t="array" ref="U1104">_xlfn.LET(_xlpm.roles,_xlfn.UNIQUE(D1104:D3902),_xlpm.kills, SUMIF(D1104:D3902,_xlpm.roles,G1104:G3902),INDEX(_xlpm.roles,MATCH(MAX(_xlpm.kills),_xlpm.kills,0)))</f>
        <v>Entry Fragger</v>
      </c>
      <c r="V1104" t="str">
        <f t="shared" si="88"/>
        <v>Medium Accuracy</v>
      </c>
      <c r="W1104" t="str" cm="1">
        <f t="array" ref="W1104">_xlfn.LET(_xlpm.roles,_xlfn.UNIQUE(D1104:D3902), _xlpm.counts,COUNTIF(D1104:D3902,_xlpm.roles), INDEX(_xlpm.roles,MATCH(MAX(_xlpm.counts),_xlpm.counts,0)))</f>
        <v>Entry Fragger</v>
      </c>
      <c r="X1104" s="2">
        <f t="shared" si="89"/>
        <v>12.599585062240664</v>
      </c>
    </row>
    <row r="1105" spans="1:24" x14ac:dyDescent="0.3">
      <c r="A1105">
        <v>261</v>
      </c>
      <c r="B1105">
        <v>197</v>
      </c>
      <c r="C1105" t="s">
        <v>35</v>
      </c>
      <c r="D1105" t="s">
        <v>22</v>
      </c>
      <c r="E1105" t="s">
        <v>18</v>
      </c>
      <c r="F1105" t="s">
        <v>34</v>
      </c>
      <c r="G1105">
        <v>14</v>
      </c>
      <c r="H1105">
        <v>4</v>
      </c>
      <c r="I1105">
        <v>10</v>
      </c>
      <c r="J1105">
        <v>48.78</v>
      </c>
      <c r="K1105">
        <v>213.6</v>
      </c>
      <c r="L1105">
        <v>0.16</v>
      </c>
      <c r="M1105">
        <v>44.79</v>
      </c>
      <c r="N1105">
        <v>0.98</v>
      </c>
      <c r="O1105" t="s">
        <v>20</v>
      </c>
      <c r="P1105" t="s">
        <v>21</v>
      </c>
      <c r="Q1105">
        <f t="shared" si="85"/>
        <v>8</v>
      </c>
      <c r="R1105" s="4">
        <f>RANK(N1105,$N$2:N$2800,0)</f>
        <v>1157</v>
      </c>
      <c r="S1105">
        <f t="shared" si="86"/>
        <v>1.4</v>
      </c>
      <c r="T1105" t="str">
        <f t="shared" si="87"/>
        <v>Low</v>
      </c>
      <c r="U1105" t="str" cm="1">
        <f t="array" ref="U1105">_xlfn.LET(_xlpm.roles,_xlfn.UNIQUE(D1105:D3903),_xlpm.kills, SUMIF(D1105:D3903,_xlpm.roles,G1105:G3903),INDEX(_xlpm.roles,MATCH(MAX(_xlpm.kills),_xlpm.kills,0)))</f>
        <v>Entry Fragger</v>
      </c>
      <c r="V1105" t="str">
        <f t="shared" si="88"/>
        <v>Medium Accuracy</v>
      </c>
      <c r="W1105" t="str" cm="1">
        <f t="array" ref="W1105">_xlfn.LET(_xlpm.roles,_xlfn.UNIQUE(D1105:D3903), _xlpm.counts,COUNTIF(D1105:D3903,_xlpm.roles), INDEX(_xlpm.roles,MATCH(MAX(_xlpm.counts),_xlpm.counts,0)))</f>
        <v>Entry Fragger</v>
      </c>
      <c r="X1105" s="2">
        <f t="shared" si="89"/>
        <v>12.599585062240664</v>
      </c>
    </row>
    <row r="1106" spans="1:24" x14ac:dyDescent="0.3">
      <c r="A1106">
        <v>488</v>
      </c>
      <c r="B1106">
        <v>197</v>
      </c>
      <c r="C1106" t="s">
        <v>27</v>
      </c>
      <c r="D1106" t="s">
        <v>17</v>
      </c>
      <c r="E1106" t="s">
        <v>32</v>
      </c>
      <c r="F1106" t="s">
        <v>34</v>
      </c>
      <c r="G1106">
        <v>13</v>
      </c>
      <c r="H1106">
        <v>10</v>
      </c>
      <c r="I1106">
        <v>10</v>
      </c>
      <c r="J1106">
        <v>50.14</v>
      </c>
      <c r="K1106">
        <v>219.64</v>
      </c>
      <c r="L1106">
        <v>0.17</v>
      </c>
      <c r="M1106">
        <v>49.37</v>
      </c>
      <c r="N1106">
        <v>0.88</v>
      </c>
      <c r="O1106" t="s">
        <v>20</v>
      </c>
      <c r="P1106" t="s">
        <v>21</v>
      </c>
      <c r="Q1106">
        <f t="shared" si="85"/>
        <v>13</v>
      </c>
      <c r="R1106" s="4">
        <f>RANK(N1106,$N$2:N$2800,0)</f>
        <v>1894</v>
      </c>
      <c r="S1106">
        <f t="shared" si="86"/>
        <v>1.3</v>
      </c>
      <c r="T1106" t="str">
        <f t="shared" si="87"/>
        <v>Low</v>
      </c>
      <c r="U1106" t="str" cm="1">
        <f t="array" ref="U1106">_xlfn.LET(_xlpm.roles,_xlfn.UNIQUE(D1106:D3904),_xlpm.kills, SUMIF(D1106:D3904,_xlpm.roles,G1106:G3904),INDEX(_xlpm.roles,MATCH(MAX(_xlpm.kills),_xlpm.kills,0)))</f>
        <v>Entry Fragger</v>
      </c>
      <c r="V1106" t="str">
        <f t="shared" si="88"/>
        <v>High Accuracy</v>
      </c>
      <c r="W1106" t="str" cm="1">
        <f t="array" ref="W1106">_xlfn.LET(_xlpm.roles,_xlfn.UNIQUE(D1106:D3904), _xlpm.counts,COUNTIF(D1106:D3904,_xlpm.roles), INDEX(_xlpm.roles,MATCH(MAX(_xlpm.counts),_xlpm.counts,0)))</f>
        <v>Entry Fragger</v>
      </c>
      <c r="X1106" s="2">
        <f t="shared" si="89"/>
        <v>13.057077625570777</v>
      </c>
    </row>
    <row r="1107" spans="1:24" x14ac:dyDescent="0.3">
      <c r="A1107">
        <v>599</v>
      </c>
      <c r="B1107">
        <v>197</v>
      </c>
      <c r="C1107" t="s">
        <v>39</v>
      </c>
      <c r="D1107" t="s">
        <v>31</v>
      </c>
      <c r="E1107" t="s">
        <v>32</v>
      </c>
      <c r="F1107" t="s">
        <v>34</v>
      </c>
      <c r="G1107">
        <v>16</v>
      </c>
      <c r="H1107">
        <v>8</v>
      </c>
      <c r="I1107">
        <v>8</v>
      </c>
      <c r="J1107">
        <v>58.42</v>
      </c>
      <c r="K1107">
        <v>206.32</v>
      </c>
      <c r="L1107">
        <v>0.89</v>
      </c>
      <c r="M1107">
        <v>52.31</v>
      </c>
      <c r="N1107">
        <v>0.92</v>
      </c>
      <c r="O1107" t="s">
        <v>20</v>
      </c>
      <c r="P1107" t="s">
        <v>21</v>
      </c>
      <c r="Q1107">
        <f t="shared" si="85"/>
        <v>16</v>
      </c>
      <c r="R1107" s="4">
        <f>RANK(N1107,$N$2:N$2800,0)</f>
        <v>1585</v>
      </c>
      <c r="S1107">
        <f t="shared" si="86"/>
        <v>2</v>
      </c>
      <c r="T1107" t="str">
        <f t="shared" si="87"/>
        <v>Good</v>
      </c>
      <c r="U1107" t="str" cm="1">
        <f t="array" ref="U1107">_xlfn.LET(_xlpm.roles,_xlfn.UNIQUE(D1107:D3905),_xlpm.kills, SUMIF(D1107:D3905,_xlpm.roles,G1107:G3905),INDEX(_xlpm.roles,MATCH(MAX(_xlpm.kills),_xlpm.kills,0)))</f>
        <v>Entry Fragger</v>
      </c>
      <c r="V1107" t="str">
        <f t="shared" si="88"/>
        <v>High Accuracy</v>
      </c>
      <c r="W1107" t="str" cm="1">
        <f t="array" ref="W1107">_xlfn.LET(_xlpm.roles,_xlfn.UNIQUE(D1107:D3905), _xlpm.counts,COUNTIF(D1107:D3905,_xlpm.roles), INDEX(_xlpm.roles,MATCH(MAX(_xlpm.counts),_xlpm.counts,0)))</f>
        <v>Entry Fragger</v>
      </c>
      <c r="X1107" s="2">
        <f t="shared" si="89"/>
        <v>13.103594080338267</v>
      </c>
    </row>
    <row r="1108" spans="1:24" x14ac:dyDescent="0.3">
      <c r="A1108">
        <v>1311</v>
      </c>
      <c r="B1108">
        <v>197</v>
      </c>
      <c r="C1108" t="s">
        <v>27</v>
      </c>
      <c r="D1108" t="s">
        <v>28</v>
      </c>
      <c r="E1108" t="s">
        <v>32</v>
      </c>
      <c r="F1108" t="s">
        <v>19</v>
      </c>
      <c r="G1108">
        <v>14</v>
      </c>
      <c r="H1108">
        <v>5</v>
      </c>
      <c r="I1108">
        <v>6</v>
      </c>
      <c r="J1108">
        <v>44.33</v>
      </c>
      <c r="K1108">
        <v>169.58</v>
      </c>
      <c r="L1108">
        <v>0.24</v>
      </c>
      <c r="M1108">
        <v>46.77</v>
      </c>
      <c r="N1108">
        <v>0.88</v>
      </c>
      <c r="O1108" t="s">
        <v>20</v>
      </c>
      <c r="P1108" t="s">
        <v>21</v>
      </c>
      <c r="Q1108">
        <f t="shared" si="85"/>
        <v>13</v>
      </c>
      <c r="R1108" s="4">
        <f>RANK(N1108,$N$2:N$2800,0)</f>
        <v>1894</v>
      </c>
      <c r="S1108">
        <f t="shared" si="86"/>
        <v>2.3333333333333335</v>
      </c>
      <c r="T1108" t="str">
        <f t="shared" si="87"/>
        <v>Low</v>
      </c>
      <c r="U1108" t="str" cm="1">
        <f t="array" ref="U1108">_xlfn.LET(_xlpm.roles,_xlfn.UNIQUE(D1108:D3906),_xlpm.kills, SUMIF(D1108:D3906,_xlpm.roles,G1108:G3906),INDEX(_xlpm.roles,MATCH(MAX(_xlpm.kills),_xlpm.kills,0)))</f>
        <v>Entry Fragger</v>
      </c>
      <c r="V1108" t="str">
        <f t="shared" si="88"/>
        <v>Medium Accuracy</v>
      </c>
      <c r="W1108" t="str" cm="1">
        <f t="array" ref="W1108">_xlfn.LET(_xlpm.roles,_xlfn.UNIQUE(D1108:D3906), _xlpm.counts,COUNTIF(D1108:D3906,_xlpm.roles), INDEX(_xlpm.roles,MATCH(MAX(_xlpm.counts),_xlpm.counts,0)))</f>
        <v>Entry Fragger</v>
      </c>
      <c r="X1108" s="2">
        <f t="shared" si="89"/>
        <v>13.057077625570777</v>
      </c>
    </row>
    <row r="1109" spans="1:24" x14ac:dyDescent="0.3">
      <c r="A1109">
        <v>1891</v>
      </c>
      <c r="B1109">
        <v>197</v>
      </c>
      <c r="C1109" t="s">
        <v>16</v>
      </c>
      <c r="D1109" t="s">
        <v>36</v>
      </c>
      <c r="E1109" t="s">
        <v>33</v>
      </c>
      <c r="F1109" t="s">
        <v>19</v>
      </c>
      <c r="G1109">
        <v>15</v>
      </c>
      <c r="H1109">
        <v>10</v>
      </c>
      <c r="I1109">
        <v>16</v>
      </c>
      <c r="J1109">
        <v>35.69</v>
      </c>
      <c r="K1109">
        <v>198.48</v>
      </c>
      <c r="L1109">
        <v>0</v>
      </c>
      <c r="M1109">
        <v>41.84</v>
      </c>
      <c r="N1109">
        <v>1</v>
      </c>
      <c r="O1109" t="s">
        <v>20</v>
      </c>
      <c r="P1109" t="s">
        <v>21</v>
      </c>
      <c r="Q1109">
        <f t="shared" si="85"/>
        <v>9</v>
      </c>
      <c r="R1109" s="4">
        <f>RANK(N1109,$N$2:N$2800,0)</f>
        <v>1</v>
      </c>
      <c r="S1109">
        <f t="shared" si="86"/>
        <v>0.9375</v>
      </c>
      <c r="T1109" t="str">
        <f t="shared" si="87"/>
        <v>Low</v>
      </c>
      <c r="U1109" t="str" cm="1">
        <f t="array" ref="U1109">_xlfn.LET(_xlpm.roles,_xlfn.UNIQUE(D1109:D3907),_xlpm.kills, SUMIF(D1109:D3907,_xlpm.roles,G1109:G3907),INDEX(_xlpm.roles,MATCH(MAX(_xlpm.kills),_xlpm.kills,0)))</f>
        <v>Entry Fragger</v>
      </c>
      <c r="V1109" t="str">
        <f t="shared" si="88"/>
        <v>Medium Accuracy</v>
      </c>
      <c r="W1109" t="str" cm="1">
        <f t="array" ref="W1109">_xlfn.LET(_xlpm.roles,_xlfn.UNIQUE(D1109:D3907), _xlpm.counts,COUNTIF(D1109:D3907,_xlpm.roles), INDEX(_xlpm.roles,MATCH(MAX(_xlpm.counts),_xlpm.counts,0)))</f>
        <v>Entry Fragger</v>
      </c>
      <c r="X1109" s="2">
        <f t="shared" si="89"/>
        <v>12.520971302428256</v>
      </c>
    </row>
    <row r="1110" spans="1:24" x14ac:dyDescent="0.3">
      <c r="A1110">
        <v>2458</v>
      </c>
      <c r="B1110">
        <v>197</v>
      </c>
      <c r="C1110" t="s">
        <v>35</v>
      </c>
      <c r="D1110" t="s">
        <v>36</v>
      </c>
      <c r="E1110" t="s">
        <v>18</v>
      </c>
      <c r="F1110" t="s">
        <v>26</v>
      </c>
      <c r="G1110">
        <v>12</v>
      </c>
      <c r="H1110">
        <v>8</v>
      </c>
      <c r="I1110">
        <v>13</v>
      </c>
      <c r="J1110">
        <v>47.74</v>
      </c>
      <c r="K1110">
        <v>221.27</v>
      </c>
      <c r="L1110">
        <v>0.37</v>
      </c>
      <c r="M1110">
        <v>39.17</v>
      </c>
      <c r="N1110">
        <v>0.85</v>
      </c>
      <c r="O1110" t="s">
        <v>20</v>
      </c>
      <c r="P1110" t="s">
        <v>21</v>
      </c>
      <c r="Q1110">
        <f t="shared" si="85"/>
        <v>7</v>
      </c>
      <c r="R1110" s="4">
        <f>RANK(N1110,$N$2:N$2800,0)</f>
        <v>2105</v>
      </c>
      <c r="S1110">
        <f t="shared" si="86"/>
        <v>0.92307692307692313</v>
      </c>
      <c r="T1110" t="str">
        <f t="shared" si="87"/>
        <v>Low</v>
      </c>
      <c r="U1110" t="str" cm="1">
        <f t="array" ref="U1110">_xlfn.LET(_xlpm.roles,_xlfn.UNIQUE(D1110:D3908),_xlpm.kills, SUMIF(D1110:D3908,_xlpm.roles,G1110:G3908),INDEX(_xlpm.roles,MATCH(MAX(_xlpm.kills),_xlpm.kills,0)))</f>
        <v>Entry Fragger</v>
      </c>
      <c r="V1110" t="str">
        <f t="shared" si="88"/>
        <v>Medium Accuracy</v>
      </c>
      <c r="W1110" t="str" cm="1">
        <f t="array" ref="W1110">_xlfn.LET(_xlpm.roles,_xlfn.UNIQUE(D1110:D3908), _xlpm.counts,COUNTIF(D1110:D3908,_xlpm.roles), INDEX(_xlpm.roles,MATCH(MAX(_xlpm.counts),_xlpm.counts,0)))</f>
        <v>Entry Fragger</v>
      </c>
      <c r="X1110" s="2">
        <f t="shared" si="89"/>
        <v>12.599585062240664</v>
      </c>
    </row>
    <row r="1111" spans="1:24" x14ac:dyDescent="0.3">
      <c r="A1111">
        <v>1328</v>
      </c>
      <c r="B1111">
        <v>198</v>
      </c>
      <c r="C1111" t="s">
        <v>35</v>
      </c>
      <c r="D1111" t="s">
        <v>36</v>
      </c>
      <c r="E1111" t="s">
        <v>32</v>
      </c>
      <c r="F1111" t="s">
        <v>19</v>
      </c>
      <c r="G1111">
        <v>9</v>
      </c>
      <c r="H1111">
        <v>10</v>
      </c>
      <c r="I1111">
        <v>13</v>
      </c>
      <c r="J1111">
        <v>35.549999999999997</v>
      </c>
      <c r="K1111">
        <v>240.4</v>
      </c>
      <c r="L1111">
        <v>0.28999999999999998</v>
      </c>
      <c r="M1111">
        <v>29.88</v>
      </c>
      <c r="N1111">
        <v>1</v>
      </c>
      <c r="O1111" t="s">
        <v>20</v>
      </c>
      <c r="P1111" t="s">
        <v>21</v>
      </c>
      <c r="Q1111">
        <f t="shared" si="85"/>
        <v>6</v>
      </c>
      <c r="R1111" s="4">
        <f>RANK(N1111,$N$2:N$2800,0)</f>
        <v>1</v>
      </c>
      <c r="S1111">
        <f t="shared" si="86"/>
        <v>0.69230769230769229</v>
      </c>
      <c r="T1111" t="str">
        <f t="shared" si="87"/>
        <v>Low</v>
      </c>
      <c r="U1111" t="str" cm="1">
        <f t="array" ref="U1111">_xlfn.LET(_xlpm.roles,_xlfn.UNIQUE(D1111:D3909),_xlpm.kills, SUMIF(D1111:D3909,_xlpm.roles,G1111:G3909),INDEX(_xlpm.roles,MATCH(MAX(_xlpm.kills),_xlpm.kills,0)))</f>
        <v>Entry Fragger</v>
      </c>
      <c r="V1111" t="str">
        <f t="shared" si="88"/>
        <v>Medium Accuracy</v>
      </c>
      <c r="W1111" t="str" cm="1">
        <f t="array" ref="W1111">_xlfn.LET(_xlpm.roles,_xlfn.UNIQUE(D1111:D3909), _xlpm.counts,COUNTIF(D1111:D3909,_xlpm.roles), INDEX(_xlpm.roles,MATCH(MAX(_xlpm.counts),_xlpm.counts,0)))</f>
        <v>Entry Fragger</v>
      </c>
      <c r="X1111" s="2">
        <f t="shared" si="89"/>
        <v>12.599585062240664</v>
      </c>
    </row>
    <row r="1112" spans="1:24" x14ac:dyDescent="0.3">
      <c r="A1112">
        <v>1455</v>
      </c>
      <c r="B1112">
        <v>198</v>
      </c>
      <c r="C1112" t="s">
        <v>27</v>
      </c>
      <c r="D1112" t="s">
        <v>22</v>
      </c>
      <c r="E1112" t="s">
        <v>32</v>
      </c>
      <c r="F1112" t="s">
        <v>26</v>
      </c>
      <c r="G1112">
        <v>17</v>
      </c>
      <c r="H1112">
        <v>8</v>
      </c>
      <c r="I1112">
        <v>11</v>
      </c>
      <c r="J1112">
        <v>39.869999999999997</v>
      </c>
      <c r="K1112">
        <v>279.14</v>
      </c>
      <c r="L1112">
        <v>0.97</v>
      </c>
      <c r="M1112">
        <v>41.23</v>
      </c>
      <c r="N1112">
        <v>0.87</v>
      </c>
      <c r="O1112" t="s">
        <v>20</v>
      </c>
      <c r="P1112" t="s">
        <v>21</v>
      </c>
      <c r="Q1112">
        <f t="shared" si="85"/>
        <v>14</v>
      </c>
      <c r="R1112" s="4">
        <f>RANK(N1112,$N$2:N$2800,0)</f>
        <v>1965</v>
      </c>
      <c r="S1112">
        <f t="shared" si="86"/>
        <v>1.5454545454545454</v>
      </c>
      <c r="T1112" t="str">
        <f t="shared" si="87"/>
        <v>Low</v>
      </c>
      <c r="U1112" t="str" cm="1">
        <f t="array" ref="U1112">_xlfn.LET(_xlpm.roles,_xlfn.UNIQUE(D1112:D3910),_xlpm.kills, SUMIF(D1112:D3910,_xlpm.roles,G1112:G3910),INDEX(_xlpm.roles,MATCH(MAX(_xlpm.kills),_xlpm.kills,0)))</f>
        <v>Entry Fragger</v>
      </c>
      <c r="V1112" t="str">
        <f t="shared" si="88"/>
        <v>Medium Accuracy</v>
      </c>
      <c r="W1112" t="str" cm="1">
        <f t="array" ref="W1112">_xlfn.LET(_xlpm.roles,_xlfn.UNIQUE(D1112:D3910), _xlpm.counts,COUNTIF(D1112:D3910,_xlpm.roles), INDEX(_xlpm.roles,MATCH(MAX(_xlpm.counts),_xlpm.counts,0)))</f>
        <v>Entry Fragger</v>
      </c>
      <c r="X1112" s="2">
        <f t="shared" si="89"/>
        <v>13.057077625570777</v>
      </c>
    </row>
    <row r="1113" spans="1:24" x14ac:dyDescent="0.3">
      <c r="A1113">
        <v>1638</v>
      </c>
      <c r="B1113">
        <v>198</v>
      </c>
      <c r="C1113" t="s">
        <v>27</v>
      </c>
      <c r="D1113" t="s">
        <v>31</v>
      </c>
      <c r="E1113" t="s">
        <v>29</v>
      </c>
      <c r="F1113" t="s">
        <v>19</v>
      </c>
      <c r="G1113">
        <v>15</v>
      </c>
      <c r="H1113">
        <v>12</v>
      </c>
      <c r="I1113">
        <v>13</v>
      </c>
      <c r="J1113">
        <v>40.46</v>
      </c>
      <c r="K1113">
        <v>262.33</v>
      </c>
      <c r="L1113">
        <v>0.61</v>
      </c>
      <c r="M1113">
        <v>43.13</v>
      </c>
      <c r="N1113">
        <v>0.8</v>
      </c>
      <c r="O1113" t="s">
        <v>20</v>
      </c>
      <c r="P1113" t="s">
        <v>21</v>
      </c>
      <c r="Q1113">
        <f t="shared" si="85"/>
        <v>14</v>
      </c>
      <c r="R1113" s="4">
        <f>RANK(N1113,$N$2:N$2800,0)</f>
        <v>2393</v>
      </c>
      <c r="S1113">
        <f t="shared" si="86"/>
        <v>1.1538461538461537</v>
      </c>
      <c r="T1113" t="str">
        <f t="shared" si="87"/>
        <v>Low</v>
      </c>
      <c r="U1113" t="str" cm="1">
        <f t="array" ref="U1113">_xlfn.LET(_xlpm.roles,_xlfn.UNIQUE(D1113:D3911),_xlpm.kills, SUMIF(D1113:D3911,_xlpm.roles,G1113:G3911),INDEX(_xlpm.roles,MATCH(MAX(_xlpm.kills),_xlpm.kills,0)))</f>
        <v>Entry Fragger</v>
      </c>
      <c r="V1113" t="str">
        <f t="shared" si="88"/>
        <v>Medium Accuracy</v>
      </c>
      <c r="W1113" t="str" cm="1">
        <f t="array" ref="W1113">_xlfn.LET(_xlpm.roles,_xlfn.UNIQUE(D1113:D3911), _xlpm.counts,COUNTIF(D1113:D3911,_xlpm.roles), INDEX(_xlpm.roles,MATCH(MAX(_xlpm.counts),_xlpm.counts,0)))</f>
        <v>Entry Fragger</v>
      </c>
      <c r="X1113" s="2">
        <f t="shared" si="89"/>
        <v>13.057077625570777</v>
      </c>
    </row>
    <row r="1114" spans="1:24" x14ac:dyDescent="0.3">
      <c r="A1114">
        <v>2396</v>
      </c>
      <c r="B1114">
        <v>198</v>
      </c>
      <c r="C1114" t="s">
        <v>30</v>
      </c>
      <c r="D1114" t="s">
        <v>28</v>
      </c>
      <c r="E1114" t="s">
        <v>29</v>
      </c>
      <c r="F1114" t="s">
        <v>37</v>
      </c>
      <c r="G1114">
        <v>10</v>
      </c>
      <c r="H1114">
        <v>13</v>
      </c>
      <c r="I1114">
        <v>8</v>
      </c>
      <c r="J1114">
        <v>49.6</v>
      </c>
      <c r="K1114">
        <v>243</v>
      </c>
      <c r="L1114">
        <v>0.57999999999999996</v>
      </c>
      <c r="M1114">
        <v>44</v>
      </c>
      <c r="N1114">
        <v>1</v>
      </c>
      <c r="O1114" t="s">
        <v>20</v>
      </c>
      <c r="P1114" t="s">
        <v>21</v>
      </c>
      <c r="Q1114">
        <f t="shared" si="85"/>
        <v>15</v>
      </c>
      <c r="R1114" s="4">
        <f>RANK(N1114,$N$2:N$2800,0)</f>
        <v>1</v>
      </c>
      <c r="S1114">
        <f t="shared" si="86"/>
        <v>1.25</v>
      </c>
      <c r="T1114" t="str">
        <f t="shared" si="87"/>
        <v>Good</v>
      </c>
      <c r="U1114" t="str" cm="1">
        <f t="array" ref="U1114">_xlfn.LET(_xlpm.roles,_xlfn.UNIQUE(D1114:D3912),_xlpm.kills, SUMIF(D1114:D3912,_xlpm.roles,G1114:G3912),INDEX(_xlpm.roles,MATCH(MAX(_xlpm.kills),_xlpm.kills,0)))</f>
        <v>Entry Fragger</v>
      </c>
      <c r="V1114" t="str">
        <f t="shared" si="88"/>
        <v>Medium Accuracy</v>
      </c>
      <c r="W1114" t="str" cm="1">
        <f t="array" ref="W1114">_xlfn.LET(_xlpm.roles,_xlfn.UNIQUE(D1114:D3912), _xlpm.counts,COUNTIF(D1114:D3912,_xlpm.roles), INDEX(_xlpm.roles,MATCH(MAX(_xlpm.counts),_xlpm.counts,0)))</f>
        <v>Entry Fragger</v>
      </c>
      <c r="X1114" s="2">
        <f t="shared" si="89"/>
        <v>13.135802469135802</v>
      </c>
    </row>
    <row r="1115" spans="1:24" x14ac:dyDescent="0.3">
      <c r="A1115">
        <v>951</v>
      </c>
      <c r="B1115">
        <v>199</v>
      </c>
      <c r="C1115" t="s">
        <v>35</v>
      </c>
      <c r="D1115" t="s">
        <v>28</v>
      </c>
      <c r="E1115" t="s">
        <v>33</v>
      </c>
      <c r="F1115" t="s">
        <v>19</v>
      </c>
      <c r="G1115">
        <v>14</v>
      </c>
      <c r="H1115">
        <v>9</v>
      </c>
      <c r="I1115">
        <v>8</v>
      </c>
      <c r="J1115">
        <v>45.27</v>
      </c>
      <c r="K1115">
        <v>209.16</v>
      </c>
      <c r="L1115">
        <v>0.73</v>
      </c>
      <c r="M1115">
        <v>44.34</v>
      </c>
      <c r="N1115">
        <v>1</v>
      </c>
      <c r="O1115" t="s">
        <v>20</v>
      </c>
      <c r="P1115" t="s">
        <v>21</v>
      </c>
      <c r="Q1115">
        <f t="shared" si="85"/>
        <v>15</v>
      </c>
      <c r="R1115" s="4">
        <f>RANK(N1115,$N$2:N$2800,0)</f>
        <v>1</v>
      </c>
      <c r="S1115">
        <f t="shared" si="86"/>
        <v>1.75</v>
      </c>
      <c r="T1115" t="str">
        <f t="shared" si="87"/>
        <v>Good</v>
      </c>
      <c r="U1115" t="str" cm="1">
        <f t="array" ref="U1115">_xlfn.LET(_xlpm.roles,_xlfn.UNIQUE(D1115:D3913),_xlpm.kills, SUMIF(D1115:D3913,_xlpm.roles,G1115:G3913),INDEX(_xlpm.roles,MATCH(MAX(_xlpm.kills),_xlpm.kills,0)))</f>
        <v>Entry Fragger</v>
      </c>
      <c r="V1115" t="str">
        <f t="shared" si="88"/>
        <v>Medium Accuracy</v>
      </c>
      <c r="W1115" t="str" cm="1">
        <f t="array" ref="W1115">_xlfn.LET(_xlpm.roles,_xlfn.UNIQUE(D1115:D3913), _xlpm.counts,COUNTIF(D1115:D3913,_xlpm.roles), INDEX(_xlpm.roles,MATCH(MAX(_xlpm.counts),_xlpm.counts,0)))</f>
        <v>Entry Fragger</v>
      </c>
      <c r="X1115" s="2">
        <f t="shared" si="89"/>
        <v>12.599585062240664</v>
      </c>
    </row>
    <row r="1116" spans="1:24" x14ac:dyDescent="0.3">
      <c r="A1116">
        <v>1108</v>
      </c>
      <c r="B1116">
        <v>199</v>
      </c>
      <c r="C1116" t="s">
        <v>30</v>
      </c>
      <c r="D1116" t="s">
        <v>31</v>
      </c>
      <c r="E1116" t="s">
        <v>33</v>
      </c>
      <c r="F1116" t="s">
        <v>26</v>
      </c>
      <c r="G1116">
        <v>11</v>
      </c>
      <c r="H1116">
        <v>12</v>
      </c>
      <c r="I1116">
        <v>10</v>
      </c>
      <c r="J1116">
        <v>49.21</v>
      </c>
      <c r="K1116">
        <v>177.32</v>
      </c>
      <c r="L1116">
        <v>0.57999999999999996</v>
      </c>
      <c r="M1116">
        <v>42.81</v>
      </c>
      <c r="N1116">
        <v>1</v>
      </c>
      <c r="O1116" t="s">
        <v>20</v>
      </c>
      <c r="P1116" t="s">
        <v>21</v>
      </c>
      <c r="Q1116">
        <f t="shared" si="85"/>
        <v>13</v>
      </c>
      <c r="R1116" s="4">
        <f>RANK(N1116,$N$2:N$2800,0)</f>
        <v>1</v>
      </c>
      <c r="S1116">
        <f t="shared" si="86"/>
        <v>1.1000000000000001</v>
      </c>
      <c r="T1116" t="str">
        <f t="shared" si="87"/>
        <v>Low</v>
      </c>
      <c r="U1116" t="str" cm="1">
        <f t="array" ref="U1116">_xlfn.LET(_xlpm.roles,_xlfn.UNIQUE(D1116:D3914),_xlpm.kills, SUMIF(D1116:D3914,_xlpm.roles,G1116:G3914),INDEX(_xlpm.roles,MATCH(MAX(_xlpm.kills),_xlpm.kills,0)))</f>
        <v>Entry Fragger</v>
      </c>
      <c r="V1116" t="str">
        <f t="shared" si="88"/>
        <v>Medium Accuracy</v>
      </c>
      <c r="W1116" t="str" cm="1">
        <f t="array" ref="W1116">_xlfn.LET(_xlpm.roles,_xlfn.UNIQUE(D1116:D3914), _xlpm.counts,COUNTIF(D1116:D3914,_xlpm.roles), INDEX(_xlpm.roles,MATCH(MAX(_xlpm.counts),_xlpm.counts,0)))</f>
        <v>Entry Fragger</v>
      </c>
      <c r="X1116" s="2">
        <f t="shared" si="89"/>
        <v>13.135802469135802</v>
      </c>
    </row>
    <row r="1117" spans="1:24" x14ac:dyDescent="0.3">
      <c r="A1117">
        <v>1983</v>
      </c>
      <c r="B1117">
        <v>199</v>
      </c>
      <c r="C1117" t="s">
        <v>35</v>
      </c>
      <c r="D1117" t="s">
        <v>28</v>
      </c>
      <c r="E1117" t="s">
        <v>23</v>
      </c>
      <c r="F1117" t="s">
        <v>19</v>
      </c>
      <c r="G1117">
        <v>16</v>
      </c>
      <c r="H1117">
        <v>8</v>
      </c>
      <c r="I1117">
        <v>18</v>
      </c>
      <c r="J1117">
        <v>50.25</v>
      </c>
      <c r="K1117">
        <v>222.81</v>
      </c>
      <c r="L1117">
        <v>0.93</v>
      </c>
      <c r="M1117">
        <v>37.83</v>
      </c>
      <c r="N1117">
        <v>0.83</v>
      </c>
      <c r="O1117" t="s">
        <v>20</v>
      </c>
      <c r="P1117" t="s">
        <v>21</v>
      </c>
      <c r="Q1117">
        <f t="shared" si="85"/>
        <v>6</v>
      </c>
      <c r="R1117" s="4">
        <f>RANK(N1117,$N$2:N$2800,0)</f>
        <v>2218</v>
      </c>
      <c r="S1117">
        <f t="shared" si="86"/>
        <v>0.88888888888888884</v>
      </c>
      <c r="T1117" t="str">
        <f t="shared" si="87"/>
        <v>Low</v>
      </c>
      <c r="U1117" t="str" cm="1">
        <f t="array" ref="U1117">_xlfn.LET(_xlpm.roles,_xlfn.UNIQUE(D1117:D3915),_xlpm.kills, SUMIF(D1117:D3915,_xlpm.roles,G1117:G3915),INDEX(_xlpm.roles,MATCH(MAX(_xlpm.kills),_xlpm.kills,0)))</f>
        <v>Entry Fragger</v>
      </c>
      <c r="V1117" t="str">
        <f t="shared" si="88"/>
        <v>High Accuracy</v>
      </c>
      <c r="W1117" t="str" cm="1">
        <f t="array" ref="W1117">_xlfn.LET(_xlpm.roles,_xlfn.UNIQUE(D1117:D3915), _xlpm.counts,COUNTIF(D1117:D3915,_xlpm.roles), INDEX(_xlpm.roles,MATCH(MAX(_xlpm.counts),_xlpm.counts,0)))</f>
        <v>Entry Fragger</v>
      </c>
      <c r="X1117" s="2">
        <f t="shared" si="89"/>
        <v>12.599585062240664</v>
      </c>
    </row>
    <row r="1118" spans="1:24" x14ac:dyDescent="0.3">
      <c r="A1118">
        <v>2031</v>
      </c>
      <c r="B1118">
        <v>199</v>
      </c>
      <c r="C1118" t="s">
        <v>25</v>
      </c>
      <c r="D1118" t="s">
        <v>17</v>
      </c>
      <c r="E1118" t="s">
        <v>29</v>
      </c>
      <c r="F1118" t="s">
        <v>26</v>
      </c>
      <c r="G1118">
        <v>11</v>
      </c>
      <c r="H1118">
        <v>10</v>
      </c>
      <c r="I1118">
        <v>7</v>
      </c>
      <c r="J1118">
        <v>41.78</v>
      </c>
      <c r="K1118">
        <v>189.63</v>
      </c>
      <c r="L1118">
        <v>0.02</v>
      </c>
      <c r="M1118">
        <v>45.69</v>
      </c>
      <c r="N1118">
        <v>1</v>
      </c>
      <c r="O1118" t="s">
        <v>20</v>
      </c>
      <c r="P1118" t="s">
        <v>21</v>
      </c>
      <c r="Q1118">
        <f t="shared" si="85"/>
        <v>14</v>
      </c>
      <c r="R1118" s="4">
        <f>RANK(N1118,$N$2:N$2800,0)</f>
        <v>1</v>
      </c>
      <c r="S1118">
        <f t="shared" si="86"/>
        <v>1.5714285714285714</v>
      </c>
      <c r="T1118" t="str">
        <f t="shared" si="87"/>
        <v>Low</v>
      </c>
      <c r="U1118" t="str" cm="1">
        <f t="array" ref="U1118">_xlfn.LET(_xlpm.roles,_xlfn.UNIQUE(D1118:D3916),_xlpm.kills, SUMIF(D1118:D3916,_xlpm.roles,G1118:G3916),INDEX(_xlpm.roles,MATCH(MAX(_xlpm.kills),_xlpm.kills,0)))</f>
        <v>Entry Fragger</v>
      </c>
      <c r="V1118" t="str">
        <f t="shared" si="88"/>
        <v>Medium Accuracy</v>
      </c>
      <c r="W1118" t="str" cm="1">
        <f t="array" ref="W1118">_xlfn.LET(_xlpm.roles,_xlfn.UNIQUE(D1118:D3916), _xlpm.counts,COUNTIF(D1118:D3916,_xlpm.roles), INDEX(_xlpm.roles,MATCH(MAX(_xlpm.counts),_xlpm.counts,0)))</f>
        <v>Entry Fragger</v>
      </c>
      <c r="X1118" s="2">
        <f t="shared" si="89"/>
        <v>12.809421841541756</v>
      </c>
    </row>
    <row r="1119" spans="1:24" x14ac:dyDescent="0.3">
      <c r="A1119">
        <v>2317</v>
      </c>
      <c r="B1119">
        <v>199</v>
      </c>
      <c r="C1119" t="s">
        <v>39</v>
      </c>
      <c r="D1119" t="s">
        <v>17</v>
      </c>
      <c r="E1119" t="s">
        <v>33</v>
      </c>
      <c r="F1119" t="s">
        <v>34</v>
      </c>
      <c r="G1119">
        <v>12</v>
      </c>
      <c r="H1119">
        <v>8</v>
      </c>
      <c r="I1119">
        <v>11</v>
      </c>
      <c r="J1119">
        <v>65.91</v>
      </c>
      <c r="K1119">
        <v>253.21</v>
      </c>
      <c r="L1119">
        <v>0.55000000000000004</v>
      </c>
      <c r="M1119">
        <v>48.45</v>
      </c>
      <c r="N1119">
        <v>1</v>
      </c>
      <c r="O1119" t="s">
        <v>20</v>
      </c>
      <c r="P1119" t="s">
        <v>21</v>
      </c>
      <c r="Q1119">
        <f t="shared" si="85"/>
        <v>9</v>
      </c>
      <c r="R1119" s="4">
        <f>RANK(N1119,$N$2:N$2800,0)</f>
        <v>1</v>
      </c>
      <c r="S1119">
        <f t="shared" si="86"/>
        <v>1.0909090909090908</v>
      </c>
      <c r="T1119" t="str">
        <f t="shared" si="87"/>
        <v>Low</v>
      </c>
      <c r="U1119" t="str" cm="1">
        <f t="array" ref="U1119">_xlfn.LET(_xlpm.roles,_xlfn.UNIQUE(D1119:D3917),_xlpm.kills, SUMIF(D1119:D3917,_xlpm.roles,G1119:G3917),INDEX(_xlpm.roles,MATCH(MAX(_xlpm.kills),_xlpm.kills,0)))</f>
        <v>Entry Fragger</v>
      </c>
      <c r="V1119" t="str">
        <f t="shared" si="88"/>
        <v>High Accuracy</v>
      </c>
      <c r="W1119" t="str" cm="1">
        <f t="array" ref="W1119">_xlfn.LET(_xlpm.roles,_xlfn.UNIQUE(D1119:D3917), _xlpm.counts,COUNTIF(D1119:D3917,_xlpm.roles), INDEX(_xlpm.roles,MATCH(MAX(_xlpm.counts),_xlpm.counts,0)))</f>
        <v>Entry Fragger</v>
      </c>
      <c r="X1119" s="2">
        <f t="shared" si="89"/>
        <v>13.103594080338267</v>
      </c>
    </row>
    <row r="1120" spans="1:24" x14ac:dyDescent="0.3">
      <c r="A1120">
        <v>538</v>
      </c>
      <c r="B1120">
        <v>200</v>
      </c>
      <c r="C1120" t="s">
        <v>35</v>
      </c>
      <c r="D1120" t="s">
        <v>22</v>
      </c>
      <c r="E1120" t="s">
        <v>32</v>
      </c>
      <c r="F1120" t="s">
        <v>34</v>
      </c>
      <c r="G1120">
        <v>18</v>
      </c>
      <c r="H1120">
        <v>9</v>
      </c>
      <c r="I1120">
        <v>12</v>
      </c>
      <c r="J1120">
        <v>58.1</v>
      </c>
      <c r="K1120">
        <v>222.57</v>
      </c>
      <c r="L1120">
        <v>0.32</v>
      </c>
      <c r="M1120">
        <v>58.85</v>
      </c>
      <c r="N1120">
        <v>0.92</v>
      </c>
      <c r="O1120" t="s">
        <v>20</v>
      </c>
      <c r="P1120" t="s">
        <v>21</v>
      </c>
      <c r="Q1120">
        <f t="shared" si="85"/>
        <v>15</v>
      </c>
      <c r="R1120" s="4">
        <f>RANK(N1120,$N$2:N$2800,0)</f>
        <v>1585</v>
      </c>
      <c r="S1120">
        <f t="shared" si="86"/>
        <v>1.5</v>
      </c>
      <c r="T1120" t="str">
        <f t="shared" si="87"/>
        <v>Good</v>
      </c>
      <c r="U1120" t="str" cm="1">
        <f t="array" ref="U1120">_xlfn.LET(_xlpm.roles,_xlfn.UNIQUE(D1120:D3918),_xlpm.kills, SUMIF(D1120:D3918,_xlpm.roles,G1120:G3918),INDEX(_xlpm.roles,MATCH(MAX(_xlpm.kills),_xlpm.kills,0)))</f>
        <v>Entry Fragger</v>
      </c>
      <c r="V1120" t="str">
        <f t="shared" si="88"/>
        <v>High Accuracy</v>
      </c>
      <c r="W1120" t="str" cm="1">
        <f t="array" ref="W1120">_xlfn.LET(_xlpm.roles,_xlfn.UNIQUE(D1120:D3918), _xlpm.counts,COUNTIF(D1120:D3918,_xlpm.roles), INDEX(_xlpm.roles,MATCH(MAX(_xlpm.counts),_xlpm.counts,0)))</f>
        <v>Entry Fragger</v>
      </c>
      <c r="X1120" s="2">
        <f t="shared" si="89"/>
        <v>12.599585062240664</v>
      </c>
    </row>
    <row r="1121" spans="1:24" x14ac:dyDescent="0.3">
      <c r="A1121">
        <v>1288</v>
      </c>
      <c r="B1121">
        <v>200</v>
      </c>
      <c r="C1121" t="s">
        <v>25</v>
      </c>
      <c r="D1121" t="s">
        <v>36</v>
      </c>
      <c r="E1121" t="s">
        <v>18</v>
      </c>
      <c r="F1121" t="s">
        <v>34</v>
      </c>
      <c r="G1121">
        <v>17</v>
      </c>
      <c r="H1121">
        <v>11</v>
      </c>
      <c r="I1121">
        <v>9</v>
      </c>
      <c r="J1121">
        <v>49.9</v>
      </c>
      <c r="K1121">
        <v>197.21</v>
      </c>
      <c r="L1121">
        <v>0.36</v>
      </c>
      <c r="M1121">
        <v>57.35</v>
      </c>
      <c r="N1121">
        <v>0.99</v>
      </c>
      <c r="O1121" t="s">
        <v>20</v>
      </c>
      <c r="P1121" t="s">
        <v>21</v>
      </c>
      <c r="Q1121">
        <f t="shared" si="85"/>
        <v>19</v>
      </c>
      <c r="R1121" s="4">
        <f>RANK(N1121,$N$2:N$2800,0)</f>
        <v>1080</v>
      </c>
      <c r="S1121">
        <f t="shared" si="86"/>
        <v>1.8888888888888888</v>
      </c>
      <c r="T1121" t="str">
        <f t="shared" si="87"/>
        <v>Good</v>
      </c>
      <c r="U1121" t="str" cm="1">
        <f t="array" ref="U1121">_xlfn.LET(_xlpm.roles,_xlfn.UNIQUE(D1121:D3919),_xlpm.kills, SUMIF(D1121:D3919,_xlpm.roles,G1121:G3919),INDEX(_xlpm.roles,MATCH(MAX(_xlpm.kills),_xlpm.kills,0)))</f>
        <v>Entry Fragger</v>
      </c>
      <c r="V1121" t="str">
        <f t="shared" si="88"/>
        <v>Medium Accuracy</v>
      </c>
      <c r="W1121" t="str" cm="1">
        <f t="array" ref="W1121">_xlfn.LET(_xlpm.roles,_xlfn.UNIQUE(D1121:D3919), _xlpm.counts,COUNTIF(D1121:D3919,_xlpm.roles), INDEX(_xlpm.roles,MATCH(MAX(_xlpm.counts),_xlpm.counts,0)))</f>
        <v>Entry Fragger</v>
      </c>
      <c r="X1121" s="2">
        <f t="shared" si="89"/>
        <v>12.809421841541756</v>
      </c>
    </row>
    <row r="1122" spans="1:24" x14ac:dyDescent="0.3">
      <c r="A1122">
        <v>1664</v>
      </c>
      <c r="B1122">
        <v>200</v>
      </c>
      <c r="C1122" t="s">
        <v>16</v>
      </c>
      <c r="D1122" t="s">
        <v>28</v>
      </c>
      <c r="E1122" t="s">
        <v>33</v>
      </c>
      <c r="F1122" t="s">
        <v>34</v>
      </c>
      <c r="G1122">
        <v>15</v>
      </c>
      <c r="H1122">
        <v>6</v>
      </c>
      <c r="I1122">
        <v>14</v>
      </c>
      <c r="J1122">
        <v>42.04</v>
      </c>
      <c r="K1122">
        <v>233.07</v>
      </c>
      <c r="L1122">
        <v>0.2</v>
      </c>
      <c r="M1122">
        <v>41.02</v>
      </c>
      <c r="N1122">
        <v>0.83</v>
      </c>
      <c r="O1122" t="s">
        <v>20</v>
      </c>
      <c r="P1122" t="s">
        <v>21</v>
      </c>
      <c r="Q1122">
        <f t="shared" si="85"/>
        <v>7</v>
      </c>
      <c r="R1122" s="4">
        <f>RANK(N1122,$N$2:N$2800,0)</f>
        <v>2218</v>
      </c>
      <c r="S1122">
        <f t="shared" si="86"/>
        <v>1.0714285714285714</v>
      </c>
      <c r="T1122" t="str">
        <f t="shared" si="87"/>
        <v>Low</v>
      </c>
      <c r="U1122" t="str" cm="1">
        <f t="array" ref="U1122">_xlfn.LET(_xlpm.roles,_xlfn.UNIQUE(D1122:D3920),_xlpm.kills, SUMIF(D1122:D3920,_xlpm.roles,G1122:G3920),INDEX(_xlpm.roles,MATCH(MAX(_xlpm.kills),_xlpm.kills,0)))</f>
        <v>Entry Fragger</v>
      </c>
      <c r="V1122" t="str">
        <f t="shared" si="88"/>
        <v>Medium Accuracy</v>
      </c>
      <c r="W1122" t="str" cm="1">
        <f t="array" ref="W1122">_xlfn.LET(_xlpm.roles,_xlfn.UNIQUE(D1122:D3920), _xlpm.counts,COUNTIF(D1122:D3920,_xlpm.roles), INDEX(_xlpm.roles,MATCH(MAX(_xlpm.counts),_xlpm.counts,0)))</f>
        <v>Entry Fragger</v>
      </c>
      <c r="X1122" s="2">
        <f t="shared" si="89"/>
        <v>12.520971302428256</v>
      </c>
    </row>
    <row r="1123" spans="1:24" x14ac:dyDescent="0.3">
      <c r="A1123">
        <v>1943</v>
      </c>
      <c r="B1123">
        <v>200</v>
      </c>
      <c r="C1123" t="s">
        <v>39</v>
      </c>
      <c r="D1123" t="s">
        <v>31</v>
      </c>
      <c r="E1123" t="s">
        <v>32</v>
      </c>
      <c r="F1123" t="s">
        <v>19</v>
      </c>
      <c r="G1123">
        <v>15</v>
      </c>
      <c r="H1123">
        <v>6</v>
      </c>
      <c r="I1123">
        <v>9</v>
      </c>
      <c r="J1123">
        <v>39.25</v>
      </c>
      <c r="K1123">
        <v>251.65</v>
      </c>
      <c r="L1123">
        <v>0.11</v>
      </c>
      <c r="M1123">
        <v>45.52</v>
      </c>
      <c r="N1123">
        <v>1</v>
      </c>
      <c r="O1123" t="s">
        <v>20</v>
      </c>
      <c r="P1123" t="s">
        <v>21</v>
      </c>
      <c r="Q1123">
        <f t="shared" si="85"/>
        <v>12</v>
      </c>
      <c r="R1123" s="4">
        <f>RANK(N1123,$N$2:N$2800,0)</f>
        <v>1</v>
      </c>
      <c r="S1123">
        <f t="shared" si="86"/>
        <v>1.6666666666666667</v>
      </c>
      <c r="T1123" t="str">
        <f t="shared" si="87"/>
        <v>Low</v>
      </c>
      <c r="U1123" t="str" cm="1">
        <f t="array" ref="U1123">_xlfn.LET(_xlpm.roles,_xlfn.UNIQUE(D1123:D3921),_xlpm.kills, SUMIF(D1123:D3921,_xlpm.roles,G1123:G3921),INDEX(_xlpm.roles,MATCH(MAX(_xlpm.kills),_xlpm.kills,0)))</f>
        <v>Entry Fragger</v>
      </c>
      <c r="V1123" t="str">
        <f t="shared" si="88"/>
        <v>Medium Accuracy</v>
      </c>
      <c r="W1123" t="str" cm="1">
        <f t="array" ref="W1123">_xlfn.LET(_xlpm.roles,_xlfn.UNIQUE(D1123:D3921), _xlpm.counts,COUNTIF(D1123:D3921,_xlpm.roles), INDEX(_xlpm.roles,MATCH(MAX(_xlpm.counts),_xlpm.counts,0)))</f>
        <v>Entry Fragger</v>
      </c>
      <c r="X1123" s="2">
        <f t="shared" si="89"/>
        <v>13.103594080338267</v>
      </c>
    </row>
    <row r="1124" spans="1:24" x14ac:dyDescent="0.3">
      <c r="A1124">
        <v>1202</v>
      </c>
      <c r="B1124">
        <v>201</v>
      </c>
      <c r="C1124" t="s">
        <v>25</v>
      </c>
      <c r="D1124" t="s">
        <v>17</v>
      </c>
      <c r="E1124" t="s">
        <v>18</v>
      </c>
      <c r="F1124" t="s">
        <v>34</v>
      </c>
      <c r="G1124">
        <v>14</v>
      </c>
      <c r="H1124">
        <v>7</v>
      </c>
      <c r="I1124">
        <v>9</v>
      </c>
      <c r="J1124">
        <v>37.01</v>
      </c>
      <c r="K1124">
        <v>255.74</v>
      </c>
      <c r="L1124">
        <v>0.73</v>
      </c>
      <c r="M1124">
        <v>37.200000000000003</v>
      </c>
      <c r="N1124">
        <v>0.98</v>
      </c>
      <c r="O1124" t="s">
        <v>20</v>
      </c>
      <c r="P1124" t="s">
        <v>21</v>
      </c>
      <c r="Q1124">
        <f t="shared" si="85"/>
        <v>12</v>
      </c>
      <c r="R1124" s="4">
        <f>RANK(N1124,$N$2:N$2800,0)</f>
        <v>1157</v>
      </c>
      <c r="S1124">
        <f t="shared" si="86"/>
        <v>1.5555555555555556</v>
      </c>
      <c r="T1124" t="str">
        <f t="shared" si="87"/>
        <v>Low</v>
      </c>
      <c r="U1124" t="str" cm="1">
        <f t="array" ref="U1124">_xlfn.LET(_xlpm.roles,_xlfn.UNIQUE(D1124:D3922),_xlpm.kills, SUMIF(D1124:D3922,_xlpm.roles,G1124:G3922),INDEX(_xlpm.roles,MATCH(MAX(_xlpm.kills),_xlpm.kills,0)))</f>
        <v>Entry Fragger</v>
      </c>
      <c r="V1124" t="str">
        <f t="shared" si="88"/>
        <v>Medium Accuracy</v>
      </c>
      <c r="W1124" t="str" cm="1">
        <f t="array" ref="W1124">_xlfn.LET(_xlpm.roles,_xlfn.UNIQUE(D1124:D3922), _xlpm.counts,COUNTIF(D1124:D3922,_xlpm.roles), INDEX(_xlpm.roles,MATCH(MAX(_xlpm.counts),_xlpm.counts,0)))</f>
        <v>Entry Fragger</v>
      </c>
      <c r="X1124" s="2">
        <f t="shared" si="89"/>
        <v>12.809421841541756</v>
      </c>
    </row>
    <row r="1125" spans="1:24" x14ac:dyDescent="0.3">
      <c r="A1125">
        <v>1330</v>
      </c>
      <c r="B1125">
        <v>201</v>
      </c>
      <c r="C1125" t="s">
        <v>16</v>
      </c>
      <c r="D1125" t="s">
        <v>36</v>
      </c>
      <c r="E1125" t="s">
        <v>18</v>
      </c>
      <c r="F1125" t="s">
        <v>34</v>
      </c>
      <c r="G1125">
        <v>13</v>
      </c>
      <c r="H1125">
        <v>6</v>
      </c>
      <c r="I1125">
        <v>7</v>
      </c>
      <c r="J1125">
        <v>44.72</v>
      </c>
      <c r="K1125">
        <v>197.33</v>
      </c>
      <c r="L1125">
        <v>0.41</v>
      </c>
      <c r="M1125">
        <v>43.26</v>
      </c>
      <c r="N1125">
        <v>1</v>
      </c>
      <c r="O1125" t="s">
        <v>20</v>
      </c>
      <c r="P1125" t="s">
        <v>21</v>
      </c>
      <c r="Q1125">
        <f t="shared" si="85"/>
        <v>12</v>
      </c>
      <c r="R1125" s="4">
        <f>RANK(N1125,$N$2:N$2800,0)</f>
        <v>1</v>
      </c>
      <c r="S1125">
        <f t="shared" si="86"/>
        <v>1.8571428571428572</v>
      </c>
      <c r="T1125" t="str">
        <f t="shared" si="87"/>
        <v>Low</v>
      </c>
      <c r="U1125" t="str" cm="1">
        <f t="array" ref="U1125">_xlfn.LET(_xlpm.roles,_xlfn.UNIQUE(D1125:D3923),_xlpm.kills, SUMIF(D1125:D3923,_xlpm.roles,G1125:G3923),INDEX(_xlpm.roles,MATCH(MAX(_xlpm.kills),_xlpm.kills,0)))</f>
        <v>Entry Fragger</v>
      </c>
      <c r="V1125" t="str">
        <f t="shared" si="88"/>
        <v>Medium Accuracy</v>
      </c>
      <c r="W1125" t="str" cm="1">
        <f t="array" ref="W1125">_xlfn.LET(_xlpm.roles,_xlfn.UNIQUE(D1125:D3923), _xlpm.counts,COUNTIF(D1125:D3923,_xlpm.roles), INDEX(_xlpm.roles,MATCH(MAX(_xlpm.counts),_xlpm.counts,0)))</f>
        <v>Entry Fragger</v>
      </c>
      <c r="X1125" s="2">
        <f t="shared" si="89"/>
        <v>12.520971302428256</v>
      </c>
    </row>
    <row r="1126" spans="1:24" x14ac:dyDescent="0.3">
      <c r="A1126">
        <v>1442</v>
      </c>
      <c r="B1126">
        <v>201</v>
      </c>
      <c r="C1126" t="s">
        <v>25</v>
      </c>
      <c r="D1126" t="s">
        <v>31</v>
      </c>
      <c r="E1126" t="s">
        <v>33</v>
      </c>
      <c r="F1126" t="s">
        <v>34</v>
      </c>
      <c r="G1126">
        <v>15</v>
      </c>
      <c r="H1126">
        <v>7</v>
      </c>
      <c r="I1126">
        <v>12</v>
      </c>
      <c r="J1126">
        <v>40.659999999999997</v>
      </c>
      <c r="K1126">
        <v>230.71</v>
      </c>
      <c r="L1126">
        <v>0.01</v>
      </c>
      <c r="M1126">
        <v>45.23</v>
      </c>
      <c r="N1126">
        <v>0.82</v>
      </c>
      <c r="O1126" t="s">
        <v>20</v>
      </c>
      <c r="P1126" t="s">
        <v>21</v>
      </c>
      <c r="Q1126">
        <f t="shared" si="85"/>
        <v>10</v>
      </c>
      <c r="R1126" s="4">
        <f>RANK(N1126,$N$2:N$2800,0)</f>
        <v>2275</v>
      </c>
      <c r="S1126">
        <f t="shared" si="86"/>
        <v>1.25</v>
      </c>
      <c r="T1126" t="str">
        <f t="shared" si="87"/>
        <v>Low</v>
      </c>
      <c r="U1126" t="str" cm="1">
        <f t="array" ref="U1126">_xlfn.LET(_xlpm.roles,_xlfn.UNIQUE(D1126:D3924),_xlpm.kills, SUMIF(D1126:D3924,_xlpm.roles,G1126:G3924),INDEX(_xlpm.roles,MATCH(MAX(_xlpm.kills),_xlpm.kills,0)))</f>
        <v>Entry Fragger</v>
      </c>
      <c r="V1126" t="str">
        <f t="shared" si="88"/>
        <v>Medium Accuracy</v>
      </c>
      <c r="W1126" t="str" cm="1">
        <f t="array" ref="W1126">_xlfn.LET(_xlpm.roles,_xlfn.UNIQUE(D1126:D3924), _xlpm.counts,COUNTIF(D1126:D3924,_xlpm.roles), INDEX(_xlpm.roles,MATCH(MAX(_xlpm.counts),_xlpm.counts,0)))</f>
        <v>Entry Fragger</v>
      </c>
      <c r="X1126" s="2">
        <f t="shared" si="89"/>
        <v>12.809421841541756</v>
      </c>
    </row>
    <row r="1127" spans="1:24" x14ac:dyDescent="0.3">
      <c r="A1127">
        <v>1722</v>
      </c>
      <c r="B1127">
        <v>201</v>
      </c>
      <c r="C1127" t="s">
        <v>25</v>
      </c>
      <c r="D1127" t="s">
        <v>31</v>
      </c>
      <c r="E1127" t="s">
        <v>32</v>
      </c>
      <c r="F1127" t="s">
        <v>26</v>
      </c>
      <c r="G1127">
        <v>14</v>
      </c>
      <c r="H1127">
        <v>8</v>
      </c>
      <c r="I1127">
        <v>11</v>
      </c>
      <c r="J1127">
        <v>43.12</v>
      </c>
      <c r="K1127">
        <v>226.33</v>
      </c>
      <c r="L1127">
        <v>0.1</v>
      </c>
      <c r="M1127">
        <v>45.56</v>
      </c>
      <c r="N1127">
        <v>0.89</v>
      </c>
      <c r="O1127" t="s">
        <v>20</v>
      </c>
      <c r="P1127" t="s">
        <v>21</v>
      </c>
      <c r="Q1127">
        <f t="shared" si="85"/>
        <v>11</v>
      </c>
      <c r="R1127" s="4">
        <f>RANK(N1127,$N$2:N$2800,0)</f>
        <v>1815</v>
      </c>
      <c r="S1127">
        <f t="shared" si="86"/>
        <v>1.2727272727272727</v>
      </c>
      <c r="T1127" t="str">
        <f t="shared" si="87"/>
        <v>Low</v>
      </c>
      <c r="U1127" t="str" cm="1">
        <f t="array" ref="U1127">_xlfn.LET(_xlpm.roles,_xlfn.UNIQUE(D1127:D3925),_xlpm.kills, SUMIF(D1127:D3925,_xlpm.roles,G1127:G3925),INDEX(_xlpm.roles,MATCH(MAX(_xlpm.kills),_xlpm.kills,0)))</f>
        <v>Entry Fragger</v>
      </c>
      <c r="V1127" t="str">
        <f t="shared" si="88"/>
        <v>Medium Accuracy</v>
      </c>
      <c r="W1127" t="str" cm="1">
        <f t="array" ref="W1127">_xlfn.LET(_xlpm.roles,_xlfn.UNIQUE(D1127:D3925), _xlpm.counts,COUNTIF(D1127:D3925,_xlpm.roles), INDEX(_xlpm.roles,MATCH(MAX(_xlpm.counts),_xlpm.counts,0)))</f>
        <v>Entry Fragger</v>
      </c>
      <c r="X1127" s="2">
        <f t="shared" si="89"/>
        <v>12.809421841541756</v>
      </c>
    </row>
    <row r="1128" spans="1:24" x14ac:dyDescent="0.3">
      <c r="A1128">
        <v>2224</v>
      </c>
      <c r="B1128">
        <v>201</v>
      </c>
      <c r="C1128" t="s">
        <v>30</v>
      </c>
      <c r="D1128" t="s">
        <v>36</v>
      </c>
      <c r="E1128" t="s">
        <v>32</v>
      </c>
      <c r="F1128" t="s">
        <v>24</v>
      </c>
      <c r="G1128">
        <v>9</v>
      </c>
      <c r="H1128">
        <v>11</v>
      </c>
      <c r="I1128">
        <v>9</v>
      </c>
      <c r="J1128">
        <v>45.44</v>
      </c>
      <c r="K1128">
        <v>182.2</v>
      </c>
      <c r="L1128">
        <v>0.98</v>
      </c>
      <c r="M1128">
        <v>32.92</v>
      </c>
      <c r="N1128">
        <v>0.8</v>
      </c>
      <c r="O1128" t="s">
        <v>20</v>
      </c>
      <c r="P1128" t="s">
        <v>21</v>
      </c>
      <c r="Q1128">
        <f t="shared" si="85"/>
        <v>11</v>
      </c>
      <c r="R1128" s="4">
        <f>RANK(N1128,$N$2:N$2800,0)</f>
        <v>2393</v>
      </c>
      <c r="S1128">
        <f t="shared" si="86"/>
        <v>1</v>
      </c>
      <c r="T1128" t="str">
        <f t="shared" si="87"/>
        <v>Low</v>
      </c>
      <c r="U1128" t="str" cm="1">
        <f t="array" ref="U1128">_xlfn.LET(_xlpm.roles,_xlfn.UNIQUE(D1128:D3926),_xlpm.kills, SUMIF(D1128:D3926,_xlpm.roles,G1128:G3926),INDEX(_xlpm.roles,MATCH(MAX(_xlpm.kills),_xlpm.kills,0)))</f>
        <v>Entry Fragger</v>
      </c>
      <c r="V1128" t="str">
        <f t="shared" si="88"/>
        <v>Medium Accuracy</v>
      </c>
      <c r="W1128" t="str" cm="1">
        <f t="array" ref="W1128">_xlfn.LET(_xlpm.roles,_xlfn.UNIQUE(D1128:D3926), _xlpm.counts,COUNTIF(D1128:D3926,_xlpm.roles), INDEX(_xlpm.roles,MATCH(MAX(_xlpm.counts),_xlpm.counts,0)))</f>
        <v>Entry Fragger</v>
      </c>
      <c r="X1128" s="2">
        <f t="shared" si="89"/>
        <v>13.135802469135802</v>
      </c>
    </row>
    <row r="1129" spans="1:24" x14ac:dyDescent="0.3">
      <c r="A1129">
        <v>2316</v>
      </c>
      <c r="B1129">
        <v>201</v>
      </c>
      <c r="C1129" t="s">
        <v>35</v>
      </c>
      <c r="D1129" t="s">
        <v>36</v>
      </c>
      <c r="E1129" t="s">
        <v>18</v>
      </c>
      <c r="F1129" t="s">
        <v>26</v>
      </c>
      <c r="G1129">
        <v>14</v>
      </c>
      <c r="H1129">
        <v>6</v>
      </c>
      <c r="I1129">
        <v>14</v>
      </c>
      <c r="J1129">
        <v>50.39</v>
      </c>
      <c r="K1129">
        <v>221.92</v>
      </c>
      <c r="L1129">
        <v>0.53</v>
      </c>
      <c r="M1129">
        <v>39.89</v>
      </c>
      <c r="N1129">
        <v>1</v>
      </c>
      <c r="O1129" t="s">
        <v>20</v>
      </c>
      <c r="P1129" t="s">
        <v>21</v>
      </c>
      <c r="Q1129">
        <f t="shared" si="85"/>
        <v>6</v>
      </c>
      <c r="R1129" s="4">
        <f>RANK(N1129,$N$2:N$2800,0)</f>
        <v>1</v>
      </c>
      <c r="S1129">
        <f t="shared" si="86"/>
        <v>1</v>
      </c>
      <c r="T1129" t="str">
        <f t="shared" si="87"/>
        <v>Low</v>
      </c>
      <c r="U1129" t="str" cm="1">
        <f t="array" ref="U1129">_xlfn.LET(_xlpm.roles,_xlfn.UNIQUE(D1129:D3927),_xlpm.kills, SUMIF(D1129:D3927,_xlpm.roles,G1129:G3927),INDEX(_xlpm.roles,MATCH(MAX(_xlpm.kills),_xlpm.kills,0)))</f>
        <v>Entry Fragger</v>
      </c>
      <c r="V1129" t="str">
        <f t="shared" si="88"/>
        <v>High Accuracy</v>
      </c>
      <c r="W1129" t="str" cm="1">
        <f t="array" ref="W1129">_xlfn.LET(_xlpm.roles,_xlfn.UNIQUE(D1129:D3927), _xlpm.counts,COUNTIF(D1129:D3927,_xlpm.roles), INDEX(_xlpm.roles,MATCH(MAX(_xlpm.counts),_xlpm.counts,0)))</f>
        <v>Entry Fragger</v>
      </c>
      <c r="X1129" s="2">
        <f t="shared" si="89"/>
        <v>12.599585062240664</v>
      </c>
    </row>
    <row r="1130" spans="1:24" x14ac:dyDescent="0.3">
      <c r="A1130">
        <v>1162</v>
      </c>
      <c r="B1130">
        <v>202</v>
      </c>
      <c r="C1130" t="s">
        <v>35</v>
      </c>
      <c r="D1130" t="s">
        <v>17</v>
      </c>
      <c r="E1130" t="s">
        <v>33</v>
      </c>
      <c r="F1130" t="s">
        <v>24</v>
      </c>
      <c r="G1130">
        <v>14</v>
      </c>
      <c r="H1130">
        <v>10</v>
      </c>
      <c r="I1130">
        <v>14</v>
      </c>
      <c r="J1130">
        <v>43.27</v>
      </c>
      <c r="K1130">
        <v>194.16</v>
      </c>
      <c r="L1130">
        <v>0.45</v>
      </c>
      <c r="M1130">
        <v>41.14</v>
      </c>
      <c r="N1130">
        <v>0.74</v>
      </c>
      <c r="O1130" t="s">
        <v>20</v>
      </c>
      <c r="P1130" t="s">
        <v>21</v>
      </c>
      <c r="Q1130">
        <f t="shared" si="85"/>
        <v>10</v>
      </c>
      <c r="R1130" s="4">
        <f>RANK(N1130,$N$2:N$2800,0)</f>
        <v>2613</v>
      </c>
      <c r="S1130">
        <f t="shared" si="86"/>
        <v>1</v>
      </c>
      <c r="T1130" t="str">
        <f t="shared" si="87"/>
        <v>Low</v>
      </c>
      <c r="U1130" t="str" cm="1">
        <f t="array" ref="U1130">_xlfn.LET(_xlpm.roles,_xlfn.UNIQUE(D1130:D3928),_xlpm.kills, SUMIF(D1130:D3928,_xlpm.roles,G1130:G3928),INDEX(_xlpm.roles,MATCH(MAX(_xlpm.kills),_xlpm.kills,0)))</f>
        <v>Entry Fragger</v>
      </c>
      <c r="V1130" t="str">
        <f t="shared" si="88"/>
        <v>Medium Accuracy</v>
      </c>
      <c r="W1130" t="str" cm="1">
        <f t="array" ref="W1130">_xlfn.LET(_xlpm.roles,_xlfn.UNIQUE(D1130:D3928), _xlpm.counts,COUNTIF(D1130:D3928,_xlpm.roles), INDEX(_xlpm.roles,MATCH(MAX(_xlpm.counts),_xlpm.counts,0)))</f>
        <v>Entry Fragger</v>
      </c>
      <c r="X1130" s="2">
        <f t="shared" si="89"/>
        <v>12.599585062240664</v>
      </c>
    </row>
    <row r="1131" spans="1:24" x14ac:dyDescent="0.3">
      <c r="A1131">
        <v>2073</v>
      </c>
      <c r="B1131">
        <v>202</v>
      </c>
      <c r="C1131" t="s">
        <v>16</v>
      </c>
      <c r="D1131" t="s">
        <v>28</v>
      </c>
      <c r="E1131" t="s">
        <v>32</v>
      </c>
      <c r="F1131" t="s">
        <v>19</v>
      </c>
      <c r="G1131">
        <v>12</v>
      </c>
      <c r="H1131">
        <v>12</v>
      </c>
      <c r="I1131">
        <v>6</v>
      </c>
      <c r="J1131">
        <v>42.72</v>
      </c>
      <c r="K1131">
        <v>221.94</v>
      </c>
      <c r="L1131">
        <v>0.87</v>
      </c>
      <c r="M1131">
        <v>42.66</v>
      </c>
      <c r="N1131">
        <v>0.77</v>
      </c>
      <c r="O1131" t="s">
        <v>20</v>
      </c>
      <c r="P1131" t="s">
        <v>21</v>
      </c>
      <c r="Q1131">
        <f t="shared" si="85"/>
        <v>18</v>
      </c>
      <c r="R1131" s="4">
        <f>RANK(N1131,$N$2:N$2800,0)</f>
        <v>2511</v>
      </c>
      <c r="S1131">
        <f t="shared" si="86"/>
        <v>2</v>
      </c>
      <c r="T1131" t="str">
        <f t="shared" si="87"/>
        <v>Good</v>
      </c>
      <c r="U1131" t="str" cm="1">
        <f t="array" ref="U1131">_xlfn.LET(_xlpm.roles,_xlfn.UNIQUE(D1131:D3929),_xlpm.kills, SUMIF(D1131:D3929,_xlpm.roles,G1131:G3929),INDEX(_xlpm.roles,MATCH(MAX(_xlpm.kills),_xlpm.kills,0)))</f>
        <v>Entry Fragger</v>
      </c>
      <c r="V1131" t="str">
        <f t="shared" si="88"/>
        <v>Medium Accuracy</v>
      </c>
      <c r="W1131" t="str" cm="1">
        <f t="array" ref="W1131">_xlfn.LET(_xlpm.roles,_xlfn.UNIQUE(D1131:D3929), _xlpm.counts,COUNTIF(D1131:D3929,_xlpm.roles), INDEX(_xlpm.roles,MATCH(MAX(_xlpm.counts),_xlpm.counts,0)))</f>
        <v>Entry Fragger</v>
      </c>
      <c r="X1131" s="2">
        <f t="shared" si="89"/>
        <v>12.520971302428256</v>
      </c>
    </row>
    <row r="1132" spans="1:24" x14ac:dyDescent="0.3">
      <c r="A1132">
        <v>2475</v>
      </c>
      <c r="B1132">
        <v>202</v>
      </c>
      <c r="C1132" t="s">
        <v>25</v>
      </c>
      <c r="D1132" t="s">
        <v>31</v>
      </c>
      <c r="E1132" t="s">
        <v>33</v>
      </c>
      <c r="F1132" t="s">
        <v>37</v>
      </c>
      <c r="G1132">
        <v>13</v>
      </c>
      <c r="H1132">
        <v>9</v>
      </c>
      <c r="I1132">
        <v>9</v>
      </c>
      <c r="J1132">
        <v>48.41</v>
      </c>
      <c r="K1132">
        <v>212.67</v>
      </c>
      <c r="L1132">
        <v>0.39</v>
      </c>
      <c r="M1132">
        <v>46.3</v>
      </c>
      <c r="N1132">
        <v>0.89</v>
      </c>
      <c r="O1132" t="s">
        <v>20</v>
      </c>
      <c r="P1132" t="s">
        <v>21</v>
      </c>
      <c r="Q1132">
        <f t="shared" si="85"/>
        <v>13</v>
      </c>
      <c r="R1132" s="4">
        <f>RANK(N1132,$N$2:N$2800,0)</f>
        <v>1815</v>
      </c>
      <c r="S1132">
        <f t="shared" si="86"/>
        <v>1.4444444444444444</v>
      </c>
      <c r="T1132" t="str">
        <f t="shared" si="87"/>
        <v>Low</v>
      </c>
      <c r="U1132" t="str" cm="1">
        <f t="array" ref="U1132">_xlfn.LET(_xlpm.roles,_xlfn.UNIQUE(D1132:D3930),_xlpm.kills, SUMIF(D1132:D3930,_xlpm.roles,G1132:G3930),INDEX(_xlpm.roles,MATCH(MAX(_xlpm.kills),_xlpm.kills,0)))</f>
        <v>Entry Fragger</v>
      </c>
      <c r="V1132" t="str">
        <f t="shared" si="88"/>
        <v>Medium Accuracy</v>
      </c>
      <c r="W1132" t="str" cm="1">
        <f t="array" ref="W1132">_xlfn.LET(_xlpm.roles,_xlfn.UNIQUE(D1132:D3930), _xlpm.counts,COUNTIF(D1132:D3930,_xlpm.roles), INDEX(_xlpm.roles,MATCH(MAX(_xlpm.counts),_xlpm.counts,0)))</f>
        <v>Entry Fragger</v>
      </c>
      <c r="X1132" s="2">
        <f t="shared" si="89"/>
        <v>12.809421841541756</v>
      </c>
    </row>
    <row r="1133" spans="1:24" x14ac:dyDescent="0.3">
      <c r="A1133">
        <v>224</v>
      </c>
      <c r="B1133">
        <v>203</v>
      </c>
      <c r="C1133" t="s">
        <v>16</v>
      </c>
      <c r="D1133" t="s">
        <v>22</v>
      </c>
      <c r="E1133" t="s">
        <v>33</v>
      </c>
      <c r="F1133" t="s">
        <v>26</v>
      </c>
      <c r="G1133">
        <v>19</v>
      </c>
      <c r="H1133">
        <v>12</v>
      </c>
      <c r="I1133">
        <v>12</v>
      </c>
      <c r="J1133">
        <v>34.840000000000003</v>
      </c>
      <c r="K1133">
        <v>241.18</v>
      </c>
      <c r="L1133">
        <v>0.02</v>
      </c>
      <c r="M1133">
        <v>55.22</v>
      </c>
      <c r="N1133">
        <v>1</v>
      </c>
      <c r="O1133" t="s">
        <v>20</v>
      </c>
      <c r="P1133" t="s">
        <v>21</v>
      </c>
      <c r="Q1133">
        <f t="shared" si="85"/>
        <v>19</v>
      </c>
      <c r="R1133" s="4">
        <f>RANK(N1133,$N$2:N$2800,0)</f>
        <v>1</v>
      </c>
      <c r="S1133">
        <f t="shared" si="86"/>
        <v>1.5833333333333333</v>
      </c>
      <c r="T1133" t="str">
        <f t="shared" si="87"/>
        <v>Good</v>
      </c>
      <c r="U1133" t="str" cm="1">
        <f t="array" ref="U1133">_xlfn.LET(_xlpm.roles,_xlfn.UNIQUE(D1133:D3931),_xlpm.kills, SUMIF(D1133:D3931,_xlpm.roles,G1133:G3931),INDEX(_xlpm.roles,MATCH(MAX(_xlpm.kills),_xlpm.kills,0)))</f>
        <v>Entry Fragger</v>
      </c>
      <c r="V1133" t="str">
        <f t="shared" si="88"/>
        <v>Medium Accuracy</v>
      </c>
      <c r="W1133" t="str" cm="1">
        <f t="array" ref="W1133">_xlfn.LET(_xlpm.roles,_xlfn.UNIQUE(D1133:D3931), _xlpm.counts,COUNTIF(D1133:D3931,_xlpm.roles), INDEX(_xlpm.roles,MATCH(MAX(_xlpm.counts),_xlpm.counts,0)))</f>
        <v>Entry Fragger</v>
      </c>
      <c r="X1133" s="2">
        <f t="shared" si="89"/>
        <v>12.520971302428256</v>
      </c>
    </row>
    <row r="1134" spans="1:24" x14ac:dyDescent="0.3">
      <c r="A1134">
        <v>1106</v>
      </c>
      <c r="B1134">
        <v>203</v>
      </c>
      <c r="C1134" t="s">
        <v>25</v>
      </c>
      <c r="D1134" t="s">
        <v>31</v>
      </c>
      <c r="E1134" t="s">
        <v>33</v>
      </c>
      <c r="F1134" t="s">
        <v>26</v>
      </c>
      <c r="G1134">
        <v>14</v>
      </c>
      <c r="H1134">
        <v>6</v>
      </c>
      <c r="I1134">
        <v>2</v>
      </c>
      <c r="J1134">
        <v>29.8</v>
      </c>
      <c r="K1134">
        <v>184.09</v>
      </c>
      <c r="L1134">
        <v>0.83</v>
      </c>
      <c r="M1134">
        <v>38.6</v>
      </c>
      <c r="N1134">
        <v>1</v>
      </c>
      <c r="O1134" t="s">
        <v>20</v>
      </c>
      <c r="P1134" t="s">
        <v>21</v>
      </c>
      <c r="Q1134">
        <f t="shared" si="85"/>
        <v>18</v>
      </c>
      <c r="R1134" s="4">
        <f>RANK(N1134,$N$2:N$2800,0)</f>
        <v>1</v>
      </c>
      <c r="S1134">
        <f t="shared" si="86"/>
        <v>7</v>
      </c>
      <c r="T1134" t="str">
        <f t="shared" si="87"/>
        <v>Good</v>
      </c>
      <c r="U1134" t="str" cm="1">
        <f t="array" ref="U1134">_xlfn.LET(_xlpm.roles,_xlfn.UNIQUE(D1134:D3932),_xlpm.kills, SUMIF(D1134:D3932,_xlpm.roles,G1134:G3932),INDEX(_xlpm.roles,MATCH(MAX(_xlpm.kills),_xlpm.kills,0)))</f>
        <v>Entry Fragger</v>
      </c>
      <c r="V1134" t="str">
        <f t="shared" si="88"/>
        <v>Low Accuracy</v>
      </c>
      <c r="W1134" t="str" cm="1">
        <f t="array" ref="W1134">_xlfn.LET(_xlpm.roles,_xlfn.UNIQUE(D1134:D3932), _xlpm.counts,COUNTIF(D1134:D3932,_xlpm.roles), INDEX(_xlpm.roles,MATCH(MAX(_xlpm.counts),_xlpm.counts,0)))</f>
        <v>Entry Fragger</v>
      </c>
      <c r="X1134" s="2">
        <f t="shared" si="89"/>
        <v>12.809421841541756</v>
      </c>
    </row>
    <row r="1135" spans="1:24" x14ac:dyDescent="0.3">
      <c r="A1135">
        <v>1222</v>
      </c>
      <c r="B1135">
        <v>203</v>
      </c>
      <c r="C1135" t="s">
        <v>27</v>
      </c>
      <c r="D1135" t="s">
        <v>31</v>
      </c>
      <c r="E1135" t="s">
        <v>29</v>
      </c>
      <c r="F1135" t="s">
        <v>26</v>
      </c>
      <c r="G1135">
        <v>19</v>
      </c>
      <c r="H1135">
        <v>13</v>
      </c>
      <c r="I1135">
        <v>19</v>
      </c>
      <c r="J1135">
        <v>44.79</v>
      </c>
      <c r="K1135">
        <v>216.32</v>
      </c>
      <c r="L1135">
        <v>7.0000000000000007E-2</v>
      </c>
      <c r="M1135">
        <v>53.69</v>
      </c>
      <c r="N1135">
        <v>1</v>
      </c>
      <c r="O1135" t="s">
        <v>20</v>
      </c>
      <c r="P1135" t="s">
        <v>21</v>
      </c>
      <c r="Q1135">
        <f t="shared" si="85"/>
        <v>13</v>
      </c>
      <c r="R1135" s="4">
        <f>RANK(N1135,$N$2:N$2800,0)</f>
        <v>1</v>
      </c>
      <c r="S1135">
        <f t="shared" si="86"/>
        <v>1</v>
      </c>
      <c r="T1135" t="str">
        <f t="shared" si="87"/>
        <v>Low</v>
      </c>
      <c r="U1135" t="str" cm="1">
        <f t="array" ref="U1135">_xlfn.LET(_xlpm.roles,_xlfn.UNIQUE(D1135:D3933),_xlpm.kills, SUMIF(D1135:D3933,_xlpm.roles,G1135:G3933),INDEX(_xlpm.roles,MATCH(MAX(_xlpm.kills),_xlpm.kills,0)))</f>
        <v>Entry Fragger</v>
      </c>
      <c r="V1135" t="str">
        <f t="shared" si="88"/>
        <v>Medium Accuracy</v>
      </c>
      <c r="W1135" t="str" cm="1">
        <f t="array" ref="W1135">_xlfn.LET(_xlpm.roles,_xlfn.UNIQUE(D1135:D3933), _xlpm.counts,COUNTIF(D1135:D3933,_xlpm.roles), INDEX(_xlpm.roles,MATCH(MAX(_xlpm.counts),_xlpm.counts,0)))</f>
        <v>Entry Fragger</v>
      </c>
      <c r="X1135" s="2">
        <f t="shared" si="89"/>
        <v>13.057077625570777</v>
      </c>
    </row>
    <row r="1136" spans="1:24" x14ac:dyDescent="0.3">
      <c r="A1136">
        <v>2398</v>
      </c>
      <c r="B1136">
        <v>203</v>
      </c>
      <c r="C1136" t="s">
        <v>16</v>
      </c>
      <c r="D1136" t="s">
        <v>17</v>
      </c>
      <c r="E1136" t="s">
        <v>18</v>
      </c>
      <c r="F1136" t="s">
        <v>24</v>
      </c>
      <c r="G1136">
        <v>16</v>
      </c>
      <c r="H1136">
        <v>9</v>
      </c>
      <c r="I1136">
        <v>9</v>
      </c>
      <c r="J1136">
        <v>46.76</v>
      </c>
      <c r="K1136">
        <v>198.59</v>
      </c>
      <c r="L1136">
        <v>0.3</v>
      </c>
      <c r="M1136">
        <v>52.38</v>
      </c>
      <c r="N1136">
        <v>1</v>
      </c>
      <c r="O1136" t="s">
        <v>20</v>
      </c>
      <c r="P1136" t="s">
        <v>21</v>
      </c>
      <c r="Q1136">
        <f t="shared" si="85"/>
        <v>16</v>
      </c>
      <c r="R1136" s="4">
        <f>RANK(N1136,$N$2:N$2800,0)</f>
        <v>1</v>
      </c>
      <c r="S1136">
        <f t="shared" si="86"/>
        <v>1.7777777777777777</v>
      </c>
      <c r="T1136" t="str">
        <f t="shared" si="87"/>
        <v>Good</v>
      </c>
      <c r="U1136" t="str" cm="1">
        <f t="array" ref="U1136">_xlfn.LET(_xlpm.roles,_xlfn.UNIQUE(D1136:D3934),_xlpm.kills, SUMIF(D1136:D3934,_xlpm.roles,G1136:G3934),INDEX(_xlpm.roles,MATCH(MAX(_xlpm.kills),_xlpm.kills,0)))</f>
        <v>Entry Fragger</v>
      </c>
      <c r="V1136" t="str">
        <f t="shared" si="88"/>
        <v>Medium Accuracy</v>
      </c>
      <c r="W1136" t="str" cm="1">
        <f t="array" ref="W1136">_xlfn.LET(_xlpm.roles,_xlfn.UNIQUE(D1136:D3934), _xlpm.counts,COUNTIF(D1136:D3934,_xlpm.roles), INDEX(_xlpm.roles,MATCH(MAX(_xlpm.counts),_xlpm.counts,0)))</f>
        <v>Entry Fragger</v>
      </c>
      <c r="X1136" s="2">
        <f t="shared" si="89"/>
        <v>12.520971302428256</v>
      </c>
    </row>
    <row r="1137" spans="1:24" x14ac:dyDescent="0.3">
      <c r="A1137">
        <v>2743</v>
      </c>
      <c r="B1137">
        <v>203</v>
      </c>
      <c r="C1137" t="s">
        <v>25</v>
      </c>
      <c r="D1137" t="s">
        <v>17</v>
      </c>
      <c r="E1137" t="s">
        <v>33</v>
      </c>
      <c r="F1137" t="s">
        <v>19</v>
      </c>
      <c r="G1137">
        <v>14</v>
      </c>
      <c r="H1137">
        <v>11</v>
      </c>
      <c r="I1137">
        <v>13</v>
      </c>
      <c r="J1137">
        <v>35.43</v>
      </c>
      <c r="K1137">
        <v>237.85</v>
      </c>
      <c r="L1137">
        <v>0.59</v>
      </c>
      <c r="M1137">
        <v>37.82</v>
      </c>
      <c r="N1137">
        <v>0.64</v>
      </c>
      <c r="O1137" t="s">
        <v>20</v>
      </c>
      <c r="P1137" t="s">
        <v>21</v>
      </c>
      <c r="Q1137">
        <f t="shared" si="85"/>
        <v>12</v>
      </c>
      <c r="R1137" s="4">
        <f>RANK(N1137,$N$2:N$2800,0)</f>
        <v>2767</v>
      </c>
      <c r="S1137">
        <f t="shared" si="86"/>
        <v>1.0769230769230769</v>
      </c>
      <c r="T1137" t="str">
        <f t="shared" si="87"/>
        <v>Low</v>
      </c>
      <c r="U1137" t="str" cm="1">
        <f t="array" ref="U1137">_xlfn.LET(_xlpm.roles,_xlfn.UNIQUE(D1137:D3935),_xlpm.kills, SUMIF(D1137:D3935,_xlpm.roles,G1137:G3935),INDEX(_xlpm.roles,MATCH(MAX(_xlpm.kills),_xlpm.kills,0)))</f>
        <v>Entry Fragger</v>
      </c>
      <c r="V1137" t="str">
        <f t="shared" si="88"/>
        <v>Medium Accuracy</v>
      </c>
      <c r="W1137" t="str" cm="1">
        <f t="array" ref="W1137">_xlfn.LET(_xlpm.roles,_xlfn.UNIQUE(D1137:D3935), _xlpm.counts,COUNTIF(D1137:D3935,_xlpm.roles), INDEX(_xlpm.roles,MATCH(MAX(_xlpm.counts),_xlpm.counts,0)))</f>
        <v>Entry Fragger</v>
      </c>
      <c r="X1137" s="2">
        <f t="shared" si="89"/>
        <v>12.809421841541756</v>
      </c>
    </row>
    <row r="1138" spans="1:24" x14ac:dyDescent="0.3">
      <c r="A1138">
        <v>681</v>
      </c>
      <c r="B1138">
        <v>204</v>
      </c>
      <c r="C1138" t="s">
        <v>16</v>
      </c>
      <c r="D1138" t="s">
        <v>28</v>
      </c>
      <c r="E1138" t="s">
        <v>18</v>
      </c>
      <c r="F1138" t="s">
        <v>26</v>
      </c>
      <c r="G1138">
        <v>22</v>
      </c>
      <c r="H1138">
        <v>7</v>
      </c>
      <c r="I1138">
        <v>16</v>
      </c>
      <c r="J1138">
        <v>45.27</v>
      </c>
      <c r="K1138">
        <v>194.36</v>
      </c>
      <c r="L1138">
        <v>0.23</v>
      </c>
      <c r="M1138">
        <v>55.34</v>
      </c>
      <c r="N1138">
        <v>1</v>
      </c>
      <c r="O1138" t="s">
        <v>20</v>
      </c>
      <c r="P1138" t="s">
        <v>21</v>
      </c>
      <c r="Q1138">
        <f t="shared" si="85"/>
        <v>13</v>
      </c>
      <c r="R1138" s="4">
        <f>RANK(N1138,$N$2:N$2800,0)</f>
        <v>1</v>
      </c>
      <c r="S1138">
        <f t="shared" si="86"/>
        <v>1.375</v>
      </c>
      <c r="T1138" t="str">
        <f t="shared" si="87"/>
        <v>Low</v>
      </c>
      <c r="U1138" t="str" cm="1">
        <f t="array" ref="U1138">_xlfn.LET(_xlpm.roles,_xlfn.UNIQUE(D1138:D3936),_xlpm.kills, SUMIF(D1138:D3936,_xlpm.roles,G1138:G3936),INDEX(_xlpm.roles,MATCH(MAX(_xlpm.kills),_xlpm.kills,0)))</f>
        <v>Entry Fragger</v>
      </c>
      <c r="V1138" t="str">
        <f t="shared" si="88"/>
        <v>Medium Accuracy</v>
      </c>
      <c r="W1138" t="str" cm="1">
        <f t="array" ref="W1138">_xlfn.LET(_xlpm.roles,_xlfn.UNIQUE(D1138:D3936), _xlpm.counts,COUNTIF(D1138:D3936,_xlpm.roles), INDEX(_xlpm.roles,MATCH(MAX(_xlpm.counts),_xlpm.counts,0)))</f>
        <v>Entry Fragger</v>
      </c>
      <c r="X1138" s="2">
        <f t="shared" si="89"/>
        <v>12.520971302428256</v>
      </c>
    </row>
    <row r="1139" spans="1:24" x14ac:dyDescent="0.3">
      <c r="A1139">
        <v>1364</v>
      </c>
      <c r="B1139">
        <v>204</v>
      </c>
      <c r="C1139" t="s">
        <v>16</v>
      </c>
      <c r="D1139" t="s">
        <v>17</v>
      </c>
      <c r="E1139" t="s">
        <v>18</v>
      </c>
      <c r="F1139" t="s">
        <v>19</v>
      </c>
      <c r="G1139">
        <v>15</v>
      </c>
      <c r="H1139">
        <v>12</v>
      </c>
      <c r="I1139">
        <v>5</v>
      </c>
      <c r="J1139">
        <v>47.78</v>
      </c>
      <c r="K1139">
        <v>212.68</v>
      </c>
      <c r="L1139">
        <v>0.42</v>
      </c>
      <c r="M1139">
        <v>56.69</v>
      </c>
      <c r="N1139">
        <v>0.99</v>
      </c>
      <c r="O1139" t="s">
        <v>20</v>
      </c>
      <c r="P1139" t="s">
        <v>21</v>
      </c>
      <c r="Q1139">
        <f t="shared" si="85"/>
        <v>22</v>
      </c>
      <c r="R1139" s="4">
        <f>RANK(N1139,$N$2:N$2800,0)</f>
        <v>1080</v>
      </c>
      <c r="S1139">
        <f t="shared" si="86"/>
        <v>3</v>
      </c>
      <c r="T1139" t="str">
        <f t="shared" si="87"/>
        <v>Good</v>
      </c>
      <c r="U1139" t="str" cm="1">
        <f t="array" ref="U1139">_xlfn.LET(_xlpm.roles,_xlfn.UNIQUE(D1139:D3937),_xlpm.kills, SUMIF(D1139:D3937,_xlpm.roles,G1139:G3937),INDEX(_xlpm.roles,MATCH(MAX(_xlpm.kills),_xlpm.kills,0)))</f>
        <v>Entry Fragger</v>
      </c>
      <c r="V1139" t="str">
        <f t="shared" si="88"/>
        <v>Medium Accuracy</v>
      </c>
      <c r="W1139" t="str" cm="1">
        <f t="array" ref="W1139">_xlfn.LET(_xlpm.roles,_xlfn.UNIQUE(D1139:D3937), _xlpm.counts,COUNTIF(D1139:D3937,_xlpm.roles), INDEX(_xlpm.roles,MATCH(MAX(_xlpm.counts),_xlpm.counts,0)))</f>
        <v>Entry Fragger</v>
      </c>
      <c r="X1139" s="2">
        <f t="shared" si="89"/>
        <v>12.520971302428256</v>
      </c>
    </row>
    <row r="1140" spans="1:24" x14ac:dyDescent="0.3">
      <c r="A1140">
        <v>1425</v>
      </c>
      <c r="B1140">
        <v>204</v>
      </c>
      <c r="C1140" t="s">
        <v>16</v>
      </c>
      <c r="D1140" t="s">
        <v>17</v>
      </c>
      <c r="E1140" t="s">
        <v>18</v>
      </c>
      <c r="F1140" t="s">
        <v>26</v>
      </c>
      <c r="G1140">
        <v>12</v>
      </c>
      <c r="H1140">
        <v>18</v>
      </c>
      <c r="I1140">
        <v>13</v>
      </c>
      <c r="J1140">
        <v>66.38</v>
      </c>
      <c r="K1140">
        <v>193.37</v>
      </c>
      <c r="L1140">
        <v>0.6</v>
      </c>
      <c r="M1140">
        <v>56.19</v>
      </c>
      <c r="N1140">
        <v>1</v>
      </c>
      <c r="O1140" t="s">
        <v>20</v>
      </c>
      <c r="P1140" t="s">
        <v>21</v>
      </c>
      <c r="Q1140">
        <f t="shared" si="85"/>
        <v>17</v>
      </c>
      <c r="R1140" s="4">
        <f>RANK(N1140,$N$2:N$2800,0)</f>
        <v>1</v>
      </c>
      <c r="S1140">
        <f t="shared" si="86"/>
        <v>0.92307692307692313</v>
      </c>
      <c r="T1140" t="str">
        <f t="shared" si="87"/>
        <v>Good</v>
      </c>
      <c r="U1140" t="str" cm="1">
        <f t="array" ref="U1140">_xlfn.LET(_xlpm.roles,_xlfn.UNIQUE(D1140:D3938),_xlpm.kills, SUMIF(D1140:D3938,_xlpm.roles,G1140:G3938),INDEX(_xlpm.roles,MATCH(MAX(_xlpm.kills),_xlpm.kills,0)))</f>
        <v>Entry Fragger</v>
      </c>
      <c r="V1140" t="str">
        <f t="shared" si="88"/>
        <v>High Accuracy</v>
      </c>
      <c r="W1140" t="str" cm="1">
        <f t="array" ref="W1140">_xlfn.LET(_xlpm.roles,_xlfn.UNIQUE(D1140:D3938), _xlpm.counts,COUNTIF(D1140:D3938,_xlpm.roles), INDEX(_xlpm.roles,MATCH(MAX(_xlpm.counts),_xlpm.counts,0)))</f>
        <v>Entry Fragger</v>
      </c>
      <c r="X1140" s="2">
        <f t="shared" si="89"/>
        <v>12.520971302428256</v>
      </c>
    </row>
    <row r="1141" spans="1:24" x14ac:dyDescent="0.3">
      <c r="A1141">
        <v>1575</v>
      </c>
      <c r="B1141">
        <v>204</v>
      </c>
      <c r="C1141" t="s">
        <v>30</v>
      </c>
      <c r="D1141" t="s">
        <v>36</v>
      </c>
      <c r="E1141" t="s">
        <v>23</v>
      </c>
      <c r="F1141" t="s">
        <v>24</v>
      </c>
      <c r="G1141">
        <v>12</v>
      </c>
      <c r="H1141">
        <v>8</v>
      </c>
      <c r="I1141">
        <v>10</v>
      </c>
      <c r="J1141">
        <v>47.06</v>
      </c>
      <c r="K1141">
        <v>225.73</v>
      </c>
      <c r="L1141">
        <v>0.74</v>
      </c>
      <c r="M1141">
        <v>38.130000000000003</v>
      </c>
      <c r="N1141">
        <v>0.83</v>
      </c>
      <c r="O1141" t="s">
        <v>20</v>
      </c>
      <c r="P1141" t="s">
        <v>21</v>
      </c>
      <c r="Q1141">
        <f t="shared" si="85"/>
        <v>10</v>
      </c>
      <c r="R1141" s="4">
        <f>RANK(N1141,$N$2:N$2800,0)</f>
        <v>2218</v>
      </c>
      <c r="S1141">
        <f t="shared" si="86"/>
        <v>1.2</v>
      </c>
      <c r="T1141" t="str">
        <f t="shared" si="87"/>
        <v>Low</v>
      </c>
      <c r="U1141" t="str" cm="1">
        <f t="array" ref="U1141">_xlfn.LET(_xlpm.roles,_xlfn.UNIQUE(D1141:D3939),_xlpm.kills, SUMIF(D1141:D3939,_xlpm.roles,G1141:G3939),INDEX(_xlpm.roles,MATCH(MAX(_xlpm.kills),_xlpm.kills,0)))</f>
        <v>Entry Fragger</v>
      </c>
      <c r="V1141" t="str">
        <f t="shared" si="88"/>
        <v>Medium Accuracy</v>
      </c>
      <c r="W1141" t="str" cm="1">
        <f t="array" ref="W1141">_xlfn.LET(_xlpm.roles,_xlfn.UNIQUE(D1141:D3939), _xlpm.counts,COUNTIF(D1141:D3939,_xlpm.roles), INDEX(_xlpm.roles,MATCH(MAX(_xlpm.counts),_xlpm.counts,0)))</f>
        <v>Entry Fragger</v>
      </c>
      <c r="X1141" s="2">
        <f t="shared" si="89"/>
        <v>13.135802469135802</v>
      </c>
    </row>
    <row r="1142" spans="1:24" x14ac:dyDescent="0.3">
      <c r="A1142">
        <v>1866</v>
      </c>
      <c r="B1142">
        <v>204</v>
      </c>
      <c r="C1142" t="s">
        <v>16</v>
      </c>
      <c r="D1142" t="s">
        <v>28</v>
      </c>
      <c r="E1142" t="s">
        <v>33</v>
      </c>
      <c r="F1142" t="s">
        <v>26</v>
      </c>
      <c r="G1142">
        <v>17</v>
      </c>
      <c r="H1142">
        <v>11</v>
      </c>
      <c r="I1142">
        <v>6</v>
      </c>
      <c r="J1142">
        <v>48.51</v>
      </c>
      <c r="K1142">
        <v>223.18</v>
      </c>
      <c r="L1142">
        <v>0.65</v>
      </c>
      <c r="M1142">
        <v>56.75</v>
      </c>
      <c r="N1142">
        <v>1</v>
      </c>
      <c r="O1142" t="s">
        <v>20</v>
      </c>
      <c r="P1142" t="s">
        <v>21</v>
      </c>
      <c r="Q1142">
        <f t="shared" si="85"/>
        <v>22</v>
      </c>
      <c r="R1142" s="4">
        <f>RANK(N1142,$N$2:N$2800,0)</f>
        <v>1</v>
      </c>
      <c r="S1142">
        <f t="shared" si="86"/>
        <v>2.8333333333333335</v>
      </c>
      <c r="T1142" t="str">
        <f t="shared" si="87"/>
        <v>Good</v>
      </c>
      <c r="U1142" t="str" cm="1">
        <f t="array" ref="U1142">_xlfn.LET(_xlpm.roles,_xlfn.UNIQUE(D1142:D3940),_xlpm.kills, SUMIF(D1142:D3940,_xlpm.roles,G1142:G3940),INDEX(_xlpm.roles,MATCH(MAX(_xlpm.kills),_xlpm.kills,0)))</f>
        <v>Entry Fragger</v>
      </c>
      <c r="V1142" t="str">
        <f t="shared" si="88"/>
        <v>Medium Accuracy</v>
      </c>
      <c r="W1142" t="str" cm="1">
        <f t="array" ref="W1142">_xlfn.LET(_xlpm.roles,_xlfn.UNIQUE(D1142:D3940), _xlpm.counts,COUNTIF(D1142:D3940,_xlpm.roles), INDEX(_xlpm.roles,MATCH(MAX(_xlpm.counts),_xlpm.counts,0)))</f>
        <v>Entry Fragger</v>
      </c>
      <c r="X1142" s="2">
        <f t="shared" si="89"/>
        <v>12.520971302428256</v>
      </c>
    </row>
    <row r="1143" spans="1:24" x14ac:dyDescent="0.3">
      <c r="A1143">
        <v>391</v>
      </c>
      <c r="B1143">
        <v>205</v>
      </c>
      <c r="C1143" t="s">
        <v>16</v>
      </c>
      <c r="D1143" t="s">
        <v>28</v>
      </c>
      <c r="E1143" t="s">
        <v>23</v>
      </c>
      <c r="F1143" t="s">
        <v>24</v>
      </c>
      <c r="G1143">
        <v>14</v>
      </c>
      <c r="H1143">
        <v>8</v>
      </c>
      <c r="I1143">
        <v>10</v>
      </c>
      <c r="J1143">
        <v>49.08</v>
      </c>
      <c r="K1143">
        <v>200.52</v>
      </c>
      <c r="L1143">
        <v>0.98</v>
      </c>
      <c r="M1143">
        <v>40.74</v>
      </c>
      <c r="N1143">
        <v>0.95</v>
      </c>
      <c r="O1143" t="s">
        <v>20</v>
      </c>
      <c r="P1143" t="s">
        <v>21</v>
      </c>
      <c r="Q1143">
        <f t="shared" si="85"/>
        <v>12</v>
      </c>
      <c r="R1143" s="4">
        <f>RANK(N1143,$N$2:N$2800,0)</f>
        <v>1367</v>
      </c>
      <c r="S1143">
        <f t="shared" si="86"/>
        <v>1.4</v>
      </c>
      <c r="T1143" t="str">
        <f t="shared" si="87"/>
        <v>Low</v>
      </c>
      <c r="U1143" t="str" cm="1">
        <f t="array" ref="U1143">_xlfn.LET(_xlpm.roles,_xlfn.UNIQUE(D1143:D3941),_xlpm.kills, SUMIF(D1143:D3941,_xlpm.roles,G1143:G3941),INDEX(_xlpm.roles,MATCH(MAX(_xlpm.kills),_xlpm.kills,0)))</f>
        <v>Entry Fragger</v>
      </c>
      <c r="V1143" t="str">
        <f t="shared" si="88"/>
        <v>Medium Accuracy</v>
      </c>
      <c r="W1143" t="str" cm="1">
        <f t="array" ref="W1143">_xlfn.LET(_xlpm.roles,_xlfn.UNIQUE(D1143:D3941), _xlpm.counts,COUNTIF(D1143:D3941,_xlpm.roles), INDEX(_xlpm.roles,MATCH(MAX(_xlpm.counts),_xlpm.counts,0)))</f>
        <v>Entry Fragger</v>
      </c>
      <c r="X1143" s="2">
        <f t="shared" si="89"/>
        <v>12.520971302428256</v>
      </c>
    </row>
    <row r="1144" spans="1:24" x14ac:dyDescent="0.3">
      <c r="A1144">
        <v>469</v>
      </c>
      <c r="B1144">
        <v>205</v>
      </c>
      <c r="C1144" t="s">
        <v>30</v>
      </c>
      <c r="D1144" t="s">
        <v>17</v>
      </c>
      <c r="E1144" t="s">
        <v>18</v>
      </c>
      <c r="F1144" t="s">
        <v>24</v>
      </c>
      <c r="G1144">
        <v>15</v>
      </c>
      <c r="H1144">
        <v>5</v>
      </c>
      <c r="I1144">
        <v>9</v>
      </c>
      <c r="J1144">
        <v>45.17</v>
      </c>
      <c r="K1144">
        <v>186.07</v>
      </c>
      <c r="L1144">
        <v>0.13</v>
      </c>
      <c r="M1144">
        <v>47.29</v>
      </c>
      <c r="N1144">
        <v>1</v>
      </c>
      <c r="O1144" t="s">
        <v>20</v>
      </c>
      <c r="P1144" t="s">
        <v>21</v>
      </c>
      <c r="Q1144">
        <f t="shared" si="85"/>
        <v>11</v>
      </c>
      <c r="R1144" s="4">
        <f>RANK(N1144,$N$2:N$2800,0)</f>
        <v>1</v>
      </c>
      <c r="S1144">
        <f t="shared" si="86"/>
        <v>1.6666666666666667</v>
      </c>
      <c r="T1144" t="str">
        <f t="shared" si="87"/>
        <v>Low</v>
      </c>
      <c r="U1144" t="str" cm="1">
        <f t="array" ref="U1144">_xlfn.LET(_xlpm.roles,_xlfn.UNIQUE(D1144:D3942),_xlpm.kills, SUMIF(D1144:D3942,_xlpm.roles,G1144:G3942),INDEX(_xlpm.roles,MATCH(MAX(_xlpm.kills),_xlpm.kills,0)))</f>
        <v>Entry Fragger</v>
      </c>
      <c r="V1144" t="str">
        <f t="shared" si="88"/>
        <v>Medium Accuracy</v>
      </c>
      <c r="W1144" t="str" cm="1">
        <f t="array" ref="W1144">_xlfn.LET(_xlpm.roles,_xlfn.UNIQUE(D1144:D3942), _xlpm.counts,COUNTIF(D1144:D3942,_xlpm.roles), INDEX(_xlpm.roles,MATCH(MAX(_xlpm.counts),_xlpm.counts,0)))</f>
        <v>Entry Fragger</v>
      </c>
      <c r="X1144" s="2">
        <f t="shared" si="89"/>
        <v>13.135802469135802</v>
      </c>
    </row>
    <row r="1145" spans="1:24" x14ac:dyDescent="0.3">
      <c r="A1145">
        <v>746</v>
      </c>
      <c r="B1145">
        <v>205</v>
      </c>
      <c r="C1145" t="s">
        <v>25</v>
      </c>
      <c r="D1145" t="s">
        <v>28</v>
      </c>
      <c r="E1145" t="s">
        <v>33</v>
      </c>
      <c r="F1145" t="s">
        <v>37</v>
      </c>
      <c r="G1145">
        <v>9</v>
      </c>
      <c r="H1145">
        <v>9</v>
      </c>
      <c r="I1145">
        <v>6</v>
      </c>
      <c r="J1145">
        <v>34.9</v>
      </c>
      <c r="K1145">
        <v>202.25</v>
      </c>
      <c r="L1145">
        <v>0.19</v>
      </c>
      <c r="M1145">
        <v>36.549999999999997</v>
      </c>
      <c r="N1145">
        <v>0.84</v>
      </c>
      <c r="O1145" t="s">
        <v>20</v>
      </c>
      <c r="P1145" t="s">
        <v>21</v>
      </c>
      <c r="Q1145">
        <f t="shared" si="85"/>
        <v>12</v>
      </c>
      <c r="R1145" s="4">
        <f>RANK(N1145,$N$2:N$2800,0)</f>
        <v>2156</v>
      </c>
      <c r="S1145">
        <f t="shared" si="86"/>
        <v>1.5</v>
      </c>
      <c r="T1145" t="str">
        <f t="shared" si="87"/>
        <v>Low</v>
      </c>
      <c r="U1145" t="str" cm="1">
        <f t="array" ref="U1145">_xlfn.LET(_xlpm.roles,_xlfn.UNIQUE(D1145:D3943),_xlpm.kills, SUMIF(D1145:D3943,_xlpm.roles,G1145:G3943),INDEX(_xlpm.roles,MATCH(MAX(_xlpm.kills),_xlpm.kills,0)))</f>
        <v>Entry Fragger</v>
      </c>
      <c r="V1145" t="str">
        <f t="shared" si="88"/>
        <v>Medium Accuracy</v>
      </c>
      <c r="W1145" t="str" cm="1">
        <f t="array" ref="W1145">_xlfn.LET(_xlpm.roles,_xlfn.UNIQUE(D1145:D3943), _xlpm.counts,COUNTIF(D1145:D3943,_xlpm.roles), INDEX(_xlpm.roles,MATCH(MAX(_xlpm.counts),_xlpm.counts,0)))</f>
        <v>Entry Fragger</v>
      </c>
      <c r="X1145" s="2">
        <f t="shared" si="89"/>
        <v>12.809421841541756</v>
      </c>
    </row>
    <row r="1146" spans="1:24" x14ac:dyDescent="0.3">
      <c r="A1146">
        <v>754</v>
      </c>
      <c r="B1146">
        <v>205</v>
      </c>
      <c r="C1146" t="s">
        <v>30</v>
      </c>
      <c r="D1146" t="s">
        <v>17</v>
      </c>
      <c r="E1146" t="s">
        <v>32</v>
      </c>
      <c r="F1146" t="s">
        <v>24</v>
      </c>
      <c r="G1146">
        <v>12</v>
      </c>
      <c r="H1146">
        <v>5</v>
      </c>
      <c r="I1146">
        <v>12</v>
      </c>
      <c r="J1146">
        <v>59.22</v>
      </c>
      <c r="K1146">
        <v>249.87</v>
      </c>
      <c r="L1146">
        <v>0.77</v>
      </c>
      <c r="M1146">
        <v>38.909999999999997</v>
      </c>
      <c r="N1146">
        <v>0.88</v>
      </c>
      <c r="O1146" t="s">
        <v>20</v>
      </c>
      <c r="P1146" t="s">
        <v>21</v>
      </c>
      <c r="Q1146">
        <f t="shared" si="85"/>
        <v>5</v>
      </c>
      <c r="R1146" s="4">
        <f>RANK(N1146,$N$2:N$2800,0)</f>
        <v>1894</v>
      </c>
      <c r="S1146">
        <f t="shared" si="86"/>
        <v>1</v>
      </c>
      <c r="T1146" t="str">
        <f t="shared" si="87"/>
        <v>Low</v>
      </c>
      <c r="U1146" t="str" cm="1">
        <f t="array" ref="U1146">_xlfn.LET(_xlpm.roles,_xlfn.UNIQUE(D1146:D3944),_xlpm.kills, SUMIF(D1146:D3944,_xlpm.roles,G1146:G3944),INDEX(_xlpm.roles,MATCH(MAX(_xlpm.kills),_xlpm.kills,0)))</f>
        <v>Entry Fragger</v>
      </c>
      <c r="V1146" t="str">
        <f t="shared" si="88"/>
        <v>High Accuracy</v>
      </c>
      <c r="W1146" t="str" cm="1">
        <f t="array" ref="W1146">_xlfn.LET(_xlpm.roles,_xlfn.UNIQUE(D1146:D3944), _xlpm.counts,COUNTIF(D1146:D3944,_xlpm.roles), INDEX(_xlpm.roles,MATCH(MAX(_xlpm.counts),_xlpm.counts,0)))</f>
        <v>Entry Fragger</v>
      </c>
      <c r="X1146" s="2">
        <f t="shared" si="89"/>
        <v>13.135802469135802</v>
      </c>
    </row>
    <row r="1147" spans="1:24" x14ac:dyDescent="0.3">
      <c r="A1147">
        <v>799</v>
      </c>
      <c r="B1147">
        <v>205</v>
      </c>
      <c r="C1147" t="s">
        <v>16</v>
      </c>
      <c r="D1147" t="s">
        <v>22</v>
      </c>
      <c r="E1147" t="s">
        <v>29</v>
      </c>
      <c r="F1147" t="s">
        <v>19</v>
      </c>
      <c r="G1147">
        <v>13</v>
      </c>
      <c r="H1147">
        <v>9</v>
      </c>
      <c r="I1147">
        <v>5</v>
      </c>
      <c r="J1147">
        <v>47.39</v>
      </c>
      <c r="K1147">
        <v>201.29</v>
      </c>
      <c r="L1147">
        <v>0.03</v>
      </c>
      <c r="M1147">
        <v>53.4</v>
      </c>
      <c r="N1147">
        <v>0.93</v>
      </c>
      <c r="O1147" t="s">
        <v>20</v>
      </c>
      <c r="P1147" t="s">
        <v>21</v>
      </c>
      <c r="Q1147">
        <f t="shared" si="85"/>
        <v>17</v>
      </c>
      <c r="R1147" s="4">
        <f>RANK(N1147,$N$2:N$2800,0)</f>
        <v>1505</v>
      </c>
      <c r="S1147">
        <f t="shared" si="86"/>
        <v>2.6</v>
      </c>
      <c r="T1147" t="str">
        <f t="shared" si="87"/>
        <v>Good</v>
      </c>
      <c r="U1147" t="str" cm="1">
        <f t="array" ref="U1147">_xlfn.LET(_xlpm.roles,_xlfn.UNIQUE(D1147:D3945),_xlpm.kills, SUMIF(D1147:D3945,_xlpm.roles,G1147:G3945),INDEX(_xlpm.roles,MATCH(MAX(_xlpm.kills),_xlpm.kills,0)))</f>
        <v>Entry Fragger</v>
      </c>
      <c r="V1147" t="str">
        <f t="shared" si="88"/>
        <v>Medium Accuracy</v>
      </c>
      <c r="W1147" t="str" cm="1">
        <f t="array" ref="W1147">_xlfn.LET(_xlpm.roles,_xlfn.UNIQUE(D1147:D3945), _xlpm.counts,COUNTIF(D1147:D3945,_xlpm.roles), INDEX(_xlpm.roles,MATCH(MAX(_xlpm.counts),_xlpm.counts,0)))</f>
        <v>Entry Fragger</v>
      </c>
      <c r="X1147" s="2">
        <f t="shared" si="89"/>
        <v>12.520971302428256</v>
      </c>
    </row>
    <row r="1148" spans="1:24" x14ac:dyDescent="0.3">
      <c r="A1148">
        <v>2189</v>
      </c>
      <c r="B1148">
        <v>205</v>
      </c>
      <c r="C1148" t="s">
        <v>27</v>
      </c>
      <c r="D1148" t="s">
        <v>17</v>
      </c>
      <c r="E1148" t="s">
        <v>18</v>
      </c>
      <c r="F1148" t="s">
        <v>24</v>
      </c>
      <c r="G1148">
        <v>16</v>
      </c>
      <c r="H1148">
        <v>5</v>
      </c>
      <c r="I1148">
        <v>8</v>
      </c>
      <c r="J1148">
        <v>25.29</v>
      </c>
      <c r="K1148">
        <v>223.9</v>
      </c>
      <c r="L1148">
        <v>0.64</v>
      </c>
      <c r="M1148">
        <v>35.24</v>
      </c>
      <c r="N1148">
        <v>0.72</v>
      </c>
      <c r="O1148" t="s">
        <v>20</v>
      </c>
      <c r="P1148" t="s">
        <v>21</v>
      </c>
      <c r="Q1148">
        <f t="shared" si="85"/>
        <v>13</v>
      </c>
      <c r="R1148" s="4">
        <f>RANK(N1148,$N$2:N$2800,0)</f>
        <v>2663</v>
      </c>
      <c r="S1148">
        <f t="shared" si="86"/>
        <v>2</v>
      </c>
      <c r="T1148" t="str">
        <f t="shared" si="87"/>
        <v>Low</v>
      </c>
      <c r="U1148" t="str" cm="1">
        <f t="array" ref="U1148">_xlfn.LET(_xlpm.roles,_xlfn.UNIQUE(D1148:D3946),_xlpm.kills, SUMIF(D1148:D3946,_xlpm.roles,G1148:G3946),INDEX(_xlpm.roles,MATCH(MAX(_xlpm.kills),_xlpm.kills,0)))</f>
        <v>Entry Fragger</v>
      </c>
      <c r="V1148" t="str">
        <f t="shared" si="88"/>
        <v>Low Accuracy</v>
      </c>
      <c r="W1148" t="str" cm="1">
        <f t="array" ref="W1148">_xlfn.LET(_xlpm.roles,_xlfn.UNIQUE(D1148:D3946), _xlpm.counts,COUNTIF(D1148:D3946,_xlpm.roles), INDEX(_xlpm.roles,MATCH(MAX(_xlpm.counts),_xlpm.counts,0)))</f>
        <v>Entry Fragger</v>
      </c>
      <c r="X1148" s="2">
        <f t="shared" si="89"/>
        <v>13.057077625570777</v>
      </c>
    </row>
    <row r="1149" spans="1:24" x14ac:dyDescent="0.3">
      <c r="A1149">
        <v>814</v>
      </c>
      <c r="B1149">
        <v>206</v>
      </c>
      <c r="C1149" t="s">
        <v>39</v>
      </c>
      <c r="D1149" t="s">
        <v>36</v>
      </c>
      <c r="E1149" t="s">
        <v>33</v>
      </c>
      <c r="F1149" t="s">
        <v>26</v>
      </c>
      <c r="G1149">
        <v>12</v>
      </c>
      <c r="H1149">
        <v>6</v>
      </c>
      <c r="I1149">
        <v>10</v>
      </c>
      <c r="J1149">
        <v>57.47</v>
      </c>
      <c r="K1149">
        <v>213.87</v>
      </c>
      <c r="L1149">
        <v>0.77</v>
      </c>
      <c r="M1149">
        <v>41.03</v>
      </c>
      <c r="N1149">
        <v>0.98</v>
      </c>
      <c r="O1149" t="s">
        <v>20</v>
      </c>
      <c r="P1149" t="s">
        <v>21</v>
      </c>
      <c r="Q1149">
        <f t="shared" si="85"/>
        <v>8</v>
      </c>
      <c r="R1149" s="4">
        <f>RANK(N1149,$N$2:N$2800,0)</f>
        <v>1157</v>
      </c>
      <c r="S1149">
        <f t="shared" si="86"/>
        <v>1.2</v>
      </c>
      <c r="T1149" t="str">
        <f t="shared" si="87"/>
        <v>Low</v>
      </c>
      <c r="U1149" t="str" cm="1">
        <f t="array" ref="U1149">_xlfn.LET(_xlpm.roles,_xlfn.UNIQUE(D1149:D3947),_xlpm.kills, SUMIF(D1149:D3947,_xlpm.roles,G1149:G3947),INDEX(_xlpm.roles,MATCH(MAX(_xlpm.kills),_xlpm.kills,0)))</f>
        <v>Entry Fragger</v>
      </c>
      <c r="V1149" t="str">
        <f t="shared" si="88"/>
        <v>High Accuracy</v>
      </c>
      <c r="W1149" t="str" cm="1">
        <f t="array" ref="W1149">_xlfn.LET(_xlpm.roles,_xlfn.UNIQUE(D1149:D3947), _xlpm.counts,COUNTIF(D1149:D3947,_xlpm.roles), INDEX(_xlpm.roles,MATCH(MAX(_xlpm.counts),_xlpm.counts,0)))</f>
        <v>Entry Fragger</v>
      </c>
      <c r="X1149" s="2">
        <f t="shared" si="89"/>
        <v>13.103594080338267</v>
      </c>
    </row>
    <row r="1150" spans="1:24" x14ac:dyDescent="0.3">
      <c r="A1150">
        <v>932</v>
      </c>
      <c r="B1150">
        <v>206</v>
      </c>
      <c r="C1150" t="s">
        <v>30</v>
      </c>
      <c r="D1150" t="s">
        <v>22</v>
      </c>
      <c r="E1150" t="s">
        <v>29</v>
      </c>
      <c r="F1150" t="s">
        <v>19</v>
      </c>
      <c r="G1150">
        <v>15</v>
      </c>
      <c r="H1150">
        <v>9</v>
      </c>
      <c r="I1150">
        <v>6</v>
      </c>
      <c r="J1150">
        <v>47.28</v>
      </c>
      <c r="K1150">
        <v>203.19</v>
      </c>
      <c r="L1150">
        <v>0.52</v>
      </c>
      <c r="M1150">
        <v>51.44</v>
      </c>
      <c r="N1150">
        <v>1</v>
      </c>
      <c r="O1150" t="s">
        <v>20</v>
      </c>
      <c r="P1150" t="s">
        <v>21</v>
      </c>
      <c r="Q1150">
        <f t="shared" si="85"/>
        <v>18</v>
      </c>
      <c r="R1150" s="4">
        <f>RANK(N1150,$N$2:N$2800,0)</f>
        <v>1</v>
      </c>
      <c r="S1150">
        <f t="shared" si="86"/>
        <v>2.5</v>
      </c>
      <c r="T1150" t="str">
        <f t="shared" si="87"/>
        <v>Good</v>
      </c>
      <c r="U1150" t="str" cm="1">
        <f t="array" ref="U1150">_xlfn.LET(_xlpm.roles,_xlfn.UNIQUE(D1150:D3948),_xlpm.kills, SUMIF(D1150:D3948,_xlpm.roles,G1150:G3948),INDEX(_xlpm.roles,MATCH(MAX(_xlpm.kills),_xlpm.kills,0)))</f>
        <v>Entry Fragger</v>
      </c>
      <c r="V1150" t="str">
        <f t="shared" si="88"/>
        <v>Medium Accuracy</v>
      </c>
      <c r="W1150" t="str" cm="1">
        <f t="array" ref="W1150">_xlfn.LET(_xlpm.roles,_xlfn.UNIQUE(D1150:D3948), _xlpm.counts,COUNTIF(D1150:D3948,_xlpm.roles), INDEX(_xlpm.roles,MATCH(MAX(_xlpm.counts),_xlpm.counts,0)))</f>
        <v>Entry Fragger</v>
      </c>
      <c r="X1150" s="2">
        <f t="shared" si="89"/>
        <v>13.135802469135802</v>
      </c>
    </row>
    <row r="1151" spans="1:24" x14ac:dyDescent="0.3">
      <c r="A1151">
        <v>971</v>
      </c>
      <c r="B1151">
        <v>206</v>
      </c>
      <c r="C1151" t="s">
        <v>16</v>
      </c>
      <c r="D1151" t="s">
        <v>36</v>
      </c>
      <c r="E1151" t="s">
        <v>23</v>
      </c>
      <c r="F1151" t="s">
        <v>24</v>
      </c>
      <c r="G1151">
        <v>23</v>
      </c>
      <c r="H1151">
        <v>12</v>
      </c>
      <c r="I1151">
        <v>10</v>
      </c>
      <c r="J1151">
        <v>46.19</v>
      </c>
      <c r="K1151">
        <v>267.86</v>
      </c>
      <c r="L1151">
        <v>0.01</v>
      </c>
      <c r="M1151">
        <v>71</v>
      </c>
      <c r="N1151">
        <v>1</v>
      </c>
      <c r="O1151" t="s">
        <v>20</v>
      </c>
      <c r="P1151" t="s">
        <v>38</v>
      </c>
      <c r="Q1151">
        <f t="shared" si="85"/>
        <v>25</v>
      </c>
      <c r="R1151" s="4">
        <f>RANK(N1151,$N$2:N$2800,0)</f>
        <v>1</v>
      </c>
      <c r="S1151">
        <f t="shared" si="86"/>
        <v>2.2999999999999998</v>
      </c>
      <c r="T1151" t="str">
        <f t="shared" si="87"/>
        <v>Excellent</v>
      </c>
      <c r="U1151" t="str" cm="1">
        <f t="array" ref="U1151">_xlfn.LET(_xlpm.roles,_xlfn.UNIQUE(D1151:D3949),_xlpm.kills, SUMIF(D1151:D3949,_xlpm.roles,G1151:G3949),INDEX(_xlpm.roles,MATCH(MAX(_xlpm.kills),_xlpm.kills,0)))</f>
        <v>Entry Fragger</v>
      </c>
      <c r="V1151" t="str">
        <f t="shared" si="88"/>
        <v>Medium Accuracy</v>
      </c>
      <c r="W1151" t="str" cm="1">
        <f t="array" ref="W1151">_xlfn.LET(_xlpm.roles,_xlfn.UNIQUE(D1151:D3949), _xlpm.counts,COUNTIF(D1151:D3949,_xlpm.roles), INDEX(_xlpm.roles,MATCH(MAX(_xlpm.counts),_xlpm.counts,0)))</f>
        <v>Entry Fragger</v>
      </c>
      <c r="X1151" s="2">
        <f t="shared" si="89"/>
        <v>12.520971302428256</v>
      </c>
    </row>
    <row r="1152" spans="1:24" x14ac:dyDescent="0.3">
      <c r="A1152">
        <v>1268</v>
      </c>
      <c r="B1152">
        <v>206</v>
      </c>
      <c r="C1152" t="s">
        <v>39</v>
      </c>
      <c r="D1152" t="s">
        <v>17</v>
      </c>
      <c r="E1152" t="s">
        <v>29</v>
      </c>
      <c r="F1152" t="s">
        <v>34</v>
      </c>
      <c r="G1152">
        <v>14</v>
      </c>
      <c r="H1152">
        <v>9</v>
      </c>
      <c r="I1152">
        <v>11</v>
      </c>
      <c r="J1152">
        <v>50.14</v>
      </c>
      <c r="K1152">
        <v>242.69</v>
      </c>
      <c r="L1152">
        <v>0.55000000000000004</v>
      </c>
      <c r="M1152">
        <v>45.57</v>
      </c>
      <c r="N1152">
        <v>1</v>
      </c>
      <c r="O1152" t="s">
        <v>20</v>
      </c>
      <c r="P1152" t="s">
        <v>21</v>
      </c>
      <c r="Q1152">
        <f t="shared" si="85"/>
        <v>12</v>
      </c>
      <c r="R1152" s="4">
        <f>RANK(N1152,$N$2:N$2800,0)</f>
        <v>1</v>
      </c>
      <c r="S1152">
        <f t="shared" si="86"/>
        <v>1.2727272727272727</v>
      </c>
      <c r="T1152" t="str">
        <f t="shared" si="87"/>
        <v>Low</v>
      </c>
      <c r="U1152" t="str" cm="1">
        <f t="array" ref="U1152">_xlfn.LET(_xlpm.roles,_xlfn.UNIQUE(D1152:D3950),_xlpm.kills, SUMIF(D1152:D3950,_xlpm.roles,G1152:G3950),INDEX(_xlpm.roles,MATCH(MAX(_xlpm.kills),_xlpm.kills,0)))</f>
        <v>Entry Fragger</v>
      </c>
      <c r="V1152" t="str">
        <f t="shared" si="88"/>
        <v>High Accuracy</v>
      </c>
      <c r="W1152" t="str" cm="1">
        <f t="array" ref="W1152">_xlfn.LET(_xlpm.roles,_xlfn.UNIQUE(D1152:D3950), _xlpm.counts,COUNTIF(D1152:D3950,_xlpm.roles), INDEX(_xlpm.roles,MATCH(MAX(_xlpm.counts),_xlpm.counts,0)))</f>
        <v>Entry Fragger</v>
      </c>
      <c r="X1152" s="2">
        <f t="shared" si="89"/>
        <v>13.103594080338267</v>
      </c>
    </row>
    <row r="1153" spans="1:24" x14ac:dyDescent="0.3">
      <c r="A1153">
        <v>1280</v>
      </c>
      <c r="B1153">
        <v>206</v>
      </c>
      <c r="C1153" t="s">
        <v>27</v>
      </c>
      <c r="D1153" t="s">
        <v>17</v>
      </c>
      <c r="E1153" t="s">
        <v>32</v>
      </c>
      <c r="F1153" t="s">
        <v>24</v>
      </c>
      <c r="G1153">
        <v>17</v>
      </c>
      <c r="H1153">
        <v>9</v>
      </c>
      <c r="I1153">
        <v>11</v>
      </c>
      <c r="J1153">
        <v>46.64</v>
      </c>
      <c r="K1153">
        <v>199.84</v>
      </c>
      <c r="L1153">
        <v>0.77</v>
      </c>
      <c r="M1153">
        <v>47.62</v>
      </c>
      <c r="N1153">
        <v>1</v>
      </c>
      <c r="O1153" t="s">
        <v>20</v>
      </c>
      <c r="P1153" t="s">
        <v>21</v>
      </c>
      <c r="Q1153">
        <f t="shared" si="85"/>
        <v>15</v>
      </c>
      <c r="R1153" s="4">
        <f>RANK(N1153,$N$2:N$2800,0)</f>
        <v>1</v>
      </c>
      <c r="S1153">
        <f t="shared" si="86"/>
        <v>1.5454545454545454</v>
      </c>
      <c r="T1153" t="str">
        <f t="shared" si="87"/>
        <v>Good</v>
      </c>
      <c r="U1153" t="str" cm="1">
        <f t="array" ref="U1153">_xlfn.LET(_xlpm.roles,_xlfn.UNIQUE(D1153:D3951),_xlpm.kills, SUMIF(D1153:D3951,_xlpm.roles,G1153:G3951),INDEX(_xlpm.roles,MATCH(MAX(_xlpm.kills),_xlpm.kills,0)))</f>
        <v>Entry Fragger</v>
      </c>
      <c r="V1153" t="str">
        <f t="shared" si="88"/>
        <v>Medium Accuracy</v>
      </c>
      <c r="W1153" t="str" cm="1">
        <f t="array" ref="W1153">_xlfn.LET(_xlpm.roles,_xlfn.UNIQUE(D1153:D3951), _xlpm.counts,COUNTIF(D1153:D3951,_xlpm.roles), INDEX(_xlpm.roles,MATCH(MAX(_xlpm.counts),_xlpm.counts,0)))</f>
        <v>Entry Fragger</v>
      </c>
      <c r="X1153" s="2">
        <f t="shared" si="89"/>
        <v>13.057077625570777</v>
      </c>
    </row>
    <row r="1154" spans="1:24" x14ac:dyDescent="0.3">
      <c r="A1154">
        <v>1346</v>
      </c>
      <c r="B1154">
        <v>206</v>
      </c>
      <c r="C1154" t="s">
        <v>25</v>
      </c>
      <c r="D1154" t="s">
        <v>28</v>
      </c>
      <c r="E1154" t="s">
        <v>23</v>
      </c>
      <c r="F1154" t="s">
        <v>37</v>
      </c>
      <c r="G1154">
        <v>12</v>
      </c>
      <c r="H1154">
        <v>8</v>
      </c>
      <c r="I1154">
        <v>8</v>
      </c>
      <c r="J1154">
        <v>36.42</v>
      </c>
      <c r="K1154">
        <v>244.13</v>
      </c>
      <c r="L1154">
        <v>0.78</v>
      </c>
      <c r="M1154">
        <v>34.409999999999997</v>
      </c>
      <c r="N1154">
        <v>0.83</v>
      </c>
      <c r="O1154" t="s">
        <v>20</v>
      </c>
      <c r="P1154" t="s">
        <v>21</v>
      </c>
      <c r="Q1154">
        <f t="shared" si="85"/>
        <v>12</v>
      </c>
      <c r="R1154" s="4">
        <f>RANK(N1154,$N$2:N$2800,0)</f>
        <v>2218</v>
      </c>
      <c r="S1154">
        <f t="shared" si="86"/>
        <v>1.5</v>
      </c>
      <c r="T1154" t="str">
        <f t="shared" si="87"/>
        <v>Low</v>
      </c>
      <c r="U1154" t="str" cm="1">
        <f t="array" ref="U1154">_xlfn.LET(_xlpm.roles,_xlfn.UNIQUE(D1154:D3952),_xlpm.kills, SUMIF(D1154:D3952,_xlpm.roles,G1154:G3952),INDEX(_xlpm.roles,MATCH(MAX(_xlpm.kills),_xlpm.kills,0)))</f>
        <v>Entry Fragger</v>
      </c>
      <c r="V1154" t="str">
        <f t="shared" si="88"/>
        <v>Medium Accuracy</v>
      </c>
      <c r="W1154" t="str" cm="1">
        <f t="array" ref="W1154">_xlfn.LET(_xlpm.roles,_xlfn.UNIQUE(D1154:D3952), _xlpm.counts,COUNTIF(D1154:D3952,_xlpm.roles), INDEX(_xlpm.roles,MATCH(MAX(_xlpm.counts),_xlpm.counts,0)))</f>
        <v>Entry Fragger</v>
      </c>
      <c r="X1154" s="2">
        <f t="shared" si="89"/>
        <v>12.809421841541756</v>
      </c>
    </row>
    <row r="1155" spans="1:24" x14ac:dyDescent="0.3">
      <c r="A1155">
        <v>1360</v>
      </c>
      <c r="B1155">
        <v>206</v>
      </c>
      <c r="C1155" t="s">
        <v>39</v>
      </c>
      <c r="D1155" t="s">
        <v>22</v>
      </c>
      <c r="E1155" t="s">
        <v>23</v>
      </c>
      <c r="F1155" t="s">
        <v>19</v>
      </c>
      <c r="G1155">
        <v>10</v>
      </c>
      <c r="H1155">
        <v>8</v>
      </c>
      <c r="I1155">
        <v>10</v>
      </c>
      <c r="J1155">
        <v>30.82</v>
      </c>
      <c r="K1155">
        <v>210.55</v>
      </c>
      <c r="L1155">
        <v>0.97</v>
      </c>
      <c r="M1155">
        <v>23.71</v>
      </c>
      <c r="N1155">
        <v>0.74</v>
      </c>
      <c r="O1155" t="s">
        <v>20</v>
      </c>
      <c r="P1155" t="s">
        <v>21</v>
      </c>
      <c r="Q1155">
        <f t="shared" ref="Q1155:Q1218" si="90">G1155+H1155-I1155</f>
        <v>8</v>
      </c>
      <c r="R1155" s="4">
        <f>RANK(N1155,$N$2:N$2800,0)</f>
        <v>2613</v>
      </c>
      <c r="S1155">
        <f t="shared" ref="S1155:S1218" si="91">G1155/I1155</f>
        <v>1</v>
      </c>
      <c r="T1155" t="str">
        <f t="shared" ref="T1155:T1218" si="92">IF(Q1155&lt;15,"Low",IF(Q1155&lt;25,"Good","Excellent"))</f>
        <v>Low</v>
      </c>
      <c r="U1155" t="str" cm="1">
        <f t="array" ref="U1155">_xlfn.LET(_xlpm.roles,_xlfn.UNIQUE(D1155:D3953),_xlpm.kills, SUMIF(D1155:D3953,_xlpm.roles,G1155:G3953),INDEX(_xlpm.roles,MATCH(MAX(_xlpm.kills),_xlpm.kills,0)))</f>
        <v>Entry Fragger</v>
      </c>
      <c r="V1155" t="str">
        <f t="shared" ref="V1155:V1218" si="93">IF(J1155&gt;=50,"High Accuracy",IF(J1155&gt;=30,"Medium Accuracy","Low Accuracy"))</f>
        <v>Medium Accuracy</v>
      </c>
      <c r="W1155" t="str" cm="1">
        <f t="array" ref="W1155">_xlfn.LET(_xlpm.roles,_xlfn.UNIQUE(D1155:D3953), _xlpm.counts,COUNTIF(D1155:D3953,_xlpm.roles), INDEX(_xlpm.roles,MATCH(MAX(_xlpm.counts),_xlpm.counts,0)))</f>
        <v>Entry Fragger</v>
      </c>
      <c r="X1155" s="2">
        <f t="shared" ref="X1155:X1218" si="94">AVERAGEIF($C$2:$C$2800,C1155,$Q$2:$Q$2800)</f>
        <v>13.103594080338267</v>
      </c>
    </row>
    <row r="1156" spans="1:24" x14ac:dyDescent="0.3">
      <c r="A1156">
        <v>1409</v>
      </c>
      <c r="B1156">
        <v>206</v>
      </c>
      <c r="C1156" t="s">
        <v>30</v>
      </c>
      <c r="D1156" t="s">
        <v>17</v>
      </c>
      <c r="E1156" t="s">
        <v>33</v>
      </c>
      <c r="F1156" t="s">
        <v>37</v>
      </c>
      <c r="G1156">
        <v>11</v>
      </c>
      <c r="H1156">
        <v>4</v>
      </c>
      <c r="I1156">
        <v>7</v>
      </c>
      <c r="J1156">
        <v>45.74</v>
      </c>
      <c r="K1156">
        <v>165.69</v>
      </c>
      <c r="L1156">
        <v>0.92</v>
      </c>
      <c r="M1156">
        <v>32.67</v>
      </c>
      <c r="N1156">
        <v>0.95</v>
      </c>
      <c r="O1156" t="s">
        <v>20</v>
      </c>
      <c r="P1156" t="s">
        <v>21</v>
      </c>
      <c r="Q1156">
        <f t="shared" si="90"/>
        <v>8</v>
      </c>
      <c r="R1156" s="4">
        <f>RANK(N1156,$N$2:N$2800,0)</f>
        <v>1367</v>
      </c>
      <c r="S1156">
        <f t="shared" si="91"/>
        <v>1.5714285714285714</v>
      </c>
      <c r="T1156" t="str">
        <f t="shared" si="92"/>
        <v>Low</v>
      </c>
      <c r="U1156" t="str" cm="1">
        <f t="array" ref="U1156">_xlfn.LET(_xlpm.roles,_xlfn.UNIQUE(D1156:D3954),_xlpm.kills, SUMIF(D1156:D3954,_xlpm.roles,G1156:G3954),INDEX(_xlpm.roles,MATCH(MAX(_xlpm.kills),_xlpm.kills,0)))</f>
        <v>Entry Fragger</v>
      </c>
      <c r="V1156" t="str">
        <f t="shared" si="93"/>
        <v>Medium Accuracy</v>
      </c>
      <c r="W1156" t="str" cm="1">
        <f t="array" ref="W1156">_xlfn.LET(_xlpm.roles,_xlfn.UNIQUE(D1156:D3954), _xlpm.counts,COUNTIF(D1156:D3954,_xlpm.roles), INDEX(_xlpm.roles,MATCH(MAX(_xlpm.counts),_xlpm.counts,0)))</f>
        <v>Entry Fragger</v>
      </c>
      <c r="X1156" s="2">
        <f t="shared" si="94"/>
        <v>13.135802469135802</v>
      </c>
    </row>
    <row r="1157" spans="1:24" x14ac:dyDescent="0.3">
      <c r="A1157">
        <v>1584</v>
      </c>
      <c r="B1157">
        <v>206</v>
      </c>
      <c r="C1157" t="s">
        <v>35</v>
      </c>
      <c r="D1157" t="s">
        <v>28</v>
      </c>
      <c r="E1157" t="s">
        <v>18</v>
      </c>
      <c r="F1157" t="s">
        <v>26</v>
      </c>
      <c r="G1157">
        <v>9</v>
      </c>
      <c r="H1157">
        <v>11</v>
      </c>
      <c r="I1157">
        <v>10</v>
      </c>
      <c r="J1157">
        <v>39.590000000000003</v>
      </c>
      <c r="K1157">
        <v>237.4</v>
      </c>
      <c r="L1157">
        <v>0.9</v>
      </c>
      <c r="M1157">
        <v>29.8</v>
      </c>
      <c r="N1157">
        <v>0.95</v>
      </c>
      <c r="O1157" t="s">
        <v>20</v>
      </c>
      <c r="P1157" t="s">
        <v>21</v>
      </c>
      <c r="Q1157">
        <f t="shared" si="90"/>
        <v>10</v>
      </c>
      <c r="R1157" s="4">
        <f>RANK(N1157,$N$2:N$2800,0)</f>
        <v>1367</v>
      </c>
      <c r="S1157">
        <f t="shared" si="91"/>
        <v>0.9</v>
      </c>
      <c r="T1157" t="str">
        <f t="shared" si="92"/>
        <v>Low</v>
      </c>
      <c r="U1157" t="str" cm="1">
        <f t="array" ref="U1157">_xlfn.LET(_xlpm.roles,_xlfn.UNIQUE(D1157:D3955),_xlpm.kills, SUMIF(D1157:D3955,_xlpm.roles,G1157:G3955),INDEX(_xlpm.roles,MATCH(MAX(_xlpm.kills),_xlpm.kills,0)))</f>
        <v>Entry Fragger</v>
      </c>
      <c r="V1157" t="str">
        <f t="shared" si="93"/>
        <v>Medium Accuracy</v>
      </c>
      <c r="W1157" t="str" cm="1">
        <f t="array" ref="W1157">_xlfn.LET(_xlpm.roles,_xlfn.UNIQUE(D1157:D3955), _xlpm.counts,COUNTIF(D1157:D3955,_xlpm.roles), INDEX(_xlpm.roles,MATCH(MAX(_xlpm.counts),_xlpm.counts,0)))</f>
        <v>Entry Fragger</v>
      </c>
      <c r="X1157" s="2">
        <f t="shared" si="94"/>
        <v>12.599585062240664</v>
      </c>
    </row>
    <row r="1158" spans="1:24" x14ac:dyDescent="0.3">
      <c r="A1158">
        <v>2627</v>
      </c>
      <c r="B1158">
        <v>206</v>
      </c>
      <c r="C1158" t="s">
        <v>30</v>
      </c>
      <c r="D1158" t="s">
        <v>22</v>
      </c>
      <c r="E1158" t="s">
        <v>32</v>
      </c>
      <c r="F1158" t="s">
        <v>26</v>
      </c>
      <c r="G1158">
        <v>17</v>
      </c>
      <c r="H1158">
        <v>12</v>
      </c>
      <c r="I1158">
        <v>14</v>
      </c>
      <c r="J1158">
        <v>44.49</v>
      </c>
      <c r="K1158">
        <v>204.29</v>
      </c>
      <c r="L1158">
        <v>0.25</v>
      </c>
      <c r="M1158">
        <v>51.75</v>
      </c>
      <c r="N1158">
        <v>1</v>
      </c>
      <c r="O1158" t="s">
        <v>20</v>
      </c>
      <c r="P1158" t="s">
        <v>21</v>
      </c>
      <c r="Q1158">
        <f t="shared" si="90"/>
        <v>15</v>
      </c>
      <c r="R1158" s="4">
        <f>RANK(N1158,$N$2:N$2800,0)</f>
        <v>1</v>
      </c>
      <c r="S1158">
        <f t="shared" si="91"/>
        <v>1.2142857142857142</v>
      </c>
      <c r="T1158" t="str">
        <f t="shared" si="92"/>
        <v>Good</v>
      </c>
      <c r="U1158" t="str" cm="1">
        <f t="array" ref="U1158">_xlfn.LET(_xlpm.roles,_xlfn.UNIQUE(D1158:D3956),_xlpm.kills, SUMIF(D1158:D3956,_xlpm.roles,G1158:G3956),INDEX(_xlpm.roles,MATCH(MAX(_xlpm.kills),_xlpm.kills,0)))</f>
        <v>Entry Fragger</v>
      </c>
      <c r="V1158" t="str">
        <f t="shared" si="93"/>
        <v>Medium Accuracy</v>
      </c>
      <c r="W1158" t="str" cm="1">
        <f t="array" ref="W1158">_xlfn.LET(_xlpm.roles,_xlfn.UNIQUE(D1158:D3956), _xlpm.counts,COUNTIF(D1158:D3956,_xlpm.roles), INDEX(_xlpm.roles,MATCH(MAX(_xlpm.counts),_xlpm.counts,0)))</f>
        <v>Entry Fragger</v>
      </c>
      <c r="X1158" s="2">
        <f t="shared" si="94"/>
        <v>13.135802469135802</v>
      </c>
    </row>
    <row r="1159" spans="1:24" x14ac:dyDescent="0.3">
      <c r="A1159">
        <v>2744</v>
      </c>
      <c r="B1159">
        <v>206</v>
      </c>
      <c r="C1159" t="s">
        <v>25</v>
      </c>
      <c r="D1159" t="s">
        <v>36</v>
      </c>
      <c r="E1159" t="s">
        <v>23</v>
      </c>
      <c r="F1159" t="s">
        <v>19</v>
      </c>
      <c r="G1159">
        <v>14</v>
      </c>
      <c r="H1159">
        <v>4</v>
      </c>
      <c r="I1159">
        <v>14</v>
      </c>
      <c r="J1159">
        <v>34.64</v>
      </c>
      <c r="K1159">
        <v>231.73</v>
      </c>
      <c r="L1159">
        <v>0.08</v>
      </c>
      <c r="M1159">
        <v>34.520000000000003</v>
      </c>
      <c r="N1159">
        <v>0.82</v>
      </c>
      <c r="O1159" t="s">
        <v>20</v>
      </c>
      <c r="P1159" t="s">
        <v>21</v>
      </c>
      <c r="Q1159">
        <f t="shared" si="90"/>
        <v>4</v>
      </c>
      <c r="R1159" s="4">
        <f>RANK(N1159,$N$2:N$2800,0)</f>
        <v>2275</v>
      </c>
      <c r="S1159">
        <f t="shared" si="91"/>
        <v>1</v>
      </c>
      <c r="T1159" t="str">
        <f t="shared" si="92"/>
        <v>Low</v>
      </c>
      <c r="U1159" t="str" cm="1">
        <f t="array" ref="U1159">_xlfn.LET(_xlpm.roles,_xlfn.UNIQUE(D1159:D3957),_xlpm.kills, SUMIF(D1159:D3957,_xlpm.roles,G1159:G3957),INDEX(_xlpm.roles,MATCH(MAX(_xlpm.kills),_xlpm.kills,0)))</f>
        <v>Entry Fragger</v>
      </c>
      <c r="V1159" t="str">
        <f t="shared" si="93"/>
        <v>Medium Accuracy</v>
      </c>
      <c r="W1159" t="str" cm="1">
        <f t="array" ref="W1159">_xlfn.LET(_xlpm.roles,_xlfn.UNIQUE(D1159:D3957), _xlpm.counts,COUNTIF(D1159:D3957,_xlpm.roles), INDEX(_xlpm.roles,MATCH(MAX(_xlpm.counts),_xlpm.counts,0)))</f>
        <v>Entry Fragger</v>
      </c>
      <c r="X1159" s="2">
        <f t="shared" si="94"/>
        <v>12.809421841541756</v>
      </c>
    </row>
    <row r="1160" spans="1:24" x14ac:dyDescent="0.3">
      <c r="A1160">
        <v>975</v>
      </c>
      <c r="B1160">
        <v>207</v>
      </c>
      <c r="C1160" t="s">
        <v>25</v>
      </c>
      <c r="D1160" t="s">
        <v>31</v>
      </c>
      <c r="E1160" t="s">
        <v>29</v>
      </c>
      <c r="F1160" t="s">
        <v>26</v>
      </c>
      <c r="G1160">
        <v>11</v>
      </c>
      <c r="H1160">
        <v>9</v>
      </c>
      <c r="I1160">
        <v>5</v>
      </c>
      <c r="J1160">
        <v>45.88</v>
      </c>
      <c r="K1160">
        <v>171.29</v>
      </c>
      <c r="L1160">
        <v>0.84</v>
      </c>
      <c r="M1160">
        <v>40.54</v>
      </c>
      <c r="N1160">
        <v>0.72</v>
      </c>
      <c r="O1160" t="s">
        <v>20</v>
      </c>
      <c r="P1160" t="s">
        <v>21</v>
      </c>
      <c r="Q1160">
        <f t="shared" si="90"/>
        <v>15</v>
      </c>
      <c r="R1160" s="4">
        <f>RANK(N1160,$N$2:N$2800,0)</f>
        <v>2663</v>
      </c>
      <c r="S1160">
        <f t="shared" si="91"/>
        <v>2.2000000000000002</v>
      </c>
      <c r="T1160" t="str">
        <f t="shared" si="92"/>
        <v>Good</v>
      </c>
      <c r="U1160" t="str" cm="1">
        <f t="array" ref="U1160">_xlfn.LET(_xlpm.roles,_xlfn.UNIQUE(D1160:D3958),_xlpm.kills, SUMIF(D1160:D3958,_xlpm.roles,G1160:G3958),INDEX(_xlpm.roles,MATCH(MAX(_xlpm.kills),_xlpm.kills,0)))</f>
        <v>Entry Fragger</v>
      </c>
      <c r="V1160" t="str">
        <f t="shared" si="93"/>
        <v>Medium Accuracy</v>
      </c>
      <c r="W1160" t="str" cm="1">
        <f t="array" ref="W1160">_xlfn.LET(_xlpm.roles,_xlfn.UNIQUE(D1160:D3958), _xlpm.counts,COUNTIF(D1160:D3958,_xlpm.roles), INDEX(_xlpm.roles,MATCH(MAX(_xlpm.counts),_xlpm.counts,0)))</f>
        <v>Entry Fragger</v>
      </c>
      <c r="X1160" s="2">
        <f t="shared" si="94"/>
        <v>12.809421841541756</v>
      </c>
    </row>
    <row r="1161" spans="1:24" x14ac:dyDescent="0.3">
      <c r="A1161">
        <v>1393</v>
      </c>
      <c r="B1161">
        <v>207</v>
      </c>
      <c r="C1161" t="s">
        <v>25</v>
      </c>
      <c r="D1161" t="s">
        <v>28</v>
      </c>
      <c r="E1161" t="s">
        <v>23</v>
      </c>
      <c r="F1161" t="s">
        <v>37</v>
      </c>
      <c r="G1161">
        <v>13</v>
      </c>
      <c r="H1161">
        <v>11</v>
      </c>
      <c r="I1161">
        <v>18</v>
      </c>
      <c r="J1161">
        <v>59.74</v>
      </c>
      <c r="K1161">
        <v>208.28</v>
      </c>
      <c r="L1161">
        <v>0.52</v>
      </c>
      <c r="M1161">
        <v>43.67</v>
      </c>
      <c r="N1161">
        <v>0.87</v>
      </c>
      <c r="O1161" t="s">
        <v>20</v>
      </c>
      <c r="P1161" t="s">
        <v>21</v>
      </c>
      <c r="Q1161">
        <f t="shared" si="90"/>
        <v>6</v>
      </c>
      <c r="R1161" s="4">
        <f>RANK(N1161,$N$2:N$2800,0)</f>
        <v>1965</v>
      </c>
      <c r="S1161">
        <f t="shared" si="91"/>
        <v>0.72222222222222221</v>
      </c>
      <c r="T1161" t="str">
        <f t="shared" si="92"/>
        <v>Low</v>
      </c>
      <c r="U1161" t="str" cm="1">
        <f t="array" ref="U1161">_xlfn.LET(_xlpm.roles,_xlfn.UNIQUE(D1161:D3959),_xlpm.kills, SUMIF(D1161:D3959,_xlpm.roles,G1161:G3959),INDEX(_xlpm.roles,MATCH(MAX(_xlpm.kills),_xlpm.kills,0)))</f>
        <v>Entry Fragger</v>
      </c>
      <c r="V1161" t="str">
        <f t="shared" si="93"/>
        <v>High Accuracy</v>
      </c>
      <c r="W1161" t="str" cm="1">
        <f t="array" ref="W1161">_xlfn.LET(_xlpm.roles,_xlfn.UNIQUE(D1161:D3959), _xlpm.counts,COUNTIF(D1161:D3959,_xlpm.roles), INDEX(_xlpm.roles,MATCH(MAX(_xlpm.counts),_xlpm.counts,0)))</f>
        <v>Entry Fragger</v>
      </c>
      <c r="X1161" s="2">
        <f t="shared" si="94"/>
        <v>12.809421841541756</v>
      </c>
    </row>
    <row r="1162" spans="1:24" x14ac:dyDescent="0.3">
      <c r="A1162">
        <v>138</v>
      </c>
      <c r="B1162">
        <v>208</v>
      </c>
      <c r="C1162" t="s">
        <v>39</v>
      </c>
      <c r="D1162" t="s">
        <v>36</v>
      </c>
      <c r="E1162" t="s">
        <v>32</v>
      </c>
      <c r="F1162" t="s">
        <v>19</v>
      </c>
      <c r="G1162">
        <v>10</v>
      </c>
      <c r="H1162">
        <v>5</v>
      </c>
      <c r="I1162">
        <v>12</v>
      </c>
      <c r="J1162">
        <v>67.08</v>
      </c>
      <c r="K1162">
        <v>220.01</v>
      </c>
      <c r="L1162">
        <v>0.05</v>
      </c>
      <c r="M1162">
        <v>46.04</v>
      </c>
      <c r="N1162">
        <v>0.96</v>
      </c>
      <c r="O1162" t="s">
        <v>20</v>
      </c>
      <c r="P1162" t="s">
        <v>21</v>
      </c>
      <c r="Q1162">
        <f t="shared" si="90"/>
        <v>3</v>
      </c>
      <c r="R1162" s="4">
        <f>RANK(N1162,$N$2:N$2800,0)</f>
        <v>1301</v>
      </c>
      <c r="S1162">
        <f t="shared" si="91"/>
        <v>0.83333333333333337</v>
      </c>
      <c r="T1162" t="str">
        <f t="shared" si="92"/>
        <v>Low</v>
      </c>
      <c r="U1162" t="str" cm="1">
        <f t="array" ref="U1162">_xlfn.LET(_xlpm.roles,_xlfn.UNIQUE(D1162:D3960),_xlpm.kills, SUMIF(D1162:D3960,_xlpm.roles,G1162:G3960),INDEX(_xlpm.roles,MATCH(MAX(_xlpm.kills),_xlpm.kills,0)))</f>
        <v>Entry Fragger</v>
      </c>
      <c r="V1162" t="str">
        <f t="shared" si="93"/>
        <v>High Accuracy</v>
      </c>
      <c r="W1162" t="str" cm="1">
        <f t="array" ref="W1162">_xlfn.LET(_xlpm.roles,_xlfn.UNIQUE(D1162:D3960), _xlpm.counts,COUNTIF(D1162:D3960,_xlpm.roles), INDEX(_xlpm.roles,MATCH(MAX(_xlpm.counts),_xlpm.counts,0)))</f>
        <v>Entry Fragger</v>
      </c>
      <c r="X1162" s="2">
        <f t="shared" si="94"/>
        <v>13.103594080338267</v>
      </c>
    </row>
    <row r="1163" spans="1:24" x14ac:dyDescent="0.3">
      <c r="A1163">
        <v>602</v>
      </c>
      <c r="B1163">
        <v>208</v>
      </c>
      <c r="C1163" t="s">
        <v>16</v>
      </c>
      <c r="D1163" t="s">
        <v>17</v>
      </c>
      <c r="E1163" t="s">
        <v>23</v>
      </c>
      <c r="F1163" t="s">
        <v>37</v>
      </c>
      <c r="G1163">
        <v>17</v>
      </c>
      <c r="H1163">
        <v>4</v>
      </c>
      <c r="I1163">
        <v>6</v>
      </c>
      <c r="J1163">
        <v>44.01</v>
      </c>
      <c r="K1163">
        <v>125.76</v>
      </c>
      <c r="L1163">
        <v>0.95</v>
      </c>
      <c r="M1163">
        <v>44.5</v>
      </c>
      <c r="N1163">
        <v>1</v>
      </c>
      <c r="O1163" t="s">
        <v>20</v>
      </c>
      <c r="P1163" t="s">
        <v>21</v>
      </c>
      <c r="Q1163">
        <f t="shared" si="90"/>
        <v>15</v>
      </c>
      <c r="R1163" s="4">
        <f>RANK(N1163,$N$2:N$2800,0)</f>
        <v>1</v>
      </c>
      <c r="S1163">
        <f t="shared" si="91"/>
        <v>2.8333333333333335</v>
      </c>
      <c r="T1163" t="str">
        <f t="shared" si="92"/>
        <v>Good</v>
      </c>
      <c r="U1163" t="str" cm="1">
        <f t="array" ref="U1163">_xlfn.LET(_xlpm.roles,_xlfn.UNIQUE(D1163:D3961),_xlpm.kills, SUMIF(D1163:D3961,_xlpm.roles,G1163:G3961),INDEX(_xlpm.roles,MATCH(MAX(_xlpm.kills),_xlpm.kills,0)))</f>
        <v>Entry Fragger</v>
      </c>
      <c r="V1163" t="str">
        <f t="shared" si="93"/>
        <v>Medium Accuracy</v>
      </c>
      <c r="W1163" t="str" cm="1">
        <f t="array" ref="W1163">_xlfn.LET(_xlpm.roles,_xlfn.UNIQUE(D1163:D3961), _xlpm.counts,COUNTIF(D1163:D3961,_xlpm.roles), INDEX(_xlpm.roles,MATCH(MAX(_xlpm.counts),_xlpm.counts,0)))</f>
        <v>Entry Fragger</v>
      </c>
      <c r="X1163" s="2">
        <f t="shared" si="94"/>
        <v>12.520971302428256</v>
      </c>
    </row>
    <row r="1164" spans="1:24" x14ac:dyDescent="0.3">
      <c r="A1164">
        <v>877</v>
      </c>
      <c r="B1164">
        <v>208</v>
      </c>
      <c r="C1164" t="s">
        <v>27</v>
      </c>
      <c r="D1164" t="s">
        <v>36</v>
      </c>
      <c r="E1164" t="s">
        <v>33</v>
      </c>
      <c r="F1164" t="s">
        <v>24</v>
      </c>
      <c r="G1164">
        <v>19</v>
      </c>
      <c r="H1164">
        <v>8</v>
      </c>
      <c r="I1164">
        <v>6</v>
      </c>
      <c r="J1164">
        <v>43.78</v>
      </c>
      <c r="K1164">
        <v>232.52</v>
      </c>
      <c r="L1164">
        <v>0.64</v>
      </c>
      <c r="M1164">
        <v>55.49</v>
      </c>
      <c r="N1164">
        <v>1</v>
      </c>
      <c r="O1164" t="s">
        <v>20</v>
      </c>
      <c r="P1164" t="s">
        <v>21</v>
      </c>
      <c r="Q1164">
        <f t="shared" si="90"/>
        <v>21</v>
      </c>
      <c r="R1164" s="4">
        <f>RANK(N1164,$N$2:N$2800,0)</f>
        <v>1</v>
      </c>
      <c r="S1164">
        <f t="shared" si="91"/>
        <v>3.1666666666666665</v>
      </c>
      <c r="T1164" t="str">
        <f t="shared" si="92"/>
        <v>Good</v>
      </c>
      <c r="U1164" t="str" cm="1">
        <f t="array" ref="U1164">_xlfn.LET(_xlpm.roles,_xlfn.UNIQUE(D1164:D3962),_xlpm.kills, SUMIF(D1164:D3962,_xlpm.roles,G1164:G3962),INDEX(_xlpm.roles,MATCH(MAX(_xlpm.kills),_xlpm.kills,0)))</f>
        <v>Entry Fragger</v>
      </c>
      <c r="V1164" t="str">
        <f t="shared" si="93"/>
        <v>Medium Accuracy</v>
      </c>
      <c r="W1164" t="str" cm="1">
        <f t="array" ref="W1164">_xlfn.LET(_xlpm.roles,_xlfn.UNIQUE(D1164:D3962), _xlpm.counts,COUNTIF(D1164:D3962,_xlpm.roles), INDEX(_xlpm.roles,MATCH(MAX(_xlpm.counts),_xlpm.counts,0)))</f>
        <v>Entry Fragger</v>
      </c>
      <c r="X1164" s="2">
        <f t="shared" si="94"/>
        <v>13.057077625570777</v>
      </c>
    </row>
    <row r="1165" spans="1:24" x14ac:dyDescent="0.3">
      <c r="A1165">
        <v>1204</v>
      </c>
      <c r="B1165">
        <v>208</v>
      </c>
      <c r="C1165" t="s">
        <v>27</v>
      </c>
      <c r="D1165" t="s">
        <v>28</v>
      </c>
      <c r="E1165" t="s">
        <v>32</v>
      </c>
      <c r="F1165" t="s">
        <v>24</v>
      </c>
      <c r="G1165">
        <v>26</v>
      </c>
      <c r="H1165">
        <v>10</v>
      </c>
      <c r="I1165">
        <v>9</v>
      </c>
      <c r="J1165">
        <v>47.34</v>
      </c>
      <c r="K1165">
        <v>214.35</v>
      </c>
      <c r="L1165">
        <v>0.32</v>
      </c>
      <c r="M1165">
        <v>73.47</v>
      </c>
      <c r="N1165">
        <v>1</v>
      </c>
      <c r="O1165" t="s">
        <v>20</v>
      </c>
      <c r="P1165" t="s">
        <v>38</v>
      </c>
      <c r="Q1165">
        <f t="shared" si="90"/>
        <v>27</v>
      </c>
      <c r="R1165" s="4">
        <f>RANK(N1165,$N$2:N$2800,0)</f>
        <v>1</v>
      </c>
      <c r="S1165">
        <f t="shared" si="91"/>
        <v>2.8888888888888888</v>
      </c>
      <c r="T1165" t="str">
        <f t="shared" si="92"/>
        <v>Excellent</v>
      </c>
      <c r="U1165" t="str" cm="1">
        <f t="array" ref="U1165">_xlfn.LET(_xlpm.roles,_xlfn.UNIQUE(D1165:D3963),_xlpm.kills, SUMIF(D1165:D3963,_xlpm.roles,G1165:G3963),INDEX(_xlpm.roles,MATCH(MAX(_xlpm.kills),_xlpm.kills,0)))</f>
        <v>Entry Fragger</v>
      </c>
      <c r="V1165" t="str">
        <f t="shared" si="93"/>
        <v>Medium Accuracy</v>
      </c>
      <c r="W1165" t="str" cm="1">
        <f t="array" ref="W1165">_xlfn.LET(_xlpm.roles,_xlfn.UNIQUE(D1165:D3963), _xlpm.counts,COUNTIF(D1165:D3963,_xlpm.roles), INDEX(_xlpm.roles,MATCH(MAX(_xlpm.counts),_xlpm.counts,0)))</f>
        <v>Entry Fragger</v>
      </c>
      <c r="X1165" s="2">
        <f t="shared" si="94"/>
        <v>13.057077625570777</v>
      </c>
    </row>
    <row r="1166" spans="1:24" x14ac:dyDescent="0.3">
      <c r="A1166">
        <v>1829</v>
      </c>
      <c r="B1166">
        <v>208</v>
      </c>
      <c r="C1166" t="s">
        <v>27</v>
      </c>
      <c r="D1166" t="s">
        <v>36</v>
      </c>
      <c r="E1166" t="s">
        <v>29</v>
      </c>
      <c r="F1166" t="s">
        <v>24</v>
      </c>
      <c r="G1166">
        <v>7</v>
      </c>
      <c r="H1166">
        <v>3</v>
      </c>
      <c r="I1166">
        <v>9</v>
      </c>
      <c r="J1166">
        <v>42.62</v>
      </c>
      <c r="K1166">
        <v>218.73</v>
      </c>
      <c r="L1166">
        <v>0.08</v>
      </c>
      <c r="M1166">
        <v>28.51</v>
      </c>
      <c r="N1166">
        <v>0.67</v>
      </c>
      <c r="O1166" t="s">
        <v>20</v>
      </c>
      <c r="P1166" t="s">
        <v>21</v>
      </c>
      <c r="Q1166">
        <f t="shared" si="90"/>
        <v>1</v>
      </c>
      <c r="R1166" s="4">
        <f>RANK(N1166,$N$2:N$2800,0)</f>
        <v>2731</v>
      </c>
      <c r="S1166">
        <f t="shared" si="91"/>
        <v>0.77777777777777779</v>
      </c>
      <c r="T1166" t="str">
        <f t="shared" si="92"/>
        <v>Low</v>
      </c>
      <c r="U1166" t="str" cm="1">
        <f t="array" ref="U1166">_xlfn.LET(_xlpm.roles,_xlfn.UNIQUE(D1166:D3964),_xlpm.kills, SUMIF(D1166:D3964,_xlpm.roles,G1166:G3964),INDEX(_xlpm.roles,MATCH(MAX(_xlpm.kills),_xlpm.kills,0)))</f>
        <v>Entry Fragger</v>
      </c>
      <c r="V1166" t="str">
        <f t="shared" si="93"/>
        <v>Medium Accuracy</v>
      </c>
      <c r="W1166" t="str" cm="1">
        <f t="array" ref="W1166">_xlfn.LET(_xlpm.roles,_xlfn.UNIQUE(D1166:D3964), _xlpm.counts,COUNTIF(D1166:D3964,_xlpm.roles), INDEX(_xlpm.roles,MATCH(MAX(_xlpm.counts),_xlpm.counts,0)))</f>
        <v>Entry Fragger</v>
      </c>
      <c r="X1166" s="2">
        <f t="shared" si="94"/>
        <v>13.057077625570777</v>
      </c>
    </row>
    <row r="1167" spans="1:24" x14ac:dyDescent="0.3">
      <c r="A1167">
        <v>1958</v>
      </c>
      <c r="B1167">
        <v>208</v>
      </c>
      <c r="C1167" t="s">
        <v>30</v>
      </c>
      <c r="D1167" t="s">
        <v>36</v>
      </c>
      <c r="E1167" t="s">
        <v>18</v>
      </c>
      <c r="F1167" t="s">
        <v>34</v>
      </c>
      <c r="G1167">
        <v>9</v>
      </c>
      <c r="H1167">
        <v>10</v>
      </c>
      <c r="I1167">
        <v>18</v>
      </c>
      <c r="J1167">
        <v>44.96</v>
      </c>
      <c r="K1167">
        <v>196.7</v>
      </c>
      <c r="L1167">
        <v>0.77</v>
      </c>
      <c r="M1167">
        <v>24.78</v>
      </c>
      <c r="N1167">
        <v>0.64</v>
      </c>
      <c r="O1167" t="s">
        <v>20</v>
      </c>
      <c r="P1167" t="s">
        <v>21</v>
      </c>
      <c r="Q1167">
        <f t="shared" si="90"/>
        <v>1</v>
      </c>
      <c r="R1167" s="4">
        <f>RANK(N1167,$N$2:N$2800,0)</f>
        <v>2767</v>
      </c>
      <c r="S1167">
        <f t="shared" si="91"/>
        <v>0.5</v>
      </c>
      <c r="T1167" t="str">
        <f t="shared" si="92"/>
        <v>Low</v>
      </c>
      <c r="U1167" t="str" cm="1">
        <f t="array" ref="U1167">_xlfn.LET(_xlpm.roles,_xlfn.UNIQUE(D1167:D3965),_xlpm.kills, SUMIF(D1167:D3965,_xlpm.roles,G1167:G3965),INDEX(_xlpm.roles,MATCH(MAX(_xlpm.kills),_xlpm.kills,0)))</f>
        <v>Entry Fragger</v>
      </c>
      <c r="V1167" t="str">
        <f t="shared" si="93"/>
        <v>Medium Accuracy</v>
      </c>
      <c r="W1167" t="str" cm="1">
        <f t="array" ref="W1167">_xlfn.LET(_xlpm.roles,_xlfn.UNIQUE(D1167:D3965), _xlpm.counts,COUNTIF(D1167:D3965,_xlpm.roles), INDEX(_xlpm.roles,MATCH(MAX(_xlpm.counts),_xlpm.counts,0)))</f>
        <v>Entry Fragger</v>
      </c>
      <c r="X1167" s="2">
        <f t="shared" si="94"/>
        <v>13.135802469135802</v>
      </c>
    </row>
    <row r="1168" spans="1:24" x14ac:dyDescent="0.3">
      <c r="A1168">
        <v>2230</v>
      </c>
      <c r="B1168">
        <v>208</v>
      </c>
      <c r="C1168" t="s">
        <v>27</v>
      </c>
      <c r="D1168" t="s">
        <v>22</v>
      </c>
      <c r="E1168" t="s">
        <v>33</v>
      </c>
      <c r="F1168" t="s">
        <v>37</v>
      </c>
      <c r="G1168">
        <v>16</v>
      </c>
      <c r="H1168">
        <v>12</v>
      </c>
      <c r="I1168">
        <v>12</v>
      </c>
      <c r="J1168">
        <v>59.47</v>
      </c>
      <c r="K1168">
        <v>245.12</v>
      </c>
      <c r="L1168">
        <v>0.59</v>
      </c>
      <c r="M1168">
        <v>55.84</v>
      </c>
      <c r="N1168">
        <v>1</v>
      </c>
      <c r="O1168" t="s">
        <v>20</v>
      </c>
      <c r="P1168" t="s">
        <v>21</v>
      </c>
      <c r="Q1168">
        <f t="shared" si="90"/>
        <v>16</v>
      </c>
      <c r="R1168" s="4">
        <f>RANK(N1168,$N$2:N$2800,0)</f>
        <v>1</v>
      </c>
      <c r="S1168">
        <f t="shared" si="91"/>
        <v>1.3333333333333333</v>
      </c>
      <c r="T1168" t="str">
        <f t="shared" si="92"/>
        <v>Good</v>
      </c>
      <c r="U1168" t="str" cm="1">
        <f t="array" ref="U1168">_xlfn.LET(_xlpm.roles,_xlfn.UNIQUE(D1168:D3966),_xlpm.kills, SUMIF(D1168:D3966,_xlpm.roles,G1168:G3966),INDEX(_xlpm.roles,MATCH(MAX(_xlpm.kills),_xlpm.kills,0)))</f>
        <v>Entry Fragger</v>
      </c>
      <c r="V1168" t="str">
        <f t="shared" si="93"/>
        <v>High Accuracy</v>
      </c>
      <c r="W1168" t="str" cm="1">
        <f t="array" ref="W1168">_xlfn.LET(_xlpm.roles,_xlfn.UNIQUE(D1168:D3966), _xlpm.counts,COUNTIF(D1168:D3966,_xlpm.roles), INDEX(_xlpm.roles,MATCH(MAX(_xlpm.counts),_xlpm.counts,0)))</f>
        <v>Entry Fragger</v>
      </c>
      <c r="X1168" s="2">
        <f t="shared" si="94"/>
        <v>13.057077625570777</v>
      </c>
    </row>
    <row r="1169" spans="1:24" x14ac:dyDescent="0.3">
      <c r="A1169">
        <v>558</v>
      </c>
      <c r="B1169">
        <v>209</v>
      </c>
      <c r="C1169" t="s">
        <v>27</v>
      </c>
      <c r="D1169" t="s">
        <v>28</v>
      </c>
      <c r="E1169" t="s">
        <v>18</v>
      </c>
      <c r="F1169" t="s">
        <v>19</v>
      </c>
      <c r="G1169">
        <v>13</v>
      </c>
      <c r="H1169">
        <v>2</v>
      </c>
      <c r="I1169">
        <v>11</v>
      </c>
      <c r="J1169">
        <v>49.7</v>
      </c>
      <c r="K1169">
        <v>293.8</v>
      </c>
      <c r="L1169">
        <v>0.3</v>
      </c>
      <c r="M1169">
        <v>38.85</v>
      </c>
      <c r="N1169">
        <v>0.97</v>
      </c>
      <c r="O1169" t="s">
        <v>20</v>
      </c>
      <c r="P1169" t="s">
        <v>21</v>
      </c>
      <c r="Q1169">
        <f t="shared" si="90"/>
        <v>4</v>
      </c>
      <c r="R1169" s="4">
        <f>RANK(N1169,$N$2:N$2800,0)</f>
        <v>1243</v>
      </c>
      <c r="S1169">
        <f t="shared" si="91"/>
        <v>1.1818181818181819</v>
      </c>
      <c r="T1169" t="str">
        <f t="shared" si="92"/>
        <v>Low</v>
      </c>
      <c r="U1169" t="str" cm="1">
        <f t="array" ref="U1169">_xlfn.LET(_xlpm.roles,_xlfn.UNIQUE(D1169:D3967),_xlpm.kills, SUMIF(D1169:D3967,_xlpm.roles,G1169:G3967),INDEX(_xlpm.roles,MATCH(MAX(_xlpm.kills),_xlpm.kills,0)))</f>
        <v>Entry Fragger</v>
      </c>
      <c r="V1169" t="str">
        <f t="shared" si="93"/>
        <v>Medium Accuracy</v>
      </c>
      <c r="W1169" t="str" cm="1">
        <f t="array" ref="W1169">_xlfn.LET(_xlpm.roles,_xlfn.UNIQUE(D1169:D3967), _xlpm.counts,COUNTIF(D1169:D3967,_xlpm.roles), INDEX(_xlpm.roles,MATCH(MAX(_xlpm.counts),_xlpm.counts,0)))</f>
        <v>Entry Fragger</v>
      </c>
      <c r="X1169" s="2">
        <f t="shared" si="94"/>
        <v>13.057077625570777</v>
      </c>
    </row>
    <row r="1170" spans="1:24" x14ac:dyDescent="0.3">
      <c r="A1170">
        <v>906</v>
      </c>
      <c r="B1170">
        <v>209</v>
      </c>
      <c r="C1170" t="s">
        <v>30</v>
      </c>
      <c r="D1170" t="s">
        <v>36</v>
      </c>
      <c r="E1170" t="s">
        <v>18</v>
      </c>
      <c r="F1170" t="s">
        <v>26</v>
      </c>
      <c r="G1170">
        <v>19</v>
      </c>
      <c r="H1170">
        <v>8</v>
      </c>
      <c r="I1170">
        <v>7</v>
      </c>
      <c r="J1170">
        <v>48.31</v>
      </c>
      <c r="K1170">
        <v>233.6</v>
      </c>
      <c r="L1170">
        <v>0.48</v>
      </c>
      <c r="M1170">
        <v>58.36</v>
      </c>
      <c r="N1170">
        <v>1</v>
      </c>
      <c r="O1170" t="s">
        <v>20</v>
      </c>
      <c r="P1170" t="s">
        <v>21</v>
      </c>
      <c r="Q1170">
        <f t="shared" si="90"/>
        <v>20</v>
      </c>
      <c r="R1170" s="4">
        <f>RANK(N1170,$N$2:N$2800,0)</f>
        <v>1</v>
      </c>
      <c r="S1170">
        <f t="shared" si="91"/>
        <v>2.7142857142857144</v>
      </c>
      <c r="T1170" t="str">
        <f t="shared" si="92"/>
        <v>Good</v>
      </c>
      <c r="U1170" t="str" cm="1">
        <f t="array" ref="U1170">_xlfn.LET(_xlpm.roles,_xlfn.UNIQUE(D1170:D3968),_xlpm.kills, SUMIF(D1170:D3968,_xlpm.roles,G1170:G3968),INDEX(_xlpm.roles,MATCH(MAX(_xlpm.kills),_xlpm.kills,0)))</f>
        <v>Entry Fragger</v>
      </c>
      <c r="V1170" t="str">
        <f t="shared" si="93"/>
        <v>Medium Accuracy</v>
      </c>
      <c r="W1170" t="str" cm="1">
        <f t="array" ref="W1170">_xlfn.LET(_xlpm.roles,_xlfn.UNIQUE(D1170:D3968), _xlpm.counts,COUNTIF(D1170:D3968,_xlpm.roles), INDEX(_xlpm.roles,MATCH(MAX(_xlpm.counts),_xlpm.counts,0)))</f>
        <v>Entry Fragger</v>
      </c>
      <c r="X1170" s="2">
        <f t="shared" si="94"/>
        <v>13.135802469135802</v>
      </c>
    </row>
    <row r="1171" spans="1:24" x14ac:dyDescent="0.3">
      <c r="A1171">
        <v>1107</v>
      </c>
      <c r="B1171">
        <v>209</v>
      </c>
      <c r="C1171" t="s">
        <v>30</v>
      </c>
      <c r="D1171" t="s">
        <v>22</v>
      </c>
      <c r="E1171" t="s">
        <v>33</v>
      </c>
      <c r="F1171" t="s">
        <v>26</v>
      </c>
      <c r="G1171">
        <v>8</v>
      </c>
      <c r="H1171">
        <v>10</v>
      </c>
      <c r="I1171">
        <v>9</v>
      </c>
      <c r="J1171">
        <v>51.88</v>
      </c>
      <c r="K1171">
        <v>187.1</v>
      </c>
      <c r="L1171">
        <v>0.31</v>
      </c>
      <c r="M1171">
        <v>39.840000000000003</v>
      </c>
      <c r="N1171">
        <v>0.86</v>
      </c>
      <c r="O1171" t="s">
        <v>20</v>
      </c>
      <c r="P1171" t="s">
        <v>21</v>
      </c>
      <c r="Q1171">
        <f t="shared" si="90"/>
        <v>9</v>
      </c>
      <c r="R1171" s="4">
        <f>RANK(N1171,$N$2:N$2800,0)</f>
        <v>2040</v>
      </c>
      <c r="S1171">
        <f t="shared" si="91"/>
        <v>0.88888888888888884</v>
      </c>
      <c r="T1171" t="str">
        <f t="shared" si="92"/>
        <v>Low</v>
      </c>
      <c r="U1171" t="str" cm="1">
        <f t="array" ref="U1171">_xlfn.LET(_xlpm.roles,_xlfn.UNIQUE(D1171:D3969),_xlpm.kills, SUMIF(D1171:D3969,_xlpm.roles,G1171:G3969),INDEX(_xlpm.roles,MATCH(MAX(_xlpm.kills),_xlpm.kills,0)))</f>
        <v>Entry Fragger</v>
      </c>
      <c r="V1171" t="str">
        <f t="shared" si="93"/>
        <v>High Accuracy</v>
      </c>
      <c r="W1171" t="str" cm="1">
        <f t="array" ref="W1171">_xlfn.LET(_xlpm.roles,_xlfn.UNIQUE(D1171:D3969), _xlpm.counts,COUNTIF(D1171:D3969,_xlpm.roles), INDEX(_xlpm.roles,MATCH(MAX(_xlpm.counts),_xlpm.counts,0)))</f>
        <v>Entry Fragger</v>
      </c>
      <c r="X1171" s="2">
        <f t="shared" si="94"/>
        <v>13.135802469135802</v>
      </c>
    </row>
    <row r="1172" spans="1:24" x14ac:dyDescent="0.3">
      <c r="A1172">
        <v>1155</v>
      </c>
      <c r="B1172">
        <v>209</v>
      </c>
      <c r="C1172" t="s">
        <v>25</v>
      </c>
      <c r="D1172" t="s">
        <v>31</v>
      </c>
      <c r="E1172" t="s">
        <v>29</v>
      </c>
      <c r="F1172" t="s">
        <v>37</v>
      </c>
      <c r="G1172">
        <v>16</v>
      </c>
      <c r="H1172">
        <v>10</v>
      </c>
      <c r="I1172">
        <v>8</v>
      </c>
      <c r="J1172">
        <v>44.69</v>
      </c>
      <c r="K1172">
        <v>247.82</v>
      </c>
      <c r="L1172">
        <v>0.28000000000000003</v>
      </c>
      <c r="M1172">
        <v>53.55</v>
      </c>
      <c r="N1172">
        <v>1</v>
      </c>
      <c r="O1172" t="s">
        <v>20</v>
      </c>
      <c r="P1172" t="s">
        <v>21</v>
      </c>
      <c r="Q1172">
        <f t="shared" si="90"/>
        <v>18</v>
      </c>
      <c r="R1172" s="4">
        <f>RANK(N1172,$N$2:N$2800,0)</f>
        <v>1</v>
      </c>
      <c r="S1172">
        <f t="shared" si="91"/>
        <v>2</v>
      </c>
      <c r="T1172" t="str">
        <f t="shared" si="92"/>
        <v>Good</v>
      </c>
      <c r="U1172" t="str" cm="1">
        <f t="array" ref="U1172">_xlfn.LET(_xlpm.roles,_xlfn.UNIQUE(D1172:D3970),_xlpm.kills, SUMIF(D1172:D3970,_xlpm.roles,G1172:G3970),INDEX(_xlpm.roles,MATCH(MAX(_xlpm.kills),_xlpm.kills,0)))</f>
        <v>Entry Fragger</v>
      </c>
      <c r="V1172" t="str">
        <f t="shared" si="93"/>
        <v>Medium Accuracy</v>
      </c>
      <c r="W1172" t="str" cm="1">
        <f t="array" ref="W1172">_xlfn.LET(_xlpm.roles,_xlfn.UNIQUE(D1172:D3970), _xlpm.counts,COUNTIF(D1172:D3970,_xlpm.roles), INDEX(_xlpm.roles,MATCH(MAX(_xlpm.counts),_xlpm.counts,0)))</f>
        <v>Entry Fragger</v>
      </c>
      <c r="X1172" s="2">
        <f t="shared" si="94"/>
        <v>12.809421841541756</v>
      </c>
    </row>
    <row r="1173" spans="1:24" x14ac:dyDescent="0.3">
      <c r="A1173">
        <v>1179</v>
      </c>
      <c r="B1173">
        <v>209</v>
      </c>
      <c r="C1173" t="s">
        <v>30</v>
      </c>
      <c r="D1173" t="s">
        <v>22</v>
      </c>
      <c r="E1173" t="s">
        <v>32</v>
      </c>
      <c r="F1173" t="s">
        <v>26</v>
      </c>
      <c r="G1173">
        <v>23</v>
      </c>
      <c r="H1173">
        <v>2</v>
      </c>
      <c r="I1173">
        <v>11</v>
      </c>
      <c r="J1173">
        <v>29.4</v>
      </c>
      <c r="K1173">
        <v>219.9</v>
      </c>
      <c r="L1173">
        <v>0.53</v>
      </c>
      <c r="M1173">
        <v>46.4</v>
      </c>
      <c r="N1173">
        <v>0.92</v>
      </c>
      <c r="O1173" t="s">
        <v>20</v>
      </c>
      <c r="P1173" t="s">
        <v>21</v>
      </c>
      <c r="Q1173">
        <f t="shared" si="90"/>
        <v>14</v>
      </c>
      <c r="R1173" s="4">
        <f>RANK(N1173,$N$2:N$2800,0)</f>
        <v>1585</v>
      </c>
      <c r="S1173">
        <f t="shared" si="91"/>
        <v>2.0909090909090908</v>
      </c>
      <c r="T1173" t="str">
        <f t="shared" si="92"/>
        <v>Low</v>
      </c>
      <c r="U1173" t="str" cm="1">
        <f t="array" ref="U1173">_xlfn.LET(_xlpm.roles,_xlfn.UNIQUE(D1173:D3971),_xlpm.kills, SUMIF(D1173:D3971,_xlpm.roles,G1173:G3971),INDEX(_xlpm.roles,MATCH(MAX(_xlpm.kills),_xlpm.kills,0)))</f>
        <v>Entry Fragger</v>
      </c>
      <c r="V1173" t="str">
        <f t="shared" si="93"/>
        <v>Low Accuracy</v>
      </c>
      <c r="W1173" t="str" cm="1">
        <f t="array" ref="W1173">_xlfn.LET(_xlpm.roles,_xlfn.UNIQUE(D1173:D3971), _xlpm.counts,COUNTIF(D1173:D3971,_xlpm.roles), INDEX(_xlpm.roles,MATCH(MAX(_xlpm.counts),_xlpm.counts,0)))</f>
        <v>Entry Fragger</v>
      </c>
      <c r="X1173" s="2">
        <f t="shared" si="94"/>
        <v>13.135802469135802</v>
      </c>
    </row>
    <row r="1174" spans="1:24" x14ac:dyDescent="0.3">
      <c r="A1174">
        <v>1509</v>
      </c>
      <c r="B1174">
        <v>209</v>
      </c>
      <c r="C1174" t="s">
        <v>39</v>
      </c>
      <c r="D1174" t="s">
        <v>28</v>
      </c>
      <c r="E1174" t="s">
        <v>33</v>
      </c>
      <c r="F1174" t="s">
        <v>24</v>
      </c>
      <c r="G1174">
        <v>16</v>
      </c>
      <c r="H1174">
        <v>8</v>
      </c>
      <c r="I1174">
        <v>10</v>
      </c>
      <c r="J1174">
        <v>59.46</v>
      </c>
      <c r="K1174">
        <v>188.05</v>
      </c>
      <c r="L1174">
        <v>0.66</v>
      </c>
      <c r="M1174">
        <v>53.13</v>
      </c>
      <c r="N1174">
        <v>1</v>
      </c>
      <c r="O1174" t="s">
        <v>20</v>
      </c>
      <c r="P1174" t="s">
        <v>21</v>
      </c>
      <c r="Q1174">
        <f t="shared" si="90"/>
        <v>14</v>
      </c>
      <c r="R1174" s="4">
        <f>RANK(N1174,$N$2:N$2800,0)</f>
        <v>1</v>
      </c>
      <c r="S1174">
        <f t="shared" si="91"/>
        <v>1.6</v>
      </c>
      <c r="T1174" t="str">
        <f t="shared" si="92"/>
        <v>Low</v>
      </c>
      <c r="U1174" t="str" cm="1">
        <f t="array" ref="U1174">_xlfn.LET(_xlpm.roles,_xlfn.UNIQUE(D1174:D3972),_xlpm.kills, SUMIF(D1174:D3972,_xlpm.roles,G1174:G3972),INDEX(_xlpm.roles,MATCH(MAX(_xlpm.kills),_xlpm.kills,0)))</f>
        <v>Entry Fragger</v>
      </c>
      <c r="V1174" t="str">
        <f t="shared" si="93"/>
        <v>High Accuracy</v>
      </c>
      <c r="W1174" t="str" cm="1">
        <f t="array" ref="W1174">_xlfn.LET(_xlpm.roles,_xlfn.UNIQUE(D1174:D3972), _xlpm.counts,COUNTIF(D1174:D3972,_xlpm.roles), INDEX(_xlpm.roles,MATCH(MAX(_xlpm.counts),_xlpm.counts,0)))</f>
        <v>Entry Fragger</v>
      </c>
      <c r="X1174" s="2">
        <f t="shared" si="94"/>
        <v>13.103594080338267</v>
      </c>
    </row>
    <row r="1175" spans="1:24" x14ac:dyDescent="0.3">
      <c r="A1175">
        <v>2660</v>
      </c>
      <c r="B1175">
        <v>209</v>
      </c>
      <c r="C1175" t="s">
        <v>25</v>
      </c>
      <c r="D1175" t="s">
        <v>17</v>
      </c>
      <c r="E1175" t="s">
        <v>23</v>
      </c>
      <c r="F1175" t="s">
        <v>34</v>
      </c>
      <c r="G1175">
        <v>9</v>
      </c>
      <c r="H1175">
        <v>9</v>
      </c>
      <c r="I1175">
        <v>12</v>
      </c>
      <c r="J1175">
        <v>41.65</v>
      </c>
      <c r="K1175">
        <v>239.78</v>
      </c>
      <c r="L1175">
        <v>0.21</v>
      </c>
      <c r="M1175">
        <v>33.729999999999997</v>
      </c>
      <c r="N1175">
        <v>0.73</v>
      </c>
      <c r="O1175" t="s">
        <v>20</v>
      </c>
      <c r="P1175" t="s">
        <v>21</v>
      </c>
      <c r="Q1175">
        <f t="shared" si="90"/>
        <v>6</v>
      </c>
      <c r="R1175" s="4">
        <f>RANK(N1175,$N$2:N$2800,0)</f>
        <v>2642</v>
      </c>
      <c r="S1175">
        <f t="shared" si="91"/>
        <v>0.75</v>
      </c>
      <c r="T1175" t="str">
        <f t="shared" si="92"/>
        <v>Low</v>
      </c>
      <c r="U1175" t="str" cm="1">
        <f t="array" ref="U1175">_xlfn.LET(_xlpm.roles,_xlfn.UNIQUE(D1175:D3973),_xlpm.kills, SUMIF(D1175:D3973,_xlpm.roles,G1175:G3973),INDEX(_xlpm.roles,MATCH(MAX(_xlpm.kills),_xlpm.kills,0)))</f>
        <v>Entry Fragger</v>
      </c>
      <c r="V1175" t="str">
        <f t="shared" si="93"/>
        <v>Medium Accuracy</v>
      </c>
      <c r="W1175" t="str" cm="1">
        <f t="array" ref="W1175">_xlfn.LET(_xlpm.roles,_xlfn.UNIQUE(D1175:D3973), _xlpm.counts,COUNTIF(D1175:D3973,_xlpm.roles), INDEX(_xlpm.roles,MATCH(MAX(_xlpm.counts),_xlpm.counts,0)))</f>
        <v>Entry Fragger</v>
      </c>
      <c r="X1175" s="2">
        <f t="shared" si="94"/>
        <v>12.809421841541756</v>
      </c>
    </row>
    <row r="1176" spans="1:24" x14ac:dyDescent="0.3">
      <c r="A1176">
        <v>55</v>
      </c>
      <c r="B1176">
        <v>210</v>
      </c>
      <c r="C1176" t="s">
        <v>39</v>
      </c>
      <c r="D1176" t="s">
        <v>28</v>
      </c>
      <c r="E1176" t="s">
        <v>23</v>
      </c>
      <c r="F1176" t="s">
        <v>19</v>
      </c>
      <c r="G1176">
        <v>12</v>
      </c>
      <c r="H1176">
        <v>5</v>
      </c>
      <c r="I1176">
        <v>10</v>
      </c>
      <c r="J1176">
        <v>53.25</v>
      </c>
      <c r="K1176">
        <v>175.43</v>
      </c>
      <c r="L1176">
        <v>0.89</v>
      </c>
      <c r="M1176">
        <v>36.729999999999997</v>
      </c>
      <c r="N1176">
        <v>0.73</v>
      </c>
      <c r="O1176" t="s">
        <v>20</v>
      </c>
      <c r="P1176" t="s">
        <v>21</v>
      </c>
      <c r="Q1176">
        <f t="shared" si="90"/>
        <v>7</v>
      </c>
      <c r="R1176" s="4">
        <f>RANK(N1176,$N$2:N$2800,0)</f>
        <v>2642</v>
      </c>
      <c r="S1176">
        <f t="shared" si="91"/>
        <v>1.2</v>
      </c>
      <c r="T1176" t="str">
        <f t="shared" si="92"/>
        <v>Low</v>
      </c>
      <c r="U1176" t="str" cm="1">
        <f t="array" ref="U1176">_xlfn.LET(_xlpm.roles,_xlfn.UNIQUE(D1176:D3974),_xlpm.kills, SUMIF(D1176:D3974,_xlpm.roles,G1176:G3974),INDEX(_xlpm.roles,MATCH(MAX(_xlpm.kills),_xlpm.kills,0)))</f>
        <v>Entry Fragger</v>
      </c>
      <c r="V1176" t="str">
        <f t="shared" si="93"/>
        <v>High Accuracy</v>
      </c>
      <c r="W1176" t="str" cm="1">
        <f t="array" ref="W1176">_xlfn.LET(_xlpm.roles,_xlfn.UNIQUE(D1176:D3974), _xlpm.counts,COUNTIF(D1176:D3974,_xlpm.roles), INDEX(_xlpm.roles,MATCH(MAX(_xlpm.counts),_xlpm.counts,0)))</f>
        <v>Entry Fragger</v>
      </c>
      <c r="X1176" s="2">
        <f t="shared" si="94"/>
        <v>13.103594080338267</v>
      </c>
    </row>
    <row r="1177" spans="1:24" x14ac:dyDescent="0.3">
      <c r="A1177">
        <v>82</v>
      </c>
      <c r="B1177">
        <v>210</v>
      </c>
      <c r="C1177" t="s">
        <v>30</v>
      </c>
      <c r="D1177" t="s">
        <v>36</v>
      </c>
      <c r="E1177" t="s">
        <v>18</v>
      </c>
      <c r="F1177" t="s">
        <v>24</v>
      </c>
      <c r="G1177">
        <v>25</v>
      </c>
      <c r="H1177">
        <v>9</v>
      </c>
      <c r="I1177">
        <v>11</v>
      </c>
      <c r="J1177">
        <v>48.52</v>
      </c>
      <c r="K1177">
        <v>182.68</v>
      </c>
      <c r="L1177">
        <v>0.78</v>
      </c>
      <c r="M1177">
        <v>64.459999999999994</v>
      </c>
      <c r="N1177">
        <v>1</v>
      </c>
      <c r="O1177" t="s">
        <v>20</v>
      </c>
      <c r="P1177" t="s">
        <v>38</v>
      </c>
      <c r="Q1177">
        <f t="shared" si="90"/>
        <v>23</v>
      </c>
      <c r="R1177" s="4">
        <f>RANK(N1177,$N$2:N$2800,0)</f>
        <v>1</v>
      </c>
      <c r="S1177">
        <f t="shared" si="91"/>
        <v>2.2727272727272729</v>
      </c>
      <c r="T1177" t="str">
        <f t="shared" si="92"/>
        <v>Good</v>
      </c>
      <c r="U1177" t="str" cm="1">
        <f t="array" ref="U1177">_xlfn.LET(_xlpm.roles,_xlfn.UNIQUE(D1177:D3975),_xlpm.kills, SUMIF(D1177:D3975,_xlpm.roles,G1177:G3975),INDEX(_xlpm.roles,MATCH(MAX(_xlpm.kills),_xlpm.kills,0)))</f>
        <v>Entry Fragger</v>
      </c>
      <c r="V1177" t="str">
        <f t="shared" si="93"/>
        <v>Medium Accuracy</v>
      </c>
      <c r="W1177" t="str" cm="1">
        <f t="array" ref="W1177">_xlfn.LET(_xlpm.roles,_xlfn.UNIQUE(D1177:D3975), _xlpm.counts,COUNTIF(D1177:D3975,_xlpm.roles), INDEX(_xlpm.roles,MATCH(MAX(_xlpm.counts),_xlpm.counts,0)))</f>
        <v>Entry Fragger</v>
      </c>
      <c r="X1177" s="2">
        <f t="shared" si="94"/>
        <v>13.135802469135802</v>
      </c>
    </row>
    <row r="1178" spans="1:24" x14ac:dyDescent="0.3">
      <c r="A1178">
        <v>1533</v>
      </c>
      <c r="B1178">
        <v>210</v>
      </c>
      <c r="C1178" t="s">
        <v>27</v>
      </c>
      <c r="D1178" t="s">
        <v>36</v>
      </c>
      <c r="E1178" t="s">
        <v>29</v>
      </c>
      <c r="F1178" t="s">
        <v>24</v>
      </c>
      <c r="G1178">
        <v>20</v>
      </c>
      <c r="H1178">
        <v>8</v>
      </c>
      <c r="I1178">
        <v>6</v>
      </c>
      <c r="J1178">
        <v>40.47</v>
      </c>
      <c r="K1178">
        <v>209.1</v>
      </c>
      <c r="L1178">
        <v>0.7</v>
      </c>
      <c r="M1178">
        <v>55.23</v>
      </c>
      <c r="N1178">
        <v>1</v>
      </c>
      <c r="O1178" t="s">
        <v>20</v>
      </c>
      <c r="P1178" t="s">
        <v>21</v>
      </c>
      <c r="Q1178">
        <f t="shared" si="90"/>
        <v>22</v>
      </c>
      <c r="R1178" s="4">
        <f>RANK(N1178,$N$2:N$2800,0)</f>
        <v>1</v>
      </c>
      <c r="S1178">
        <f t="shared" si="91"/>
        <v>3.3333333333333335</v>
      </c>
      <c r="T1178" t="str">
        <f t="shared" si="92"/>
        <v>Good</v>
      </c>
      <c r="U1178" t="str" cm="1">
        <f t="array" ref="U1178">_xlfn.LET(_xlpm.roles,_xlfn.UNIQUE(D1178:D3976),_xlpm.kills, SUMIF(D1178:D3976,_xlpm.roles,G1178:G3976),INDEX(_xlpm.roles,MATCH(MAX(_xlpm.kills),_xlpm.kills,0)))</f>
        <v>Entry Fragger</v>
      </c>
      <c r="V1178" t="str">
        <f t="shared" si="93"/>
        <v>Medium Accuracy</v>
      </c>
      <c r="W1178" t="str" cm="1">
        <f t="array" ref="W1178">_xlfn.LET(_xlpm.roles,_xlfn.UNIQUE(D1178:D3976), _xlpm.counts,COUNTIF(D1178:D3976,_xlpm.roles), INDEX(_xlpm.roles,MATCH(MAX(_xlpm.counts),_xlpm.counts,0)))</f>
        <v>Entry Fragger</v>
      </c>
      <c r="X1178" s="2">
        <f t="shared" si="94"/>
        <v>13.057077625570777</v>
      </c>
    </row>
    <row r="1179" spans="1:24" x14ac:dyDescent="0.3">
      <c r="A1179">
        <v>1654</v>
      </c>
      <c r="B1179">
        <v>210</v>
      </c>
      <c r="C1179" t="s">
        <v>25</v>
      </c>
      <c r="D1179" t="s">
        <v>36</v>
      </c>
      <c r="E1179" t="s">
        <v>18</v>
      </c>
      <c r="F1179" t="s">
        <v>37</v>
      </c>
      <c r="G1179">
        <v>12</v>
      </c>
      <c r="H1179">
        <v>4</v>
      </c>
      <c r="I1179">
        <v>10</v>
      </c>
      <c r="J1179">
        <v>43.68</v>
      </c>
      <c r="K1179">
        <v>226.93</v>
      </c>
      <c r="L1179">
        <v>0.71</v>
      </c>
      <c r="M1179">
        <v>32.74</v>
      </c>
      <c r="N1179">
        <v>0.72</v>
      </c>
      <c r="O1179" t="s">
        <v>20</v>
      </c>
      <c r="P1179" t="s">
        <v>21</v>
      </c>
      <c r="Q1179">
        <f t="shared" si="90"/>
        <v>6</v>
      </c>
      <c r="R1179" s="4">
        <f>RANK(N1179,$N$2:N$2800,0)</f>
        <v>2663</v>
      </c>
      <c r="S1179">
        <f t="shared" si="91"/>
        <v>1.2</v>
      </c>
      <c r="T1179" t="str">
        <f t="shared" si="92"/>
        <v>Low</v>
      </c>
      <c r="U1179" t="str" cm="1">
        <f t="array" ref="U1179">_xlfn.LET(_xlpm.roles,_xlfn.UNIQUE(D1179:D3977),_xlpm.kills, SUMIF(D1179:D3977,_xlpm.roles,G1179:G3977),INDEX(_xlpm.roles,MATCH(MAX(_xlpm.kills),_xlpm.kills,0)))</f>
        <v>Entry Fragger</v>
      </c>
      <c r="V1179" t="str">
        <f t="shared" si="93"/>
        <v>Medium Accuracy</v>
      </c>
      <c r="W1179" t="str" cm="1">
        <f t="array" ref="W1179">_xlfn.LET(_xlpm.roles,_xlfn.UNIQUE(D1179:D3977), _xlpm.counts,COUNTIF(D1179:D3977,_xlpm.roles), INDEX(_xlpm.roles,MATCH(MAX(_xlpm.counts),_xlpm.counts,0)))</f>
        <v>Entry Fragger</v>
      </c>
      <c r="X1179" s="2">
        <f t="shared" si="94"/>
        <v>12.809421841541756</v>
      </c>
    </row>
    <row r="1180" spans="1:24" x14ac:dyDescent="0.3">
      <c r="A1180">
        <v>1951</v>
      </c>
      <c r="B1180">
        <v>210</v>
      </c>
      <c r="C1180" t="s">
        <v>35</v>
      </c>
      <c r="D1180" t="s">
        <v>36</v>
      </c>
      <c r="E1180" t="s">
        <v>33</v>
      </c>
      <c r="F1180" t="s">
        <v>19</v>
      </c>
      <c r="G1180">
        <v>16</v>
      </c>
      <c r="H1180">
        <v>9</v>
      </c>
      <c r="I1180">
        <v>6</v>
      </c>
      <c r="J1180">
        <v>42.11</v>
      </c>
      <c r="K1180">
        <v>247.44</v>
      </c>
      <c r="L1180">
        <v>0.77</v>
      </c>
      <c r="M1180">
        <v>48.35</v>
      </c>
      <c r="N1180">
        <v>1</v>
      </c>
      <c r="O1180" t="s">
        <v>20</v>
      </c>
      <c r="P1180" t="s">
        <v>21</v>
      </c>
      <c r="Q1180">
        <f t="shared" si="90"/>
        <v>19</v>
      </c>
      <c r="R1180" s="4">
        <f>RANK(N1180,$N$2:N$2800,0)</f>
        <v>1</v>
      </c>
      <c r="S1180">
        <f t="shared" si="91"/>
        <v>2.6666666666666665</v>
      </c>
      <c r="T1180" t="str">
        <f t="shared" si="92"/>
        <v>Good</v>
      </c>
      <c r="U1180" t="str" cm="1">
        <f t="array" ref="U1180">_xlfn.LET(_xlpm.roles,_xlfn.UNIQUE(D1180:D3978),_xlpm.kills, SUMIF(D1180:D3978,_xlpm.roles,G1180:G3978),INDEX(_xlpm.roles,MATCH(MAX(_xlpm.kills),_xlpm.kills,0)))</f>
        <v>Entry Fragger</v>
      </c>
      <c r="V1180" t="str">
        <f t="shared" si="93"/>
        <v>Medium Accuracy</v>
      </c>
      <c r="W1180" t="str" cm="1">
        <f t="array" ref="W1180">_xlfn.LET(_xlpm.roles,_xlfn.UNIQUE(D1180:D3978), _xlpm.counts,COUNTIF(D1180:D3978,_xlpm.roles), INDEX(_xlpm.roles,MATCH(MAX(_xlpm.counts),_xlpm.counts,0)))</f>
        <v>Entry Fragger</v>
      </c>
      <c r="X1180" s="2">
        <f t="shared" si="94"/>
        <v>12.599585062240664</v>
      </c>
    </row>
    <row r="1181" spans="1:24" x14ac:dyDescent="0.3">
      <c r="A1181">
        <v>475</v>
      </c>
      <c r="B1181">
        <v>211</v>
      </c>
      <c r="C1181" t="s">
        <v>30</v>
      </c>
      <c r="D1181" t="s">
        <v>17</v>
      </c>
      <c r="E1181" t="s">
        <v>33</v>
      </c>
      <c r="F1181" t="s">
        <v>26</v>
      </c>
      <c r="G1181">
        <v>16</v>
      </c>
      <c r="H1181">
        <v>7</v>
      </c>
      <c r="I1181">
        <v>8</v>
      </c>
      <c r="J1181">
        <v>44.96</v>
      </c>
      <c r="K1181">
        <v>231.96</v>
      </c>
      <c r="L1181">
        <v>0.01</v>
      </c>
      <c r="M1181">
        <v>53.38</v>
      </c>
      <c r="N1181">
        <v>0.99</v>
      </c>
      <c r="O1181" t="s">
        <v>20</v>
      </c>
      <c r="P1181" t="s">
        <v>21</v>
      </c>
      <c r="Q1181">
        <f t="shared" si="90"/>
        <v>15</v>
      </c>
      <c r="R1181" s="4">
        <f>RANK(N1181,$N$2:N$2800,0)</f>
        <v>1080</v>
      </c>
      <c r="S1181">
        <f t="shared" si="91"/>
        <v>2</v>
      </c>
      <c r="T1181" t="str">
        <f t="shared" si="92"/>
        <v>Good</v>
      </c>
      <c r="U1181" t="str" cm="1">
        <f t="array" ref="U1181">_xlfn.LET(_xlpm.roles,_xlfn.UNIQUE(D1181:D3979),_xlpm.kills, SUMIF(D1181:D3979,_xlpm.roles,G1181:G3979),INDEX(_xlpm.roles,MATCH(MAX(_xlpm.kills),_xlpm.kills,0)))</f>
        <v>Entry Fragger</v>
      </c>
      <c r="V1181" t="str">
        <f t="shared" si="93"/>
        <v>Medium Accuracy</v>
      </c>
      <c r="W1181" t="str" cm="1">
        <f t="array" ref="W1181">_xlfn.LET(_xlpm.roles,_xlfn.UNIQUE(D1181:D3979), _xlpm.counts,COUNTIF(D1181:D3979,_xlpm.roles), INDEX(_xlpm.roles,MATCH(MAX(_xlpm.counts),_xlpm.counts,0)))</f>
        <v>Entry Fragger</v>
      </c>
      <c r="X1181" s="2">
        <f t="shared" si="94"/>
        <v>13.135802469135802</v>
      </c>
    </row>
    <row r="1182" spans="1:24" x14ac:dyDescent="0.3">
      <c r="A1182">
        <v>683</v>
      </c>
      <c r="B1182">
        <v>211</v>
      </c>
      <c r="C1182" t="s">
        <v>39</v>
      </c>
      <c r="D1182" t="s">
        <v>22</v>
      </c>
      <c r="E1182" t="s">
        <v>33</v>
      </c>
      <c r="F1182" t="s">
        <v>24</v>
      </c>
      <c r="G1182">
        <v>20</v>
      </c>
      <c r="H1182">
        <v>10</v>
      </c>
      <c r="I1182">
        <v>5</v>
      </c>
      <c r="J1182">
        <v>34.78</v>
      </c>
      <c r="K1182">
        <v>187.5</v>
      </c>
      <c r="L1182">
        <v>0.95</v>
      </c>
      <c r="M1182">
        <v>52.89</v>
      </c>
      <c r="N1182">
        <v>1</v>
      </c>
      <c r="O1182" t="s">
        <v>20</v>
      </c>
      <c r="P1182" t="s">
        <v>21</v>
      </c>
      <c r="Q1182">
        <f t="shared" si="90"/>
        <v>25</v>
      </c>
      <c r="R1182" s="4">
        <f>RANK(N1182,$N$2:N$2800,0)</f>
        <v>1</v>
      </c>
      <c r="S1182">
        <f t="shared" si="91"/>
        <v>4</v>
      </c>
      <c r="T1182" t="str">
        <f t="shared" si="92"/>
        <v>Excellent</v>
      </c>
      <c r="U1182" t="str" cm="1">
        <f t="array" ref="U1182">_xlfn.LET(_xlpm.roles,_xlfn.UNIQUE(D1182:D3980),_xlpm.kills, SUMIF(D1182:D3980,_xlpm.roles,G1182:G3980),INDEX(_xlpm.roles,MATCH(MAX(_xlpm.kills),_xlpm.kills,0)))</f>
        <v>Entry Fragger</v>
      </c>
      <c r="V1182" t="str">
        <f t="shared" si="93"/>
        <v>Medium Accuracy</v>
      </c>
      <c r="W1182" t="str" cm="1">
        <f t="array" ref="W1182">_xlfn.LET(_xlpm.roles,_xlfn.UNIQUE(D1182:D3980), _xlpm.counts,COUNTIF(D1182:D3980,_xlpm.roles), INDEX(_xlpm.roles,MATCH(MAX(_xlpm.counts),_xlpm.counts,0)))</f>
        <v>Entry Fragger</v>
      </c>
      <c r="X1182" s="2">
        <f t="shared" si="94"/>
        <v>13.103594080338267</v>
      </c>
    </row>
    <row r="1183" spans="1:24" x14ac:dyDescent="0.3">
      <c r="A1183">
        <v>841</v>
      </c>
      <c r="B1183">
        <v>211</v>
      </c>
      <c r="C1183" t="s">
        <v>16</v>
      </c>
      <c r="D1183" t="s">
        <v>17</v>
      </c>
      <c r="E1183" t="s">
        <v>23</v>
      </c>
      <c r="F1183" t="s">
        <v>37</v>
      </c>
      <c r="G1183">
        <v>12</v>
      </c>
      <c r="H1183">
        <v>6</v>
      </c>
      <c r="I1183">
        <v>7</v>
      </c>
      <c r="J1183">
        <v>34.72</v>
      </c>
      <c r="K1183">
        <v>184.98</v>
      </c>
      <c r="L1183">
        <v>0.04</v>
      </c>
      <c r="M1183">
        <v>39.96</v>
      </c>
      <c r="N1183">
        <v>0.95</v>
      </c>
      <c r="O1183" t="s">
        <v>20</v>
      </c>
      <c r="P1183" t="s">
        <v>21</v>
      </c>
      <c r="Q1183">
        <f t="shared" si="90"/>
        <v>11</v>
      </c>
      <c r="R1183" s="4">
        <f>RANK(N1183,$N$2:N$2800,0)</f>
        <v>1367</v>
      </c>
      <c r="S1183">
        <f t="shared" si="91"/>
        <v>1.7142857142857142</v>
      </c>
      <c r="T1183" t="str">
        <f t="shared" si="92"/>
        <v>Low</v>
      </c>
      <c r="U1183" t="str" cm="1">
        <f t="array" ref="U1183">_xlfn.LET(_xlpm.roles,_xlfn.UNIQUE(D1183:D3981),_xlpm.kills, SUMIF(D1183:D3981,_xlpm.roles,G1183:G3981),INDEX(_xlpm.roles,MATCH(MAX(_xlpm.kills),_xlpm.kills,0)))</f>
        <v>Entry Fragger</v>
      </c>
      <c r="V1183" t="str">
        <f t="shared" si="93"/>
        <v>Medium Accuracy</v>
      </c>
      <c r="W1183" t="str" cm="1">
        <f t="array" ref="W1183">_xlfn.LET(_xlpm.roles,_xlfn.UNIQUE(D1183:D3981), _xlpm.counts,COUNTIF(D1183:D3981,_xlpm.roles), INDEX(_xlpm.roles,MATCH(MAX(_xlpm.counts),_xlpm.counts,0)))</f>
        <v>Entry Fragger</v>
      </c>
      <c r="X1183" s="2">
        <f t="shared" si="94"/>
        <v>12.520971302428256</v>
      </c>
    </row>
    <row r="1184" spans="1:24" x14ac:dyDescent="0.3">
      <c r="A1184">
        <v>1587</v>
      </c>
      <c r="B1184">
        <v>211</v>
      </c>
      <c r="C1184" t="s">
        <v>30</v>
      </c>
      <c r="D1184" t="s">
        <v>36</v>
      </c>
      <c r="E1184" t="s">
        <v>33</v>
      </c>
      <c r="F1184" t="s">
        <v>26</v>
      </c>
      <c r="G1184">
        <v>18</v>
      </c>
      <c r="H1184">
        <v>7</v>
      </c>
      <c r="I1184">
        <v>16</v>
      </c>
      <c r="J1184">
        <v>43.29</v>
      </c>
      <c r="K1184">
        <v>231.81</v>
      </c>
      <c r="L1184">
        <v>0.91</v>
      </c>
      <c r="M1184">
        <v>39.54</v>
      </c>
      <c r="N1184">
        <v>1</v>
      </c>
      <c r="O1184" t="s">
        <v>20</v>
      </c>
      <c r="P1184" t="s">
        <v>21</v>
      </c>
      <c r="Q1184">
        <f t="shared" si="90"/>
        <v>9</v>
      </c>
      <c r="R1184" s="4">
        <f>RANK(N1184,$N$2:N$2800,0)</f>
        <v>1</v>
      </c>
      <c r="S1184">
        <f t="shared" si="91"/>
        <v>1.125</v>
      </c>
      <c r="T1184" t="str">
        <f t="shared" si="92"/>
        <v>Low</v>
      </c>
      <c r="U1184" t="str" cm="1">
        <f t="array" ref="U1184">_xlfn.LET(_xlpm.roles,_xlfn.UNIQUE(D1184:D3982),_xlpm.kills, SUMIF(D1184:D3982,_xlpm.roles,G1184:G3982),INDEX(_xlpm.roles,MATCH(MAX(_xlpm.kills),_xlpm.kills,0)))</f>
        <v>Entry Fragger</v>
      </c>
      <c r="V1184" t="str">
        <f t="shared" si="93"/>
        <v>Medium Accuracy</v>
      </c>
      <c r="W1184" t="str" cm="1">
        <f t="array" ref="W1184">_xlfn.LET(_xlpm.roles,_xlfn.UNIQUE(D1184:D3982), _xlpm.counts,COUNTIF(D1184:D3982,_xlpm.roles), INDEX(_xlpm.roles,MATCH(MAX(_xlpm.counts),_xlpm.counts,0)))</f>
        <v>Entry Fragger</v>
      </c>
      <c r="X1184" s="2">
        <f t="shared" si="94"/>
        <v>13.135802469135802</v>
      </c>
    </row>
    <row r="1185" spans="1:24" x14ac:dyDescent="0.3">
      <c r="A1185">
        <v>1981</v>
      </c>
      <c r="B1185">
        <v>211</v>
      </c>
      <c r="C1185" t="s">
        <v>35</v>
      </c>
      <c r="D1185" t="s">
        <v>22</v>
      </c>
      <c r="E1185" t="s">
        <v>29</v>
      </c>
      <c r="F1185" t="s">
        <v>37</v>
      </c>
      <c r="G1185">
        <v>12</v>
      </c>
      <c r="H1185">
        <v>8</v>
      </c>
      <c r="I1185">
        <v>12</v>
      </c>
      <c r="J1185">
        <v>39.659999999999997</v>
      </c>
      <c r="K1185">
        <v>250.81</v>
      </c>
      <c r="L1185">
        <v>0.51</v>
      </c>
      <c r="M1185">
        <v>34.729999999999997</v>
      </c>
      <c r="N1185">
        <v>0.86</v>
      </c>
      <c r="O1185" t="s">
        <v>20</v>
      </c>
      <c r="P1185" t="s">
        <v>21</v>
      </c>
      <c r="Q1185">
        <f t="shared" si="90"/>
        <v>8</v>
      </c>
      <c r="R1185" s="4">
        <f>RANK(N1185,$N$2:N$2800,0)</f>
        <v>2040</v>
      </c>
      <c r="S1185">
        <f t="shared" si="91"/>
        <v>1</v>
      </c>
      <c r="T1185" t="str">
        <f t="shared" si="92"/>
        <v>Low</v>
      </c>
      <c r="U1185" t="str" cm="1">
        <f t="array" ref="U1185">_xlfn.LET(_xlpm.roles,_xlfn.UNIQUE(D1185:D3983),_xlpm.kills, SUMIF(D1185:D3983,_xlpm.roles,G1185:G3983),INDEX(_xlpm.roles,MATCH(MAX(_xlpm.kills),_xlpm.kills,0)))</f>
        <v>Entry Fragger</v>
      </c>
      <c r="V1185" t="str">
        <f t="shared" si="93"/>
        <v>Medium Accuracy</v>
      </c>
      <c r="W1185" t="str" cm="1">
        <f t="array" ref="W1185">_xlfn.LET(_xlpm.roles,_xlfn.UNIQUE(D1185:D3983), _xlpm.counts,COUNTIF(D1185:D3983,_xlpm.roles), INDEX(_xlpm.roles,MATCH(MAX(_xlpm.counts),_xlpm.counts,0)))</f>
        <v>Entry Fragger</v>
      </c>
      <c r="X1185" s="2">
        <f t="shared" si="94"/>
        <v>12.599585062240664</v>
      </c>
    </row>
    <row r="1186" spans="1:24" x14ac:dyDescent="0.3">
      <c r="A1186">
        <v>2424</v>
      </c>
      <c r="B1186">
        <v>211</v>
      </c>
      <c r="C1186" t="s">
        <v>27</v>
      </c>
      <c r="D1186" t="s">
        <v>36</v>
      </c>
      <c r="E1186" t="s">
        <v>18</v>
      </c>
      <c r="F1186" t="s">
        <v>24</v>
      </c>
      <c r="G1186">
        <v>14</v>
      </c>
      <c r="H1186">
        <v>11</v>
      </c>
      <c r="I1186">
        <v>4</v>
      </c>
      <c r="J1186">
        <v>61.01</v>
      </c>
      <c r="K1186">
        <v>247.62</v>
      </c>
      <c r="L1186">
        <v>0.23</v>
      </c>
      <c r="M1186">
        <v>63.2</v>
      </c>
      <c r="N1186">
        <v>0.97</v>
      </c>
      <c r="O1186" t="s">
        <v>20</v>
      </c>
      <c r="P1186" t="s">
        <v>38</v>
      </c>
      <c r="Q1186">
        <f t="shared" si="90"/>
        <v>21</v>
      </c>
      <c r="R1186" s="4">
        <f>RANK(N1186,$N$2:N$2800,0)</f>
        <v>1243</v>
      </c>
      <c r="S1186">
        <f t="shared" si="91"/>
        <v>3.5</v>
      </c>
      <c r="T1186" t="str">
        <f t="shared" si="92"/>
        <v>Good</v>
      </c>
      <c r="U1186" t="str" cm="1">
        <f t="array" ref="U1186">_xlfn.LET(_xlpm.roles,_xlfn.UNIQUE(D1186:D3984),_xlpm.kills, SUMIF(D1186:D3984,_xlpm.roles,G1186:G3984),INDEX(_xlpm.roles,MATCH(MAX(_xlpm.kills),_xlpm.kills,0)))</f>
        <v>Entry Fragger</v>
      </c>
      <c r="V1186" t="str">
        <f t="shared" si="93"/>
        <v>High Accuracy</v>
      </c>
      <c r="W1186" t="str" cm="1">
        <f t="array" ref="W1186">_xlfn.LET(_xlpm.roles,_xlfn.UNIQUE(D1186:D3984), _xlpm.counts,COUNTIF(D1186:D3984,_xlpm.roles), INDEX(_xlpm.roles,MATCH(MAX(_xlpm.counts),_xlpm.counts,0)))</f>
        <v>Entry Fragger</v>
      </c>
      <c r="X1186" s="2">
        <f t="shared" si="94"/>
        <v>13.057077625570777</v>
      </c>
    </row>
    <row r="1187" spans="1:24" x14ac:dyDescent="0.3">
      <c r="A1187">
        <v>2654</v>
      </c>
      <c r="B1187">
        <v>211</v>
      </c>
      <c r="C1187" t="s">
        <v>39</v>
      </c>
      <c r="D1187" t="s">
        <v>36</v>
      </c>
      <c r="E1187" t="s">
        <v>32</v>
      </c>
      <c r="F1187" t="s">
        <v>24</v>
      </c>
      <c r="G1187">
        <v>13</v>
      </c>
      <c r="H1187">
        <v>8</v>
      </c>
      <c r="I1187">
        <v>13</v>
      </c>
      <c r="J1187">
        <v>55.3</v>
      </c>
      <c r="K1187">
        <v>232.94</v>
      </c>
      <c r="L1187">
        <v>0.5</v>
      </c>
      <c r="M1187">
        <v>43.65</v>
      </c>
      <c r="N1187">
        <v>0.99</v>
      </c>
      <c r="O1187" t="s">
        <v>20</v>
      </c>
      <c r="P1187" t="s">
        <v>21</v>
      </c>
      <c r="Q1187">
        <f t="shared" si="90"/>
        <v>8</v>
      </c>
      <c r="R1187" s="4">
        <f>RANK(N1187,$N$2:N$2800,0)</f>
        <v>1080</v>
      </c>
      <c r="S1187">
        <f t="shared" si="91"/>
        <v>1</v>
      </c>
      <c r="T1187" t="str">
        <f t="shared" si="92"/>
        <v>Low</v>
      </c>
      <c r="U1187" t="str" cm="1">
        <f t="array" ref="U1187">_xlfn.LET(_xlpm.roles,_xlfn.UNIQUE(D1187:D3985),_xlpm.kills, SUMIF(D1187:D3985,_xlpm.roles,G1187:G3985),INDEX(_xlpm.roles,MATCH(MAX(_xlpm.kills),_xlpm.kills,0)))</f>
        <v>Entry Fragger</v>
      </c>
      <c r="V1187" t="str">
        <f t="shared" si="93"/>
        <v>High Accuracy</v>
      </c>
      <c r="W1187" t="str" cm="1">
        <f t="array" ref="W1187">_xlfn.LET(_xlpm.roles,_xlfn.UNIQUE(D1187:D3985), _xlpm.counts,COUNTIF(D1187:D3985,_xlpm.roles), INDEX(_xlpm.roles,MATCH(MAX(_xlpm.counts),_xlpm.counts,0)))</f>
        <v>Entry Fragger</v>
      </c>
      <c r="X1187" s="2">
        <f t="shared" si="94"/>
        <v>13.103594080338267</v>
      </c>
    </row>
    <row r="1188" spans="1:24" x14ac:dyDescent="0.3">
      <c r="A1188">
        <v>2755</v>
      </c>
      <c r="B1188">
        <v>211</v>
      </c>
      <c r="C1188" t="s">
        <v>35</v>
      </c>
      <c r="D1188" t="s">
        <v>31</v>
      </c>
      <c r="E1188" t="s">
        <v>23</v>
      </c>
      <c r="F1188" t="s">
        <v>19</v>
      </c>
      <c r="G1188">
        <v>20</v>
      </c>
      <c r="H1188">
        <v>11</v>
      </c>
      <c r="I1188">
        <v>11</v>
      </c>
      <c r="J1188">
        <v>61.55</v>
      </c>
      <c r="K1188">
        <v>239.81</v>
      </c>
      <c r="L1188">
        <v>0.33</v>
      </c>
      <c r="M1188">
        <v>67.48</v>
      </c>
      <c r="N1188">
        <v>1</v>
      </c>
      <c r="O1188" t="s">
        <v>20</v>
      </c>
      <c r="P1188" t="s">
        <v>38</v>
      </c>
      <c r="Q1188">
        <f t="shared" si="90"/>
        <v>20</v>
      </c>
      <c r="R1188" s="4">
        <f>RANK(N1188,$N$2:N$2800,0)</f>
        <v>1</v>
      </c>
      <c r="S1188">
        <f t="shared" si="91"/>
        <v>1.8181818181818181</v>
      </c>
      <c r="T1188" t="str">
        <f t="shared" si="92"/>
        <v>Good</v>
      </c>
      <c r="U1188" t="str" cm="1">
        <f t="array" ref="U1188">_xlfn.LET(_xlpm.roles,_xlfn.UNIQUE(D1188:D3986),_xlpm.kills, SUMIF(D1188:D3986,_xlpm.roles,G1188:G3986),INDEX(_xlpm.roles,MATCH(MAX(_xlpm.kills),_xlpm.kills,0)))</f>
        <v>Entry Fragger</v>
      </c>
      <c r="V1188" t="str">
        <f t="shared" si="93"/>
        <v>High Accuracy</v>
      </c>
      <c r="W1188" t="str" cm="1">
        <f t="array" ref="W1188">_xlfn.LET(_xlpm.roles,_xlfn.UNIQUE(D1188:D3986), _xlpm.counts,COUNTIF(D1188:D3986,_xlpm.roles), INDEX(_xlpm.roles,MATCH(MAX(_xlpm.counts),_xlpm.counts,0)))</f>
        <v>Entry Fragger</v>
      </c>
      <c r="X1188" s="2">
        <f t="shared" si="94"/>
        <v>12.599585062240664</v>
      </c>
    </row>
    <row r="1189" spans="1:24" x14ac:dyDescent="0.3">
      <c r="A1189">
        <v>272</v>
      </c>
      <c r="B1189">
        <v>212</v>
      </c>
      <c r="C1189" t="s">
        <v>25</v>
      </c>
      <c r="D1189" t="s">
        <v>17</v>
      </c>
      <c r="E1189" t="s">
        <v>33</v>
      </c>
      <c r="F1189" t="s">
        <v>24</v>
      </c>
      <c r="G1189">
        <v>16</v>
      </c>
      <c r="H1189">
        <v>9</v>
      </c>
      <c r="I1189">
        <v>8</v>
      </c>
      <c r="J1189">
        <v>33.61</v>
      </c>
      <c r="K1189">
        <v>185.47</v>
      </c>
      <c r="L1189">
        <v>0.76</v>
      </c>
      <c r="M1189">
        <v>42.2</v>
      </c>
      <c r="N1189">
        <v>0.64</v>
      </c>
      <c r="O1189" t="s">
        <v>20</v>
      </c>
      <c r="P1189" t="s">
        <v>21</v>
      </c>
      <c r="Q1189">
        <f t="shared" si="90"/>
        <v>17</v>
      </c>
      <c r="R1189" s="4">
        <f>RANK(N1189,$N$2:N$2800,0)</f>
        <v>2767</v>
      </c>
      <c r="S1189">
        <f t="shared" si="91"/>
        <v>2</v>
      </c>
      <c r="T1189" t="str">
        <f t="shared" si="92"/>
        <v>Good</v>
      </c>
      <c r="U1189" t="str" cm="1">
        <f t="array" ref="U1189">_xlfn.LET(_xlpm.roles,_xlfn.UNIQUE(D1189:D3987),_xlpm.kills, SUMIF(D1189:D3987,_xlpm.roles,G1189:G3987),INDEX(_xlpm.roles,MATCH(MAX(_xlpm.kills),_xlpm.kills,0)))</f>
        <v>Entry Fragger</v>
      </c>
      <c r="V1189" t="str">
        <f t="shared" si="93"/>
        <v>Medium Accuracy</v>
      </c>
      <c r="W1189" t="str" cm="1">
        <f t="array" ref="W1189">_xlfn.LET(_xlpm.roles,_xlfn.UNIQUE(D1189:D3987), _xlpm.counts,COUNTIF(D1189:D3987,_xlpm.roles), INDEX(_xlpm.roles,MATCH(MAX(_xlpm.counts),_xlpm.counts,0)))</f>
        <v>Entry Fragger</v>
      </c>
      <c r="X1189" s="2">
        <f t="shared" si="94"/>
        <v>12.809421841541756</v>
      </c>
    </row>
    <row r="1190" spans="1:24" x14ac:dyDescent="0.3">
      <c r="A1190">
        <v>428</v>
      </c>
      <c r="B1190">
        <v>212</v>
      </c>
      <c r="C1190" t="s">
        <v>27</v>
      </c>
      <c r="D1190" t="s">
        <v>28</v>
      </c>
      <c r="E1190" t="s">
        <v>33</v>
      </c>
      <c r="F1190" t="s">
        <v>26</v>
      </c>
      <c r="G1190">
        <v>18</v>
      </c>
      <c r="H1190">
        <v>11</v>
      </c>
      <c r="I1190">
        <v>13</v>
      </c>
      <c r="J1190">
        <v>36.299999999999997</v>
      </c>
      <c r="K1190">
        <v>181.52</v>
      </c>
      <c r="L1190">
        <v>0.11</v>
      </c>
      <c r="M1190">
        <v>51.05</v>
      </c>
      <c r="N1190">
        <v>1</v>
      </c>
      <c r="O1190" t="s">
        <v>20</v>
      </c>
      <c r="P1190" t="s">
        <v>21</v>
      </c>
      <c r="Q1190">
        <f t="shared" si="90"/>
        <v>16</v>
      </c>
      <c r="R1190" s="4">
        <f>RANK(N1190,$N$2:N$2800,0)</f>
        <v>1</v>
      </c>
      <c r="S1190">
        <f t="shared" si="91"/>
        <v>1.3846153846153846</v>
      </c>
      <c r="T1190" t="str">
        <f t="shared" si="92"/>
        <v>Good</v>
      </c>
      <c r="U1190" t="str" cm="1">
        <f t="array" ref="U1190">_xlfn.LET(_xlpm.roles,_xlfn.UNIQUE(D1190:D3988),_xlpm.kills, SUMIF(D1190:D3988,_xlpm.roles,G1190:G3988),INDEX(_xlpm.roles,MATCH(MAX(_xlpm.kills),_xlpm.kills,0)))</f>
        <v>Entry Fragger</v>
      </c>
      <c r="V1190" t="str">
        <f t="shared" si="93"/>
        <v>Medium Accuracy</v>
      </c>
      <c r="W1190" t="str" cm="1">
        <f t="array" ref="W1190">_xlfn.LET(_xlpm.roles,_xlfn.UNIQUE(D1190:D3988), _xlpm.counts,COUNTIF(D1190:D3988,_xlpm.roles), INDEX(_xlpm.roles,MATCH(MAX(_xlpm.counts),_xlpm.counts,0)))</f>
        <v>Entry Fragger</v>
      </c>
      <c r="X1190" s="2">
        <f t="shared" si="94"/>
        <v>13.057077625570777</v>
      </c>
    </row>
    <row r="1191" spans="1:24" x14ac:dyDescent="0.3">
      <c r="A1191">
        <v>776</v>
      </c>
      <c r="B1191">
        <v>212</v>
      </c>
      <c r="C1191" t="s">
        <v>27</v>
      </c>
      <c r="D1191" t="s">
        <v>22</v>
      </c>
      <c r="E1191" t="s">
        <v>23</v>
      </c>
      <c r="F1191" t="s">
        <v>34</v>
      </c>
      <c r="G1191">
        <v>17</v>
      </c>
      <c r="H1191">
        <v>13</v>
      </c>
      <c r="I1191">
        <v>10</v>
      </c>
      <c r="J1191">
        <v>63.37</v>
      </c>
      <c r="K1191">
        <v>246.77</v>
      </c>
      <c r="L1191">
        <v>0.12</v>
      </c>
      <c r="M1191">
        <v>67.48</v>
      </c>
      <c r="N1191">
        <v>1</v>
      </c>
      <c r="O1191" t="s">
        <v>20</v>
      </c>
      <c r="P1191" t="s">
        <v>38</v>
      </c>
      <c r="Q1191">
        <f t="shared" si="90"/>
        <v>20</v>
      </c>
      <c r="R1191" s="4">
        <f>RANK(N1191,$N$2:N$2800,0)</f>
        <v>1</v>
      </c>
      <c r="S1191">
        <f t="shared" si="91"/>
        <v>1.7</v>
      </c>
      <c r="T1191" t="str">
        <f t="shared" si="92"/>
        <v>Good</v>
      </c>
      <c r="U1191" t="str" cm="1">
        <f t="array" ref="U1191">_xlfn.LET(_xlpm.roles,_xlfn.UNIQUE(D1191:D3989),_xlpm.kills, SUMIF(D1191:D3989,_xlpm.roles,G1191:G3989),INDEX(_xlpm.roles,MATCH(MAX(_xlpm.kills),_xlpm.kills,0)))</f>
        <v>Entry Fragger</v>
      </c>
      <c r="V1191" t="str">
        <f t="shared" si="93"/>
        <v>High Accuracy</v>
      </c>
      <c r="W1191" t="str" cm="1">
        <f t="array" ref="W1191">_xlfn.LET(_xlpm.roles,_xlfn.UNIQUE(D1191:D3989), _xlpm.counts,COUNTIF(D1191:D3989,_xlpm.roles), INDEX(_xlpm.roles,MATCH(MAX(_xlpm.counts),_xlpm.counts,0)))</f>
        <v>Entry Fragger</v>
      </c>
      <c r="X1191" s="2">
        <f t="shared" si="94"/>
        <v>13.057077625570777</v>
      </c>
    </row>
    <row r="1192" spans="1:24" x14ac:dyDescent="0.3">
      <c r="A1192">
        <v>1836</v>
      </c>
      <c r="B1192">
        <v>212</v>
      </c>
      <c r="C1192" t="s">
        <v>30</v>
      </c>
      <c r="D1192" t="s">
        <v>17</v>
      </c>
      <c r="E1192" t="s">
        <v>29</v>
      </c>
      <c r="F1192" t="s">
        <v>37</v>
      </c>
      <c r="G1192">
        <v>14</v>
      </c>
      <c r="H1192">
        <v>4</v>
      </c>
      <c r="I1192">
        <v>7</v>
      </c>
      <c r="J1192">
        <v>37.24</v>
      </c>
      <c r="K1192">
        <v>219.63</v>
      </c>
      <c r="L1192">
        <v>0.53</v>
      </c>
      <c r="M1192">
        <v>38.32</v>
      </c>
      <c r="N1192">
        <v>0.83</v>
      </c>
      <c r="O1192" t="s">
        <v>20</v>
      </c>
      <c r="P1192" t="s">
        <v>21</v>
      </c>
      <c r="Q1192">
        <f t="shared" si="90"/>
        <v>11</v>
      </c>
      <c r="R1192" s="4">
        <f>RANK(N1192,$N$2:N$2800,0)</f>
        <v>2218</v>
      </c>
      <c r="S1192">
        <f t="shared" si="91"/>
        <v>2</v>
      </c>
      <c r="T1192" t="str">
        <f t="shared" si="92"/>
        <v>Low</v>
      </c>
      <c r="U1192" t="str" cm="1">
        <f t="array" ref="U1192">_xlfn.LET(_xlpm.roles,_xlfn.UNIQUE(D1192:D3990),_xlpm.kills, SUMIF(D1192:D3990,_xlpm.roles,G1192:G3990),INDEX(_xlpm.roles,MATCH(MAX(_xlpm.kills),_xlpm.kills,0)))</f>
        <v>Entry Fragger</v>
      </c>
      <c r="V1192" t="str">
        <f t="shared" si="93"/>
        <v>Medium Accuracy</v>
      </c>
      <c r="W1192" t="str" cm="1">
        <f t="array" ref="W1192">_xlfn.LET(_xlpm.roles,_xlfn.UNIQUE(D1192:D3990), _xlpm.counts,COUNTIF(D1192:D3990,_xlpm.roles), INDEX(_xlpm.roles,MATCH(MAX(_xlpm.counts),_xlpm.counts,0)))</f>
        <v>Entry Fragger</v>
      </c>
      <c r="X1192" s="2">
        <f t="shared" si="94"/>
        <v>13.135802469135802</v>
      </c>
    </row>
    <row r="1193" spans="1:24" x14ac:dyDescent="0.3">
      <c r="A1193">
        <v>1993</v>
      </c>
      <c r="B1193">
        <v>212</v>
      </c>
      <c r="C1193" t="s">
        <v>35</v>
      </c>
      <c r="D1193" t="s">
        <v>31</v>
      </c>
      <c r="E1193" t="s">
        <v>23</v>
      </c>
      <c r="F1193" t="s">
        <v>34</v>
      </c>
      <c r="G1193">
        <v>16</v>
      </c>
      <c r="H1193">
        <v>11</v>
      </c>
      <c r="I1193">
        <v>11</v>
      </c>
      <c r="J1193">
        <v>28.6</v>
      </c>
      <c r="K1193">
        <v>279.3</v>
      </c>
      <c r="L1193">
        <v>0.88</v>
      </c>
      <c r="M1193">
        <v>37.5</v>
      </c>
      <c r="N1193">
        <v>1</v>
      </c>
      <c r="O1193" t="s">
        <v>20</v>
      </c>
      <c r="P1193" t="s">
        <v>21</v>
      </c>
      <c r="Q1193">
        <f t="shared" si="90"/>
        <v>16</v>
      </c>
      <c r="R1193" s="4">
        <f>RANK(N1193,$N$2:N$2800,0)</f>
        <v>1</v>
      </c>
      <c r="S1193">
        <f t="shared" si="91"/>
        <v>1.4545454545454546</v>
      </c>
      <c r="T1193" t="str">
        <f t="shared" si="92"/>
        <v>Good</v>
      </c>
      <c r="U1193" t="str" cm="1">
        <f t="array" ref="U1193">_xlfn.LET(_xlpm.roles,_xlfn.UNIQUE(D1193:D3991),_xlpm.kills, SUMIF(D1193:D3991,_xlpm.roles,G1193:G3991),INDEX(_xlpm.roles,MATCH(MAX(_xlpm.kills),_xlpm.kills,0)))</f>
        <v>Entry Fragger</v>
      </c>
      <c r="V1193" t="str">
        <f t="shared" si="93"/>
        <v>Low Accuracy</v>
      </c>
      <c r="W1193" t="str" cm="1">
        <f t="array" ref="W1193">_xlfn.LET(_xlpm.roles,_xlfn.UNIQUE(D1193:D3991), _xlpm.counts,COUNTIF(D1193:D3991,_xlpm.roles), INDEX(_xlpm.roles,MATCH(MAX(_xlpm.counts),_xlpm.counts,0)))</f>
        <v>Entry Fragger</v>
      </c>
      <c r="X1193" s="2">
        <f t="shared" si="94"/>
        <v>12.599585062240664</v>
      </c>
    </row>
    <row r="1194" spans="1:24" x14ac:dyDescent="0.3">
      <c r="A1194">
        <v>1999</v>
      </c>
      <c r="B1194">
        <v>212</v>
      </c>
      <c r="C1194" t="s">
        <v>25</v>
      </c>
      <c r="D1194" t="s">
        <v>17</v>
      </c>
      <c r="E1194" t="s">
        <v>23</v>
      </c>
      <c r="F1194" t="s">
        <v>24</v>
      </c>
      <c r="G1194">
        <v>6</v>
      </c>
      <c r="H1194">
        <v>12</v>
      </c>
      <c r="I1194">
        <v>8</v>
      </c>
      <c r="J1194">
        <v>50.65</v>
      </c>
      <c r="K1194">
        <v>245.87</v>
      </c>
      <c r="L1194">
        <v>0.86</v>
      </c>
      <c r="M1194">
        <v>32.729999999999997</v>
      </c>
      <c r="N1194">
        <v>0.92</v>
      </c>
      <c r="O1194" t="s">
        <v>20</v>
      </c>
      <c r="P1194" t="s">
        <v>21</v>
      </c>
      <c r="Q1194">
        <f t="shared" si="90"/>
        <v>10</v>
      </c>
      <c r="R1194" s="4">
        <f>RANK(N1194,$N$2:N$2800,0)</f>
        <v>1585</v>
      </c>
      <c r="S1194">
        <f t="shared" si="91"/>
        <v>0.75</v>
      </c>
      <c r="T1194" t="str">
        <f t="shared" si="92"/>
        <v>Low</v>
      </c>
      <c r="U1194" t="str" cm="1">
        <f t="array" ref="U1194">_xlfn.LET(_xlpm.roles,_xlfn.UNIQUE(D1194:D3992),_xlpm.kills, SUMIF(D1194:D3992,_xlpm.roles,G1194:G3992),INDEX(_xlpm.roles,MATCH(MAX(_xlpm.kills),_xlpm.kills,0)))</f>
        <v>Entry Fragger</v>
      </c>
      <c r="V1194" t="str">
        <f t="shared" si="93"/>
        <v>High Accuracy</v>
      </c>
      <c r="W1194" t="str" cm="1">
        <f t="array" ref="W1194">_xlfn.LET(_xlpm.roles,_xlfn.UNIQUE(D1194:D3992), _xlpm.counts,COUNTIF(D1194:D3992,_xlpm.roles), INDEX(_xlpm.roles,MATCH(MAX(_xlpm.counts),_xlpm.counts,0)))</f>
        <v>Entry Fragger</v>
      </c>
      <c r="X1194" s="2">
        <f t="shared" si="94"/>
        <v>12.809421841541756</v>
      </c>
    </row>
    <row r="1195" spans="1:24" x14ac:dyDescent="0.3">
      <c r="A1195">
        <v>1782</v>
      </c>
      <c r="B1195">
        <v>213</v>
      </c>
      <c r="C1195" t="s">
        <v>16</v>
      </c>
      <c r="D1195" t="s">
        <v>22</v>
      </c>
      <c r="E1195" t="s">
        <v>29</v>
      </c>
      <c r="F1195" t="s">
        <v>26</v>
      </c>
      <c r="G1195">
        <v>11</v>
      </c>
      <c r="H1195">
        <v>9</v>
      </c>
      <c r="I1195">
        <v>13</v>
      </c>
      <c r="J1195">
        <v>37.950000000000003</v>
      </c>
      <c r="K1195">
        <v>251.36</v>
      </c>
      <c r="L1195">
        <v>0.83</v>
      </c>
      <c r="M1195">
        <v>28.68</v>
      </c>
      <c r="N1195">
        <v>0.8</v>
      </c>
      <c r="O1195" t="s">
        <v>20</v>
      </c>
      <c r="P1195" t="s">
        <v>21</v>
      </c>
      <c r="Q1195">
        <f t="shared" si="90"/>
        <v>7</v>
      </c>
      <c r="R1195" s="4">
        <f>RANK(N1195,$N$2:N$2800,0)</f>
        <v>2393</v>
      </c>
      <c r="S1195">
        <f t="shared" si="91"/>
        <v>0.84615384615384615</v>
      </c>
      <c r="T1195" t="str">
        <f t="shared" si="92"/>
        <v>Low</v>
      </c>
      <c r="U1195" t="str" cm="1">
        <f t="array" ref="U1195">_xlfn.LET(_xlpm.roles,_xlfn.UNIQUE(D1195:D3993),_xlpm.kills, SUMIF(D1195:D3993,_xlpm.roles,G1195:G3993),INDEX(_xlpm.roles,MATCH(MAX(_xlpm.kills),_xlpm.kills,0)))</f>
        <v>Entry Fragger</v>
      </c>
      <c r="V1195" t="str">
        <f t="shared" si="93"/>
        <v>Medium Accuracy</v>
      </c>
      <c r="W1195" t="str" cm="1">
        <f t="array" ref="W1195">_xlfn.LET(_xlpm.roles,_xlfn.UNIQUE(D1195:D3993), _xlpm.counts,COUNTIF(D1195:D3993,_xlpm.roles), INDEX(_xlpm.roles,MATCH(MAX(_xlpm.counts),_xlpm.counts,0)))</f>
        <v>Entry Fragger</v>
      </c>
      <c r="X1195" s="2">
        <f t="shared" si="94"/>
        <v>12.520971302428256</v>
      </c>
    </row>
    <row r="1196" spans="1:24" x14ac:dyDescent="0.3">
      <c r="A1196">
        <v>1881</v>
      </c>
      <c r="B1196">
        <v>213</v>
      </c>
      <c r="C1196" t="s">
        <v>35</v>
      </c>
      <c r="D1196" t="s">
        <v>28</v>
      </c>
      <c r="E1196" t="s">
        <v>18</v>
      </c>
      <c r="F1196" t="s">
        <v>19</v>
      </c>
      <c r="G1196">
        <v>16</v>
      </c>
      <c r="H1196">
        <v>6</v>
      </c>
      <c r="I1196">
        <v>10</v>
      </c>
      <c r="J1196">
        <v>52.33</v>
      </c>
      <c r="K1196">
        <v>218.19</v>
      </c>
      <c r="L1196">
        <v>0.38</v>
      </c>
      <c r="M1196">
        <v>50.37</v>
      </c>
      <c r="N1196">
        <v>0.99</v>
      </c>
      <c r="O1196" t="s">
        <v>20</v>
      </c>
      <c r="P1196" t="s">
        <v>21</v>
      </c>
      <c r="Q1196">
        <f t="shared" si="90"/>
        <v>12</v>
      </c>
      <c r="R1196" s="4">
        <f>RANK(N1196,$N$2:N$2800,0)</f>
        <v>1080</v>
      </c>
      <c r="S1196">
        <f t="shared" si="91"/>
        <v>1.6</v>
      </c>
      <c r="T1196" t="str">
        <f t="shared" si="92"/>
        <v>Low</v>
      </c>
      <c r="U1196" t="str" cm="1">
        <f t="array" ref="U1196">_xlfn.LET(_xlpm.roles,_xlfn.UNIQUE(D1196:D3994),_xlpm.kills, SUMIF(D1196:D3994,_xlpm.roles,G1196:G3994),INDEX(_xlpm.roles,MATCH(MAX(_xlpm.kills),_xlpm.kills,0)))</f>
        <v>Entry Fragger</v>
      </c>
      <c r="V1196" t="str">
        <f t="shared" si="93"/>
        <v>High Accuracy</v>
      </c>
      <c r="W1196" t="str" cm="1">
        <f t="array" ref="W1196">_xlfn.LET(_xlpm.roles,_xlfn.UNIQUE(D1196:D3994), _xlpm.counts,COUNTIF(D1196:D3994,_xlpm.roles), INDEX(_xlpm.roles,MATCH(MAX(_xlpm.counts),_xlpm.counts,0)))</f>
        <v>Entry Fragger</v>
      </c>
      <c r="X1196" s="2">
        <f t="shared" si="94"/>
        <v>12.599585062240664</v>
      </c>
    </row>
    <row r="1197" spans="1:24" x14ac:dyDescent="0.3">
      <c r="A1197">
        <v>2204</v>
      </c>
      <c r="B1197">
        <v>213</v>
      </c>
      <c r="C1197" t="s">
        <v>30</v>
      </c>
      <c r="D1197" t="s">
        <v>22</v>
      </c>
      <c r="E1197" t="s">
        <v>23</v>
      </c>
      <c r="F1197" t="s">
        <v>26</v>
      </c>
      <c r="G1197">
        <v>16</v>
      </c>
      <c r="H1197">
        <v>9</v>
      </c>
      <c r="I1197">
        <v>6</v>
      </c>
      <c r="J1197">
        <v>34.72</v>
      </c>
      <c r="K1197">
        <v>168.7</v>
      </c>
      <c r="L1197">
        <v>0.92</v>
      </c>
      <c r="M1197">
        <v>43.16</v>
      </c>
      <c r="N1197">
        <v>0.87</v>
      </c>
      <c r="O1197" t="s">
        <v>20</v>
      </c>
      <c r="P1197" t="s">
        <v>21</v>
      </c>
      <c r="Q1197">
        <f t="shared" si="90"/>
        <v>19</v>
      </c>
      <c r="R1197" s="4">
        <f>RANK(N1197,$N$2:N$2800,0)</f>
        <v>1965</v>
      </c>
      <c r="S1197">
        <f t="shared" si="91"/>
        <v>2.6666666666666665</v>
      </c>
      <c r="T1197" t="str">
        <f t="shared" si="92"/>
        <v>Good</v>
      </c>
      <c r="U1197" t="str" cm="1">
        <f t="array" ref="U1197">_xlfn.LET(_xlpm.roles,_xlfn.UNIQUE(D1197:D3995),_xlpm.kills, SUMIF(D1197:D3995,_xlpm.roles,G1197:G3995),INDEX(_xlpm.roles,MATCH(MAX(_xlpm.kills),_xlpm.kills,0)))</f>
        <v>Entry Fragger</v>
      </c>
      <c r="V1197" t="str">
        <f t="shared" si="93"/>
        <v>Medium Accuracy</v>
      </c>
      <c r="W1197" t="str" cm="1">
        <f t="array" ref="W1197">_xlfn.LET(_xlpm.roles,_xlfn.UNIQUE(D1197:D3995), _xlpm.counts,COUNTIF(D1197:D3995,_xlpm.roles), INDEX(_xlpm.roles,MATCH(MAX(_xlpm.counts),_xlpm.counts,0)))</f>
        <v>Entry Fragger</v>
      </c>
      <c r="X1197" s="2">
        <f t="shared" si="94"/>
        <v>13.135802469135802</v>
      </c>
    </row>
    <row r="1198" spans="1:24" x14ac:dyDescent="0.3">
      <c r="A1198">
        <v>2256</v>
      </c>
      <c r="B1198">
        <v>213</v>
      </c>
      <c r="C1198" t="s">
        <v>39</v>
      </c>
      <c r="D1198" t="s">
        <v>31</v>
      </c>
      <c r="E1198" t="s">
        <v>33</v>
      </c>
      <c r="F1198" t="s">
        <v>34</v>
      </c>
      <c r="G1198">
        <v>18</v>
      </c>
      <c r="H1198">
        <v>4</v>
      </c>
      <c r="I1198">
        <v>8</v>
      </c>
      <c r="J1198">
        <v>25.34</v>
      </c>
      <c r="K1198">
        <v>260.51</v>
      </c>
      <c r="L1198">
        <v>0.39</v>
      </c>
      <c r="M1198">
        <v>40.770000000000003</v>
      </c>
      <c r="N1198">
        <v>0.81</v>
      </c>
      <c r="O1198" t="s">
        <v>20</v>
      </c>
      <c r="P1198" t="s">
        <v>21</v>
      </c>
      <c r="Q1198">
        <f t="shared" si="90"/>
        <v>14</v>
      </c>
      <c r="R1198" s="4">
        <f>RANK(N1198,$N$2:N$2800,0)</f>
        <v>2341</v>
      </c>
      <c r="S1198">
        <f t="shared" si="91"/>
        <v>2.25</v>
      </c>
      <c r="T1198" t="str">
        <f t="shared" si="92"/>
        <v>Low</v>
      </c>
      <c r="U1198" t="str" cm="1">
        <f t="array" ref="U1198">_xlfn.LET(_xlpm.roles,_xlfn.UNIQUE(D1198:D3996),_xlpm.kills, SUMIF(D1198:D3996,_xlpm.roles,G1198:G3996),INDEX(_xlpm.roles,MATCH(MAX(_xlpm.kills),_xlpm.kills,0)))</f>
        <v>Entry Fragger</v>
      </c>
      <c r="V1198" t="str">
        <f t="shared" si="93"/>
        <v>Low Accuracy</v>
      </c>
      <c r="W1198" t="str" cm="1">
        <f t="array" ref="W1198">_xlfn.LET(_xlpm.roles,_xlfn.UNIQUE(D1198:D3996), _xlpm.counts,COUNTIF(D1198:D3996,_xlpm.roles), INDEX(_xlpm.roles,MATCH(MAX(_xlpm.counts),_xlpm.counts,0)))</f>
        <v>Entry Fragger</v>
      </c>
      <c r="X1198" s="2">
        <f t="shared" si="94"/>
        <v>13.103594080338267</v>
      </c>
    </row>
    <row r="1199" spans="1:24" x14ac:dyDescent="0.3">
      <c r="A1199">
        <v>701</v>
      </c>
      <c r="B1199">
        <v>214</v>
      </c>
      <c r="C1199" t="s">
        <v>27</v>
      </c>
      <c r="D1199" t="s">
        <v>28</v>
      </c>
      <c r="E1199" t="s">
        <v>29</v>
      </c>
      <c r="F1199" t="s">
        <v>26</v>
      </c>
      <c r="G1199">
        <v>16</v>
      </c>
      <c r="H1199">
        <v>5</v>
      </c>
      <c r="I1199">
        <v>10</v>
      </c>
      <c r="J1199">
        <v>45.15</v>
      </c>
      <c r="K1199">
        <v>259.38</v>
      </c>
      <c r="L1199">
        <v>0.92</v>
      </c>
      <c r="M1199">
        <v>40.380000000000003</v>
      </c>
      <c r="N1199">
        <v>1</v>
      </c>
      <c r="O1199" t="s">
        <v>20</v>
      </c>
      <c r="P1199" t="s">
        <v>21</v>
      </c>
      <c r="Q1199">
        <f t="shared" si="90"/>
        <v>11</v>
      </c>
      <c r="R1199" s="4">
        <f>RANK(N1199,$N$2:N$2800,0)</f>
        <v>1</v>
      </c>
      <c r="S1199">
        <f t="shared" si="91"/>
        <v>1.6</v>
      </c>
      <c r="T1199" t="str">
        <f t="shared" si="92"/>
        <v>Low</v>
      </c>
      <c r="U1199" t="str" cm="1">
        <f t="array" ref="U1199">_xlfn.LET(_xlpm.roles,_xlfn.UNIQUE(D1199:D3997),_xlpm.kills, SUMIF(D1199:D3997,_xlpm.roles,G1199:G3997),INDEX(_xlpm.roles,MATCH(MAX(_xlpm.kills),_xlpm.kills,0)))</f>
        <v>Entry Fragger</v>
      </c>
      <c r="V1199" t="str">
        <f t="shared" si="93"/>
        <v>Medium Accuracy</v>
      </c>
      <c r="W1199" t="str" cm="1">
        <f t="array" ref="W1199">_xlfn.LET(_xlpm.roles,_xlfn.UNIQUE(D1199:D3997), _xlpm.counts,COUNTIF(D1199:D3997,_xlpm.roles), INDEX(_xlpm.roles,MATCH(MAX(_xlpm.counts),_xlpm.counts,0)))</f>
        <v>Entry Fragger</v>
      </c>
      <c r="X1199" s="2">
        <f t="shared" si="94"/>
        <v>13.057077625570777</v>
      </c>
    </row>
    <row r="1200" spans="1:24" x14ac:dyDescent="0.3">
      <c r="A1200">
        <v>1754</v>
      </c>
      <c r="B1200">
        <v>214</v>
      </c>
      <c r="C1200" t="s">
        <v>16</v>
      </c>
      <c r="D1200" t="s">
        <v>36</v>
      </c>
      <c r="E1200" t="s">
        <v>29</v>
      </c>
      <c r="F1200" t="s">
        <v>37</v>
      </c>
      <c r="G1200">
        <v>22</v>
      </c>
      <c r="H1200">
        <v>7</v>
      </c>
      <c r="I1200">
        <v>8</v>
      </c>
      <c r="J1200">
        <v>49.89</v>
      </c>
      <c r="K1200">
        <v>286.17</v>
      </c>
      <c r="L1200">
        <v>0.92</v>
      </c>
      <c r="M1200">
        <v>58.74</v>
      </c>
      <c r="N1200">
        <v>1</v>
      </c>
      <c r="O1200" t="s">
        <v>20</v>
      </c>
      <c r="P1200" t="s">
        <v>21</v>
      </c>
      <c r="Q1200">
        <f t="shared" si="90"/>
        <v>21</v>
      </c>
      <c r="R1200" s="4">
        <f>RANK(N1200,$N$2:N$2800,0)</f>
        <v>1</v>
      </c>
      <c r="S1200">
        <f t="shared" si="91"/>
        <v>2.75</v>
      </c>
      <c r="T1200" t="str">
        <f t="shared" si="92"/>
        <v>Good</v>
      </c>
      <c r="U1200" t="str" cm="1">
        <f t="array" ref="U1200">_xlfn.LET(_xlpm.roles,_xlfn.UNIQUE(D1200:D3998),_xlpm.kills, SUMIF(D1200:D3998,_xlpm.roles,G1200:G3998),INDEX(_xlpm.roles,MATCH(MAX(_xlpm.kills),_xlpm.kills,0)))</f>
        <v>Entry Fragger</v>
      </c>
      <c r="V1200" t="str">
        <f t="shared" si="93"/>
        <v>Medium Accuracy</v>
      </c>
      <c r="W1200" t="str" cm="1">
        <f t="array" ref="W1200">_xlfn.LET(_xlpm.roles,_xlfn.UNIQUE(D1200:D3998), _xlpm.counts,COUNTIF(D1200:D3998,_xlpm.roles), INDEX(_xlpm.roles,MATCH(MAX(_xlpm.counts),_xlpm.counts,0)))</f>
        <v>Entry Fragger</v>
      </c>
      <c r="X1200" s="2">
        <f t="shared" si="94"/>
        <v>12.520971302428256</v>
      </c>
    </row>
    <row r="1201" spans="1:24" x14ac:dyDescent="0.3">
      <c r="A1201">
        <v>1762</v>
      </c>
      <c r="B1201">
        <v>214</v>
      </c>
      <c r="C1201" t="s">
        <v>35</v>
      </c>
      <c r="D1201" t="s">
        <v>36</v>
      </c>
      <c r="E1201" t="s">
        <v>33</v>
      </c>
      <c r="F1201" t="s">
        <v>24</v>
      </c>
      <c r="G1201">
        <v>22</v>
      </c>
      <c r="H1201">
        <v>15</v>
      </c>
      <c r="I1201">
        <v>13</v>
      </c>
      <c r="J1201">
        <v>46.84</v>
      </c>
      <c r="K1201">
        <v>205.94</v>
      </c>
      <c r="L1201">
        <v>0.54</v>
      </c>
      <c r="M1201">
        <v>64.02</v>
      </c>
      <c r="N1201">
        <v>1</v>
      </c>
      <c r="O1201" t="s">
        <v>20</v>
      </c>
      <c r="P1201" t="s">
        <v>38</v>
      </c>
      <c r="Q1201">
        <f t="shared" si="90"/>
        <v>24</v>
      </c>
      <c r="R1201" s="4">
        <f>RANK(N1201,$N$2:N$2800,0)</f>
        <v>1</v>
      </c>
      <c r="S1201">
        <f t="shared" si="91"/>
        <v>1.6923076923076923</v>
      </c>
      <c r="T1201" t="str">
        <f t="shared" si="92"/>
        <v>Good</v>
      </c>
      <c r="U1201" t="str" cm="1">
        <f t="array" ref="U1201">_xlfn.LET(_xlpm.roles,_xlfn.UNIQUE(D1201:D3999),_xlpm.kills, SUMIF(D1201:D3999,_xlpm.roles,G1201:G3999),INDEX(_xlpm.roles,MATCH(MAX(_xlpm.kills),_xlpm.kills,0)))</f>
        <v>Entry Fragger</v>
      </c>
      <c r="V1201" t="str">
        <f t="shared" si="93"/>
        <v>Medium Accuracy</v>
      </c>
      <c r="W1201" t="str" cm="1">
        <f t="array" ref="W1201">_xlfn.LET(_xlpm.roles,_xlfn.UNIQUE(D1201:D3999), _xlpm.counts,COUNTIF(D1201:D3999,_xlpm.roles), INDEX(_xlpm.roles,MATCH(MAX(_xlpm.counts),_xlpm.counts,0)))</f>
        <v>Entry Fragger</v>
      </c>
      <c r="X1201" s="2">
        <f t="shared" si="94"/>
        <v>12.599585062240664</v>
      </c>
    </row>
    <row r="1202" spans="1:24" x14ac:dyDescent="0.3">
      <c r="A1202">
        <v>1940</v>
      </c>
      <c r="B1202">
        <v>214</v>
      </c>
      <c r="C1202" t="s">
        <v>39</v>
      </c>
      <c r="D1202" t="s">
        <v>22</v>
      </c>
      <c r="E1202" t="s">
        <v>29</v>
      </c>
      <c r="F1202" t="s">
        <v>19</v>
      </c>
      <c r="G1202">
        <v>15</v>
      </c>
      <c r="H1202">
        <v>6</v>
      </c>
      <c r="I1202">
        <v>10</v>
      </c>
      <c r="J1202">
        <v>43.45</v>
      </c>
      <c r="K1202">
        <v>216.02</v>
      </c>
      <c r="L1202">
        <v>0.19</v>
      </c>
      <c r="M1202">
        <v>45.83</v>
      </c>
      <c r="N1202">
        <v>1</v>
      </c>
      <c r="O1202" t="s">
        <v>20</v>
      </c>
      <c r="P1202" t="s">
        <v>21</v>
      </c>
      <c r="Q1202">
        <f t="shared" si="90"/>
        <v>11</v>
      </c>
      <c r="R1202" s="4">
        <f>RANK(N1202,$N$2:N$2800,0)</f>
        <v>1</v>
      </c>
      <c r="S1202">
        <f t="shared" si="91"/>
        <v>1.5</v>
      </c>
      <c r="T1202" t="str">
        <f t="shared" si="92"/>
        <v>Low</v>
      </c>
      <c r="U1202" t="str" cm="1">
        <f t="array" ref="U1202">_xlfn.LET(_xlpm.roles,_xlfn.UNIQUE(D1202:D4000),_xlpm.kills, SUMIF(D1202:D4000,_xlpm.roles,G1202:G4000),INDEX(_xlpm.roles,MATCH(MAX(_xlpm.kills),_xlpm.kills,0)))</f>
        <v>Entry Fragger</v>
      </c>
      <c r="V1202" t="str">
        <f t="shared" si="93"/>
        <v>Medium Accuracy</v>
      </c>
      <c r="W1202" t="str" cm="1">
        <f t="array" ref="W1202">_xlfn.LET(_xlpm.roles,_xlfn.UNIQUE(D1202:D4000), _xlpm.counts,COUNTIF(D1202:D4000,_xlpm.roles), INDEX(_xlpm.roles,MATCH(MAX(_xlpm.counts),_xlpm.counts,0)))</f>
        <v>Entry Fragger</v>
      </c>
      <c r="X1202" s="2">
        <f t="shared" si="94"/>
        <v>13.103594080338267</v>
      </c>
    </row>
    <row r="1203" spans="1:24" x14ac:dyDescent="0.3">
      <c r="A1203">
        <v>2383</v>
      </c>
      <c r="B1203">
        <v>214</v>
      </c>
      <c r="C1203" t="s">
        <v>27</v>
      </c>
      <c r="D1203" t="s">
        <v>28</v>
      </c>
      <c r="E1203" t="s">
        <v>23</v>
      </c>
      <c r="F1203" t="s">
        <v>37</v>
      </c>
      <c r="G1203">
        <v>18</v>
      </c>
      <c r="H1203">
        <v>10</v>
      </c>
      <c r="I1203">
        <v>16</v>
      </c>
      <c r="J1203">
        <v>52.95</v>
      </c>
      <c r="K1203">
        <v>254.79</v>
      </c>
      <c r="L1203">
        <v>0.98</v>
      </c>
      <c r="M1203">
        <v>46.67</v>
      </c>
      <c r="N1203">
        <v>1</v>
      </c>
      <c r="O1203" t="s">
        <v>20</v>
      </c>
      <c r="P1203" t="s">
        <v>21</v>
      </c>
      <c r="Q1203">
        <f t="shared" si="90"/>
        <v>12</v>
      </c>
      <c r="R1203" s="4">
        <f>RANK(N1203,$N$2:N$2800,0)</f>
        <v>1</v>
      </c>
      <c r="S1203">
        <f t="shared" si="91"/>
        <v>1.125</v>
      </c>
      <c r="T1203" t="str">
        <f t="shared" si="92"/>
        <v>Low</v>
      </c>
      <c r="U1203" t="str" cm="1">
        <f t="array" ref="U1203">_xlfn.LET(_xlpm.roles,_xlfn.UNIQUE(D1203:D4001),_xlpm.kills, SUMIF(D1203:D4001,_xlpm.roles,G1203:G4001),INDEX(_xlpm.roles,MATCH(MAX(_xlpm.kills),_xlpm.kills,0)))</f>
        <v>Entry Fragger</v>
      </c>
      <c r="V1203" t="str">
        <f t="shared" si="93"/>
        <v>High Accuracy</v>
      </c>
      <c r="W1203" t="str" cm="1">
        <f t="array" ref="W1203">_xlfn.LET(_xlpm.roles,_xlfn.UNIQUE(D1203:D4001), _xlpm.counts,COUNTIF(D1203:D4001,_xlpm.roles), INDEX(_xlpm.roles,MATCH(MAX(_xlpm.counts),_xlpm.counts,0)))</f>
        <v>Entry Fragger</v>
      </c>
      <c r="X1203" s="2">
        <f t="shared" si="94"/>
        <v>13.057077625570777</v>
      </c>
    </row>
    <row r="1204" spans="1:24" x14ac:dyDescent="0.3">
      <c r="A1204">
        <v>2596</v>
      </c>
      <c r="B1204">
        <v>214</v>
      </c>
      <c r="C1204" t="s">
        <v>27</v>
      </c>
      <c r="D1204" t="s">
        <v>31</v>
      </c>
      <c r="E1204" t="s">
        <v>33</v>
      </c>
      <c r="F1204" t="s">
        <v>26</v>
      </c>
      <c r="G1204">
        <v>16</v>
      </c>
      <c r="H1204">
        <v>8</v>
      </c>
      <c r="I1204">
        <v>12</v>
      </c>
      <c r="J1204">
        <v>40.39</v>
      </c>
      <c r="K1204">
        <v>200.23</v>
      </c>
      <c r="L1204">
        <v>0.82</v>
      </c>
      <c r="M1204">
        <v>40</v>
      </c>
      <c r="N1204">
        <v>0.88</v>
      </c>
      <c r="O1204" t="s">
        <v>20</v>
      </c>
      <c r="P1204" t="s">
        <v>21</v>
      </c>
      <c r="Q1204">
        <f t="shared" si="90"/>
        <v>12</v>
      </c>
      <c r="R1204" s="4">
        <f>RANK(N1204,$N$2:N$2800,0)</f>
        <v>1894</v>
      </c>
      <c r="S1204">
        <f t="shared" si="91"/>
        <v>1.3333333333333333</v>
      </c>
      <c r="T1204" t="str">
        <f t="shared" si="92"/>
        <v>Low</v>
      </c>
      <c r="U1204" t="str" cm="1">
        <f t="array" ref="U1204">_xlfn.LET(_xlpm.roles,_xlfn.UNIQUE(D1204:D4002),_xlpm.kills, SUMIF(D1204:D4002,_xlpm.roles,G1204:G4002),INDEX(_xlpm.roles,MATCH(MAX(_xlpm.kills),_xlpm.kills,0)))</f>
        <v>Entry Fragger</v>
      </c>
      <c r="V1204" t="str">
        <f t="shared" si="93"/>
        <v>Medium Accuracy</v>
      </c>
      <c r="W1204" t="str" cm="1">
        <f t="array" ref="W1204">_xlfn.LET(_xlpm.roles,_xlfn.UNIQUE(D1204:D4002), _xlpm.counts,COUNTIF(D1204:D4002,_xlpm.roles), INDEX(_xlpm.roles,MATCH(MAX(_xlpm.counts),_xlpm.counts,0)))</f>
        <v>Entry Fragger</v>
      </c>
      <c r="X1204" s="2">
        <f t="shared" si="94"/>
        <v>13.057077625570777</v>
      </c>
    </row>
    <row r="1205" spans="1:24" x14ac:dyDescent="0.3">
      <c r="A1205">
        <v>640</v>
      </c>
      <c r="B1205">
        <v>215</v>
      </c>
      <c r="C1205" t="s">
        <v>39</v>
      </c>
      <c r="D1205" t="s">
        <v>36</v>
      </c>
      <c r="E1205" t="s">
        <v>23</v>
      </c>
      <c r="F1205" t="s">
        <v>24</v>
      </c>
      <c r="G1205">
        <v>10</v>
      </c>
      <c r="H1205">
        <v>14</v>
      </c>
      <c r="I1205">
        <v>14</v>
      </c>
      <c r="J1205">
        <v>38.42</v>
      </c>
      <c r="K1205">
        <v>148.27000000000001</v>
      </c>
      <c r="L1205">
        <v>0.15</v>
      </c>
      <c r="M1205">
        <v>37.71</v>
      </c>
      <c r="N1205">
        <v>0.78</v>
      </c>
      <c r="O1205" t="s">
        <v>20</v>
      </c>
      <c r="P1205" t="s">
        <v>21</v>
      </c>
      <c r="Q1205">
        <f t="shared" si="90"/>
        <v>10</v>
      </c>
      <c r="R1205" s="4">
        <f>RANK(N1205,$N$2:N$2800,0)</f>
        <v>2469</v>
      </c>
      <c r="S1205">
        <f t="shared" si="91"/>
        <v>0.7142857142857143</v>
      </c>
      <c r="T1205" t="str">
        <f t="shared" si="92"/>
        <v>Low</v>
      </c>
      <c r="U1205" t="str" cm="1">
        <f t="array" ref="U1205">_xlfn.LET(_xlpm.roles,_xlfn.UNIQUE(D1205:D4003),_xlpm.kills, SUMIF(D1205:D4003,_xlpm.roles,G1205:G4003),INDEX(_xlpm.roles,MATCH(MAX(_xlpm.kills),_xlpm.kills,0)))</f>
        <v>Entry Fragger</v>
      </c>
      <c r="V1205" t="str">
        <f t="shared" si="93"/>
        <v>Medium Accuracy</v>
      </c>
      <c r="W1205" t="str" cm="1">
        <f t="array" ref="W1205">_xlfn.LET(_xlpm.roles,_xlfn.UNIQUE(D1205:D4003), _xlpm.counts,COUNTIF(D1205:D4003,_xlpm.roles), INDEX(_xlpm.roles,MATCH(MAX(_xlpm.counts),_xlpm.counts,0)))</f>
        <v>Entry Fragger</v>
      </c>
      <c r="X1205" s="2">
        <f t="shared" si="94"/>
        <v>13.103594080338267</v>
      </c>
    </row>
    <row r="1206" spans="1:24" x14ac:dyDescent="0.3">
      <c r="A1206">
        <v>1058</v>
      </c>
      <c r="B1206">
        <v>215</v>
      </c>
      <c r="C1206" t="s">
        <v>16</v>
      </c>
      <c r="D1206" t="s">
        <v>28</v>
      </c>
      <c r="E1206" t="s">
        <v>33</v>
      </c>
      <c r="F1206" t="s">
        <v>37</v>
      </c>
      <c r="G1206">
        <v>14</v>
      </c>
      <c r="H1206">
        <v>11</v>
      </c>
      <c r="I1206">
        <v>11</v>
      </c>
      <c r="J1206">
        <v>56.92</v>
      </c>
      <c r="K1206">
        <v>174.23</v>
      </c>
      <c r="L1206">
        <v>0.15</v>
      </c>
      <c r="M1206">
        <v>54.96</v>
      </c>
      <c r="N1206">
        <v>1</v>
      </c>
      <c r="O1206" t="s">
        <v>20</v>
      </c>
      <c r="P1206" t="s">
        <v>21</v>
      </c>
      <c r="Q1206">
        <f t="shared" si="90"/>
        <v>14</v>
      </c>
      <c r="R1206" s="4">
        <f>RANK(N1206,$N$2:N$2800,0)</f>
        <v>1</v>
      </c>
      <c r="S1206">
        <f t="shared" si="91"/>
        <v>1.2727272727272727</v>
      </c>
      <c r="T1206" t="str">
        <f t="shared" si="92"/>
        <v>Low</v>
      </c>
      <c r="U1206" t="str" cm="1">
        <f t="array" ref="U1206">_xlfn.LET(_xlpm.roles,_xlfn.UNIQUE(D1206:D4004),_xlpm.kills, SUMIF(D1206:D4004,_xlpm.roles,G1206:G4004),INDEX(_xlpm.roles,MATCH(MAX(_xlpm.kills),_xlpm.kills,0)))</f>
        <v>Entry Fragger</v>
      </c>
      <c r="V1206" t="str">
        <f t="shared" si="93"/>
        <v>High Accuracy</v>
      </c>
      <c r="W1206" t="str" cm="1">
        <f t="array" ref="W1206">_xlfn.LET(_xlpm.roles,_xlfn.UNIQUE(D1206:D4004), _xlpm.counts,COUNTIF(D1206:D4004,_xlpm.roles), INDEX(_xlpm.roles,MATCH(MAX(_xlpm.counts),_xlpm.counts,0)))</f>
        <v>Entry Fragger</v>
      </c>
      <c r="X1206" s="2">
        <f t="shared" si="94"/>
        <v>12.520971302428256</v>
      </c>
    </row>
    <row r="1207" spans="1:24" x14ac:dyDescent="0.3">
      <c r="A1207">
        <v>1072</v>
      </c>
      <c r="B1207">
        <v>215</v>
      </c>
      <c r="C1207" t="s">
        <v>30</v>
      </c>
      <c r="D1207" t="s">
        <v>17</v>
      </c>
      <c r="E1207" t="s">
        <v>18</v>
      </c>
      <c r="F1207" t="s">
        <v>37</v>
      </c>
      <c r="G1207">
        <v>16</v>
      </c>
      <c r="H1207">
        <v>8</v>
      </c>
      <c r="I1207">
        <v>11</v>
      </c>
      <c r="J1207">
        <v>52.96</v>
      </c>
      <c r="K1207">
        <v>254.58</v>
      </c>
      <c r="L1207">
        <v>0.35</v>
      </c>
      <c r="M1207">
        <v>51.98</v>
      </c>
      <c r="N1207">
        <v>0.97</v>
      </c>
      <c r="O1207" t="s">
        <v>20</v>
      </c>
      <c r="P1207" t="s">
        <v>21</v>
      </c>
      <c r="Q1207">
        <f t="shared" si="90"/>
        <v>13</v>
      </c>
      <c r="R1207" s="4">
        <f>RANK(N1207,$N$2:N$2800,0)</f>
        <v>1243</v>
      </c>
      <c r="S1207">
        <f t="shared" si="91"/>
        <v>1.4545454545454546</v>
      </c>
      <c r="T1207" t="str">
        <f t="shared" si="92"/>
        <v>Low</v>
      </c>
      <c r="U1207" t="str" cm="1">
        <f t="array" ref="U1207">_xlfn.LET(_xlpm.roles,_xlfn.UNIQUE(D1207:D4005),_xlpm.kills, SUMIF(D1207:D4005,_xlpm.roles,G1207:G4005),INDEX(_xlpm.roles,MATCH(MAX(_xlpm.kills),_xlpm.kills,0)))</f>
        <v>Entry Fragger</v>
      </c>
      <c r="V1207" t="str">
        <f t="shared" si="93"/>
        <v>High Accuracy</v>
      </c>
      <c r="W1207" t="str" cm="1">
        <f t="array" ref="W1207">_xlfn.LET(_xlpm.roles,_xlfn.UNIQUE(D1207:D4005), _xlpm.counts,COUNTIF(D1207:D4005,_xlpm.roles), INDEX(_xlpm.roles,MATCH(MAX(_xlpm.counts),_xlpm.counts,0)))</f>
        <v>Entry Fragger</v>
      </c>
      <c r="X1207" s="2">
        <f t="shared" si="94"/>
        <v>13.135802469135802</v>
      </c>
    </row>
    <row r="1208" spans="1:24" x14ac:dyDescent="0.3">
      <c r="A1208">
        <v>1223</v>
      </c>
      <c r="B1208">
        <v>215</v>
      </c>
      <c r="C1208" t="s">
        <v>25</v>
      </c>
      <c r="D1208" t="s">
        <v>36</v>
      </c>
      <c r="E1208" t="s">
        <v>23</v>
      </c>
      <c r="F1208" t="s">
        <v>26</v>
      </c>
      <c r="G1208">
        <v>20</v>
      </c>
      <c r="H1208">
        <v>4</v>
      </c>
      <c r="I1208">
        <v>10</v>
      </c>
      <c r="J1208">
        <v>40.81</v>
      </c>
      <c r="K1208">
        <v>230.09</v>
      </c>
      <c r="L1208">
        <v>0.24</v>
      </c>
      <c r="M1208">
        <v>52.01</v>
      </c>
      <c r="N1208">
        <v>1</v>
      </c>
      <c r="O1208" t="s">
        <v>20</v>
      </c>
      <c r="P1208" t="s">
        <v>21</v>
      </c>
      <c r="Q1208">
        <f t="shared" si="90"/>
        <v>14</v>
      </c>
      <c r="R1208" s="4">
        <f>RANK(N1208,$N$2:N$2800,0)</f>
        <v>1</v>
      </c>
      <c r="S1208">
        <f t="shared" si="91"/>
        <v>2</v>
      </c>
      <c r="T1208" t="str">
        <f t="shared" si="92"/>
        <v>Low</v>
      </c>
      <c r="U1208" t="str" cm="1">
        <f t="array" ref="U1208">_xlfn.LET(_xlpm.roles,_xlfn.UNIQUE(D1208:D4006),_xlpm.kills, SUMIF(D1208:D4006,_xlpm.roles,G1208:G4006),INDEX(_xlpm.roles,MATCH(MAX(_xlpm.kills),_xlpm.kills,0)))</f>
        <v>Entry Fragger</v>
      </c>
      <c r="V1208" t="str">
        <f t="shared" si="93"/>
        <v>Medium Accuracy</v>
      </c>
      <c r="W1208" t="str" cm="1">
        <f t="array" ref="W1208">_xlfn.LET(_xlpm.roles,_xlfn.UNIQUE(D1208:D4006), _xlpm.counts,COUNTIF(D1208:D4006,_xlpm.roles), INDEX(_xlpm.roles,MATCH(MAX(_xlpm.counts),_xlpm.counts,0)))</f>
        <v>Entry Fragger</v>
      </c>
      <c r="X1208" s="2">
        <f t="shared" si="94"/>
        <v>12.809421841541756</v>
      </c>
    </row>
    <row r="1209" spans="1:24" x14ac:dyDescent="0.3">
      <c r="A1209">
        <v>2255</v>
      </c>
      <c r="B1209">
        <v>215</v>
      </c>
      <c r="C1209" t="s">
        <v>30</v>
      </c>
      <c r="D1209" t="s">
        <v>17</v>
      </c>
      <c r="E1209" t="s">
        <v>33</v>
      </c>
      <c r="F1209" t="s">
        <v>24</v>
      </c>
      <c r="G1209">
        <v>15</v>
      </c>
      <c r="H1209">
        <v>9</v>
      </c>
      <c r="I1209">
        <v>8</v>
      </c>
      <c r="J1209">
        <v>52.5</v>
      </c>
      <c r="K1209">
        <v>204.08</v>
      </c>
      <c r="L1209">
        <v>0.4</v>
      </c>
      <c r="M1209">
        <v>53.25</v>
      </c>
      <c r="N1209">
        <v>0.94</v>
      </c>
      <c r="O1209" t="s">
        <v>20</v>
      </c>
      <c r="P1209" t="s">
        <v>21</v>
      </c>
      <c r="Q1209">
        <f t="shared" si="90"/>
        <v>16</v>
      </c>
      <c r="R1209" s="4">
        <f>RANK(N1209,$N$2:N$2800,0)</f>
        <v>1431</v>
      </c>
      <c r="S1209">
        <f t="shared" si="91"/>
        <v>1.875</v>
      </c>
      <c r="T1209" t="str">
        <f t="shared" si="92"/>
        <v>Good</v>
      </c>
      <c r="U1209" t="str" cm="1">
        <f t="array" ref="U1209">_xlfn.LET(_xlpm.roles,_xlfn.UNIQUE(D1209:D4007),_xlpm.kills, SUMIF(D1209:D4007,_xlpm.roles,G1209:G4007),INDEX(_xlpm.roles,MATCH(MAX(_xlpm.kills),_xlpm.kills,0)))</f>
        <v>Entry Fragger</v>
      </c>
      <c r="V1209" t="str">
        <f t="shared" si="93"/>
        <v>High Accuracy</v>
      </c>
      <c r="W1209" t="str" cm="1">
        <f t="array" ref="W1209">_xlfn.LET(_xlpm.roles,_xlfn.UNIQUE(D1209:D4007), _xlpm.counts,COUNTIF(D1209:D4007,_xlpm.roles), INDEX(_xlpm.roles,MATCH(MAX(_xlpm.counts),_xlpm.counts,0)))</f>
        <v>Entry Fragger</v>
      </c>
      <c r="X1209" s="2">
        <f t="shared" si="94"/>
        <v>13.135802469135802</v>
      </c>
    </row>
    <row r="1210" spans="1:24" x14ac:dyDescent="0.3">
      <c r="A1210">
        <v>2355</v>
      </c>
      <c r="B1210">
        <v>215</v>
      </c>
      <c r="C1210" t="s">
        <v>16</v>
      </c>
      <c r="D1210" t="s">
        <v>17</v>
      </c>
      <c r="E1210" t="s">
        <v>29</v>
      </c>
      <c r="F1210" t="s">
        <v>24</v>
      </c>
      <c r="G1210">
        <v>15</v>
      </c>
      <c r="H1210">
        <v>6</v>
      </c>
      <c r="I1210">
        <v>13</v>
      </c>
      <c r="J1210">
        <v>59.84</v>
      </c>
      <c r="K1210">
        <v>185.5</v>
      </c>
      <c r="L1210">
        <v>0.09</v>
      </c>
      <c r="M1210">
        <v>52.02</v>
      </c>
      <c r="N1210">
        <v>1</v>
      </c>
      <c r="O1210" t="s">
        <v>20</v>
      </c>
      <c r="P1210" t="s">
        <v>21</v>
      </c>
      <c r="Q1210">
        <f t="shared" si="90"/>
        <v>8</v>
      </c>
      <c r="R1210" s="4">
        <f>RANK(N1210,$N$2:N$2800,0)</f>
        <v>1</v>
      </c>
      <c r="S1210">
        <f t="shared" si="91"/>
        <v>1.1538461538461537</v>
      </c>
      <c r="T1210" t="str">
        <f t="shared" si="92"/>
        <v>Low</v>
      </c>
      <c r="U1210" t="str" cm="1">
        <f t="array" ref="U1210">_xlfn.LET(_xlpm.roles,_xlfn.UNIQUE(D1210:D4008),_xlpm.kills, SUMIF(D1210:D4008,_xlpm.roles,G1210:G4008),INDEX(_xlpm.roles,MATCH(MAX(_xlpm.kills),_xlpm.kills,0)))</f>
        <v>Entry Fragger</v>
      </c>
      <c r="V1210" t="str">
        <f t="shared" si="93"/>
        <v>High Accuracy</v>
      </c>
      <c r="W1210" t="str" cm="1">
        <f t="array" ref="W1210">_xlfn.LET(_xlpm.roles,_xlfn.UNIQUE(D1210:D4008), _xlpm.counts,COUNTIF(D1210:D4008,_xlpm.roles), INDEX(_xlpm.roles,MATCH(MAX(_xlpm.counts),_xlpm.counts,0)))</f>
        <v>Entry Fragger</v>
      </c>
      <c r="X1210" s="2">
        <f t="shared" si="94"/>
        <v>12.520971302428256</v>
      </c>
    </row>
    <row r="1211" spans="1:24" x14ac:dyDescent="0.3">
      <c r="A1211">
        <v>2379</v>
      </c>
      <c r="B1211">
        <v>215</v>
      </c>
      <c r="C1211" t="s">
        <v>39</v>
      </c>
      <c r="D1211" t="s">
        <v>22</v>
      </c>
      <c r="E1211" t="s">
        <v>23</v>
      </c>
      <c r="F1211" t="s">
        <v>19</v>
      </c>
      <c r="G1211">
        <v>18</v>
      </c>
      <c r="H1211">
        <v>8</v>
      </c>
      <c r="I1211">
        <v>10</v>
      </c>
      <c r="J1211">
        <v>48.47</v>
      </c>
      <c r="K1211">
        <v>192.8</v>
      </c>
      <c r="L1211">
        <v>0.99</v>
      </c>
      <c r="M1211">
        <v>48.34</v>
      </c>
      <c r="N1211">
        <v>0.89</v>
      </c>
      <c r="O1211" t="s">
        <v>20</v>
      </c>
      <c r="P1211" t="s">
        <v>21</v>
      </c>
      <c r="Q1211">
        <f t="shared" si="90"/>
        <v>16</v>
      </c>
      <c r="R1211" s="4">
        <f>RANK(N1211,$N$2:N$2800,0)</f>
        <v>1815</v>
      </c>
      <c r="S1211">
        <f t="shared" si="91"/>
        <v>1.8</v>
      </c>
      <c r="T1211" t="str">
        <f t="shared" si="92"/>
        <v>Good</v>
      </c>
      <c r="U1211" t="str" cm="1">
        <f t="array" ref="U1211">_xlfn.LET(_xlpm.roles,_xlfn.UNIQUE(D1211:D4009),_xlpm.kills, SUMIF(D1211:D4009,_xlpm.roles,G1211:G4009),INDEX(_xlpm.roles,MATCH(MAX(_xlpm.kills),_xlpm.kills,0)))</f>
        <v>Entry Fragger</v>
      </c>
      <c r="V1211" t="str">
        <f t="shared" si="93"/>
        <v>Medium Accuracy</v>
      </c>
      <c r="W1211" t="str" cm="1">
        <f t="array" ref="W1211">_xlfn.LET(_xlpm.roles,_xlfn.UNIQUE(D1211:D4009), _xlpm.counts,COUNTIF(D1211:D4009,_xlpm.roles), INDEX(_xlpm.roles,MATCH(MAX(_xlpm.counts),_xlpm.counts,0)))</f>
        <v>Entry Fragger</v>
      </c>
      <c r="X1211" s="2">
        <f t="shared" si="94"/>
        <v>13.103594080338267</v>
      </c>
    </row>
    <row r="1212" spans="1:24" x14ac:dyDescent="0.3">
      <c r="A1212">
        <v>2521</v>
      </c>
      <c r="B1212">
        <v>215</v>
      </c>
      <c r="C1212" t="s">
        <v>39</v>
      </c>
      <c r="D1212" t="s">
        <v>28</v>
      </c>
      <c r="E1212" t="s">
        <v>29</v>
      </c>
      <c r="F1212" t="s">
        <v>37</v>
      </c>
      <c r="G1212">
        <v>24</v>
      </c>
      <c r="H1212">
        <v>7</v>
      </c>
      <c r="I1212">
        <v>8</v>
      </c>
      <c r="J1212">
        <v>42.38</v>
      </c>
      <c r="K1212">
        <v>233.15</v>
      </c>
      <c r="L1212">
        <v>0.73</v>
      </c>
      <c r="M1212">
        <v>60.89</v>
      </c>
      <c r="N1212">
        <v>1</v>
      </c>
      <c r="O1212" t="s">
        <v>20</v>
      </c>
      <c r="P1212" t="s">
        <v>38</v>
      </c>
      <c r="Q1212">
        <f t="shared" si="90"/>
        <v>23</v>
      </c>
      <c r="R1212" s="4">
        <f>RANK(N1212,$N$2:N$2800,0)</f>
        <v>1</v>
      </c>
      <c r="S1212">
        <f t="shared" si="91"/>
        <v>3</v>
      </c>
      <c r="T1212" t="str">
        <f t="shared" si="92"/>
        <v>Good</v>
      </c>
      <c r="U1212" t="str" cm="1">
        <f t="array" ref="U1212">_xlfn.LET(_xlpm.roles,_xlfn.UNIQUE(D1212:D4010),_xlpm.kills, SUMIF(D1212:D4010,_xlpm.roles,G1212:G4010),INDEX(_xlpm.roles,MATCH(MAX(_xlpm.kills),_xlpm.kills,0)))</f>
        <v>Entry Fragger</v>
      </c>
      <c r="V1212" t="str">
        <f t="shared" si="93"/>
        <v>Medium Accuracy</v>
      </c>
      <c r="W1212" t="str" cm="1">
        <f t="array" ref="W1212">_xlfn.LET(_xlpm.roles,_xlfn.UNIQUE(D1212:D4010), _xlpm.counts,COUNTIF(D1212:D4010,_xlpm.roles), INDEX(_xlpm.roles,MATCH(MAX(_xlpm.counts),_xlpm.counts,0)))</f>
        <v>Entry Fragger</v>
      </c>
      <c r="X1212" s="2">
        <f t="shared" si="94"/>
        <v>13.103594080338267</v>
      </c>
    </row>
    <row r="1213" spans="1:24" x14ac:dyDescent="0.3">
      <c r="A1213">
        <v>2583</v>
      </c>
      <c r="B1213">
        <v>215</v>
      </c>
      <c r="C1213" t="s">
        <v>16</v>
      </c>
      <c r="D1213" t="s">
        <v>28</v>
      </c>
      <c r="E1213" t="s">
        <v>29</v>
      </c>
      <c r="F1213" t="s">
        <v>24</v>
      </c>
      <c r="G1213">
        <v>12</v>
      </c>
      <c r="H1213">
        <v>9</v>
      </c>
      <c r="I1213">
        <v>10</v>
      </c>
      <c r="J1213">
        <v>49.37</v>
      </c>
      <c r="K1213">
        <v>258</v>
      </c>
      <c r="L1213">
        <v>0.5</v>
      </c>
      <c r="M1213">
        <v>42.69</v>
      </c>
      <c r="N1213">
        <v>0.96</v>
      </c>
      <c r="O1213" t="s">
        <v>20</v>
      </c>
      <c r="P1213" t="s">
        <v>21</v>
      </c>
      <c r="Q1213">
        <f t="shared" si="90"/>
        <v>11</v>
      </c>
      <c r="R1213" s="4">
        <f>RANK(N1213,$N$2:N$2800,0)</f>
        <v>1301</v>
      </c>
      <c r="S1213">
        <f t="shared" si="91"/>
        <v>1.2</v>
      </c>
      <c r="T1213" t="str">
        <f t="shared" si="92"/>
        <v>Low</v>
      </c>
      <c r="U1213" t="str" cm="1">
        <f t="array" ref="U1213">_xlfn.LET(_xlpm.roles,_xlfn.UNIQUE(D1213:D4011),_xlpm.kills, SUMIF(D1213:D4011,_xlpm.roles,G1213:G4011),INDEX(_xlpm.roles,MATCH(MAX(_xlpm.kills),_xlpm.kills,0)))</f>
        <v>Entry Fragger</v>
      </c>
      <c r="V1213" t="str">
        <f t="shared" si="93"/>
        <v>Medium Accuracy</v>
      </c>
      <c r="W1213" t="str" cm="1">
        <f t="array" ref="W1213">_xlfn.LET(_xlpm.roles,_xlfn.UNIQUE(D1213:D4011), _xlpm.counts,COUNTIF(D1213:D4011,_xlpm.roles), INDEX(_xlpm.roles,MATCH(MAX(_xlpm.counts),_xlpm.counts,0)))</f>
        <v>Entry Fragger</v>
      </c>
      <c r="X1213" s="2">
        <f t="shared" si="94"/>
        <v>12.520971302428256</v>
      </c>
    </row>
    <row r="1214" spans="1:24" x14ac:dyDescent="0.3">
      <c r="A1214">
        <v>42</v>
      </c>
      <c r="B1214">
        <v>216</v>
      </c>
      <c r="C1214" t="s">
        <v>30</v>
      </c>
      <c r="D1214" t="s">
        <v>17</v>
      </c>
      <c r="E1214" t="s">
        <v>29</v>
      </c>
      <c r="F1214" t="s">
        <v>24</v>
      </c>
      <c r="G1214">
        <v>18</v>
      </c>
      <c r="H1214">
        <v>10</v>
      </c>
      <c r="I1214">
        <v>11</v>
      </c>
      <c r="J1214">
        <v>37.619999999999997</v>
      </c>
      <c r="K1214">
        <v>213.91</v>
      </c>
      <c r="L1214">
        <v>0.87</v>
      </c>
      <c r="M1214">
        <v>45.11</v>
      </c>
      <c r="N1214">
        <v>0.96</v>
      </c>
      <c r="O1214" t="s">
        <v>20</v>
      </c>
      <c r="P1214" t="s">
        <v>21</v>
      </c>
      <c r="Q1214">
        <f t="shared" si="90"/>
        <v>17</v>
      </c>
      <c r="R1214" s="4">
        <f>RANK(N1214,$N$2:N$2800,0)</f>
        <v>1301</v>
      </c>
      <c r="S1214">
        <f t="shared" si="91"/>
        <v>1.6363636363636365</v>
      </c>
      <c r="T1214" t="str">
        <f t="shared" si="92"/>
        <v>Good</v>
      </c>
      <c r="U1214" t="str" cm="1">
        <f t="array" ref="U1214">_xlfn.LET(_xlpm.roles,_xlfn.UNIQUE(D1214:D4012),_xlpm.kills, SUMIF(D1214:D4012,_xlpm.roles,G1214:G4012),INDEX(_xlpm.roles,MATCH(MAX(_xlpm.kills),_xlpm.kills,0)))</f>
        <v>Entry Fragger</v>
      </c>
      <c r="V1214" t="str">
        <f t="shared" si="93"/>
        <v>Medium Accuracy</v>
      </c>
      <c r="W1214" t="str" cm="1">
        <f t="array" ref="W1214">_xlfn.LET(_xlpm.roles,_xlfn.UNIQUE(D1214:D4012), _xlpm.counts,COUNTIF(D1214:D4012,_xlpm.roles), INDEX(_xlpm.roles,MATCH(MAX(_xlpm.counts),_xlpm.counts,0)))</f>
        <v>Entry Fragger</v>
      </c>
      <c r="X1214" s="2">
        <f t="shared" si="94"/>
        <v>13.135802469135802</v>
      </c>
    </row>
    <row r="1215" spans="1:24" x14ac:dyDescent="0.3">
      <c r="A1215">
        <v>528</v>
      </c>
      <c r="B1215">
        <v>216</v>
      </c>
      <c r="C1215" t="s">
        <v>27</v>
      </c>
      <c r="D1215" t="s">
        <v>28</v>
      </c>
      <c r="E1215" t="s">
        <v>33</v>
      </c>
      <c r="F1215" t="s">
        <v>24</v>
      </c>
      <c r="G1215">
        <v>9</v>
      </c>
      <c r="H1215">
        <v>4</v>
      </c>
      <c r="I1215">
        <v>9</v>
      </c>
      <c r="J1215">
        <v>42.84</v>
      </c>
      <c r="K1215">
        <v>228.39</v>
      </c>
      <c r="L1215">
        <v>0.61</v>
      </c>
      <c r="M1215">
        <v>28.32</v>
      </c>
      <c r="N1215">
        <v>0.88</v>
      </c>
      <c r="O1215" t="s">
        <v>20</v>
      </c>
      <c r="P1215" t="s">
        <v>21</v>
      </c>
      <c r="Q1215">
        <f t="shared" si="90"/>
        <v>4</v>
      </c>
      <c r="R1215" s="4">
        <f>RANK(N1215,$N$2:N$2800,0)</f>
        <v>1894</v>
      </c>
      <c r="S1215">
        <f t="shared" si="91"/>
        <v>1</v>
      </c>
      <c r="T1215" t="str">
        <f t="shared" si="92"/>
        <v>Low</v>
      </c>
      <c r="U1215" t="str" cm="1">
        <f t="array" ref="U1215">_xlfn.LET(_xlpm.roles,_xlfn.UNIQUE(D1215:D4013),_xlpm.kills, SUMIF(D1215:D4013,_xlpm.roles,G1215:G4013),INDEX(_xlpm.roles,MATCH(MAX(_xlpm.kills),_xlpm.kills,0)))</f>
        <v>Entry Fragger</v>
      </c>
      <c r="V1215" t="str">
        <f t="shared" si="93"/>
        <v>Medium Accuracy</v>
      </c>
      <c r="W1215" t="str" cm="1">
        <f t="array" ref="W1215">_xlfn.LET(_xlpm.roles,_xlfn.UNIQUE(D1215:D4013), _xlpm.counts,COUNTIF(D1215:D4013,_xlpm.roles), INDEX(_xlpm.roles,MATCH(MAX(_xlpm.counts),_xlpm.counts,0)))</f>
        <v>Entry Fragger</v>
      </c>
      <c r="X1215" s="2">
        <f t="shared" si="94"/>
        <v>13.057077625570777</v>
      </c>
    </row>
    <row r="1216" spans="1:24" x14ac:dyDescent="0.3">
      <c r="A1216">
        <v>562</v>
      </c>
      <c r="B1216">
        <v>216</v>
      </c>
      <c r="C1216" t="s">
        <v>27</v>
      </c>
      <c r="D1216" t="s">
        <v>22</v>
      </c>
      <c r="E1216" t="s">
        <v>29</v>
      </c>
      <c r="F1216" t="s">
        <v>19</v>
      </c>
      <c r="G1216">
        <v>20</v>
      </c>
      <c r="H1216">
        <v>5</v>
      </c>
      <c r="I1216">
        <v>11</v>
      </c>
      <c r="J1216">
        <v>45.19</v>
      </c>
      <c r="K1216">
        <v>205.69</v>
      </c>
      <c r="L1216">
        <v>0.35</v>
      </c>
      <c r="M1216">
        <v>53.09</v>
      </c>
      <c r="N1216">
        <v>1</v>
      </c>
      <c r="O1216" t="s">
        <v>20</v>
      </c>
      <c r="P1216" t="s">
        <v>21</v>
      </c>
      <c r="Q1216">
        <f t="shared" si="90"/>
        <v>14</v>
      </c>
      <c r="R1216" s="4">
        <f>RANK(N1216,$N$2:N$2800,0)</f>
        <v>1</v>
      </c>
      <c r="S1216">
        <f t="shared" si="91"/>
        <v>1.8181818181818181</v>
      </c>
      <c r="T1216" t="str">
        <f t="shared" si="92"/>
        <v>Low</v>
      </c>
      <c r="U1216" t="str" cm="1">
        <f t="array" ref="U1216">_xlfn.LET(_xlpm.roles,_xlfn.UNIQUE(D1216:D4014),_xlpm.kills, SUMIF(D1216:D4014,_xlpm.roles,G1216:G4014),INDEX(_xlpm.roles,MATCH(MAX(_xlpm.kills),_xlpm.kills,0)))</f>
        <v>Entry Fragger</v>
      </c>
      <c r="V1216" t="str">
        <f t="shared" si="93"/>
        <v>Medium Accuracy</v>
      </c>
      <c r="W1216" t="str" cm="1">
        <f t="array" ref="W1216">_xlfn.LET(_xlpm.roles,_xlfn.UNIQUE(D1216:D4014), _xlpm.counts,COUNTIF(D1216:D4014,_xlpm.roles), INDEX(_xlpm.roles,MATCH(MAX(_xlpm.counts),_xlpm.counts,0)))</f>
        <v>Entry Fragger</v>
      </c>
      <c r="X1216" s="2">
        <f t="shared" si="94"/>
        <v>13.057077625570777</v>
      </c>
    </row>
    <row r="1217" spans="1:24" x14ac:dyDescent="0.3">
      <c r="A1217">
        <v>1110</v>
      </c>
      <c r="B1217">
        <v>216</v>
      </c>
      <c r="C1217" t="s">
        <v>35</v>
      </c>
      <c r="D1217" t="s">
        <v>36</v>
      </c>
      <c r="E1217" t="s">
        <v>32</v>
      </c>
      <c r="F1217" t="s">
        <v>19</v>
      </c>
      <c r="G1217">
        <v>7</v>
      </c>
      <c r="H1217">
        <v>11</v>
      </c>
      <c r="I1217">
        <v>7</v>
      </c>
      <c r="J1217">
        <v>35.17</v>
      </c>
      <c r="K1217">
        <v>286.94</v>
      </c>
      <c r="L1217">
        <v>0.69</v>
      </c>
      <c r="M1217">
        <v>28.69</v>
      </c>
      <c r="N1217">
        <v>0.75</v>
      </c>
      <c r="O1217" t="s">
        <v>20</v>
      </c>
      <c r="P1217" t="s">
        <v>21</v>
      </c>
      <c r="Q1217">
        <f t="shared" si="90"/>
        <v>11</v>
      </c>
      <c r="R1217" s="4">
        <f>RANK(N1217,$N$2:N$2800,0)</f>
        <v>2586</v>
      </c>
      <c r="S1217">
        <f t="shared" si="91"/>
        <v>1</v>
      </c>
      <c r="T1217" t="str">
        <f t="shared" si="92"/>
        <v>Low</v>
      </c>
      <c r="U1217" t="str" cm="1">
        <f t="array" ref="U1217">_xlfn.LET(_xlpm.roles,_xlfn.UNIQUE(D1217:D4015),_xlpm.kills, SUMIF(D1217:D4015,_xlpm.roles,G1217:G4015),INDEX(_xlpm.roles,MATCH(MAX(_xlpm.kills),_xlpm.kills,0)))</f>
        <v>Entry Fragger</v>
      </c>
      <c r="V1217" t="str">
        <f t="shared" si="93"/>
        <v>Medium Accuracy</v>
      </c>
      <c r="W1217" t="str" cm="1">
        <f t="array" ref="W1217">_xlfn.LET(_xlpm.roles,_xlfn.UNIQUE(D1217:D4015), _xlpm.counts,COUNTIF(D1217:D4015,_xlpm.roles), INDEX(_xlpm.roles,MATCH(MAX(_xlpm.counts),_xlpm.counts,0)))</f>
        <v>Entry Fragger</v>
      </c>
      <c r="X1217" s="2">
        <f t="shared" si="94"/>
        <v>12.599585062240664</v>
      </c>
    </row>
    <row r="1218" spans="1:24" x14ac:dyDescent="0.3">
      <c r="A1218">
        <v>2747</v>
      </c>
      <c r="B1218">
        <v>216</v>
      </c>
      <c r="C1218" t="s">
        <v>16</v>
      </c>
      <c r="D1218" t="s">
        <v>28</v>
      </c>
      <c r="E1218" t="s">
        <v>32</v>
      </c>
      <c r="F1218" t="s">
        <v>37</v>
      </c>
      <c r="G1218">
        <v>13</v>
      </c>
      <c r="H1218">
        <v>8</v>
      </c>
      <c r="I1218">
        <v>5</v>
      </c>
      <c r="J1218">
        <v>49.64</v>
      </c>
      <c r="K1218">
        <v>229.46</v>
      </c>
      <c r="L1218">
        <v>0.75</v>
      </c>
      <c r="M1218">
        <v>46.32</v>
      </c>
      <c r="N1218">
        <v>0.87</v>
      </c>
      <c r="O1218" t="s">
        <v>20</v>
      </c>
      <c r="P1218" t="s">
        <v>21</v>
      </c>
      <c r="Q1218">
        <f t="shared" si="90"/>
        <v>16</v>
      </c>
      <c r="R1218" s="4">
        <f>RANK(N1218,$N$2:N$2800,0)</f>
        <v>1965</v>
      </c>
      <c r="S1218">
        <f t="shared" si="91"/>
        <v>2.6</v>
      </c>
      <c r="T1218" t="str">
        <f t="shared" si="92"/>
        <v>Good</v>
      </c>
      <c r="U1218" t="str" cm="1">
        <f t="array" ref="U1218">_xlfn.LET(_xlpm.roles,_xlfn.UNIQUE(D1218:D4016),_xlpm.kills, SUMIF(D1218:D4016,_xlpm.roles,G1218:G4016),INDEX(_xlpm.roles,MATCH(MAX(_xlpm.kills),_xlpm.kills,0)))</f>
        <v>Entry Fragger</v>
      </c>
      <c r="V1218" t="str">
        <f t="shared" si="93"/>
        <v>Medium Accuracy</v>
      </c>
      <c r="W1218" t="str" cm="1">
        <f t="array" ref="W1218">_xlfn.LET(_xlpm.roles,_xlfn.UNIQUE(D1218:D4016), _xlpm.counts,COUNTIF(D1218:D4016,_xlpm.roles), INDEX(_xlpm.roles,MATCH(MAX(_xlpm.counts),_xlpm.counts,0)))</f>
        <v>Entry Fragger</v>
      </c>
      <c r="X1218" s="2">
        <f t="shared" si="94"/>
        <v>12.520971302428256</v>
      </c>
    </row>
    <row r="1219" spans="1:24" x14ac:dyDescent="0.3">
      <c r="A1219">
        <v>732</v>
      </c>
      <c r="B1219">
        <v>217</v>
      </c>
      <c r="C1219" t="s">
        <v>25</v>
      </c>
      <c r="D1219" t="s">
        <v>17</v>
      </c>
      <c r="E1219" t="s">
        <v>18</v>
      </c>
      <c r="F1219" t="s">
        <v>19</v>
      </c>
      <c r="G1219">
        <v>18</v>
      </c>
      <c r="H1219">
        <v>9</v>
      </c>
      <c r="I1219">
        <v>8</v>
      </c>
      <c r="J1219">
        <v>47.26</v>
      </c>
      <c r="K1219">
        <v>205.55</v>
      </c>
      <c r="L1219">
        <v>0.74</v>
      </c>
      <c r="M1219">
        <v>53.23</v>
      </c>
      <c r="N1219">
        <v>1</v>
      </c>
      <c r="O1219" t="s">
        <v>20</v>
      </c>
      <c r="P1219" t="s">
        <v>21</v>
      </c>
      <c r="Q1219">
        <f t="shared" ref="Q1219:Q1282" si="95">G1219+H1219-I1219</f>
        <v>19</v>
      </c>
      <c r="R1219" s="4">
        <f>RANK(N1219,$N$2:N$2800,0)</f>
        <v>1</v>
      </c>
      <c r="S1219">
        <f t="shared" ref="S1219:S1282" si="96">G1219/I1219</f>
        <v>2.25</v>
      </c>
      <c r="T1219" t="str">
        <f t="shared" ref="T1219:T1282" si="97">IF(Q1219&lt;15,"Low",IF(Q1219&lt;25,"Good","Excellent"))</f>
        <v>Good</v>
      </c>
      <c r="U1219" t="str" cm="1">
        <f t="array" ref="U1219">_xlfn.LET(_xlpm.roles,_xlfn.UNIQUE(D1219:D4017),_xlpm.kills, SUMIF(D1219:D4017,_xlpm.roles,G1219:G4017),INDEX(_xlpm.roles,MATCH(MAX(_xlpm.kills),_xlpm.kills,0)))</f>
        <v>Entry Fragger</v>
      </c>
      <c r="V1219" t="str">
        <f t="shared" ref="V1219:V1282" si="98">IF(J1219&gt;=50,"High Accuracy",IF(J1219&gt;=30,"Medium Accuracy","Low Accuracy"))</f>
        <v>Medium Accuracy</v>
      </c>
      <c r="W1219" t="str" cm="1">
        <f t="array" ref="W1219">_xlfn.LET(_xlpm.roles,_xlfn.UNIQUE(D1219:D4017), _xlpm.counts,COUNTIF(D1219:D4017,_xlpm.roles), INDEX(_xlpm.roles,MATCH(MAX(_xlpm.counts),_xlpm.counts,0)))</f>
        <v>Entry Fragger</v>
      </c>
      <c r="X1219" s="2">
        <f t="shared" ref="X1219:X1282" si="99">AVERAGEIF($C$2:$C$2800,C1219,$Q$2:$Q$2800)</f>
        <v>12.809421841541756</v>
      </c>
    </row>
    <row r="1220" spans="1:24" x14ac:dyDescent="0.3">
      <c r="A1220">
        <v>1160</v>
      </c>
      <c r="B1220">
        <v>217</v>
      </c>
      <c r="C1220" t="s">
        <v>35</v>
      </c>
      <c r="D1220" t="s">
        <v>17</v>
      </c>
      <c r="E1220" t="s">
        <v>33</v>
      </c>
      <c r="F1220" t="s">
        <v>37</v>
      </c>
      <c r="G1220">
        <v>16</v>
      </c>
      <c r="H1220">
        <v>11</v>
      </c>
      <c r="I1220">
        <v>10</v>
      </c>
      <c r="J1220">
        <v>47.42</v>
      </c>
      <c r="K1220">
        <v>223.76</v>
      </c>
      <c r="L1220">
        <v>0.68</v>
      </c>
      <c r="M1220">
        <v>49.91</v>
      </c>
      <c r="N1220">
        <v>0.94</v>
      </c>
      <c r="O1220" t="s">
        <v>20</v>
      </c>
      <c r="P1220" t="s">
        <v>21</v>
      </c>
      <c r="Q1220">
        <f t="shared" si="95"/>
        <v>17</v>
      </c>
      <c r="R1220" s="4">
        <f>RANK(N1220,$N$2:N$2800,0)</f>
        <v>1431</v>
      </c>
      <c r="S1220">
        <f t="shared" si="96"/>
        <v>1.6</v>
      </c>
      <c r="T1220" t="str">
        <f t="shared" si="97"/>
        <v>Good</v>
      </c>
      <c r="U1220" t="str" cm="1">
        <f t="array" ref="U1220">_xlfn.LET(_xlpm.roles,_xlfn.UNIQUE(D1220:D4018),_xlpm.kills, SUMIF(D1220:D4018,_xlpm.roles,G1220:G4018),INDEX(_xlpm.roles,MATCH(MAX(_xlpm.kills),_xlpm.kills,0)))</f>
        <v>Entry Fragger</v>
      </c>
      <c r="V1220" t="str">
        <f t="shared" si="98"/>
        <v>Medium Accuracy</v>
      </c>
      <c r="W1220" t="str" cm="1">
        <f t="array" ref="W1220">_xlfn.LET(_xlpm.roles,_xlfn.UNIQUE(D1220:D4018), _xlpm.counts,COUNTIF(D1220:D4018,_xlpm.roles), INDEX(_xlpm.roles,MATCH(MAX(_xlpm.counts),_xlpm.counts,0)))</f>
        <v>Entry Fragger</v>
      </c>
      <c r="X1220" s="2">
        <f t="shared" si="99"/>
        <v>12.599585062240664</v>
      </c>
    </row>
    <row r="1221" spans="1:24" x14ac:dyDescent="0.3">
      <c r="A1221">
        <v>1215</v>
      </c>
      <c r="B1221">
        <v>217</v>
      </c>
      <c r="C1221" t="s">
        <v>16</v>
      </c>
      <c r="D1221" t="s">
        <v>36</v>
      </c>
      <c r="E1221" t="s">
        <v>33</v>
      </c>
      <c r="F1221" t="s">
        <v>34</v>
      </c>
      <c r="G1221">
        <v>14</v>
      </c>
      <c r="H1221">
        <v>9</v>
      </c>
      <c r="I1221">
        <v>11</v>
      </c>
      <c r="J1221">
        <v>54.9</v>
      </c>
      <c r="K1221">
        <v>239.77</v>
      </c>
      <c r="L1221">
        <v>0.36</v>
      </c>
      <c r="M1221">
        <v>49.85</v>
      </c>
      <c r="N1221">
        <v>0.95</v>
      </c>
      <c r="O1221" t="s">
        <v>20</v>
      </c>
      <c r="P1221" t="s">
        <v>21</v>
      </c>
      <c r="Q1221">
        <f t="shared" si="95"/>
        <v>12</v>
      </c>
      <c r="R1221" s="4">
        <f>RANK(N1221,$N$2:N$2800,0)</f>
        <v>1367</v>
      </c>
      <c r="S1221">
        <f t="shared" si="96"/>
        <v>1.2727272727272727</v>
      </c>
      <c r="T1221" t="str">
        <f t="shared" si="97"/>
        <v>Low</v>
      </c>
      <c r="U1221" t="str" cm="1">
        <f t="array" ref="U1221">_xlfn.LET(_xlpm.roles,_xlfn.UNIQUE(D1221:D4019),_xlpm.kills, SUMIF(D1221:D4019,_xlpm.roles,G1221:G4019),INDEX(_xlpm.roles,MATCH(MAX(_xlpm.kills),_xlpm.kills,0)))</f>
        <v>Entry Fragger</v>
      </c>
      <c r="V1221" t="str">
        <f t="shared" si="98"/>
        <v>High Accuracy</v>
      </c>
      <c r="W1221" t="str" cm="1">
        <f t="array" ref="W1221">_xlfn.LET(_xlpm.roles,_xlfn.UNIQUE(D1221:D4019), _xlpm.counts,COUNTIF(D1221:D4019,_xlpm.roles), INDEX(_xlpm.roles,MATCH(MAX(_xlpm.counts),_xlpm.counts,0)))</f>
        <v>Entry Fragger</v>
      </c>
      <c r="X1221" s="2">
        <f t="shared" si="99"/>
        <v>12.520971302428256</v>
      </c>
    </row>
    <row r="1222" spans="1:24" x14ac:dyDescent="0.3">
      <c r="A1222">
        <v>1739</v>
      </c>
      <c r="B1222">
        <v>217</v>
      </c>
      <c r="C1222" t="s">
        <v>30</v>
      </c>
      <c r="D1222" t="s">
        <v>36</v>
      </c>
      <c r="E1222" t="s">
        <v>23</v>
      </c>
      <c r="F1222" t="s">
        <v>37</v>
      </c>
      <c r="G1222">
        <v>13</v>
      </c>
      <c r="H1222">
        <v>11</v>
      </c>
      <c r="I1222">
        <v>11</v>
      </c>
      <c r="J1222">
        <v>51.1</v>
      </c>
      <c r="K1222">
        <v>181.85</v>
      </c>
      <c r="L1222">
        <v>0.76</v>
      </c>
      <c r="M1222">
        <v>43.95</v>
      </c>
      <c r="N1222">
        <v>0.74</v>
      </c>
      <c r="O1222" t="s">
        <v>20</v>
      </c>
      <c r="P1222" t="s">
        <v>21</v>
      </c>
      <c r="Q1222">
        <f t="shared" si="95"/>
        <v>13</v>
      </c>
      <c r="R1222" s="4">
        <f>RANK(N1222,$N$2:N$2800,0)</f>
        <v>2613</v>
      </c>
      <c r="S1222">
        <f t="shared" si="96"/>
        <v>1.1818181818181819</v>
      </c>
      <c r="T1222" t="str">
        <f t="shared" si="97"/>
        <v>Low</v>
      </c>
      <c r="U1222" t="str" cm="1">
        <f t="array" ref="U1222">_xlfn.LET(_xlpm.roles,_xlfn.UNIQUE(D1222:D4020),_xlpm.kills, SUMIF(D1222:D4020,_xlpm.roles,G1222:G4020),INDEX(_xlpm.roles,MATCH(MAX(_xlpm.kills),_xlpm.kills,0)))</f>
        <v>Entry Fragger</v>
      </c>
      <c r="V1222" t="str">
        <f t="shared" si="98"/>
        <v>High Accuracy</v>
      </c>
      <c r="W1222" t="str" cm="1">
        <f t="array" ref="W1222">_xlfn.LET(_xlpm.roles,_xlfn.UNIQUE(D1222:D4020), _xlpm.counts,COUNTIF(D1222:D4020,_xlpm.roles), INDEX(_xlpm.roles,MATCH(MAX(_xlpm.counts),_xlpm.counts,0)))</f>
        <v>Entry Fragger</v>
      </c>
      <c r="X1222" s="2">
        <f t="shared" si="99"/>
        <v>13.135802469135802</v>
      </c>
    </row>
    <row r="1223" spans="1:24" x14ac:dyDescent="0.3">
      <c r="A1223">
        <v>1781</v>
      </c>
      <c r="B1223">
        <v>217</v>
      </c>
      <c r="C1223" t="s">
        <v>16</v>
      </c>
      <c r="D1223" t="s">
        <v>36</v>
      </c>
      <c r="E1223" t="s">
        <v>33</v>
      </c>
      <c r="F1223" t="s">
        <v>26</v>
      </c>
      <c r="G1223">
        <v>8</v>
      </c>
      <c r="H1223">
        <v>7</v>
      </c>
      <c r="I1223">
        <v>10</v>
      </c>
      <c r="J1223">
        <v>41.87</v>
      </c>
      <c r="K1223">
        <v>220.54</v>
      </c>
      <c r="L1223">
        <v>0.73</v>
      </c>
      <c r="M1223">
        <v>26.64</v>
      </c>
      <c r="N1223">
        <v>0.47</v>
      </c>
      <c r="O1223" t="s">
        <v>40</v>
      </c>
      <c r="P1223" t="s">
        <v>21</v>
      </c>
      <c r="Q1223">
        <f t="shared" si="95"/>
        <v>5</v>
      </c>
      <c r="R1223" s="4">
        <f>RANK(N1223,$N$2:N$2800,0)</f>
        <v>2798</v>
      </c>
      <c r="S1223">
        <f t="shared" si="96"/>
        <v>0.8</v>
      </c>
      <c r="T1223" t="str">
        <f t="shared" si="97"/>
        <v>Low</v>
      </c>
      <c r="U1223" t="str" cm="1">
        <f t="array" ref="U1223">_xlfn.LET(_xlpm.roles,_xlfn.UNIQUE(D1223:D4021),_xlpm.kills, SUMIF(D1223:D4021,_xlpm.roles,G1223:G4021),INDEX(_xlpm.roles,MATCH(MAX(_xlpm.kills),_xlpm.kills,0)))</f>
        <v>Entry Fragger</v>
      </c>
      <c r="V1223" t="str">
        <f t="shared" si="98"/>
        <v>Medium Accuracy</v>
      </c>
      <c r="W1223" t="str" cm="1">
        <f t="array" ref="W1223">_xlfn.LET(_xlpm.roles,_xlfn.UNIQUE(D1223:D4021), _xlpm.counts,COUNTIF(D1223:D4021,_xlpm.roles), INDEX(_xlpm.roles,MATCH(MAX(_xlpm.counts),_xlpm.counts,0)))</f>
        <v>Entry Fragger</v>
      </c>
      <c r="X1223" s="2">
        <f t="shared" si="99"/>
        <v>12.520971302428256</v>
      </c>
    </row>
    <row r="1224" spans="1:24" x14ac:dyDescent="0.3">
      <c r="A1224">
        <v>2274</v>
      </c>
      <c r="B1224">
        <v>217</v>
      </c>
      <c r="C1224" t="s">
        <v>39</v>
      </c>
      <c r="D1224" t="s">
        <v>28</v>
      </c>
      <c r="E1224" t="s">
        <v>29</v>
      </c>
      <c r="F1224" t="s">
        <v>24</v>
      </c>
      <c r="G1224">
        <v>16</v>
      </c>
      <c r="H1224">
        <v>4</v>
      </c>
      <c r="I1224">
        <v>6</v>
      </c>
      <c r="J1224">
        <v>41.12</v>
      </c>
      <c r="K1224">
        <v>168.75</v>
      </c>
      <c r="L1224">
        <v>0.68</v>
      </c>
      <c r="M1224">
        <v>43.76</v>
      </c>
      <c r="N1224">
        <v>0.97</v>
      </c>
      <c r="O1224" t="s">
        <v>20</v>
      </c>
      <c r="P1224" t="s">
        <v>21</v>
      </c>
      <c r="Q1224">
        <f t="shared" si="95"/>
        <v>14</v>
      </c>
      <c r="R1224" s="4">
        <f>RANK(N1224,$N$2:N$2800,0)</f>
        <v>1243</v>
      </c>
      <c r="S1224">
        <f t="shared" si="96"/>
        <v>2.6666666666666665</v>
      </c>
      <c r="T1224" t="str">
        <f t="shared" si="97"/>
        <v>Low</v>
      </c>
      <c r="U1224" t="str" cm="1">
        <f t="array" ref="U1224">_xlfn.LET(_xlpm.roles,_xlfn.UNIQUE(D1224:D4022),_xlpm.kills, SUMIF(D1224:D4022,_xlpm.roles,G1224:G4022),INDEX(_xlpm.roles,MATCH(MAX(_xlpm.kills),_xlpm.kills,0)))</f>
        <v>Entry Fragger</v>
      </c>
      <c r="V1224" t="str">
        <f t="shared" si="98"/>
        <v>Medium Accuracy</v>
      </c>
      <c r="W1224" t="str" cm="1">
        <f t="array" ref="W1224">_xlfn.LET(_xlpm.roles,_xlfn.UNIQUE(D1224:D4022), _xlpm.counts,COUNTIF(D1224:D4022,_xlpm.roles), INDEX(_xlpm.roles,MATCH(MAX(_xlpm.counts),_xlpm.counts,0)))</f>
        <v>Entry Fragger</v>
      </c>
      <c r="X1224" s="2">
        <f t="shared" si="99"/>
        <v>13.103594080338267</v>
      </c>
    </row>
    <row r="1225" spans="1:24" x14ac:dyDescent="0.3">
      <c r="A1225">
        <v>2647</v>
      </c>
      <c r="B1225">
        <v>217</v>
      </c>
      <c r="C1225" t="s">
        <v>27</v>
      </c>
      <c r="D1225" t="s">
        <v>36</v>
      </c>
      <c r="E1225" t="s">
        <v>23</v>
      </c>
      <c r="F1225" t="s">
        <v>19</v>
      </c>
      <c r="G1225">
        <v>20</v>
      </c>
      <c r="H1225">
        <v>6</v>
      </c>
      <c r="I1225">
        <v>13</v>
      </c>
      <c r="J1225">
        <v>33.32</v>
      </c>
      <c r="K1225">
        <v>209.5</v>
      </c>
      <c r="L1225">
        <v>0.49</v>
      </c>
      <c r="M1225">
        <v>44.76</v>
      </c>
      <c r="N1225">
        <v>0.98</v>
      </c>
      <c r="O1225" t="s">
        <v>20</v>
      </c>
      <c r="P1225" t="s">
        <v>21</v>
      </c>
      <c r="Q1225">
        <f t="shared" si="95"/>
        <v>13</v>
      </c>
      <c r="R1225" s="4">
        <f>RANK(N1225,$N$2:N$2800,0)</f>
        <v>1157</v>
      </c>
      <c r="S1225">
        <f t="shared" si="96"/>
        <v>1.5384615384615385</v>
      </c>
      <c r="T1225" t="str">
        <f t="shared" si="97"/>
        <v>Low</v>
      </c>
      <c r="U1225" t="str" cm="1">
        <f t="array" ref="U1225">_xlfn.LET(_xlpm.roles,_xlfn.UNIQUE(D1225:D4023),_xlpm.kills, SUMIF(D1225:D4023,_xlpm.roles,G1225:G4023),INDEX(_xlpm.roles,MATCH(MAX(_xlpm.kills),_xlpm.kills,0)))</f>
        <v>Entry Fragger</v>
      </c>
      <c r="V1225" t="str">
        <f t="shared" si="98"/>
        <v>Medium Accuracy</v>
      </c>
      <c r="W1225" t="str" cm="1">
        <f t="array" ref="W1225">_xlfn.LET(_xlpm.roles,_xlfn.UNIQUE(D1225:D4023), _xlpm.counts,COUNTIF(D1225:D4023,_xlpm.roles), INDEX(_xlpm.roles,MATCH(MAX(_xlpm.counts),_xlpm.counts,0)))</f>
        <v>Entry Fragger</v>
      </c>
      <c r="X1225" s="2">
        <f t="shared" si="99"/>
        <v>13.057077625570777</v>
      </c>
    </row>
    <row r="1226" spans="1:24" x14ac:dyDescent="0.3">
      <c r="A1226">
        <v>2778</v>
      </c>
      <c r="B1226">
        <v>217</v>
      </c>
      <c r="C1226" t="s">
        <v>25</v>
      </c>
      <c r="D1226" t="s">
        <v>17</v>
      </c>
      <c r="E1226" t="s">
        <v>18</v>
      </c>
      <c r="F1226" t="s">
        <v>24</v>
      </c>
      <c r="G1226">
        <v>19</v>
      </c>
      <c r="H1226">
        <v>9</v>
      </c>
      <c r="I1226">
        <v>7</v>
      </c>
      <c r="J1226">
        <v>48.65</v>
      </c>
      <c r="K1226">
        <v>206.28</v>
      </c>
      <c r="L1226">
        <v>0.39</v>
      </c>
      <c r="M1226">
        <v>60.43</v>
      </c>
      <c r="N1226">
        <v>0.96</v>
      </c>
      <c r="O1226" t="s">
        <v>20</v>
      </c>
      <c r="P1226" t="s">
        <v>38</v>
      </c>
      <c r="Q1226">
        <f t="shared" si="95"/>
        <v>21</v>
      </c>
      <c r="R1226" s="4">
        <f>RANK(N1226,$N$2:N$2800,0)</f>
        <v>1301</v>
      </c>
      <c r="S1226">
        <f t="shared" si="96"/>
        <v>2.7142857142857144</v>
      </c>
      <c r="T1226" t="str">
        <f t="shared" si="97"/>
        <v>Good</v>
      </c>
      <c r="U1226" t="str" cm="1">
        <f t="array" ref="U1226">_xlfn.LET(_xlpm.roles,_xlfn.UNIQUE(D1226:D4024),_xlpm.kills, SUMIF(D1226:D4024,_xlpm.roles,G1226:G4024),INDEX(_xlpm.roles,MATCH(MAX(_xlpm.kills),_xlpm.kills,0)))</f>
        <v>Entry Fragger</v>
      </c>
      <c r="V1226" t="str">
        <f t="shared" si="98"/>
        <v>Medium Accuracy</v>
      </c>
      <c r="W1226" t="str" cm="1">
        <f t="array" ref="W1226">_xlfn.LET(_xlpm.roles,_xlfn.UNIQUE(D1226:D4024), _xlpm.counts,COUNTIF(D1226:D4024,_xlpm.roles), INDEX(_xlpm.roles,MATCH(MAX(_xlpm.counts),_xlpm.counts,0)))</f>
        <v>Entry Fragger</v>
      </c>
      <c r="X1226" s="2">
        <f t="shared" si="99"/>
        <v>12.809421841541756</v>
      </c>
    </row>
    <row r="1227" spans="1:24" x14ac:dyDescent="0.3">
      <c r="A1227">
        <v>389</v>
      </c>
      <c r="B1227">
        <v>218</v>
      </c>
      <c r="C1227" t="s">
        <v>16</v>
      </c>
      <c r="D1227" t="s">
        <v>22</v>
      </c>
      <c r="E1227" t="s">
        <v>33</v>
      </c>
      <c r="F1227" t="s">
        <v>19</v>
      </c>
      <c r="G1227">
        <v>10</v>
      </c>
      <c r="H1227">
        <v>7</v>
      </c>
      <c r="I1227">
        <v>8</v>
      </c>
      <c r="J1227">
        <v>45.86</v>
      </c>
      <c r="K1227">
        <v>210.43</v>
      </c>
      <c r="L1227">
        <v>0.44</v>
      </c>
      <c r="M1227">
        <v>37.53</v>
      </c>
      <c r="N1227">
        <v>0.72</v>
      </c>
      <c r="O1227" t="s">
        <v>20</v>
      </c>
      <c r="P1227" t="s">
        <v>21</v>
      </c>
      <c r="Q1227">
        <f t="shared" si="95"/>
        <v>9</v>
      </c>
      <c r="R1227" s="4">
        <f>RANK(N1227,$N$2:N$2800,0)</f>
        <v>2663</v>
      </c>
      <c r="S1227">
        <f t="shared" si="96"/>
        <v>1.25</v>
      </c>
      <c r="T1227" t="str">
        <f t="shared" si="97"/>
        <v>Low</v>
      </c>
      <c r="U1227" t="str" cm="1">
        <f t="array" ref="U1227">_xlfn.LET(_xlpm.roles,_xlfn.UNIQUE(D1227:D4025),_xlpm.kills, SUMIF(D1227:D4025,_xlpm.roles,G1227:G4025),INDEX(_xlpm.roles,MATCH(MAX(_xlpm.kills),_xlpm.kills,0)))</f>
        <v>Entry Fragger</v>
      </c>
      <c r="V1227" t="str">
        <f t="shared" si="98"/>
        <v>Medium Accuracy</v>
      </c>
      <c r="W1227" t="str" cm="1">
        <f t="array" ref="W1227">_xlfn.LET(_xlpm.roles,_xlfn.UNIQUE(D1227:D4025), _xlpm.counts,COUNTIF(D1227:D4025,_xlpm.roles), INDEX(_xlpm.roles,MATCH(MAX(_xlpm.counts),_xlpm.counts,0)))</f>
        <v>Entry Fragger</v>
      </c>
      <c r="X1227" s="2">
        <f t="shared" si="99"/>
        <v>12.520971302428256</v>
      </c>
    </row>
    <row r="1228" spans="1:24" x14ac:dyDescent="0.3">
      <c r="A1228">
        <v>750</v>
      </c>
      <c r="B1228">
        <v>218</v>
      </c>
      <c r="C1228" t="s">
        <v>25</v>
      </c>
      <c r="D1228" t="s">
        <v>17</v>
      </c>
      <c r="E1228" t="s">
        <v>32</v>
      </c>
      <c r="F1228" t="s">
        <v>37</v>
      </c>
      <c r="G1228">
        <v>13</v>
      </c>
      <c r="H1228">
        <v>7</v>
      </c>
      <c r="I1228">
        <v>9</v>
      </c>
      <c r="J1228">
        <v>43.62</v>
      </c>
      <c r="K1228">
        <v>275.57</v>
      </c>
      <c r="L1228">
        <v>0.31</v>
      </c>
      <c r="M1228">
        <v>42.71</v>
      </c>
      <c r="N1228">
        <v>0.9</v>
      </c>
      <c r="O1228" t="s">
        <v>20</v>
      </c>
      <c r="P1228" t="s">
        <v>21</v>
      </c>
      <c r="Q1228">
        <f t="shared" si="95"/>
        <v>11</v>
      </c>
      <c r="R1228" s="4">
        <f>RANK(N1228,$N$2:N$2800,0)</f>
        <v>1738</v>
      </c>
      <c r="S1228">
        <f t="shared" si="96"/>
        <v>1.4444444444444444</v>
      </c>
      <c r="T1228" t="str">
        <f t="shared" si="97"/>
        <v>Low</v>
      </c>
      <c r="U1228" t="str" cm="1">
        <f t="array" ref="U1228">_xlfn.LET(_xlpm.roles,_xlfn.UNIQUE(D1228:D4026),_xlpm.kills, SUMIF(D1228:D4026,_xlpm.roles,G1228:G4026),INDEX(_xlpm.roles,MATCH(MAX(_xlpm.kills),_xlpm.kills,0)))</f>
        <v>Entry Fragger</v>
      </c>
      <c r="V1228" t="str">
        <f t="shared" si="98"/>
        <v>Medium Accuracy</v>
      </c>
      <c r="W1228" t="str" cm="1">
        <f t="array" ref="W1228">_xlfn.LET(_xlpm.roles,_xlfn.UNIQUE(D1228:D4026), _xlpm.counts,COUNTIF(D1228:D4026,_xlpm.roles), INDEX(_xlpm.roles,MATCH(MAX(_xlpm.counts),_xlpm.counts,0)))</f>
        <v>Entry Fragger</v>
      </c>
      <c r="X1228" s="2">
        <f t="shared" si="99"/>
        <v>12.809421841541756</v>
      </c>
    </row>
    <row r="1229" spans="1:24" x14ac:dyDescent="0.3">
      <c r="A1229">
        <v>762</v>
      </c>
      <c r="B1229">
        <v>218</v>
      </c>
      <c r="C1229" t="s">
        <v>39</v>
      </c>
      <c r="D1229" t="s">
        <v>17</v>
      </c>
      <c r="E1229" t="s">
        <v>23</v>
      </c>
      <c r="F1229" t="s">
        <v>37</v>
      </c>
      <c r="G1229">
        <v>13</v>
      </c>
      <c r="H1229">
        <v>6</v>
      </c>
      <c r="I1229">
        <v>9</v>
      </c>
      <c r="J1229">
        <v>27.6</v>
      </c>
      <c r="K1229">
        <v>168.41</v>
      </c>
      <c r="L1229">
        <v>0.35</v>
      </c>
      <c r="M1229">
        <v>33.299999999999997</v>
      </c>
      <c r="N1229">
        <v>0.8</v>
      </c>
      <c r="O1229" t="s">
        <v>20</v>
      </c>
      <c r="P1229" t="s">
        <v>21</v>
      </c>
      <c r="Q1229">
        <f t="shared" si="95"/>
        <v>10</v>
      </c>
      <c r="R1229" s="4">
        <f>RANK(N1229,$N$2:N$2800,0)</f>
        <v>2393</v>
      </c>
      <c r="S1229">
        <f t="shared" si="96"/>
        <v>1.4444444444444444</v>
      </c>
      <c r="T1229" t="str">
        <f t="shared" si="97"/>
        <v>Low</v>
      </c>
      <c r="U1229" t="str" cm="1">
        <f t="array" ref="U1229">_xlfn.LET(_xlpm.roles,_xlfn.UNIQUE(D1229:D4027),_xlpm.kills, SUMIF(D1229:D4027,_xlpm.roles,G1229:G4027),INDEX(_xlpm.roles,MATCH(MAX(_xlpm.kills),_xlpm.kills,0)))</f>
        <v>Entry Fragger</v>
      </c>
      <c r="V1229" t="str">
        <f t="shared" si="98"/>
        <v>Low Accuracy</v>
      </c>
      <c r="W1229" t="str" cm="1">
        <f t="array" ref="W1229">_xlfn.LET(_xlpm.roles,_xlfn.UNIQUE(D1229:D4027), _xlpm.counts,COUNTIF(D1229:D4027,_xlpm.roles), INDEX(_xlpm.roles,MATCH(MAX(_xlpm.counts),_xlpm.counts,0)))</f>
        <v>Entry Fragger</v>
      </c>
      <c r="X1229" s="2">
        <f t="shared" si="99"/>
        <v>13.103594080338267</v>
      </c>
    </row>
    <row r="1230" spans="1:24" x14ac:dyDescent="0.3">
      <c r="A1230">
        <v>828</v>
      </c>
      <c r="B1230">
        <v>218</v>
      </c>
      <c r="C1230" t="s">
        <v>16</v>
      </c>
      <c r="D1230" t="s">
        <v>17</v>
      </c>
      <c r="E1230" t="s">
        <v>29</v>
      </c>
      <c r="F1230" t="s">
        <v>19</v>
      </c>
      <c r="G1230">
        <v>12</v>
      </c>
      <c r="H1230">
        <v>15</v>
      </c>
      <c r="I1230">
        <v>9</v>
      </c>
      <c r="J1230">
        <v>48.53</v>
      </c>
      <c r="K1230">
        <v>209.03</v>
      </c>
      <c r="L1230">
        <v>0.56999999999999995</v>
      </c>
      <c r="M1230">
        <v>48.56</v>
      </c>
      <c r="N1230">
        <v>0.98</v>
      </c>
      <c r="O1230" t="s">
        <v>20</v>
      </c>
      <c r="P1230" t="s">
        <v>21</v>
      </c>
      <c r="Q1230">
        <f t="shared" si="95"/>
        <v>18</v>
      </c>
      <c r="R1230" s="4">
        <f>RANK(N1230,$N$2:N$2800,0)</f>
        <v>1157</v>
      </c>
      <c r="S1230">
        <f t="shared" si="96"/>
        <v>1.3333333333333333</v>
      </c>
      <c r="T1230" t="str">
        <f t="shared" si="97"/>
        <v>Good</v>
      </c>
      <c r="U1230" t="str" cm="1">
        <f t="array" ref="U1230">_xlfn.LET(_xlpm.roles,_xlfn.UNIQUE(D1230:D4028),_xlpm.kills, SUMIF(D1230:D4028,_xlpm.roles,G1230:G4028),INDEX(_xlpm.roles,MATCH(MAX(_xlpm.kills),_xlpm.kills,0)))</f>
        <v>Entry Fragger</v>
      </c>
      <c r="V1230" t="str">
        <f t="shared" si="98"/>
        <v>Medium Accuracy</v>
      </c>
      <c r="W1230" t="str" cm="1">
        <f t="array" ref="W1230">_xlfn.LET(_xlpm.roles,_xlfn.UNIQUE(D1230:D4028), _xlpm.counts,COUNTIF(D1230:D4028,_xlpm.roles), INDEX(_xlpm.roles,MATCH(MAX(_xlpm.counts),_xlpm.counts,0)))</f>
        <v>Entry Fragger</v>
      </c>
      <c r="X1230" s="2">
        <f t="shared" si="99"/>
        <v>12.520971302428256</v>
      </c>
    </row>
    <row r="1231" spans="1:24" x14ac:dyDescent="0.3">
      <c r="A1231">
        <v>1228</v>
      </c>
      <c r="B1231">
        <v>218</v>
      </c>
      <c r="C1231" t="s">
        <v>35</v>
      </c>
      <c r="D1231" t="s">
        <v>36</v>
      </c>
      <c r="E1231" t="s">
        <v>23</v>
      </c>
      <c r="F1231" t="s">
        <v>26</v>
      </c>
      <c r="G1231">
        <v>19</v>
      </c>
      <c r="H1231">
        <v>8</v>
      </c>
      <c r="I1231">
        <v>15</v>
      </c>
      <c r="J1231">
        <v>46.97</v>
      </c>
      <c r="K1231">
        <v>174.55</v>
      </c>
      <c r="L1231">
        <v>0.01</v>
      </c>
      <c r="M1231">
        <v>54.38</v>
      </c>
      <c r="N1231">
        <v>1</v>
      </c>
      <c r="O1231" t="s">
        <v>20</v>
      </c>
      <c r="P1231" t="s">
        <v>21</v>
      </c>
      <c r="Q1231">
        <f t="shared" si="95"/>
        <v>12</v>
      </c>
      <c r="R1231" s="4">
        <f>RANK(N1231,$N$2:N$2800,0)</f>
        <v>1</v>
      </c>
      <c r="S1231">
        <f t="shared" si="96"/>
        <v>1.2666666666666666</v>
      </c>
      <c r="T1231" t="str">
        <f t="shared" si="97"/>
        <v>Low</v>
      </c>
      <c r="U1231" t="str" cm="1">
        <f t="array" ref="U1231">_xlfn.LET(_xlpm.roles,_xlfn.UNIQUE(D1231:D4029),_xlpm.kills, SUMIF(D1231:D4029,_xlpm.roles,G1231:G4029),INDEX(_xlpm.roles,MATCH(MAX(_xlpm.kills),_xlpm.kills,0)))</f>
        <v>Entry Fragger</v>
      </c>
      <c r="V1231" t="str">
        <f t="shared" si="98"/>
        <v>Medium Accuracy</v>
      </c>
      <c r="W1231" t="str" cm="1">
        <f t="array" ref="W1231">_xlfn.LET(_xlpm.roles,_xlfn.UNIQUE(D1231:D4029), _xlpm.counts,COUNTIF(D1231:D4029,_xlpm.roles), INDEX(_xlpm.roles,MATCH(MAX(_xlpm.counts),_xlpm.counts,0)))</f>
        <v>Entry Fragger</v>
      </c>
      <c r="X1231" s="2">
        <f t="shared" si="99"/>
        <v>12.599585062240664</v>
      </c>
    </row>
    <row r="1232" spans="1:24" x14ac:dyDescent="0.3">
      <c r="A1232">
        <v>2064</v>
      </c>
      <c r="B1232">
        <v>218</v>
      </c>
      <c r="C1232" t="s">
        <v>35</v>
      </c>
      <c r="D1232" t="s">
        <v>31</v>
      </c>
      <c r="E1232" t="s">
        <v>23</v>
      </c>
      <c r="F1232" t="s">
        <v>34</v>
      </c>
      <c r="G1232">
        <v>19</v>
      </c>
      <c r="H1232">
        <v>8</v>
      </c>
      <c r="I1232">
        <v>8</v>
      </c>
      <c r="J1232">
        <v>45.51</v>
      </c>
      <c r="K1232">
        <v>232.02</v>
      </c>
      <c r="L1232">
        <v>0.72</v>
      </c>
      <c r="M1232">
        <v>53.55</v>
      </c>
      <c r="N1232">
        <v>1</v>
      </c>
      <c r="O1232" t="s">
        <v>20</v>
      </c>
      <c r="P1232" t="s">
        <v>21</v>
      </c>
      <c r="Q1232">
        <f t="shared" si="95"/>
        <v>19</v>
      </c>
      <c r="R1232" s="4">
        <f>RANK(N1232,$N$2:N$2800,0)</f>
        <v>1</v>
      </c>
      <c r="S1232">
        <f t="shared" si="96"/>
        <v>2.375</v>
      </c>
      <c r="T1232" t="str">
        <f t="shared" si="97"/>
        <v>Good</v>
      </c>
      <c r="U1232" t="str" cm="1">
        <f t="array" ref="U1232">_xlfn.LET(_xlpm.roles,_xlfn.UNIQUE(D1232:D4030),_xlpm.kills, SUMIF(D1232:D4030,_xlpm.roles,G1232:G4030),INDEX(_xlpm.roles,MATCH(MAX(_xlpm.kills),_xlpm.kills,0)))</f>
        <v>Entry Fragger</v>
      </c>
      <c r="V1232" t="str">
        <f t="shared" si="98"/>
        <v>Medium Accuracy</v>
      </c>
      <c r="W1232" t="str" cm="1">
        <f t="array" ref="W1232">_xlfn.LET(_xlpm.roles,_xlfn.UNIQUE(D1232:D4030), _xlpm.counts,COUNTIF(D1232:D4030,_xlpm.roles), INDEX(_xlpm.roles,MATCH(MAX(_xlpm.counts),_xlpm.counts,0)))</f>
        <v>Entry Fragger</v>
      </c>
      <c r="X1232" s="2">
        <f t="shared" si="99"/>
        <v>12.599585062240664</v>
      </c>
    </row>
    <row r="1233" spans="1:24" x14ac:dyDescent="0.3">
      <c r="A1233">
        <v>2161</v>
      </c>
      <c r="B1233">
        <v>218</v>
      </c>
      <c r="C1233" t="s">
        <v>35</v>
      </c>
      <c r="D1233" t="s">
        <v>28</v>
      </c>
      <c r="E1233" t="s">
        <v>18</v>
      </c>
      <c r="F1233" t="s">
        <v>34</v>
      </c>
      <c r="G1233">
        <v>15</v>
      </c>
      <c r="H1233">
        <v>4</v>
      </c>
      <c r="I1233">
        <v>15</v>
      </c>
      <c r="J1233">
        <v>46.59</v>
      </c>
      <c r="K1233">
        <v>199.56</v>
      </c>
      <c r="L1233">
        <v>0.08</v>
      </c>
      <c r="M1233">
        <v>41.5</v>
      </c>
      <c r="N1233">
        <v>0.93</v>
      </c>
      <c r="O1233" t="s">
        <v>20</v>
      </c>
      <c r="P1233" t="s">
        <v>21</v>
      </c>
      <c r="Q1233">
        <f t="shared" si="95"/>
        <v>4</v>
      </c>
      <c r="R1233" s="4">
        <f>RANK(N1233,$N$2:N$2800,0)</f>
        <v>1505</v>
      </c>
      <c r="S1233">
        <f t="shared" si="96"/>
        <v>1</v>
      </c>
      <c r="T1233" t="str">
        <f t="shared" si="97"/>
        <v>Low</v>
      </c>
      <c r="U1233" t="str" cm="1">
        <f t="array" ref="U1233">_xlfn.LET(_xlpm.roles,_xlfn.UNIQUE(D1233:D4031),_xlpm.kills, SUMIF(D1233:D4031,_xlpm.roles,G1233:G4031),INDEX(_xlpm.roles,MATCH(MAX(_xlpm.kills),_xlpm.kills,0)))</f>
        <v>Entry Fragger</v>
      </c>
      <c r="V1233" t="str">
        <f t="shared" si="98"/>
        <v>Medium Accuracy</v>
      </c>
      <c r="W1233" t="str" cm="1">
        <f t="array" ref="W1233">_xlfn.LET(_xlpm.roles,_xlfn.UNIQUE(D1233:D4031), _xlpm.counts,COUNTIF(D1233:D4031,_xlpm.roles), INDEX(_xlpm.roles,MATCH(MAX(_xlpm.counts),_xlpm.counts,0)))</f>
        <v>Entry Fragger</v>
      </c>
      <c r="X1233" s="2">
        <f t="shared" si="99"/>
        <v>12.599585062240664</v>
      </c>
    </row>
    <row r="1234" spans="1:24" x14ac:dyDescent="0.3">
      <c r="A1234">
        <v>2558</v>
      </c>
      <c r="B1234">
        <v>218</v>
      </c>
      <c r="C1234" t="s">
        <v>27</v>
      </c>
      <c r="D1234" t="s">
        <v>36</v>
      </c>
      <c r="E1234" t="s">
        <v>18</v>
      </c>
      <c r="F1234" t="s">
        <v>24</v>
      </c>
      <c r="G1234">
        <v>15</v>
      </c>
      <c r="H1234">
        <v>10</v>
      </c>
      <c r="I1234">
        <v>13</v>
      </c>
      <c r="J1234">
        <v>47.26</v>
      </c>
      <c r="K1234">
        <v>155.41999999999999</v>
      </c>
      <c r="L1234">
        <v>0.56999999999999995</v>
      </c>
      <c r="M1234">
        <v>44.93</v>
      </c>
      <c r="N1234">
        <v>1</v>
      </c>
      <c r="O1234" t="s">
        <v>20</v>
      </c>
      <c r="P1234" t="s">
        <v>21</v>
      </c>
      <c r="Q1234">
        <f t="shared" si="95"/>
        <v>12</v>
      </c>
      <c r="R1234" s="4">
        <f>RANK(N1234,$N$2:N$2800,0)</f>
        <v>1</v>
      </c>
      <c r="S1234">
        <f t="shared" si="96"/>
        <v>1.1538461538461537</v>
      </c>
      <c r="T1234" t="str">
        <f t="shared" si="97"/>
        <v>Low</v>
      </c>
      <c r="U1234" t="str" cm="1">
        <f t="array" ref="U1234">_xlfn.LET(_xlpm.roles,_xlfn.UNIQUE(D1234:D4032),_xlpm.kills, SUMIF(D1234:D4032,_xlpm.roles,G1234:G4032),INDEX(_xlpm.roles,MATCH(MAX(_xlpm.kills),_xlpm.kills,0)))</f>
        <v>Entry Fragger</v>
      </c>
      <c r="V1234" t="str">
        <f t="shared" si="98"/>
        <v>Medium Accuracy</v>
      </c>
      <c r="W1234" t="str" cm="1">
        <f t="array" ref="W1234">_xlfn.LET(_xlpm.roles,_xlfn.UNIQUE(D1234:D4032), _xlpm.counts,COUNTIF(D1234:D4032,_xlpm.roles), INDEX(_xlpm.roles,MATCH(MAX(_xlpm.counts),_xlpm.counts,0)))</f>
        <v>Entry Fragger</v>
      </c>
      <c r="X1234" s="2">
        <f t="shared" si="99"/>
        <v>13.057077625570777</v>
      </c>
    </row>
    <row r="1235" spans="1:24" x14ac:dyDescent="0.3">
      <c r="A1235">
        <v>392</v>
      </c>
      <c r="B1235">
        <v>219</v>
      </c>
      <c r="C1235" t="s">
        <v>16</v>
      </c>
      <c r="D1235" t="s">
        <v>36</v>
      </c>
      <c r="E1235" t="s">
        <v>23</v>
      </c>
      <c r="F1235" t="s">
        <v>34</v>
      </c>
      <c r="G1235">
        <v>14</v>
      </c>
      <c r="H1235">
        <v>9</v>
      </c>
      <c r="I1235">
        <v>11</v>
      </c>
      <c r="J1235">
        <v>50.56</v>
      </c>
      <c r="K1235">
        <v>221.6</v>
      </c>
      <c r="L1235">
        <v>0.4</v>
      </c>
      <c r="M1235">
        <v>47.28</v>
      </c>
      <c r="N1235">
        <v>0.89</v>
      </c>
      <c r="O1235" t="s">
        <v>20</v>
      </c>
      <c r="P1235" t="s">
        <v>21</v>
      </c>
      <c r="Q1235">
        <f t="shared" si="95"/>
        <v>12</v>
      </c>
      <c r="R1235" s="4">
        <f>RANK(N1235,$N$2:N$2800,0)</f>
        <v>1815</v>
      </c>
      <c r="S1235">
        <f t="shared" si="96"/>
        <v>1.2727272727272727</v>
      </c>
      <c r="T1235" t="str">
        <f t="shared" si="97"/>
        <v>Low</v>
      </c>
      <c r="U1235" t="str" cm="1">
        <f t="array" ref="U1235">_xlfn.LET(_xlpm.roles,_xlfn.UNIQUE(D1235:D4033),_xlpm.kills, SUMIF(D1235:D4033,_xlpm.roles,G1235:G4033),INDEX(_xlpm.roles,MATCH(MAX(_xlpm.kills),_xlpm.kills,0)))</f>
        <v>Entry Fragger</v>
      </c>
      <c r="V1235" t="str">
        <f t="shared" si="98"/>
        <v>High Accuracy</v>
      </c>
      <c r="W1235" t="str" cm="1">
        <f t="array" ref="W1235">_xlfn.LET(_xlpm.roles,_xlfn.UNIQUE(D1235:D4033), _xlpm.counts,COUNTIF(D1235:D4033,_xlpm.roles), INDEX(_xlpm.roles,MATCH(MAX(_xlpm.counts),_xlpm.counts,0)))</f>
        <v>Entry Fragger</v>
      </c>
      <c r="X1235" s="2">
        <f t="shared" si="99"/>
        <v>12.520971302428256</v>
      </c>
    </row>
    <row r="1236" spans="1:24" x14ac:dyDescent="0.3">
      <c r="A1236">
        <v>1073</v>
      </c>
      <c r="B1236">
        <v>219</v>
      </c>
      <c r="C1236" t="s">
        <v>39</v>
      </c>
      <c r="D1236" t="s">
        <v>22</v>
      </c>
      <c r="E1236" t="s">
        <v>32</v>
      </c>
      <c r="F1236" t="s">
        <v>37</v>
      </c>
      <c r="G1236">
        <v>18</v>
      </c>
      <c r="H1236">
        <v>9</v>
      </c>
      <c r="I1236">
        <v>17</v>
      </c>
      <c r="J1236">
        <v>37.729999999999997</v>
      </c>
      <c r="K1236">
        <v>180.5</v>
      </c>
      <c r="L1236">
        <v>0.27</v>
      </c>
      <c r="M1236">
        <v>44.16</v>
      </c>
      <c r="N1236">
        <v>1</v>
      </c>
      <c r="O1236" t="s">
        <v>20</v>
      </c>
      <c r="P1236" t="s">
        <v>21</v>
      </c>
      <c r="Q1236">
        <f t="shared" si="95"/>
        <v>10</v>
      </c>
      <c r="R1236" s="4">
        <f>RANK(N1236,$N$2:N$2800,0)</f>
        <v>1</v>
      </c>
      <c r="S1236">
        <f t="shared" si="96"/>
        <v>1.0588235294117647</v>
      </c>
      <c r="T1236" t="str">
        <f t="shared" si="97"/>
        <v>Low</v>
      </c>
      <c r="U1236" t="str" cm="1">
        <f t="array" ref="U1236">_xlfn.LET(_xlpm.roles,_xlfn.UNIQUE(D1236:D4034),_xlpm.kills, SUMIF(D1236:D4034,_xlpm.roles,G1236:G4034),INDEX(_xlpm.roles,MATCH(MAX(_xlpm.kills),_xlpm.kills,0)))</f>
        <v>Entry Fragger</v>
      </c>
      <c r="V1236" t="str">
        <f t="shared" si="98"/>
        <v>Medium Accuracy</v>
      </c>
      <c r="W1236" t="str" cm="1">
        <f t="array" ref="W1236">_xlfn.LET(_xlpm.roles,_xlfn.UNIQUE(D1236:D4034), _xlpm.counts,COUNTIF(D1236:D4034,_xlpm.roles), INDEX(_xlpm.roles,MATCH(MAX(_xlpm.counts),_xlpm.counts,0)))</f>
        <v>Entry Fragger</v>
      </c>
      <c r="X1236" s="2">
        <f t="shared" si="99"/>
        <v>13.103594080338267</v>
      </c>
    </row>
    <row r="1237" spans="1:24" x14ac:dyDescent="0.3">
      <c r="A1237">
        <v>99</v>
      </c>
      <c r="B1237">
        <v>220</v>
      </c>
      <c r="C1237" t="s">
        <v>16</v>
      </c>
      <c r="D1237" t="s">
        <v>22</v>
      </c>
      <c r="E1237" t="s">
        <v>18</v>
      </c>
      <c r="F1237" t="s">
        <v>26</v>
      </c>
      <c r="G1237">
        <v>15</v>
      </c>
      <c r="H1237">
        <v>12</v>
      </c>
      <c r="I1237">
        <v>7</v>
      </c>
      <c r="J1237">
        <v>55.3</v>
      </c>
      <c r="K1237">
        <v>207.32</v>
      </c>
      <c r="L1237">
        <v>0.2</v>
      </c>
      <c r="M1237">
        <v>60.65</v>
      </c>
      <c r="N1237">
        <v>1</v>
      </c>
      <c r="O1237" t="s">
        <v>20</v>
      </c>
      <c r="P1237" t="s">
        <v>38</v>
      </c>
      <c r="Q1237">
        <f t="shared" si="95"/>
        <v>20</v>
      </c>
      <c r="R1237" s="4">
        <f>RANK(N1237,$N$2:N$2800,0)</f>
        <v>1</v>
      </c>
      <c r="S1237">
        <f t="shared" si="96"/>
        <v>2.1428571428571428</v>
      </c>
      <c r="T1237" t="str">
        <f t="shared" si="97"/>
        <v>Good</v>
      </c>
      <c r="U1237" t="str" cm="1">
        <f t="array" ref="U1237">_xlfn.LET(_xlpm.roles,_xlfn.UNIQUE(D1237:D4035),_xlpm.kills, SUMIF(D1237:D4035,_xlpm.roles,G1237:G4035),INDEX(_xlpm.roles,MATCH(MAX(_xlpm.kills),_xlpm.kills,0)))</f>
        <v>Entry Fragger</v>
      </c>
      <c r="V1237" t="str">
        <f t="shared" si="98"/>
        <v>High Accuracy</v>
      </c>
      <c r="W1237" t="str" cm="1">
        <f t="array" ref="W1237">_xlfn.LET(_xlpm.roles,_xlfn.UNIQUE(D1237:D4035), _xlpm.counts,COUNTIF(D1237:D4035,_xlpm.roles), INDEX(_xlpm.roles,MATCH(MAX(_xlpm.counts),_xlpm.counts,0)))</f>
        <v>Entry Fragger</v>
      </c>
      <c r="X1237" s="2">
        <f t="shared" si="99"/>
        <v>12.520971302428256</v>
      </c>
    </row>
    <row r="1238" spans="1:24" x14ac:dyDescent="0.3">
      <c r="A1238">
        <v>228</v>
      </c>
      <c r="B1238">
        <v>220</v>
      </c>
      <c r="C1238" t="s">
        <v>25</v>
      </c>
      <c r="D1238" t="s">
        <v>22</v>
      </c>
      <c r="E1238" t="s">
        <v>18</v>
      </c>
      <c r="F1238" t="s">
        <v>19</v>
      </c>
      <c r="G1238">
        <v>12</v>
      </c>
      <c r="H1238">
        <v>8</v>
      </c>
      <c r="I1238">
        <v>10</v>
      </c>
      <c r="J1238">
        <v>51.43</v>
      </c>
      <c r="K1238">
        <v>234.74</v>
      </c>
      <c r="L1238">
        <v>0.28000000000000003</v>
      </c>
      <c r="M1238">
        <v>44.92</v>
      </c>
      <c r="N1238">
        <v>1</v>
      </c>
      <c r="O1238" t="s">
        <v>20</v>
      </c>
      <c r="P1238" t="s">
        <v>21</v>
      </c>
      <c r="Q1238">
        <f t="shared" si="95"/>
        <v>10</v>
      </c>
      <c r="R1238" s="4">
        <f>RANK(N1238,$N$2:N$2800,0)</f>
        <v>1</v>
      </c>
      <c r="S1238">
        <f t="shared" si="96"/>
        <v>1.2</v>
      </c>
      <c r="T1238" t="str">
        <f t="shared" si="97"/>
        <v>Low</v>
      </c>
      <c r="U1238" t="str" cm="1">
        <f t="array" ref="U1238">_xlfn.LET(_xlpm.roles,_xlfn.UNIQUE(D1238:D4036),_xlpm.kills, SUMIF(D1238:D4036,_xlpm.roles,G1238:G4036),INDEX(_xlpm.roles,MATCH(MAX(_xlpm.kills),_xlpm.kills,0)))</f>
        <v>Entry Fragger</v>
      </c>
      <c r="V1238" t="str">
        <f t="shared" si="98"/>
        <v>High Accuracy</v>
      </c>
      <c r="W1238" t="str" cm="1">
        <f t="array" ref="W1238">_xlfn.LET(_xlpm.roles,_xlfn.UNIQUE(D1238:D4036), _xlpm.counts,COUNTIF(D1238:D4036,_xlpm.roles), INDEX(_xlpm.roles,MATCH(MAX(_xlpm.counts),_xlpm.counts,0)))</f>
        <v>Entry Fragger</v>
      </c>
      <c r="X1238" s="2">
        <f t="shared" si="99"/>
        <v>12.809421841541756</v>
      </c>
    </row>
    <row r="1239" spans="1:24" x14ac:dyDescent="0.3">
      <c r="A1239">
        <v>368</v>
      </c>
      <c r="B1239">
        <v>220</v>
      </c>
      <c r="C1239" t="s">
        <v>30</v>
      </c>
      <c r="D1239" t="s">
        <v>17</v>
      </c>
      <c r="E1239" t="s">
        <v>32</v>
      </c>
      <c r="F1239" t="s">
        <v>26</v>
      </c>
      <c r="G1239">
        <v>12</v>
      </c>
      <c r="H1239">
        <v>3</v>
      </c>
      <c r="I1239">
        <v>7</v>
      </c>
      <c r="J1239">
        <v>30.81</v>
      </c>
      <c r="K1239">
        <v>218.29</v>
      </c>
      <c r="L1239">
        <v>0.42</v>
      </c>
      <c r="M1239">
        <v>31.21</v>
      </c>
      <c r="N1239">
        <v>0.93</v>
      </c>
      <c r="O1239" t="s">
        <v>20</v>
      </c>
      <c r="P1239" t="s">
        <v>21</v>
      </c>
      <c r="Q1239">
        <f t="shared" si="95"/>
        <v>8</v>
      </c>
      <c r="R1239" s="4">
        <f>RANK(N1239,$N$2:N$2800,0)</f>
        <v>1505</v>
      </c>
      <c r="S1239">
        <f t="shared" si="96"/>
        <v>1.7142857142857142</v>
      </c>
      <c r="T1239" t="str">
        <f t="shared" si="97"/>
        <v>Low</v>
      </c>
      <c r="U1239" t="str" cm="1">
        <f t="array" ref="U1239">_xlfn.LET(_xlpm.roles,_xlfn.UNIQUE(D1239:D4037),_xlpm.kills, SUMIF(D1239:D4037,_xlpm.roles,G1239:G4037),INDEX(_xlpm.roles,MATCH(MAX(_xlpm.kills),_xlpm.kills,0)))</f>
        <v>Entry Fragger</v>
      </c>
      <c r="V1239" t="str">
        <f t="shared" si="98"/>
        <v>Medium Accuracy</v>
      </c>
      <c r="W1239" t="str" cm="1">
        <f t="array" ref="W1239">_xlfn.LET(_xlpm.roles,_xlfn.UNIQUE(D1239:D4037), _xlpm.counts,COUNTIF(D1239:D4037,_xlpm.roles), INDEX(_xlpm.roles,MATCH(MAX(_xlpm.counts),_xlpm.counts,0)))</f>
        <v>Entry Fragger</v>
      </c>
      <c r="X1239" s="2">
        <f t="shared" si="99"/>
        <v>13.135802469135802</v>
      </c>
    </row>
    <row r="1240" spans="1:24" x14ac:dyDescent="0.3">
      <c r="A1240">
        <v>604</v>
      </c>
      <c r="B1240">
        <v>220</v>
      </c>
      <c r="C1240" t="s">
        <v>39</v>
      </c>
      <c r="D1240" t="s">
        <v>36</v>
      </c>
      <c r="E1240" t="s">
        <v>29</v>
      </c>
      <c r="F1240" t="s">
        <v>24</v>
      </c>
      <c r="G1240">
        <v>20</v>
      </c>
      <c r="H1240">
        <v>8</v>
      </c>
      <c r="I1240">
        <v>14</v>
      </c>
      <c r="J1240">
        <v>40.630000000000003</v>
      </c>
      <c r="K1240">
        <v>258.8</v>
      </c>
      <c r="L1240">
        <v>0.13</v>
      </c>
      <c r="M1240">
        <v>53.02</v>
      </c>
      <c r="N1240">
        <v>1</v>
      </c>
      <c r="O1240" t="s">
        <v>20</v>
      </c>
      <c r="P1240" t="s">
        <v>21</v>
      </c>
      <c r="Q1240">
        <f t="shared" si="95"/>
        <v>14</v>
      </c>
      <c r="R1240" s="4">
        <f>RANK(N1240,$N$2:N$2800,0)</f>
        <v>1</v>
      </c>
      <c r="S1240">
        <f t="shared" si="96"/>
        <v>1.4285714285714286</v>
      </c>
      <c r="T1240" t="str">
        <f t="shared" si="97"/>
        <v>Low</v>
      </c>
      <c r="U1240" t="str" cm="1">
        <f t="array" ref="U1240">_xlfn.LET(_xlpm.roles,_xlfn.UNIQUE(D1240:D4038),_xlpm.kills, SUMIF(D1240:D4038,_xlpm.roles,G1240:G4038),INDEX(_xlpm.roles,MATCH(MAX(_xlpm.kills),_xlpm.kills,0)))</f>
        <v>Entry Fragger</v>
      </c>
      <c r="V1240" t="str">
        <f t="shared" si="98"/>
        <v>Medium Accuracy</v>
      </c>
      <c r="W1240" t="str" cm="1">
        <f t="array" ref="W1240">_xlfn.LET(_xlpm.roles,_xlfn.UNIQUE(D1240:D4038), _xlpm.counts,COUNTIF(D1240:D4038,_xlpm.roles), INDEX(_xlpm.roles,MATCH(MAX(_xlpm.counts),_xlpm.counts,0)))</f>
        <v>Entry Fragger</v>
      </c>
      <c r="X1240" s="2">
        <f t="shared" si="99"/>
        <v>13.103594080338267</v>
      </c>
    </row>
    <row r="1241" spans="1:24" x14ac:dyDescent="0.3">
      <c r="A1241">
        <v>2171</v>
      </c>
      <c r="B1241">
        <v>220</v>
      </c>
      <c r="C1241" t="s">
        <v>27</v>
      </c>
      <c r="D1241" t="s">
        <v>36</v>
      </c>
      <c r="E1241" t="s">
        <v>23</v>
      </c>
      <c r="F1241" t="s">
        <v>34</v>
      </c>
      <c r="G1241">
        <v>18</v>
      </c>
      <c r="H1241">
        <v>12</v>
      </c>
      <c r="I1241">
        <v>16</v>
      </c>
      <c r="J1241">
        <v>48.74</v>
      </c>
      <c r="K1241">
        <v>138.55000000000001</v>
      </c>
      <c r="L1241">
        <v>0.83</v>
      </c>
      <c r="M1241">
        <v>48.07</v>
      </c>
      <c r="N1241">
        <v>1</v>
      </c>
      <c r="O1241" t="s">
        <v>20</v>
      </c>
      <c r="P1241" t="s">
        <v>21</v>
      </c>
      <c r="Q1241">
        <f t="shared" si="95"/>
        <v>14</v>
      </c>
      <c r="R1241" s="4">
        <f>RANK(N1241,$N$2:N$2800,0)</f>
        <v>1</v>
      </c>
      <c r="S1241">
        <f t="shared" si="96"/>
        <v>1.125</v>
      </c>
      <c r="T1241" t="str">
        <f t="shared" si="97"/>
        <v>Low</v>
      </c>
      <c r="U1241" t="str" cm="1">
        <f t="array" ref="U1241">_xlfn.LET(_xlpm.roles,_xlfn.UNIQUE(D1241:D4039),_xlpm.kills, SUMIF(D1241:D4039,_xlpm.roles,G1241:G4039),INDEX(_xlpm.roles,MATCH(MAX(_xlpm.kills),_xlpm.kills,0)))</f>
        <v>Entry Fragger</v>
      </c>
      <c r="V1241" t="str">
        <f t="shared" si="98"/>
        <v>Medium Accuracy</v>
      </c>
      <c r="W1241" t="str" cm="1">
        <f t="array" ref="W1241">_xlfn.LET(_xlpm.roles,_xlfn.UNIQUE(D1241:D4039), _xlpm.counts,COUNTIF(D1241:D4039,_xlpm.roles), INDEX(_xlpm.roles,MATCH(MAX(_xlpm.counts),_xlpm.counts,0)))</f>
        <v>Entry Fragger</v>
      </c>
      <c r="X1241" s="2">
        <f t="shared" si="99"/>
        <v>13.057077625570777</v>
      </c>
    </row>
    <row r="1242" spans="1:24" x14ac:dyDescent="0.3">
      <c r="A1242">
        <v>19</v>
      </c>
      <c r="B1242">
        <v>221</v>
      </c>
      <c r="C1242" t="s">
        <v>16</v>
      </c>
      <c r="D1242" t="s">
        <v>22</v>
      </c>
      <c r="E1242" t="s">
        <v>33</v>
      </c>
      <c r="F1242" t="s">
        <v>34</v>
      </c>
      <c r="G1242">
        <v>9</v>
      </c>
      <c r="H1242">
        <v>6</v>
      </c>
      <c r="I1242">
        <v>9</v>
      </c>
      <c r="J1242">
        <v>54.31</v>
      </c>
      <c r="K1242">
        <v>220.31</v>
      </c>
      <c r="L1242">
        <v>0.66</v>
      </c>
      <c r="M1242">
        <v>35.549999999999997</v>
      </c>
      <c r="N1242">
        <v>0.84</v>
      </c>
      <c r="O1242" t="s">
        <v>20</v>
      </c>
      <c r="P1242" t="s">
        <v>21</v>
      </c>
      <c r="Q1242">
        <f t="shared" si="95"/>
        <v>6</v>
      </c>
      <c r="R1242" s="4">
        <f>RANK(N1242,$N$2:N$2800,0)</f>
        <v>2156</v>
      </c>
      <c r="S1242">
        <f t="shared" si="96"/>
        <v>1</v>
      </c>
      <c r="T1242" t="str">
        <f t="shared" si="97"/>
        <v>Low</v>
      </c>
      <c r="U1242" t="str" cm="1">
        <f t="array" ref="U1242">_xlfn.LET(_xlpm.roles,_xlfn.UNIQUE(D1242:D4040),_xlpm.kills, SUMIF(D1242:D4040,_xlpm.roles,G1242:G4040),INDEX(_xlpm.roles,MATCH(MAX(_xlpm.kills),_xlpm.kills,0)))</f>
        <v>Entry Fragger</v>
      </c>
      <c r="V1242" t="str">
        <f t="shared" si="98"/>
        <v>High Accuracy</v>
      </c>
      <c r="W1242" t="str" cm="1">
        <f t="array" ref="W1242">_xlfn.LET(_xlpm.roles,_xlfn.UNIQUE(D1242:D4040), _xlpm.counts,COUNTIF(D1242:D4040,_xlpm.roles), INDEX(_xlpm.roles,MATCH(MAX(_xlpm.counts),_xlpm.counts,0)))</f>
        <v>Entry Fragger</v>
      </c>
      <c r="X1242" s="2">
        <f t="shared" si="99"/>
        <v>12.520971302428256</v>
      </c>
    </row>
    <row r="1243" spans="1:24" x14ac:dyDescent="0.3">
      <c r="A1243">
        <v>973</v>
      </c>
      <c r="B1243">
        <v>221</v>
      </c>
      <c r="C1243" t="s">
        <v>30</v>
      </c>
      <c r="D1243" t="s">
        <v>17</v>
      </c>
      <c r="E1243" t="s">
        <v>33</v>
      </c>
      <c r="F1243" t="s">
        <v>19</v>
      </c>
      <c r="G1243">
        <v>19</v>
      </c>
      <c r="H1243">
        <v>15</v>
      </c>
      <c r="I1243">
        <v>9</v>
      </c>
      <c r="J1243">
        <v>33.520000000000003</v>
      </c>
      <c r="K1243">
        <v>176.67</v>
      </c>
      <c r="L1243">
        <v>0.13</v>
      </c>
      <c r="M1243">
        <v>59.46</v>
      </c>
      <c r="N1243">
        <v>1</v>
      </c>
      <c r="O1243" t="s">
        <v>20</v>
      </c>
      <c r="P1243" t="s">
        <v>21</v>
      </c>
      <c r="Q1243">
        <f t="shared" si="95"/>
        <v>25</v>
      </c>
      <c r="R1243" s="4">
        <f>RANK(N1243,$N$2:N$2800,0)</f>
        <v>1</v>
      </c>
      <c r="S1243">
        <f t="shared" si="96"/>
        <v>2.1111111111111112</v>
      </c>
      <c r="T1243" t="str">
        <f t="shared" si="97"/>
        <v>Excellent</v>
      </c>
      <c r="U1243" t="str" cm="1">
        <f t="array" ref="U1243">_xlfn.LET(_xlpm.roles,_xlfn.UNIQUE(D1243:D4041),_xlpm.kills, SUMIF(D1243:D4041,_xlpm.roles,G1243:G4041),INDEX(_xlpm.roles,MATCH(MAX(_xlpm.kills),_xlpm.kills,0)))</f>
        <v>Entry Fragger</v>
      </c>
      <c r="V1243" t="str">
        <f t="shared" si="98"/>
        <v>Medium Accuracy</v>
      </c>
      <c r="W1243" t="str" cm="1">
        <f t="array" ref="W1243">_xlfn.LET(_xlpm.roles,_xlfn.UNIQUE(D1243:D4041), _xlpm.counts,COUNTIF(D1243:D4041,_xlpm.roles), INDEX(_xlpm.roles,MATCH(MAX(_xlpm.counts),_xlpm.counts,0)))</f>
        <v>Entry Fragger</v>
      </c>
      <c r="X1243" s="2">
        <f t="shared" si="99"/>
        <v>13.135802469135802</v>
      </c>
    </row>
    <row r="1244" spans="1:24" x14ac:dyDescent="0.3">
      <c r="A1244">
        <v>1945</v>
      </c>
      <c r="B1244">
        <v>221</v>
      </c>
      <c r="C1244" t="s">
        <v>39</v>
      </c>
      <c r="D1244" t="s">
        <v>31</v>
      </c>
      <c r="E1244" t="s">
        <v>18</v>
      </c>
      <c r="F1244" t="s">
        <v>34</v>
      </c>
      <c r="G1244">
        <v>9</v>
      </c>
      <c r="H1244">
        <v>13</v>
      </c>
      <c r="I1244">
        <v>12</v>
      </c>
      <c r="J1244">
        <v>46.44</v>
      </c>
      <c r="K1244">
        <v>239.68</v>
      </c>
      <c r="L1244">
        <v>0.21</v>
      </c>
      <c r="M1244">
        <v>40.119999999999997</v>
      </c>
      <c r="N1244">
        <v>0.81</v>
      </c>
      <c r="O1244" t="s">
        <v>20</v>
      </c>
      <c r="P1244" t="s">
        <v>21</v>
      </c>
      <c r="Q1244">
        <f t="shared" si="95"/>
        <v>10</v>
      </c>
      <c r="R1244" s="4">
        <f>RANK(N1244,$N$2:N$2800,0)</f>
        <v>2341</v>
      </c>
      <c r="S1244">
        <f t="shared" si="96"/>
        <v>0.75</v>
      </c>
      <c r="T1244" t="str">
        <f t="shared" si="97"/>
        <v>Low</v>
      </c>
      <c r="U1244" t="str" cm="1">
        <f t="array" ref="U1244">_xlfn.LET(_xlpm.roles,_xlfn.UNIQUE(D1244:D4042),_xlpm.kills, SUMIF(D1244:D4042,_xlpm.roles,G1244:G4042),INDEX(_xlpm.roles,MATCH(MAX(_xlpm.kills),_xlpm.kills,0)))</f>
        <v>Entry Fragger</v>
      </c>
      <c r="V1244" t="str">
        <f t="shared" si="98"/>
        <v>Medium Accuracy</v>
      </c>
      <c r="W1244" t="str" cm="1">
        <f t="array" ref="W1244">_xlfn.LET(_xlpm.roles,_xlfn.UNIQUE(D1244:D4042), _xlpm.counts,COUNTIF(D1244:D4042,_xlpm.roles), INDEX(_xlpm.roles,MATCH(MAX(_xlpm.counts),_xlpm.counts,0)))</f>
        <v>Entry Fragger</v>
      </c>
      <c r="X1244" s="2">
        <f t="shared" si="99"/>
        <v>13.103594080338267</v>
      </c>
    </row>
    <row r="1245" spans="1:24" x14ac:dyDescent="0.3">
      <c r="A1245">
        <v>163</v>
      </c>
      <c r="B1245">
        <v>222</v>
      </c>
      <c r="C1245" t="s">
        <v>16</v>
      </c>
      <c r="D1245" t="s">
        <v>17</v>
      </c>
      <c r="E1245" t="s">
        <v>18</v>
      </c>
      <c r="F1245" t="s">
        <v>24</v>
      </c>
      <c r="G1245">
        <v>17</v>
      </c>
      <c r="H1245">
        <v>6</v>
      </c>
      <c r="I1245">
        <v>8</v>
      </c>
      <c r="J1245">
        <v>43.28</v>
      </c>
      <c r="K1245">
        <v>228.3</v>
      </c>
      <c r="L1245">
        <v>0.59</v>
      </c>
      <c r="M1245">
        <v>47.74</v>
      </c>
      <c r="N1245">
        <v>1</v>
      </c>
      <c r="O1245" t="s">
        <v>20</v>
      </c>
      <c r="P1245" t="s">
        <v>21</v>
      </c>
      <c r="Q1245">
        <f t="shared" si="95"/>
        <v>15</v>
      </c>
      <c r="R1245" s="4">
        <f>RANK(N1245,$N$2:N$2800,0)</f>
        <v>1</v>
      </c>
      <c r="S1245">
        <f t="shared" si="96"/>
        <v>2.125</v>
      </c>
      <c r="T1245" t="str">
        <f t="shared" si="97"/>
        <v>Good</v>
      </c>
      <c r="U1245" t="str" cm="1">
        <f t="array" ref="U1245">_xlfn.LET(_xlpm.roles,_xlfn.UNIQUE(D1245:D4043),_xlpm.kills, SUMIF(D1245:D4043,_xlpm.roles,G1245:G4043),INDEX(_xlpm.roles,MATCH(MAX(_xlpm.kills),_xlpm.kills,0)))</f>
        <v>Entry Fragger</v>
      </c>
      <c r="V1245" t="str">
        <f t="shared" si="98"/>
        <v>Medium Accuracy</v>
      </c>
      <c r="W1245" t="str" cm="1">
        <f t="array" ref="W1245">_xlfn.LET(_xlpm.roles,_xlfn.UNIQUE(D1245:D4043), _xlpm.counts,COUNTIF(D1245:D4043,_xlpm.roles), INDEX(_xlpm.roles,MATCH(MAX(_xlpm.counts),_xlpm.counts,0)))</f>
        <v>Entry Fragger</v>
      </c>
      <c r="X1245" s="2">
        <f t="shared" si="99"/>
        <v>12.520971302428256</v>
      </c>
    </row>
    <row r="1246" spans="1:24" x14ac:dyDescent="0.3">
      <c r="A1246">
        <v>437</v>
      </c>
      <c r="B1246">
        <v>222</v>
      </c>
      <c r="C1246" t="s">
        <v>25</v>
      </c>
      <c r="D1246" t="s">
        <v>28</v>
      </c>
      <c r="E1246" t="s">
        <v>18</v>
      </c>
      <c r="F1246" t="s">
        <v>24</v>
      </c>
      <c r="G1246">
        <v>15</v>
      </c>
      <c r="H1246">
        <v>8</v>
      </c>
      <c r="I1246">
        <v>4</v>
      </c>
      <c r="J1246">
        <v>50.26</v>
      </c>
      <c r="K1246">
        <v>215.82</v>
      </c>
      <c r="L1246">
        <v>0.38</v>
      </c>
      <c r="M1246">
        <v>55.33</v>
      </c>
      <c r="N1246">
        <v>0.93</v>
      </c>
      <c r="O1246" t="s">
        <v>20</v>
      </c>
      <c r="P1246" t="s">
        <v>21</v>
      </c>
      <c r="Q1246">
        <f t="shared" si="95"/>
        <v>19</v>
      </c>
      <c r="R1246" s="4">
        <f>RANK(N1246,$N$2:N$2800,0)</f>
        <v>1505</v>
      </c>
      <c r="S1246">
        <f t="shared" si="96"/>
        <v>3.75</v>
      </c>
      <c r="T1246" t="str">
        <f t="shared" si="97"/>
        <v>Good</v>
      </c>
      <c r="U1246" t="str" cm="1">
        <f t="array" ref="U1246">_xlfn.LET(_xlpm.roles,_xlfn.UNIQUE(D1246:D4044),_xlpm.kills, SUMIF(D1246:D4044,_xlpm.roles,G1246:G4044),INDEX(_xlpm.roles,MATCH(MAX(_xlpm.kills),_xlpm.kills,0)))</f>
        <v>Entry Fragger</v>
      </c>
      <c r="V1246" t="str">
        <f t="shared" si="98"/>
        <v>High Accuracy</v>
      </c>
      <c r="W1246" t="str" cm="1">
        <f t="array" ref="W1246">_xlfn.LET(_xlpm.roles,_xlfn.UNIQUE(D1246:D4044), _xlpm.counts,COUNTIF(D1246:D4044,_xlpm.roles), INDEX(_xlpm.roles,MATCH(MAX(_xlpm.counts),_xlpm.counts,0)))</f>
        <v>Entry Fragger</v>
      </c>
      <c r="X1246" s="2">
        <f t="shared" si="99"/>
        <v>12.809421841541756</v>
      </c>
    </row>
    <row r="1247" spans="1:24" x14ac:dyDescent="0.3">
      <c r="A1247">
        <v>820</v>
      </c>
      <c r="B1247">
        <v>222</v>
      </c>
      <c r="C1247" t="s">
        <v>35</v>
      </c>
      <c r="D1247" t="s">
        <v>31</v>
      </c>
      <c r="E1247" t="s">
        <v>33</v>
      </c>
      <c r="F1247" t="s">
        <v>37</v>
      </c>
      <c r="G1247">
        <v>19</v>
      </c>
      <c r="H1247">
        <v>8</v>
      </c>
      <c r="I1247">
        <v>5</v>
      </c>
      <c r="J1247">
        <v>37.74</v>
      </c>
      <c r="K1247">
        <v>238.13</v>
      </c>
      <c r="L1247">
        <v>0.18</v>
      </c>
      <c r="M1247">
        <v>58.07</v>
      </c>
      <c r="N1247">
        <v>1</v>
      </c>
      <c r="O1247" t="s">
        <v>20</v>
      </c>
      <c r="P1247" t="s">
        <v>21</v>
      </c>
      <c r="Q1247">
        <f t="shared" si="95"/>
        <v>22</v>
      </c>
      <c r="R1247" s="4">
        <f>RANK(N1247,$N$2:N$2800,0)</f>
        <v>1</v>
      </c>
      <c r="S1247">
        <f t="shared" si="96"/>
        <v>3.8</v>
      </c>
      <c r="T1247" t="str">
        <f t="shared" si="97"/>
        <v>Good</v>
      </c>
      <c r="U1247" t="str" cm="1">
        <f t="array" ref="U1247">_xlfn.LET(_xlpm.roles,_xlfn.UNIQUE(D1247:D4045),_xlpm.kills, SUMIF(D1247:D4045,_xlpm.roles,G1247:G4045),INDEX(_xlpm.roles,MATCH(MAX(_xlpm.kills),_xlpm.kills,0)))</f>
        <v>Entry Fragger</v>
      </c>
      <c r="V1247" t="str">
        <f t="shared" si="98"/>
        <v>Medium Accuracy</v>
      </c>
      <c r="W1247" t="str" cm="1">
        <f t="array" ref="W1247">_xlfn.LET(_xlpm.roles,_xlfn.UNIQUE(D1247:D4045), _xlpm.counts,COUNTIF(D1247:D4045,_xlpm.roles), INDEX(_xlpm.roles,MATCH(MAX(_xlpm.counts),_xlpm.counts,0)))</f>
        <v>Entry Fragger</v>
      </c>
      <c r="X1247" s="2">
        <f t="shared" si="99"/>
        <v>12.599585062240664</v>
      </c>
    </row>
    <row r="1248" spans="1:24" x14ac:dyDescent="0.3">
      <c r="A1248">
        <v>1813</v>
      </c>
      <c r="B1248">
        <v>222</v>
      </c>
      <c r="C1248" t="s">
        <v>39</v>
      </c>
      <c r="D1248" t="s">
        <v>31</v>
      </c>
      <c r="E1248" t="s">
        <v>23</v>
      </c>
      <c r="F1248" t="s">
        <v>37</v>
      </c>
      <c r="G1248">
        <v>9</v>
      </c>
      <c r="H1248">
        <v>7</v>
      </c>
      <c r="I1248">
        <v>8</v>
      </c>
      <c r="J1248">
        <v>50.97</v>
      </c>
      <c r="K1248">
        <v>231.25</v>
      </c>
      <c r="L1248">
        <v>0.1</v>
      </c>
      <c r="M1248">
        <v>41.48</v>
      </c>
      <c r="N1248">
        <v>0.76</v>
      </c>
      <c r="O1248" t="s">
        <v>20</v>
      </c>
      <c r="P1248" t="s">
        <v>21</v>
      </c>
      <c r="Q1248">
        <f t="shared" si="95"/>
        <v>8</v>
      </c>
      <c r="R1248" s="4">
        <f>RANK(N1248,$N$2:N$2800,0)</f>
        <v>2547</v>
      </c>
      <c r="S1248">
        <f t="shared" si="96"/>
        <v>1.125</v>
      </c>
      <c r="T1248" t="str">
        <f t="shared" si="97"/>
        <v>Low</v>
      </c>
      <c r="U1248" t="str" cm="1">
        <f t="array" ref="U1248">_xlfn.LET(_xlpm.roles,_xlfn.UNIQUE(D1248:D4046),_xlpm.kills, SUMIF(D1248:D4046,_xlpm.roles,G1248:G4046),INDEX(_xlpm.roles,MATCH(MAX(_xlpm.kills),_xlpm.kills,0)))</f>
        <v>Entry Fragger</v>
      </c>
      <c r="V1248" t="str">
        <f t="shared" si="98"/>
        <v>High Accuracy</v>
      </c>
      <c r="W1248" t="str" cm="1">
        <f t="array" ref="W1248">_xlfn.LET(_xlpm.roles,_xlfn.UNIQUE(D1248:D4046), _xlpm.counts,COUNTIF(D1248:D4046,_xlpm.roles), INDEX(_xlpm.roles,MATCH(MAX(_xlpm.counts),_xlpm.counts,0)))</f>
        <v>Entry Fragger</v>
      </c>
      <c r="X1248" s="2">
        <f t="shared" si="99"/>
        <v>13.103594080338267</v>
      </c>
    </row>
    <row r="1249" spans="1:24" x14ac:dyDescent="0.3">
      <c r="A1249">
        <v>1923</v>
      </c>
      <c r="B1249">
        <v>222</v>
      </c>
      <c r="C1249" t="s">
        <v>35</v>
      </c>
      <c r="D1249" t="s">
        <v>22</v>
      </c>
      <c r="E1249" t="s">
        <v>32</v>
      </c>
      <c r="F1249" t="s">
        <v>19</v>
      </c>
      <c r="G1249">
        <v>15</v>
      </c>
      <c r="H1249">
        <v>9</v>
      </c>
      <c r="I1249">
        <v>10</v>
      </c>
      <c r="J1249">
        <v>43.17</v>
      </c>
      <c r="K1249">
        <v>209.27</v>
      </c>
      <c r="L1249">
        <v>0.26</v>
      </c>
      <c r="M1249">
        <v>47.98</v>
      </c>
      <c r="N1249">
        <v>0.9</v>
      </c>
      <c r="O1249" t="s">
        <v>20</v>
      </c>
      <c r="P1249" t="s">
        <v>21</v>
      </c>
      <c r="Q1249">
        <f t="shared" si="95"/>
        <v>14</v>
      </c>
      <c r="R1249" s="4">
        <f>RANK(N1249,$N$2:N$2800,0)</f>
        <v>1738</v>
      </c>
      <c r="S1249">
        <f t="shared" si="96"/>
        <v>1.5</v>
      </c>
      <c r="T1249" t="str">
        <f t="shared" si="97"/>
        <v>Low</v>
      </c>
      <c r="U1249" t="str" cm="1">
        <f t="array" ref="U1249">_xlfn.LET(_xlpm.roles,_xlfn.UNIQUE(D1249:D4047),_xlpm.kills, SUMIF(D1249:D4047,_xlpm.roles,G1249:G4047),INDEX(_xlpm.roles,MATCH(MAX(_xlpm.kills),_xlpm.kills,0)))</f>
        <v>Entry Fragger</v>
      </c>
      <c r="V1249" t="str">
        <f t="shared" si="98"/>
        <v>Medium Accuracy</v>
      </c>
      <c r="W1249" t="str" cm="1">
        <f t="array" ref="W1249">_xlfn.LET(_xlpm.roles,_xlfn.UNIQUE(D1249:D4047), _xlpm.counts,COUNTIF(D1249:D4047,_xlpm.roles), INDEX(_xlpm.roles,MATCH(MAX(_xlpm.counts),_xlpm.counts,0)))</f>
        <v>Entry Fragger</v>
      </c>
      <c r="X1249" s="2">
        <f t="shared" si="99"/>
        <v>12.599585062240664</v>
      </c>
    </row>
    <row r="1250" spans="1:24" x14ac:dyDescent="0.3">
      <c r="A1250">
        <v>2198</v>
      </c>
      <c r="B1250">
        <v>222</v>
      </c>
      <c r="C1250" t="s">
        <v>39</v>
      </c>
      <c r="D1250" t="s">
        <v>17</v>
      </c>
      <c r="E1250" t="s">
        <v>33</v>
      </c>
      <c r="F1250" t="s">
        <v>19</v>
      </c>
      <c r="G1250">
        <v>9</v>
      </c>
      <c r="H1250">
        <v>6</v>
      </c>
      <c r="I1250">
        <v>10</v>
      </c>
      <c r="J1250">
        <v>54.23</v>
      </c>
      <c r="K1250">
        <v>214.94</v>
      </c>
      <c r="L1250">
        <v>0.1</v>
      </c>
      <c r="M1250">
        <v>40.11</v>
      </c>
      <c r="N1250">
        <v>0.89</v>
      </c>
      <c r="O1250" t="s">
        <v>20</v>
      </c>
      <c r="P1250" t="s">
        <v>21</v>
      </c>
      <c r="Q1250">
        <f t="shared" si="95"/>
        <v>5</v>
      </c>
      <c r="R1250" s="4">
        <f>RANK(N1250,$N$2:N$2800,0)</f>
        <v>1815</v>
      </c>
      <c r="S1250">
        <f t="shared" si="96"/>
        <v>0.9</v>
      </c>
      <c r="T1250" t="str">
        <f t="shared" si="97"/>
        <v>Low</v>
      </c>
      <c r="U1250" t="str" cm="1">
        <f t="array" ref="U1250">_xlfn.LET(_xlpm.roles,_xlfn.UNIQUE(D1250:D4048),_xlpm.kills, SUMIF(D1250:D4048,_xlpm.roles,G1250:G4048),INDEX(_xlpm.roles,MATCH(MAX(_xlpm.kills),_xlpm.kills,0)))</f>
        <v>Entry Fragger</v>
      </c>
      <c r="V1250" t="str">
        <f t="shared" si="98"/>
        <v>High Accuracy</v>
      </c>
      <c r="W1250" t="str" cm="1">
        <f t="array" ref="W1250">_xlfn.LET(_xlpm.roles,_xlfn.UNIQUE(D1250:D4048), _xlpm.counts,COUNTIF(D1250:D4048,_xlpm.roles), INDEX(_xlpm.roles,MATCH(MAX(_xlpm.counts),_xlpm.counts,0)))</f>
        <v>Entry Fragger</v>
      </c>
      <c r="X1250" s="2">
        <f t="shared" si="99"/>
        <v>13.103594080338267</v>
      </c>
    </row>
    <row r="1251" spans="1:24" x14ac:dyDescent="0.3">
      <c r="A1251">
        <v>2253</v>
      </c>
      <c r="B1251">
        <v>222</v>
      </c>
      <c r="C1251" t="s">
        <v>27</v>
      </c>
      <c r="D1251" t="s">
        <v>17</v>
      </c>
      <c r="E1251" t="s">
        <v>32</v>
      </c>
      <c r="F1251" t="s">
        <v>26</v>
      </c>
      <c r="G1251">
        <v>15</v>
      </c>
      <c r="H1251">
        <v>8</v>
      </c>
      <c r="I1251">
        <v>9</v>
      </c>
      <c r="J1251">
        <v>37.29</v>
      </c>
      <c r="K1251">
        <v>257.52999999999997</v>
      </c>
      <c r="L1251">
        <v>7.0000000000000007E-2</v>
      </c>
      <c r="M1251">
        <v>46.94</v>
      </c>
      <c r="N1251">
        <v>0.87</v>
      </c>
      <c r="O1251" t="s">
        <v>20</v>
      </c>
      <c r="P1251" t="s">
        <v>21</v>
      </c>
      <c r="Q1251">
        <f t="shared" si="95"/>
        <v>14</v>
      </c>
      <c r="R1251" s="4">
        <f>RANK(N1251,$N$2:N$2800,0)</f>
        <v>1965</v>
      </c>
      <c r="S1251">
        <f t="shared" si="96"/>
        <v>1.6666666666666667</v>
      </c>
      <c r="T1251" t="str">
        <f t="shared" si="97"/>
        <v>Low</v>
      </c>
      <c r="U1251" t="str" cm="1">
        <f t="array" ref="U1251">_xlfn.LET(_xlpm.roles,_xlfn.UNIQUE(D1251:D4049),_xlpm.kills, SUMIF(D1251:D4049,_xlpm.roles,G1251:G4049),INDEX(_xlpm.roles,MATCH(MAX(_xlpm.kills),_xlpm.kills,0)))</f>
        <v>Entry Fragger</v>
      </c>
      <c r="V1251" t="str">
        <f t="shared" si="98"/>
        <v>Medium Accuracy</v>
      </c>
      <c r="W1251" t="str" cm="1">
        <f t="array" ref="W1251">_xlfn.LET(_xlpm.roles,_xlfn.UNIQUE(D1251:D4049), _xlpm.counts,COUNTIF(D1251:D4049,_xlpm.roles), INDEX(_xlpm.roles,MATCH(MAX(_xlpm.counts),_xlpm.counts,0)))</f>
        <v>Entry Fragger</v>
      </c>
      <c r="X1251" s="2">
        <f t="shared" si="99"/>
        <v>13.057077625570777</v>
      </c>
    </row>
    <row r="1252" spans="1:24" x14ac:dyDescent="0.3">
      <c r="A1252">
        <v>2620</v>
      </c>
      <c r="B1252">
        <v>222</v>
      </c>
      <c r="C1252" t="s">
        <v>35</v>
      </c>
      <c r="D1252" t="s">
        <v>28</v>
      </c>
      <c r="E1252" t="s">
        <v>29</v>
      </c>
      <c r="F1252" t="s">
        <v>37</v>
      </c>
      <c r="G1252">
        <v>11</v>
      </c>
      <c r="H1252">
        <v>6</v>
      </c>
      <c r="I1252">
        <v>8</v>
      </c>
      <c r="J1252">
        <v>33.979999999999997</v>
      </c>
      <c r="K1252">
        <v>214.65</v>
      </c>
      <c r="L1252">
        <v>0.5</v>
      </c>
      <c r="M1252">
        <v>31.99</v>
      </c>
      <c r="N1252">
        <v>0.9</v>
      </c>
      <c r="O1252" t="s">
        <v>20</v>
      </c>
      <c r="P1252" t="s">
        <v>21</v>
      </c>
      <c r="Q1252">
        <f t="shared" si="95"/>
        <v>9</v>
      </c>
      <c r="R1252" s="4">
        <f>RANK(N1252,$N$2:N$2800,0)</f>
        <v>1738</v>
      </c>
      <c r="S1252">
        <f t="shared" si="96"/>
        <v>1.375</v>
      </c>
      <c r="T1252" t="str">
        <f t="shared" si="97"/>
        <v>Low</v>
      </c>
      <c r="U1252" t="str" cm="1">
        <f t="array" ref="U1252">_xlfn.LET(_xlpm.roles,_xlfn.UNIQUE(D1252:D4050),_xlpm.kills, SUMIF(D1252:D4050,_xlpm.roles,G1252:G4050),INDEX(_xlpm.roles,MATCH(MAX(_xlpm.kills),_xlpm.kills,0)))</f>
        <v>Entry Fragger</v>
      </c>
      <c r="V1252" t="str">
        <f t="shared" si="98"/>
        <v>Medium Accuracy</v>
      </c>
      <c r="W1252" t="str" cm="1">
        <f t="array" ref="W1252">_xlfn.LET(_xlpm.roles,_xlfn.UNIQUE(D1252:D4050), _xlpm.counts,COUNTIF(D1252:D4050,_xlpm.roles), INDEX(_xlpm.roles,MATCH(MAX(_xlpm.counts),_xlpm.counts,0)))</f>
        <v>Entry Fragger</v>
      </c>
      <c r="X1252" s="2">
        <f t="shared" si="99"/>
        <v>12.599585062240664</v>
      </c>
    </row>
    <row r="1253" spans="1:24" x14ac:dyDescent="0.3">
      <c r="A1253">
        <v>418</v>
      </c>
      <c r="B1253">
        <v>223</v>
      </c>
      <c r="C1253" t="s">
        <v>30</v>
      </c>
      <c r="D1253" t="s">
        <v>28</v>
      </c>
      <c r="E1253" t="s">
        <v>23</v>
      </c>
      <c r="F1253" t="s">
        <v>24</v>
      </c>
      <c r="G1253">
        <v>14</v>
      </c>
      <c r="H1253">
        <v>6</v>
      </c>
      <c r="I1253">
        <v>14</v>
      </c>
      <c r="J1253">
        <v>40.11</v>
      </c>
      <c r="K1253">
        <v>287.14999999999998</v>
      </c>
      <c r="L1253">
        <v>0.69</v>
      </c>
      <c r="M1253">
        <v>33.159999999999997</v>
      </c>
      <c r="N1253">
        <v>0.74</v>
      </c>
      <c r="O1253" t="s">
        <v>20</v>
      </c>
      <c r="P1253" t="s">
        <v>21</v>
      </c>
      <c r="Q1253">
        <f t="shared" si="95"/>
        <v>6</v>
      </c>
      <c r="R1253" s="4">
        <f>RANK(N1253,$N$2:N$2800,0)</f>
        <v>2613</v>
      </c>
      <c r="S1253">
        <f t="shared" si="96"/>
        <v>1</v>
      </c>
      <c r="T1253" t="str">
        <f t="shared" si="97"/>
        <v>Low</v>
      </c>
      <c r="U1253" t="str" cm="1">
        <f t="array" ref="U1253">_xlfn.LET(_xlpm.roles,_xlfn.UNIQUE(D1253:D4051),_xlpm.kills, SUMIF(D1253:D4051,_xlpm.roles,G1253:G4051),INDEX(_xlpm.roles,MATCH(MAX(_xlpm.kills),_xlpm.kills,0)))</f>
        <v>Entry Fragger</v>
      </c>
      <c r="V1253" t="str">
        <f t="shared" si="98"/>
        <v>Medium Accuracy</v>
      </c>
      <c r="W1253" t="str" cm="1">
        <f t="array" ref="W1253">_xlfn.LET(_xlpm.roles,_xlfn.UNIQUE(D1253:D4051), _xlpm.counts,COUNTIF(D1253:D4051,_xlpm.roles), INDEX(_xlpm.roles,MATCH(MAX(_xlpm.counts),_xlpm.counts,0)))</f>
        <v>Entry Fragger</v>
      </c>
      <c r="X1253" s="2">
        <f t="shared" si="99"/>
        <v>13.135802469135802</v>
      </c>
    </row>
    <row r="1254" spans="1:24" x14ac:dyDescent="0.3">
      <c r="A1254">
        <v>547</v>
      </c>
      <c r="B1254">
        <v>223</v>
      </c>
      <c r="C1254" t="s">
        <v>30</v>
      </c>
      <c r="D1254" t="s">
        <v>28</v>
      </c>
      <c r="E1254" t="s">
        <v>29</v>
      </c>
      <c r="F1254" t="s">
        <v>26</v>
      </c>
      <c r="G1254">
        <v>16</v>
      </c>
      <c r="H1254">
        <v>9</v>
      </c>
      <c r="I1254">
        <v>8</v>
      </c>
      <c r="J1254">
        <v>35.74</v>
      </c>
      <c r="K1254">
        <v>160.57</v>
      </c>
      <c r="L1254">
        <v>0.98</v>
      </c>
      <c r="M1254">
        <v>41.07</v>
      </c>
      <c r="N1254">
        <v>1</v>
      </c>
      <c r="O1254" t="s">
        <v>20</v>
      </c>
      <c r="P1254" t="s">
        <v>21</v>
      </c>
      <c r="Q1254">
        <f t="shared" si="95"/>
        <v>17</v>
      </c>
      <c r="R1254" s="4">
        <f>RANK(N1254,$N$2:N$2800,0)</f>
        <v>1</v>
      </c>
      <c r="S1254">
        <f t="shared" si="96"/>
        <v>2</v>
      </c>
      <c r="T1254" t="str">
        <f t="shared" si="97"/>
        <v>Good</v>
      </c>
      <c r="U1254" t="str" cm="1">
        <f t="array" ref="U1254">_xlfn.LET(_xlpm.roles,_xlfn.UNIQUE(D1254:D4052),_xlpm.kills, SUMIF(D1254:D4052,_xlpm.roles,G1254:G4052),INDEX(_xlpm.roles,MATCH(MAX(_xlpm.kills),_xlpm.kills,0)))</f>
        <v>Entry Fragger</v>
      </c>
      <c r="V1254" t="str">
        <f t="shared" si="98"/>
        <v>Medium Accuracy</v>
      </c>
      <c r="W1254" t="str" cm="1">
        <f t="array" ref="W1254">_xlfn.LET(_xlpm.roles,_xlfn.UNIQUE(D1254:D4052), _xlpm.counts,COUNTIF(D1254:D4052,_xlpm.roles), INDEX(_xlpm.roles,MATCH(MAX(_xlpm.counts),_xlpm.counts,0)))</f>
        <v>Entry Fragger</v>
      </c>
      <c r="X1254" s="2">
        <f t="shared" si="99"/>
        <v>13.135802469135802</v>
      </c>
    </row>
    <row r="1255" spans="1:24" x14ac:dyDescent="0.3">
      <c r="A1255">
        <v>822</v>
      </c>
      <c r="B1255">
        <v>223</v>
      </c>
      <c r="C1255" t="s">
        <v>39</v>
      </c>
      <c r="D1255" t="s">
        <v>28</v>
      </c>
      <c r="E1255" t="s">
        <v>33</v>
      </c>
      <c r="F1255" t="s">
        <v>34</v>
      </c>
      <c r="G1255">
        <v>18</v>
      </c>
      <c r="H1255">
        <v>8</v>
      </c>
      <c r="I1255">
        <v>9</v>
      </c>
      <c r="J1255">
        <v>46.02</v>
      </c>
      <c r="K1255">
        <v>223.58</v>
      </c>
      <c r="L1255">
        <v>0.13</v>
      </c>
      <c r="M1255">
        <v>56.71</v>
      </c>
      <c r="N1255">
        <v>1</v>
      </c>
      <c r="O1255" t="s">
        <v>20</v>
      </c>
      <c r="P1255" t="s">
        <v>21</v>
      </c>
      <c r="Q1255">
        <f t="shared" si="95"/>
        <v>17</v>
      </c>
      <c r="R1255" s="4">
        <f>RANK(N1255,$N$2:N$2800,0)</f>
        <v>1</v>
      </c>
      <c r="S1255">
        <f t="shared" si="96"/>
        <v>2</v>
      </c>
      <c r="T1255" t="str">
        <f t="shared" si="97"/>
        <v>Good</v>
      </c>
      <c r="U1255" t="str" cm="1">
        <f t="array" ref="U1255">_xlfn.LET(_xlpm.roles,_xlfn.UNIQUE(D1255:D4053),_xlpm.kills, SUMIF(D1255:D4053,_xlpm.roles,G1255:G4053),INDEX(_xlpm.roles,MATCH(MAX(_xlpm.kills),_xlpm.kills,0)))</f>
        <v>Entry Fragger</v>
      </c>
      <c r="V1255" t="str">
        <f t="shared" si="98"/>
        <v>Medium Accuracy</v>
      </c>
      <c r="W1255" t="str" cm="1">
        <f t="array" ref="W1255">_xlfn.LET(_xlpm.roles,_xlfn.UNIQUE(D1255:D4053), _xlpm.counts,COUNTIF(D1255:D4053,_xlpm.roles), INDEX(_xlpm.roles,MATCH(MAX(_xlpm.counts),_xlpm.counts,0)))</f>
        <v>Entry Fragger</v>
      </c>
      <c r="X1255" s="2">
        <f t="shared" si="99"/>
        <v>13.103594080338267</v>
      </c>
    </row>
    <row r="1256" spans="1:24" x14ac:dyDescent="0.3">
      <c r="A1256">
        <v>849</v>
      </c>
      <c r="B1256">
        <v>223</v>
      </c>
      <c r="C1256" t="s">
        <v>16</v>
      </c>
      <c r="D1256" t="s">
        <v>28</v>
      </c>
      <c r="E1256" t="s">
        <v>29</v>
      </c>
      <c r="F1256" t="s">
        <v>26</v>
      </c>
      <c r="G1256">
        <v>21</v>
      </c>
      <c r="H1256">
        <v>0</v>
      </c>
      <c r="I1256">
        <v>10</v>
      </c>
      <c r="J1256">
        <v>39.28</v>
      </c>
      <c r="K1256">
        <v>218.66</v>
      </c>
      <c r="L1256">
        <v>0.52</v>
      </c>
      <c r="M1256">
        <v>46.44</v>
      </c>
      <c r="N1256">
        <v>0.92</v>
      </c>
      <c r="O1256" t="s">
        <v>20</v>
      </c>
      <c r="P1256" t="s">
        <v>21</v>
      </c>
      <c r="Q1256">
        <f t="shared" si="95"/>
        <v>11</v>
      </c>
      <c r="R1256" s="4">
        <f>RANK(N1256,$N$2:N$2800,0)</f>
        <v>1585</v>
      </c>
      <c r="S1256">
        <f t="shared" si="96"/>
        <v>2.1</v>
      </c>
      <c r="T1256" t="str">
        <f t="shared" si="97"/>
        <v>Low</v>
      </c>
      <c r="U1256" t="str" cm="1">
        <f t="array" ref="U1256">_xlfn.LET(_xlpm.roles,_xlfn.UNIQUE(D1256:D4054),_xlpm.kills, SUMIF(D1256:D4054,_xlpm.roles,G1256:G4054),INDEX(_xlpm.roles,MATCH(MAX(_xlpm.kills),_xlpm.kills,0)))</f>
        <v>Entry Fragger</v>
      </c>
      <c r="V1256" t="str">
        <f t="shared" si="98"/>
        <v>Medium Accuracy</v>
      </c>
      <c r="W1256" t="str" cm="1">
        <f t="array" ref="W1256">_xlfn.LET(_xlpm.roles,_xlfn.UNIQUE(D1256:D4054), _xlpm.counts,COUNTIF(D1256:D4054,_xlpm.roles), INDEX(_xlpm.roles,MATCH(MAX(_xlpm.counts),_xlpm.counts,0)))</f>
        <v>Entry Fragger</v>
      </c>
      <c r="X1256" s="2">
        <f t="shared" si="99"/>
        <v>12.520971302428256</v>
      </c>
    </row>
    <row r="1257" spans="1:24" x14ac:dyDescent="0.3">
      <c r="A1257">
        <v>1094</v>
      </c>
      <c r="B1257">
        <v>223</v>
      </c>
      <c r="C1257" t="s">
        <v>35</v>
      </c>
      <c r="D1257" t="s">
        <v>36</v>
      </c>
      <c r="E1257" t="s">
        <v>32</v>
      </c>
      <c r="F1257" t="s">
        <v>19</v>
      </c>
      <c r="G1257">
        <v>20</v>
      </c>
      <c r="H1257">
        <v>9</v>
      </c>
      <c r="I1257">
        <v>6</v>
      </c>
      <c r="J1257">
        <v>45.17</v>
      </c>
      <c r="K1257">
        <v>193.12</v>
      </c>
      <c r="L1257">
        <v>0.84</v>
      </c>
      <c r="M1257">
        <v>57.19</v>
      </c>
      <c r="N1257">
        <v>1</v>
      </c>
      <c r="O1257" t="s">
        <v>20</v>
      </c>
      <c r="P1257" t="s">
        <v>21</v>
      </c>
      <c r="Q1257">
        <f t="shared" si="95"/>
        <v>23</v>
      </c>
      <c r="R1257" s="4">
        <f>RANK(N1257,$N$2:N$2800,0)</f>
        <v>1</v>
      </c>
      <c r="S1257">
        <f t="shared" si="96"/>
        <v>3.3333333333333335</v>
      </c>
      <c r="T1257" t="str">
        <f t="shared" si="97"/>
        <v>Good</v>
      </c>
      <c r="U1257" t="str" cm="1">
        <f t="array" ref="U1257">_xlfn.LET(_xlpm.roles,_xlfn.UNIQUE(D1257:D4055),_xlpm.kills, SUMIF(D1257:D4055,_xlpm.roles,G1257:G4055),INDEX(_xlpm.roles,MATCH(MAX(_xlpm.kills),_xlpm.kills,0)))</f>
        <v>Entry Fragger</v>
      </c>
      <c r="V1257" t="str">
        <f t="shared" si="98"/>
        <v>Medium Accuracy</v>
      </c>
      <c r="W1257" t="str" cm="1">
        <f t="array" ref="W1257">_xlfn.LET(_xlpm.roles,_xlfn.UNIQUE(D1257:D4055), _xlpm.counts,COUNTIF(D1257:D4055,_xlpm.roles), INDEX(_xlpm.roles,MATCH(MAX(_xlpm.counts),_xlpm.counts,0)))</f>
        <v>Entry Fragger</v>
      </c>
      <c r="X1257" s="2">
        <f t="shared" si="99"/>
        <v>12.599585062240664</v>
      </c>
    </row>
    <row r="1258" spans="1:24" x14ac:dyDescent="0.3">
      <c r="A1258">
        <v>2007</v>
      </c>
      <c r="B1258">
        <v>223</v>
      </c>
      <c r="C1258" t="s">
        <v>16</v>
      </c>
      <c r="D1258" t="s">
        <v>36</v>
      </c>
      <c r="E1258" t="s">
        <v>33</v>
      </c>
      <c r="F1258" t="s">
        <v>26</v>
      </c>
      <c r="G1258">
        <v>19</v>
      </c>
      <c r="H1258">
        <v>6</v>
      </c>
      <c r="I1258">
        <v>8</v>
      </c>
      <c r="J1258">
        <v>33.07</v>
      </c>
      <c r="K1258">
        <v>254.65</v>
      </c>
      <c r="L1258">
        <v>0.82</v>
      </c>
      <c r="M1258">
        <v>44.33</v>
      </c>
      <c r="N1258">
        <v>0.95</v>
      </c>
      <c r="O1258" t="s">
        <v>20</v>
      </c>
      <c r="P1258" t="s">
        <v>21</v>
      </c>
      <c r="Q1258">
        <f t="shared" si="95"/>
        <v>17</v>
      </c>
      <c r="R1258" s="4">
        <f>RANK(N1258,$N$2:N$2800,0)</f>
        <v>1367</v>
      </c>
      <c r="S1258">
        <f t="shared" si="96"/>
        <v>2.375</v>
      </c>
      <c r="T1258" t="str">
        <f t="shared" si="97"/>
        <v>Good</v>
      </c>
      <c r="U1258" t="str" cm="1">
        <f t="array" ref="U1258">_xlfn.LET(_xlpm.roles,_xlfn.UNIQUE(D1258:D4056),_xlpm.kills, SUMIF(D1258:D4056,_xlpm.roles,G1258:G4056),INDEX(_xlpm.roles,MATCH(MAX(_xlpm.kills),_xlpm.kills,0)))</f>
        <v>Entry Fragger</v>
      </c>
      <c r="V1258" t="str">
        <f t="shared" si="98"/>
        <v>Medium Accuracy</v>
      </c>
      <c r="W1258" t="str" cm="1">
        <f t="array" ref="W1258">_xlfn.LET(_xlpm.roles,_xlfn.UNIQUE(D1258:D4056), _xlpm.counts,COUNTIF(D1258:D4056,_xlpm.roles), INDEX(_xlpm.roles,MATCH(MAX(_xlpm.counts),_xlpm.counts,0)))</f>
        <v>Entry Fragger</v>
      </c>
      <c r="X1258" s="2">
        <f t="shared" si="99"/>
        <v>12.520971302428256</v>
      </c>
    </row>
    <row r="1259" spans="1:24" x14ac:dyDescent="0.3">
      <c r="A1259">
        <v>2103</v>
      </c>
      <c r="B1259">
        <v>223</v>
      </c>
      <c r="C1259" t="s">
        <v>16</v>
      </c>
      <c r="D1259" t="s">
        <v>28</v>
      </c>
      <c r="E1259" t="s">
        <v>23</v>
      </c>
      <c r="F1259" t="s">
        <v>34</v>
      </c>
      <c r="G1259">
        <v>15</v>
      </c>
      <c r="H1259">
        <v>8</v>
      </c>
      <c r="I1259">
        <v>6</v>
      </c>
      <c r="J1259">
        <v>45.24</v>
      </c>
      <c r="K1259">
        <v>229.52</v>
      </c>
      <c r="L1259">
        <v>0.66</v>
      </c>
      <c r="M1259">
        <v>48.02</v>
      </c>
      <c r="N1259">
        <v>0.9</v>
      </c>
      <c r="O1259" t="s">
        <v>20</v>
      </c>
      <c r="P1259" t="s">
        <v>21</v>
      </c>
      <c r="Q1259">
        <f t="shared" si="95"/>
        <v>17</v>
      </c>
      <c r="R1259" s="4">
        <f>RANK(N1259,$N$2:N$2800,0)</f>
        <v>1738</v>
      </c>
      <c r="S1259">
        <f t="shared" si="96"/>
        <v>2.5</v>
      </c>
      <c r="T1259" t="str">
        <f t="shared" si="97"/>
        <v>Good</v>
      </c>
      <c r="U1259" t="str" cm="1">
        <f t="array" ref="U1259">_xlfn.LET(_xlpm.roles,_xlfn.UNIQUE(D1259:D4057),_xlpm.kills, SUMIF(D1259:D4057,_xlpm.roles,G1259:G4057),INDEX(_xlpm.roles,MATCH(MAX(_xlpm.kills),_xlpm.kills,0)))</f>
        <v>Entry Fragger</v>
      </c>
      <c r="V1259" t="str">
        <f t="shared" si="98"/>
        <v>Medium Accuracy</v>
      </c>
      <c r="W1259" t="str" cm="1">
        <f t="array" ref="W1259">_xlfn.LET(_xlpm.roles,_xlfn.UNIQUE(D1259:D4057), _xlpm.counts,COUNTIF(D1259:D4057,_xlpm.roles), INDEX(_xlpm.roles,MATCH(MAX(_xlpm.counts),_xlpm.counts,0)))</f>
        <v>Entry Fragger</v>
      </c>
      <c r="X1259" s="2">
        <f t="shared" si="99"/>
        <v>12.520971302428256</v>
      </c>
    </row>
    <row r="1260" spans="1:24" x14ac:dyDescent="0.3">
      <c r="A1260">
        <v>291</v>
      </c>
      <c r="B1260">
        <v>224</v>
      </c>
      <c r="C1260" t="s">
        <v>25</v>
      </c>
      <c r="D1260" t="s">
        <v>36</v>
      </c>
      <c r="E1260" t="s">
        <v>32</v>
      </c>
      <c r="F1260" t="s">
        <v>26</v>
      </c>
      <c r="G1260">
        <v>17</v>
      </c>
      <c r="H1260">
        <v>3</v>
      </c>
      <c r="I1260">
        <v>8</v>
      </c>
      <c r="J1260">
        <v>38.9</v>
      </c>
      <c r="K1260">
        <v>251.09</v>
      </c>
      <c r="L1260">
        <v>0.81</v>
      </c>
      <c r="M1260">
        <v>40.35</v>
      </c>
      <c r="N1260">
        <v>0.86</v>
      </c>
      <c r="O1260" t="s">
        <v>20</v>
      </c>
      <c r="P1260" t="s">
        <v>21</v>
      </c>
      <c r="Q1260">
        <f t="shared" si="95"/>
        <v>12</v>
      </c>
      <c r="R1260" s="4">
        <f>RANK(N1260,$N$2:N$2800,0)</f>
        <v>2040</v>
      </c>
      <c r="S1260">
        <f t="shared" si="96"/>
        <v>2.125</v>
      </c>
      <c r="T1260" t="str">
        <f t="shared" si="97"/>
        <v>Low</v>
      </c>
      <c r="U1260" t="str" cm="1">
        <f t="array" ref="U1260">_xlfn.LET(_xlpm.roles,_xlfn.UNIQUE(D1260:D4058),_xlpm.kills, SUMIF(D1260:D4058,_xlpm.roles,G1260:G4058),INDEX(_xlpm.roles,MATCH(MAX(_xlpm.kills),_xlpm.kills,0)))</f>
        <v>Entry Fragger</v>
      </c>
      <c r="V1260" t="str">
        <f t="shared" si="98"/>
        <v>Medium Accuracy</v>
      </c>
      <c r="W1260" t="str" cm="1">
        <f t="array" ref="W1260">_xlfn.LET(_xlpm.roles,_xlfn.UNIQUE(D1260:D4058), _xlpm.counts,COUNTIF(D1260:D4058,_xlpm.roles), INDEX(_xlpm.roles,MATCH(MAX(_xlpm.counts),_xlpm.counts,0)))</f>
        <v>Entry Fragger</v>
      </c>
      <c r="X1260" s="2">
        <f t="shared" si="99"/>
        <v>12.809421841541756</v>
      </c>
    </row>
    <row r="1261" spans="1:24" x14ac:dyDescent="0.3">
      <c r="A1261">
        <v>380</v>
      </c>
      <c r="B1261">
        <v>224</v>
      </c>
      <c r="C1261" t="s">
        <v>27</v>
      </c>
      <c r="D1261" t="s">
        <v>22</v>
      </c>
      <c r="E1261" t="s">
        <v>32</v>
      </c>
      <c r="F1261" t="s">
        <v>19</v>
      </c>
      <c r="G1261">
        <v>23</v>
      </c>
      <c r="H1261">
        <v>10</v>
      </c>
      <c r="I1261">
        <v>13</v>
      </c>
      <c r="J1261">
        <v>35.53</v>
      </c>
      <c r="K1261">
        <v>224.54</v>
      </c>
      <c r="L1261">
        <v>0.75</v>
      </c>
      <c r="M1261">
        <v>53.27</v>
      </c>
      <c r="N1261">
        <v>1</v>
      </c>
      <c r="O1261" t="s">
        <v>20</v>
      </c>
      <c r="P1261" t="s">
        <v>21</v>
      </c>
      <c r="Q1261">
        <f t="shared" si="95"/>
        <v>20</v>
      </c>
      <c r="R1261" s="4">
        <f>RANK(N1261,$N$2:N$2800,0)</f>
        <v>1</v>
      </c>
      <c r="S1261">
        <f t="shared" si="96"/>
        <v>1.7692307692307692</v>
      </c>
      <c r="T1261" t="str">
        <f t="shared" si="97"/>
        <v>Good</v>
      </c>
      <c r="U1261" t="str" cm="1">
        <f t="array" ref="U1261">_xlfn.LET(_xlpm.roles,_xlfn.UNIQUE(D1261:D4059),_xlpm.kills, SUMIF(D1261:D4059,_xlpm.roles,G1261:G4059),INDEX(_xlpm.roles,MATCH(MAX(_xlpm.kills),_xlpm.kills,0)))</f>
        <v>Entry Fragger</v>
      </c>
      <c r="V1261" t="str">
        <f t="shared" si="98"/>
        <v>Medium Accuracy</v>
      </c>
      <c r="W1261" t="str" cm="1">
        <f t="array" ref="W1261">_xlfn.LET(_xlpm.roles,_xlfn.UNIQUE(D1261:D4059), _xlpm.counts,COUNTIF(D1261:D4059,_xlpm.roles), INDEX(_xlpm.roles,MATCH(MAX(_xlpm.counts),_xlpm.counts,0)))</f>
        <v>Entry Fragger</v>
      </c>
      <c r="X1261" s="2">
        <f t="shared" si="99"/>
        <v>13.057077625570777</v>
      </c>
    </row>
    <row r="1262" spans="1:24" x14ac:dyDescent="0.3">
      <c r="A1262">
        <v>1401</v>
      </c>
      <c r="B1262">
        <v>224</v>
      </c>
      <c r="C1262" t="s">
        <v>25</v>
      </c>
      <c r="D1262" t="s">
        <v>22</v>
      </c>
      <c r="E1262" t="s">
        <v>29</v>
      </c>
      <c r="F1262" t="s">
        <v>26</v>
      </c>
      <c r="G1262">
        <v>15</v>
      </c>
      <c r="H1262">
        <v>11</v>
      </c>
      <c r="I1262">
        <v>6</v>
      </c>
      <c r="J1262">
        <v>37.520000000000003</v>
      </c>
      <c r="K1262">
        <v>274.37</v>
      </c>
      <c r="L1262">
        <v>0.48</v>
      </c>
      <c r="M1262">
        <v>48.96</v>
      </c>
      <c r="N1262">
        <v>1</v>
      </c>
      <c r="O1262" t="s">
        <v>20</v>
      </c>
      <c r="P1262" t="s">
        <v>21</v>
      </c>
      <c r="Q1262">
        <f t="shared" si="95"/>
        <v>20</v>
      </c>
      <c r="R1262" s="4">
        <f>RANK(N1262,$N$2:N$2800,0)</f>
        <v>1</v>
      </c>
      <c r="S1262">
        <f t="shared" si="96"/>
        <v>2.5</v>
      </c>
      <c r="T1262" t="str">
        <f t="shared" si="97"/>
        <v>Good</v>
      </c>
      <c r="U1262" t="str" cm="1">
        <f t="array" ref="U1262">_xlfn.LET(_xlpm.roles,_xlfn.UNIQUE(D1262:D4060),_xlpm.kills, SUMIF(D1262:D4060,_xlpm.roles,G1262:G4060),INDEX(_xlpm.roles,MATCH(MAX(_xlpm.kills),_xlpm.kills,0)))</f>
        <v>Entry Fragger</v>
      </c>
      <c r="V1262" t="str">
        <f t="shared" si="98"/>
        <v>Medium Accuracy</v>
      </c>
      <c r="W1262" t="str" cm="1">
        <f t="array" ref="W1262">_xlfn.LET(_xlpm.roles,_xlfn.UNIQUE(D1262:D4060), _xlpm.counts,COUNTIF(D1262:D4060,_xlpm.roles), INDEX(_xlpm.roles,MATCH(MAX(_xlpm.counts),_xlpm.counts,0)))</f>
        <v>Entry Fragger</v>
      </c>
      <c r="X1262" s="2">
        <f t="shared" si="99"/>
        <v>12.809421841541756</v>
      </c>
    </row>
    <row r="1263" spans="1:24" x14ac:dyDescent="0.3">
      <c r="A1263">
        <v>1751</v>
      </c>
      <c r="B1263">
        <v>224</v>
      </c>
      <c r="C1263" t="s">
        <v>35</v>
      </c>
      <c r="D1263" t="s">
        <v>17</v>
      </c>
      <c r="E1263" t="s">
        <v>18</v>
      </c>
      <c r="F1263" t="s">
        <v>19</v>
      </c>
      <c r="G1263">
        <v>18</v>
      </c>
      <c r="H1263">
        <v>7</v>
      </c>
      <c r="I1263">
        <v>6</v>
      </c>
      <c r="J1263">
        <v>55.63</v>
      </c>
      <c r="K1263">
        <v>230.92</v>
      </c>
      <c r="L1263">
        <v>0.2</v>
      </c>
      <c r="M1263">
        <v>62.81</v>
      </c>
      <c r="N1263">
        <v>1</v>
      </c>
      <c r="O1263" t="s">
        <v>20</v>
      </c>
      <c r="P1263" t="s">
        <v>38</v>
      </c>
      <c r="Q1263">
        <f t="shared" si="95"/>
        <v>19</v>
      </c>
      <c r="R1263" s="4">
        <f>RANK(N1263,$N$2:N$2800,0)</f>
        <v>1</v>
      </c>
      <c r="S1263">
        <f t="shared" si="96"/>
        <v>3</v>
      </c>
      <c r="T1263" t="str">
        <f t="shared" si="97"/>
        <v>Good</v>
      </c>
      <c r="U1263" t="str" cm="1">
        <f t="array" ref="U1263">_xlfn.LET(_xlpm.roles,_xlfn.UNIQUE(D1263:D4061),_xlpm.kills, SUMIF(D1263:D4061,_xlpm.roles,G1263:G4061),INDEX(_xlpm.roles,MATCH(MAX(_xlpm.kills),_xlpm.kills,0)))</f>
        <v>Entry Fragger</v>
      </c>
      <c r="V1263" t="str">
        <f t="shared" si="98"/>
        <v>High Accuracy</v>
      </c>
      <c r="W1263" t="str" cm="1">
        <f t="array" ref="W1263">_xlfn.LET(_xlpm.roles,_xlfn.UNIQUE(D1263:D4061), _xlpm.counts,COUNTIF(D1263:D4061,_xlpm.roles), INDEX(_xlpm.roles,MATCH(MAX(_xlpm.counts),_xlpm.counts,0)))</f>
        <v>Entry Fragger</v>
      </c>
      <c r="X1263" s="2">
        <f t="shared" si="99"/>
        <v>12.599585062240664</v>
      </c>
    </row>
    <row r="1264" spans="1:24" x14ac:dyDescent="0.3">
      <c r="A1264">
        <v>1878</v>
      </c>
      <c r="B1264">
        <v>224</v>
      </c>
      <c r="C1264" t="s">
        <v>25</v>
      </c>
      <c r="D1264" t="s">
        <v>22</v>
      </c>
      <c r="E1264" t="s">
        <v>23</v>
      </c>
      <c r="F1264" t="s">
        <v>19</v>
      </c>
      <c r="G1264">
        <v>12</v>
      </c>
      <c r="H1264">
        <v>10</v>
      </c>
      <c r="I1264">
        <v>8</v>
      </c>
      <c r="J1264">
        <v>36.200000000000003</v>
      </c>
      <c r="K1264">
        <v>204.81</v>
      </c>
      <c r="L1264">
        <v>0.16</v>
      </c>
      <c r="M1264">
        <v>42.5</v>
      </c>
      <c r="N1264">
        <v>1</v>
      </c>
      <c r="O1264" t="s">
        <v>20</v>
      </c>
      <c r="P1264" t="s">
        <v>21</v>
      </c>
      <c r="Q1264">
        <f t="shared" si="95"/>
        <v>14</v>
      </c>
      <c r="R1264" s="4">
        <f>RANK(N1264,$N$2:N$2800,0)</f>
        <v>1</v>
      </c>
      <c r="S1264">
        <f t="shared" si="96"/>
        <v>1.5</v>
      </c>
      <c r="T1264" t="str">
        <f t="shared" si="97"/>
        <v>Low</v>
      </c>
      <c r="U1264" t="str" cm="1">
        <f t="array" ref="U1264">_xlfn.LET(_xlpm.roles,_xlfn.UNIQUE(D1264:D4062),_xlpm.kills, SUMIF(D1264:D4062,_xlpm.roles,G1264:G4062),INDEX(_xlpm.roles,MATCH(MAX(_xlpm.kills),_xlpm.kills,0)))</f>
        <v>Entry Fragger</v>
      </c>
      <c r="V1264" t="str">
        <f t="shared" si="98"/>
        <v>Medium Accuracy</v>
      </c>
      <c r="W1264" t="str" cm="1">
        <f t="array" ref="W1264">_xlfn.LET(_xlpm.roles,_xlfn.UNIQUE(D1264:D4062), _xlpm.counts,COUNTIF(D1264:D4062,_xlpm.roles), INDEX(_xlpm.roles,MATCH(MAX(_xlpm.counts),_xlpm.counts,0)))</f>
        <v>Entry Fragger</v>
      </c>
      <c r="X1264" s="2">
        <f t="shared" si="99"/>
        <v>12.809421841541756</v>
      </c>
    </row>
    <row r="1265" spans="1:24" x14ac:dyDescent="0.3">
      <c r="A1265">
        <v>1674</v>
      </c>
      <c r="B1265">
        <v>225</v>
      </c>
      <c r="C1265" t="s">
        <v>25</v>
      </c>
      <c r="D1265" t="s">
        <v>22</v>
      </c>
      <c r="E1265" t="s">
        <v>18</v>
      </c>
      <c r="F1265" t="s">
        <v>37</v>
      </c>
      <c r="G1265">
        <v>15</v>
      </c>
      <c r="H1265">
        <v>10</v>
      </c>
      <c r="I1265">
        <v>7</v>
      </c>
      <c r="J1265">
        <v>53.56</v>
      </c>
      <c r="K1265">
        <v>233.7</v>
      </c>
      <c r="L1265">
        <v>0.97</v>
      </c>
      <c r="M1265">
        <v>50.08</v>
      </c>
      <c r="N1265">
        <v>0.89</v>
      </c>
      <c r="O1265" t="s">
        <v>20</v>
      </c>
      <c r="P1265" t="s">
        <v>21</v>
      </c>
      <c r="Q1265">
        <f t="shared" si="95"/>
        <v>18</v>
      </c>
      <c r="R1265" s="4">
        <f>RANK(N1265,$N$2:N$2800,0)</f>
        <v>1815</v>
      </c>
      <c r="S1265">
        <f t="shared" si="96"/>
        <v>2.1428571428571428</v>
      </c>
      <c r="T1265" t="str">
        <f t="shared" si="97"/>
        <v>Good</v>
      </c>
      <c r="U1265" t="str" cm="1">
        <f t="array" ref="U1265">_xlfn.LET(_xlpm.roles,_xlfn.UNIQUE(D1265:D4063),_xlpm.kills, SUMIF(D1265:D4063,_xlpm.roles,G1265:G4063),INDEX(_xlpm.roles,MATCH(MAX(_xlpm.kills),_xlpm.kills,0)))</f>
        <v>Entry Fragger</v>
      </c>
      <c r="V1265" t="str">
        <f t="shared" si="98"/>
        <v>High Accuracy</v>
      </c>
      <c r="W1265" t="str" cm="1">
        <f t="array" ref="W1265">_xlfn.LET(_xlpm.roles,_xlfn.UNIQUE(D1265:D4063), _xlpm.counts,COUNTIF(D1265:D4063,_xlpm.roles), INDEX(_xlpm.roles,MATCH(MAX(_xlpm.counts),_xlpm.counts,0)))</f>
        <v>Entry Fragger</v>
      </c>
      <c r="X1265" s="2">
        <f t="shared" si="99"/>
        <v>12.809421841541756</v>
      </c>
    </row>
    <row r="1266" spans="1:24" x14ac:dyDescent="0.3">
      <c r="A1266">
        <v>1759</v>
      </c>
      <c r="B1266">
        <v>225</v>
      </c>
      <c r="C1266" t="s">
        <v>25</v>
      </c>
      <c r="D1266" t="s">
        <v>17</v>
      </c>
      <c r="E1266" t="s">
        <v>29</v>
      </c>
      <c r="F1266" t="s">
        <v>24</v>
      </c>
      <c r="G1266">
        <v>13</v>
      </c>
      <c r="H1266">
        <v>5</v>
      </c>
      <c r="I1266">
        <v>13</v>
      </c>
      <c r="J1266">
        <v>55.7</v>
      </c>
      <c r="K1266">
        <v>246.08</v>
      </c>
      <c r="L1266">
        <v>0.72</v>
      </c>
      <c r="M1266">
        <v>38.65</v>
      </c>
      <c r="N1266">
        <v>0.81</v>
      </c>
      <c r="O1266" t="s">
        <v>20</v>
      </c>
      <c r="P1266" t="s">
        <v>21</v>
      </c>
      <c r="Q1266">
        <f t="shared" si="95"/>
        <v>5</v>
      </c>
      <c r="R1266" s="4">
        <f>RANK(N1266,$N$2:N$2800,0)</f>
        <v>2341</v>
      </c>
      <c r="S1266">
        <f t="shared" si="96"/>
        <v>1</v>
      </c>
      <c r="T1266" t="str">
        <f t="shared" si="97"/>
        <v>Low</v>
      </c>
      <c r="U1266" t="str" cm="1">
        <f t="array" ref="U1266">_xlfn.LET(_xlpm.roles,_xlfn.UNIQUE(D1266:D4064),_xlpm.kills, SUMIF(D1266:D4064,_xlpm.roles,G1266:G4064),INDEX(_xlpm.roles,MATCH(MAX(_xlpm.kills),_xlpm.kills,0)))</f>
        <v>Entry Fragger</v>
      </c>
      <c r="V1266" t="str">
        <f t="shared" si="98"/>
        <v>High Accuracy</v>
      </c>
      <c r="W1266" t="str" cm="1">
        <f t="array" ref="W1266">_xlfn.LET(_xlpm.roles,_xlfn.UNIQUE(D1266:D4064), _xlpm.counts,COUNTIF(D1266:D4064,_xlpm.roles), INDEX(_xlpm.roles,MATCH(MAX(_xlpm.counts),_xlpm.counts,0)))</f>
        <v>Entry Fragger</v>
      </c>
      <c r="X1266" s="2">
        <f t="shared" si="99"/>
        <v>12.809421841541756</v>
      </c>
    </row>
    <row r="1267" spans="1:24" x14ac:dyDescent="0.3">
      <c r="A1267">
        <v>2137</v>
      </c>
      <c r="B1267">
        <v>225</v>
      </c>
      <c r="C1267" t="s">
        <v>27</v>
      </c>
      <c r="D1267" t="s">
        <v>31</v>
      </c>
      <c r="E1267" t="s">
        <v>29</v>
      </c>
      <c r="F1267" t="s">
        <v>19</v>
      </c>
      <c r="G1267">
        <v>11</v>
      </c>
      <c r="H1267">
        <v>7</v>
      </c>
      <c r="I1267">
        <v>3</v>
      </c>
      <c r="J1267">
        <v>50.86</v>
      </c>
      <c r="K1267">
        <v>171.65</v>
      </c>
      <c r="L1267">
        <v>0.81</v>
      </c>
      <c r="M1267">
        <v>43.33</v>
      </c>
      <c r="N1267">
        <v>0.82</v>
      </c>
      <c r="O1267" t="s">
        <v>20</v>
      </c>
      <c r="P1267" t="s">
        <v>21</v>
      </c>
      <c r="Q1267">
        <f t="shared" si="95"/>
        <v>15</v>
      </c>
      <c r="R1267" s="4">
        <f>RANK(N1267,$N$2:N$2800,0)</f>
        <v>2275</v>
      </c>
      <c r="S1267">
        <f t="shared" si="96"/>
        <v>3.6666666666666665</v>
      </c>
      <c r="T1267" t="str">
        <f t="shared" si="97"/>
        <v>Good</v>
      </c>
      <c r="U1267" t="str" cm="1">
        <f t="array" ref="U1267">_xlfn.LET(_xlpm.roles,_xlfn.UNIQUE(D1267:D4065),_xlpm.kills, SUMIF(D1267:D4065,_xlpm.roles,G1267:G4065),INDEX(_xlpm.roles,MATCH(MAX(_xlpm.kills),_xlpm.kills,0)))</f>
        <v>Entry Fragger</v>
      </c>
      <c r="V1267" t="str">
        <f t="shared" si="98"/>
        <v>High Accuracy</v>
      </c>
      <c r="W1267" t="str" cm="1">
        <f t="array" ref="W1267">_xlfn.LET(_xlpm.roles,_xlfn.UNIQUE(D1267:D4065), _xlpm.counts,COUNTIF(D1267:D4065,_xlpm.roles), INDEX(_xlpm.roles,MATCH(MAX(_xlpm.counts),_xlpm.counts,0)))</f>
        <v>Entry Fragger</v>
      </c>
      <c r="X1267" s="2">
        <f t="shared" si="99"/>
        <v>13.057077625570777</v>
      </c>
    </row>
    <row r="1268" spans="1:24" x14ac:dyDescent="0.3">
      <c r="A1268">
        <v>2357</v>
      </c>
      <c r="B1268">
        <v>225</v>
      </c>
      <c r="C1268" t="s">
        <v>16</v>
      </c>
      <c r="D1268" t="s">
        <v>22</v>
      </c>
      <c r="E1268" t="s">
        <v>29</v>
      </c>
      <c r="F1268" t="s">
        <v>34</v>
      </c>
      <c r="G1268">
        <v>12</v>
      </c>
      <c r="H1268">
        <v>6</v>
      </c>
      <c r="I1268">
        <v>11</v>
      </c>
      <c r="J1268">
        <v>53.64</v>
      </c>
      <c r="K1268">
        <v>242.18</v>
      </c>
      <c r="L1268">
        <v>0.19</v>
      </c>
      <c r="M1268">
        <v>43.92</v>
      </c>
      <c r="N1268">
        <v>1</v>
      </c>
      <c r="O1268" t="s">
        <v>20</v>
      </c>
      <c r="P1268" t="s">
        <v>21</v>
      </c>
      <c r="Q1268">
        <f t="shared" si="95"/>
        <v>7</v>
      </c>
      <c r="R1268" s="4">
        <f>RANK(N1268,$N$2:N$2800,0)</f>
        <v>1</v>
      </c>
      <c r="S1268">
        <f t="shared" si="96"/>
        <v>1.0909090909090908</v>
      </c>
      <c r="T1268" t="str">
        <f t="shared" si="97"/>
        <v>Low</v>
      </c>
      <c r="U1268" t="str" cm="1">
        <f t="array" ref="U1268">_xlfn.LET(_xlpm.roles,_xlfn.UNIQUE(D1268:D4066),_xlpm.kills, SUMIF(D1268:D4066,_xlpm.roles,G1268:G4066),INDEX(_xlpm.roles,MATCH(MAX(_xlpm.kills),_xlpm.kills,0)))</f>
        <v>Entry Fragger</v>
      </c>
      <c r="V1268" t="str">
        <f t="shared" si="98"/>
        <v>High Accuracy</v>
      </c>
      <c r="W1268" t="str" cm="1">
        <f t="array" ref="W1268">_xlfn.LET(_xlpm.roles,_xlfn.UNIQUE(D1268:D4066), _xlpm.counts,COUNTIF(D1268:D4066,_xlpm.roles), INDEX(_xlpm.roles,MATCH(MAX(_xlpm.counts),_xlpm.counts,0)))</f>
        <v>Entry Fragger</v>
      </c>
      <c r="X1268" s="2">
        <f t="shared" si="99"/>
        <v>12.520971302428256</v>
      </c>
    </row>
    <row r="1269" spans="1:24" x14ac:dyDescent="0.3">
      <c r="A1269">
        <v>2735</v>
      </c>
      <c r="B1269">
        <v>225</v>
      </c>
      <c r="C1269" t="s">
        <v>39</v>
      </c>
      <c r="D1269" t="s">
        <v>17</v>
      </c>
      <c r="E1269" t="s">
        <v>23</v>
      </c>
      <c r="F1269" t="s">
        <v>26</v>
      </c>
      <c r="G1269">
        <v>18</v>
      </c>
      <c r="H1269">
        <v>13</v>
      </c>
      <c r="I1269">
        <v>9</v>
      </c>
      <c r="J1269">
        <v>49.59</v>
      </c>
      <c r="K1269">
        <v>262.43</v>
      </c>
      <c r="L1269">
        <v>0.97</v>
      </c>
      <c r="M1269">
        <v>55.09</v>
      </c>
      <c r="N1269">
        <v>1</v>
      </c>
      <c r="O1269" t="s">
        <v>20</v>
      </c>
      <c r="P1269" t="s">
        <v>21</v>
      </c>
      <c r="Q1269">
        <f t="shared" si="95"/>
        <v>22</v>
      </c>
      <c r="R1269" s="4">
        <f>RANK(N1269,$N$2:N$2800,0)</f>
        <v>1</v>
      </c>
      <c r="S1269">
        <f t="shared" si="96"/>
        <v>2</v>
      </c>
      <c r="T1269" t="str">
        <f t="shared" si="97"/>
        <v>Good</v>
      </c>
      <c r="U1269" t="str" cm="1">
        <f t="array" ref="U1269">_xlfn.LET(_xlpm.roles,_xlfn.UNIQUE(D1269:D4067),_xlpm.kills, SUMIF(D1269:D4067,_xlpm.roles,G1269:G4067),INDEX(_xlpm.roles,MATCH(MAX(_xlpm.kills),_xlpm.kills,0)))</f>
        <v>Entry Fragger</v>
      </c>
      <c r="V1269" t="str">
        <f t="shared" si="98"/>
        <v>Medium Accuracy</v>
      </c>
      <c r="W1269" t="str" cm="1">
        <f t="array" ref="W1269">_xlfn.LET(_xlpm.roles,_xlfn.UNIQUE(D1269:D4067), _xlpm.counts,COUNTIF(D1269:D4067,_xlpm.roles), INDEX(_xlpm.roles,MATCH(MAX(_xlpm.counts),_xlpm.counts,0)))</f>
        <v>Entry Fragger</v>
      </c>
      <c r="X1269" s="2">
        <f t="shared" si="99"/>
        <v>13.103594080338267</v>
      </c>
    </row>
    <row r="1270" spans="1:24" x14ac:dyDescent="0.3">
      <c r="A1270">
        <v>270</v>
      </c>
      <c r="B1270">
        <v>226</v>
      </c>
      <c r="C1270" t="s">
        <v>35</v>
      </c>
      <c r="D1270" t="s">
        <v>36</v>
      </c>
      <c r="E1270" t="s">
        <v>33</v>
      </c>
      <c r="F1270" t="s">
        <v>19</v>
      </c>
      <c r="G1270">
        <v>15</v>
      </c>
      <c r="H1270">
        <v>7</v>
      </c>
      <c r="I1270">
        <v>14</v>
      </c>
      <c r="J1270">
        <v>47.89</v>
      </c>
      <c r="K1270">
        <v>220.68</v>
      </c>
      <c r="L1270">
        <v>0.77</v>
      </c>
      <c r="M1270">
        <v>39.24</v>
      </c>
      <c r="N1270">
        <v>0.75</v>
      </c>
      <c r="O1270" t="s">
        <v>20</v>
      </c>
      <c r="P1270" t="s">
        <v>21</v>
      </c>
      <c r="Q1270">
        <f t="shared" si="95"/>
        <v>8</v>
      </c>
      <c r="R1270" s="4">
        <f>RANK(N1270,$N$2:N$2800,0)</f>
        <v>2586</v>
      </c>
      <c r="S1270">
        <f t="shared" si="96"/>
        <v>1.0714285714285714</v>
      </c>
      <c r="T1270" t="str">
        <f t="shared" si="97"/>
        <v>Low</v>
      </c>
      <c r="U1270" t="str" cm="1">
        <f t="array" ref="U1270">_xlfn.LET(_xlpm.roles,_xlfn.UNIQUE(D1270:D4068),_xlpm.kills, SUMIF(D1270:D4068,_xlpm.roles,G1270:G4068),INDEX(_xlpm.roles,MATCH(MAX(_xlpm.kills),_xlpm.kills,0)))</f>
        <v>Entry Fragger</v>
      </c>
      <c r="V1270" t="str">
        <f t="shared" si="98"/>
        <v>Medium Accuracy</v>
      </c>
      <c r="W1270" t="str" cm="1">
        <f t="array" ref="W1270">_xlfn.LET(_xlpm.roles,_xlfn.UNIQUE(D1270:D4068), _xlpm.counts,COUNTIF(D1270:D4068,_xlpm.roles), INDEX(_xlpm.roles,MATCH(MAX(_xlpm.counts),_xlpm.counts,0)))</f>
        <v>Entry Fragger</v>
      </c>
      <c r="X1270" s="2">
        <f t="shared" si="99"/>
        <v>12.599585062240664</v>
      </c>
    </row>
    <row r="1271" spans="1:24" x14ac:dyDescent="0.3">
      <c r="A1271">
        <v>1293</v>
      </c>
      <c r="B1271">
        <v>226</v>
      </c>
      <c r="C1271" t="s">
        <v>35</v>
      </c>
      <c r="D1271" t="s">
        <v>17</v>
      </c>
      <c r="E1271" t="s">
        <v>33</v>
      </c>
      <c r="F1271" t="s">
        <v>24</v>
      </c>
      <c r="G1271">
        <v>20</v>
      </c>
      <c r="H1271">
        <v>8</v>
      </c>
      <c r="I1271">
        <v>9</v>
      </c>
      <c r="J1271">
        <v>51.54</v>
      </c>
      <c r="K1271">
        <v>227.3</v>
      </c>
      <c r="L1271">
        <v>0.33</v>
      </c>
      <c r="M1271">
        <v>61.47</v>
      </c>
      <c r="N1271">
        <v>1</v>
      </c>
      <c r="O1271" t="s">
        <v>20</v>
      </c>
      <c r="P1271" t="s">
        <v>38</v>
      </c>
      <c r="Q1271">
        <f t="shared" si="95"/>
        <v>19</v>
      </c>
      <c r="R1271" s="4">
        <f>RANK(N1271,$N$2:N$2800,0)</f>
        <v>1</v>
      </c>
      <c r="S1271">
        <f t="shared" si="96"/>
        <v>2.2222222222222223</v>
      </c>
      <c r="T1271" t="str">
        <f t="shared" si="97"/>
        <v>Good</v>
      </c>
      <c r="U1271" t="str" cm="1">
        <f t="array" ref="U1271">_xlfn.LET(_xlpm.roles,_xlfn.UNIQUE(D1271:D4069),_xlpm.kills, SUMIF(D1271:D4069,_xlpm.roles,G1271:G4069),INDEX(_xlpm.roles,MATCH(MAX(_xlpm.kills),_xlpm.kills,0)))</f>
        <v>Entry Fragger</v>
      </c>
      <c r="V1271" t="str">
        <f t="shared" si="98"/>
        <v>High Accuracy</v>
      </c>
      <c r="W1271" t="str" cm="1">
        <f t="array" ref="W1271">_xlfn.LET(_xlpm.roles,_xlfn.UNIQUE(D1271:D4069), _xlpm.counts,COUNTIF(D1271:D4069,_xlpm.roles), INDEX(_xlpm.roles,MATCH(MAX(_xlpm.counts),_xlpm.counts,0)))</f>
        <v>Entry Fragger</v>
      </c>
      <c r="X1271" s="2">
        <f t="shared" si="99"/>
        <v>12.599585062240664</v>
      </c>
    </row>
    <row r="1272" spans="1:24" x14ac:dyDescent="0.3">
      <c r="A1272">
        <v>1411</v>
      </c>
      <c r="B1272">
        <v>226</v>
      </c>
      <c r="C1272" t="s">
        <v>16</v>
      </c>
      <c r="D1272" t="s">
        <v>17</v>
      </c>
      <c r="E1272" t="s">
        <v>23</v>
      </c>
      <c r="F1272" t="s">
        <v>37</v>
      </c>
      <c r="G1272">
        <v>14</v>
      </c>
      <c r="H1272">
        <v>9</v>
      </c>
      <c r="I1272">
        <v>12</v>
      </c>
      <c r="J1272">
        <v>54.89</v>
      </c>
      <c r="K1272">
        <v>229.85</v>
      </c>
      <c r="L1272">
        <v>0.39</v>
      </c>
      <c r="M1272">
        <v>48.55</v>
      </c>
      <c r="N1272">
        <v>1</v>
      </c>
      <c r="O1272" t="s">
        <v>20</v>
      </c>
      <c r="P1272" t="s">
        <v>21</v>
      </c>
      <c r="Q1272">
        <f t="shared" si="95"/>
        <v>11</v>
      </c>
      <c r="R1272" s="4">
        <f>RANK(N1272,$N$2:N$2800,0)</f>
        <v>1</v>
      </c>
      <c r="S1272">
        <f t="shared" si="96"/>
        <v>1.1666666666666667</v>
      </c>
      <c r="T1272" t="str">
        <f t="shared" si="97"/>
        <v>Low</v>
      </c>
      <c r="U1272" t="str" cm="1">
        <f t="array" ref="U1272">_xlfn.LET(_xlpm.roles,_xlfn.UNIQUE(D1272:D4070),_xlpm.kills, SUMIF(D1272:D4070,_xlpm.roles,G1272:G4070),INDEX(_xlpm.roles,MATCH(MAX(_xlpm.kills),_xlpm.kills,0)))</f>
        <v>Entry Fragger</v>
      </c>
      <c r="V1272" t="str">
        <f t="shared" si="98"/>
        <v>High Accuracy</v>
      </c>
      <c r="W1272" t="str" cm="1">
        <f t="array" ref="W1272">_xlfn.LET(_xlpm.roles,_xlfn.UNIQUE(D1272:D4070), _xlpm.counts,COUNTIF(D1272:D4070,_xlpm.roles), INDEX(_xlpm.roles,MATCH(MAX(_xlpm.counts),_xlpm.counts,0)))</f>
        <v>Entry Fragger</v>
      </c>
      <c r="X1272" s="2">
        <f t="shared" si="99"/>
        <v>12.520971302428256</v>
      </c>
    </row>
    <row r="1273" spans="1:24" x14ac:dyDescent="0.3">
      <c r="A1273">
        <v>1541</v>
      </c>
      <c r="B1273">
        <v>226</v>
      </c>
      <c r="C1273" t="s">
        <v>30</v>
      </c>
      <c r="D1273" t="s">
        <v>22</v>
      </c>
      <c r="E1273" t="s">
        <v>29</v>
      </c>
      <c r="F1273" t="s">
        <v>19</v>
      </c>
      <c r="G1273">
        <v>4</v>
      </c>
      <c r="H1273">
        <v>7</v>
      </c>
      <c r="I1273">
        <v>7</v>
      </c>
      <c r="J1273">
        <v>39.94</v>
      </c>
      <c r="K1273">
        <v>248.31</v>
      </c>
      <c r="L1273">
        <v>0.49</v>
      </c>
      <c r="M1273">
        <v>23.07</v>
      </c>
      <c r="N1273">
        <v>0.73</v>
      </c>
      <c r="O1273" t="s">
        <v>20</v>
      </c>
      <c r="P1273" t="s">
        <v>21</v>
      </c>
      <c r="Q1273">
        <f t="shared" si="95"/>
        <v>4</v>
      </c>
      <c r="R1273" s="4">
        <f>RANK(N1273,$N$2:N$2800,0)</f>
        <v>2642</v>
      </c>
      <c r="S1273">
        <f t="shared" si="96"/>
        <v>0.5714285714285714</v>
      </c>
      <c r="T1273" t="str">
        <f t="shared" si="97"/>
        <v>Low</v>
      </c>
      <c r="U1273" t="str" cm="1">
        <f t="array" ref="U1273">_xlfn.LET(_xlpm.roles,_xlfn.UNIQUE(D1273:D4071),_xlpm.kills, SUMIF(D1273:D4071,_xlpm.roles,G1273:G4071),INDEX(_xlpm.roles,MATCH(MAX(_xlpm.kills),_xlpm.kills,0)))</f>
        <v>Entry Fragger</v>
      </c>
      <c r="V1273" t="str">
        <f t="shared" si="98"/>
        <v>Medium Accuracy</v>
      </c>
      <c r="W1273" t="str" cm="1">
        <f t="array" ref="W1273">_xlfn.LET(_xlpm.roles,_xlfn.UNIQUE(D1273:D4071), _xlpm.counts,COUNTIF(D1273:D4071,_xlpm.roles), INDEX(_xlpm.roles,MATCH(MAX(_xlpm.counts),_xlpm.counts,0)))</f>
        <v>Entry Fragger</v>
      </c>
      <c r="X1273" s="2">
        <f t="shared" si="99"/>
        <v>13.135802469135802</v>
      </c>
    </row>
    <row r="1274" spans="1:24" x14ac:dyDescent="0.3">
      <c r="A1274">
        <v>1668</v>
      </c>
      <c r="B1274">
        <v>226</v>
      </c>
      <c r="C1274" t="s">
        <v>39</v>
      </c>
      <c r="D1274" t="s">
        <v>22</v>
      </c>
      <c r="E1274" t="s">
        <v>18</v>
      </c>
      <c r="F1274" t="s">
        <v>34</v>
      </c>
      <c r="G1274">
        <v>12</v>
      </c>
      <c r="H1274">
        <v>6</v>
      </c>
      <c r="I1274">
        <v>10</v>
      </c>
      <c r="J1274">
        <v>55.3</v>
      </c>
      <c r="K1274">
        <v>209.07</v>
      </c>
      <c r="L1274">
        <v>0.09</v>
      </c>
      <c r="M1274">
        <v>46.75</v>
      </c>
      <c r="N1274">
        <v>1</v>
      </c>
      <c r="O1274" t="s">
        <v>20</v>
      </c>
      <c r="P1274" t="s">
        <v>21</v>
      </c>
      <c r="Q1274">
        <f t="shared" si="95"/>
        <v>8</v>
      </c>
      <c r="R1274" s="4">
        <f>RANK(N1274,$N$2:N$2800,0)</f>
        <v>1</v>
      </c>
      <c r="S1274">
        <f t="shared" si="96"/>
        <v>1.2</v>
      </c>
      <c r="T1274" t="str">
        <f t="shared" si="97"/>
        <v>Low</v>
      </c>
      <c r="U1274" t="str" cm="1">
        <f t="array" ref="U1274">_xlfn.LET(_xlpm.roles,_xlfn.UNIQUE(D1274:D4072),_xlpm.kills, SUMIF(D1274:D4072,_xlpm.roles,G1274:G4072),INDEX(_xlpm.roles,MATCH(MAX(_xlpm.kills),_xlpm.kills,0)))</f>
        <v>Entry Fragger</v>
      </c>
      <c r="V1274" t="str">
        <f t="shared" si="98"/>
        <v>High Accuracy</v>
      </c>
      <c r="W1274" t="str" cm="1">
        <f t="array" ref="W1274">_xlfn.LET(_xlpm.roles,_xlfn.UNIQUE(D1274:D4072), _xlpm.counts,COUNTIF(D1274:D4072,_xlpm.roles), INDEX(_xlpm.roles,MATCH(MAX(_xlpm.counts),_xlpm.counts,0)))</f>
        <v>Entry Fragger</v>
      </c>
      <c r="X1274" s="2">
        <f t="shared" si="99"/>
        <v>13.103594080338267</v>
      </c>
    </row>
    <row r="1275" spans="1:24" x14ac:dyDescent="0.3">
      <c r="A1275">
        <v>1955</v>
      </c>
      <c r="B1275">
        <v>226</v>
      </c>
      <c r="C1275" t="s">
        <v>25</v>
      </c>
      <c r="D1275" t="s">
        <v>31</v>
      </c>
      <c r="E1275" t="s">
        <v>23</v>
      </c>
      <c r="F1275" t="s">
        <v>24</v>
      </c>
      <c r="G1275">
        <v>14</v>
      </c>
      <c r="H1275">
        <v>9</v>
      </c>
      <c r="I1275">
        <v>4</v>
      </c>
      <c r="J1275">
        <v>53.76</v>
      </c>
      <c r="K1275">
        <v>177.14</v>
      </c>
      <c r="L1275">
        <v>0.71</v>
      </c>
      <c r="M1275">
        <v>52.78</v>
      </c>
      <c r="N1275">
        <v>1</v>
      </c>
      <c r="O1275" t="s">
        <v>20</v>
      </c>
      <c r="P1275" t="s">
        <v>21</v>
      </c>
      <c r="Q1275">
        <f t="shared" si="95"/>
        <v>19</v>
      </c>
      <c r="R1275" s="4">
        <f>RANK(N1275,$N$2:N$2800,0)</f>
        <v>1</v>
      </c>
      <c r="S1275">
        <f t="shared" si="96"/>
        <v>3.5</v>
      </c>
      <c r="T1275" t="str">
        <f t="shared" si="97"/>
        <v>Good</v>
      </c>
      <c r="U1275" t="str" cm="1">
        <f t="array" ref="U1275">_xlfn.LET(_xlpm.roles,_xlfn.UNIQUE(D1275:D4073),_xlpm.kills, SUMIF(D1275:D4073,_xlpm.roles,G1275:G4073),INDEX(_xlpm.roles,MATCH(MAX(_xlpm.kills),_xlpm.kills,0)))</f>
        <v>Entry Fragger</v>
      </c>
      <c r="V1275" t="str">
        <f t="shared" si="98"/>
        <v>High Accuracy</v>
      </c>
      <c r="W1275" t="str" cm="1">
        <f t="array" ref="W1275">_xlfn.LET(_xlpm.roles,_xlfn.UNIQUE(D1275:D4073), _xlpm.counts,COUNTIF(D1275:D4073,_xlpm.roles), INDEX(_xlpm.roles,MATCH(MAX(_xlpm.counts),_xlpm.counts,0)))</f>
        <v>Entry Fragger</v>
      </c>
      <c r="X1275" s="2">
        <f t="shared" si="99"/>
        <v>12.809421841541756</v>
      </c>
    </row>
    <row r="1276" spans="1:24" x14ac:dyDescent="0.3">
      <c r="A1276">
        <v>2058</v>
      </c>
      <c r="B1276">
        <v>226</v>
      </c>
      <c r="C1276" t="s">
        <v>16</v>
      </c>
      <c r="D1276" t="s">
        <v>31</v>
      </c>
      <c r="E1276" t="s">
        <v>32</v>
      </c>
      <c r="F1276" t="s">
        <v>19</v>
      </c>
      <c r="G1276">
        <v>9</v>
      </c>
      <c r="H1276">
        <v>8</v>
      </c>
      <c r="I1276">
        <v>11</v>
      </c>
      <c r="J1276">
        <v>39.74</v>
      </c>
      <c r="K1276">
        <v>218.15</v>
      </c>
      <c r="L1276">
        <v>0.57999999999999996</v>
      </c>
      <c r="M1276">
        <v>29.07</v>
      </c>
      <c r="N1276">
        <v>0.8</v>
      </c>
      <c r="O1276" t="s">
        <v>20</v>
      </c>
      <c r="P1276" t="s">
        <v>21</v>
      </c>
      <c r="Q1276">
        <f t="shared" si="95"/>
        <v>6</v>
      </c>
      <c r="R1276" s="4">
        <f>RANK(N1276,$N$2:N$2800,0)</f>
        <v>2393</v>
      </c>
      <c r="S1276">
        <f t="shared" si="96"/>
        <v>0.81818181818181823</v>
      </c>
      <c r="T1276" t="str">
        <f t="shared" si="97"/>
        <v>Low</v>
      </c>
      <c r="U1276" t="str" cm="1">
        <f t="array" ref="U1276">_xlfn.LET(_xlpm.roles,_xlfn.UNIQUE(D1276:D4074),_xlpm.kills, SUMIF(D1276:D4074,_xlpm.roles,G1276:G4074),INDEX(_xlpm.roles,MATCH(MAX(_xlpm.kills),_xlpm.kills,0)))</f>
        <v>Entry Fragger</v>
      </c>
      <c r="V1276" t="str">
        <f t="shared" si="98"/>
        <v>Medium Accuracy</v>
      </c>
      <c r="W1276" t="str" cm="1">
        <f t="array" ref="W1276">_xlfn.LET(_xlpm.roles,_xlfn.UNIQUE(D1276:D4074), _xlpm.counts,COUNTIF(D1276:D4074,_xlpm.roles), INDEX(_xlpm.roles,MATCH(MAX(_xlpm.counts),_xlpm.counts,0)))</f>
        <v>Entry Fragger</v>
      </c>
      <c r="X1276" s="2">
        <f t="shared" si="99"/>
        <v>12.520971302428256</v>
      </c>
    </row>
    <row r="1277" spans="1:24" x14ac:dyDescent="0.3">
      <c r="A1277">
        <v>2217</v>
      </c>
      <c r="B1277">
        <v>226</v>
      </c>
      <c r="C1277" t="s">
        <v>39</v>
      </c>
      <c r="D1277" t="s">
        <v>36</v>
      </c>
      <c r="E1277" t="s">
        <v>23</v>
      </c>
      <c r="F1277" t="s">
        <v>34</v>
      </c>
      <c r="G1277">
        <v>7</v>
      </c>
      <c r="H1277">
        <v>11</v>
      </c>
      <c r="I1277">
        <v>15</v>
      </c>
      <c r="J1277">
        <v>54.09</v>
      </c>
      <c r="K1277">
        <v>197.41</v>
      </c>
      <c r="L1277">
        <v>0.45</v>
      </c>
      <c r="M1277">
        <v>32.549999999999997</v>
      </c>
      <c r="N1277">
        <v>0.78</v>
      </c>
      <c r="O1277" t="s">
        <v>20</v>
      </c>
      <c r="P1277" t="s">
        <v>21</v>
      </c>
      <c r="Q1277">
        <f t="shared" si="95"/>
        <v>3</v>
      </c>
      <c r="R1277" s="4">
        <f>RANK(N1277,$N$2:N$2800,0)</f>
        <v>2469</v>
      </c>
      <c r="S1277">
        <f t="shared" si="96"/>
        <v>0.46666666666666667</v>
      </c>
      <c r="T1277" t="str">
        <f t="shared" si="97"/>
        <v>Low</v>
      </c>
      <c r="U1277" t="str" cm="1">
        <f t="array" ref="U1277">_xlfn.LET(_xlpm.roles,_xlfn.UNIQUE(D1277:D4075),_xlpm.kills, SUMIF(D1277:D4075,_xlpm.roles,G1277:G4075),INDEX(_xlpm.roles,MATCH(MAX(_xlpm.kills),_xlpm.kills,0)))</f>
        <v>Entry Fragger</v>
      </c>
      <c r="V1277" t="str">
        <f t="shared" si="98"/>
        <v>High Accuracy</v>
      </c>
      <c r="W1277" t="str" cm="1">
        <f t="array" ref="W1277">_xlfn.LET(_xlpm.roles,_xlfn.UNIQUE(D1277:D4075), _xlpm.counts,COUNTIF(D1277:D4075,_xlpm.roles), INDEX(_xlpm.roles,MATCH(MAX(_xlpm.counts),_xlpm.counts,0)))</f>
        <v>Entry Fragger</v>
      </c>
      <c r="X1277" s="2">
        <f t="shared" si="99"/>
        <v>13.103594080338267</v>
      </c>
    </row>
    <row r="1278" spans="1:24" x14ac:dyDescent="0.3">
      <c r="A1278">
        <v>2467</v>
      </c>
      <c r="B1278">
        <v>226</v>
      </c>
      <c r="C1278" t="s">
        <v>30</v>
      </c>
      <c r="D1278" t="s">
        <v>17</v>
      </c>
      <c r="E1278" t="s">
        <v>29</v>
      </c>
      <c r="F1278" t="s">
        <v>34</v>
      </c>
      <c r="G1278">
        <v>8</v>
      </c>
      <c r="H1278">
        <v>9</v>
      </c>
      <c r="I1278">
        <v>11</v>
      </c>
      <c r="J1278">
        <v>58.58</v>
      </c>
      <c r="K1278">
        <v>221.78</v>
      </c>
      <c r="L1278">
        <v>0.5</v>
      </c>
      <c r="M1278">
        <v>38.29</v>
      </c>
      <c r="N1278">
        <v>0.89</v>
      </c>
      <c r="O1278" t="s">
        <v>20</v>
      </c>
      <c r="P1278" t="s">
        <v>21</v>
      </c>
      <c r="Q1278">
        <f t="shared" si="95"/>
        <v>6</v>
      </c>
      <c r="R1278" s="4">
        <f>RANK(N1278,$N$2:N$2800,0)</f>
        <v>1815</v>
      </c>
      <c r="S1278">
        <f t="shared" si="96"/>
        <v>0.72727272727272729</v>
      </c>
      <c r="T1278" t="str">
        <f t="shared" si="97"/>
        <v>Low</v>
      </c>
      <c r="U1278" t="str" cm="1">
        <f t="array" ref="U1278">_xlfn.LET(_xlpm.roles,_xlfn.UNIQUE(D1278:D4076),_xlpm.kills, SUMIF(D1278:D4076,_xlpm.roles,G1278:G4076),INDEX(_xlpm.roles,MATCH(MAX(_xlpm.kills),_xlpm.kills,0)))</f>
        <v>Entry Fragger</v>
      </c>
      <c r="V1278" t="str">
        <f t="shared" si="98"/>
        <v>High Accuracy</v>
      </c>
      <c r="W1278" t="str" cm="1">
        <f t="array" ref="W1278">_xlfn.LET(_xlpm.roles,_xlfn.UNIQUE(D1278:D4076), _xlpm.counts,COUNTIF(D1278:D4076,_xlpm.roles), INDEX(_xlpm.roles,MATCH(MAX(_xlpm.counts),_xlpm.counts,0)))</f>
        <v>Entry Fragger</v>
      </c>
      <c r="X1278" s="2">
        <f t="shared" si="99"/>
        <v>13.135802469135802</v>
      </c>
    </row>
    <row r="1279" spans="1:24" x14ac:dyDescent="0.3">
      <c r="A1279">
        <v>199</v>
      </c>
      <c r="B1279">
        <v>227</v>
      </c>
      <c r="C1279" t="s">
        <v>16</v>
      </c>
      <c r="D1279" t="s">
        <v>17</v>
      </c>
      <c r="E1279" t="s">
        <v>23</v>
      </c>
      <c r="F1279" t="s">
        <v>19</v>
      </c>
      <c r="G1279">
        <v>13</v>
      </c>
      <c r="H1279">
        <v>6</v>
      </c>
      <c r="I1279">
        <v>12</v>
      </c>
      <c r="J1279">
        <v>44.5</v>
      </c>
      <c r="K1279">
        <v>164.48</v>
      </c>
      <c r="L1279">
        <v>0.3</v>
      </c>
      <c r="M1279">
        <v>39.25</v>
      </c>
      <c r="N1279">
        <v>0.76</v>
      </c>
      <c r="O1279" t="s">
        <v>20</v>
      </c>
      <c r="P1279" t="s">
        <v>21</v>
      </c>
      <c r="Q1279">
        <f t="shared" si="95"/>
        <v>7</v>
      </c>
      <c r="R1279" s="4">
        <f>RANK(N1279,$N$2:N$2800,0)</f>
        <v>2547</v>
      </c>
      <c r="S1279">
        <f t="shared" si="96"/>
        <v>1.0833333333333333</v>
      </c>
      <c r="T1279" t="str">
        <f t="shared" si="97"/>
        <v>Low</v>
      </c>
      <c r="U1279" t="str" cm="1">
        <f t="array" ref="U1279">_xlfn.LET(_xlpm.roles,_xlfn.UNIQUE(D1279:D4077),_xlpm.kills, SUMIF(D1279:D4077,_xlpm.roles,G1279:G4077),INDEX(_xlpm.roles,MATCH(MAX(_xlpm.kills),_xlpm.kills,0)))</f>
        <v>Entry Fragger</v>
      </c>
      <c r="V1279" t="str">
        <f t="shared" si="98"/>
        <v>Medium Accuracy</v>
      </c>
      <c r="W1279" t="str" cm="1">
        <f t="array" ref="W1279">_xlfn.LET(_xlpm.roles,_xlfn.UNIQUE(D1279:D4077), _xlpm.counts,COUNTIF(D1279:D4077,_xlpm.roles), INDEX(_xlpm.roles,MATCH(MAX(_xlpm.counts),_xlpm.counts,0)))</f>
        <v>Entry Fragger</v>
      </c>
      <c r="X1279" s="2">
        <f t="shared" si="99"/>
        <v>12.520971302428256</v>
      </c>
    </row>
    <row r="1280" spans="1:24" x14ac:dyDescent="0.3">
      <c r="A1280">
        <v>202</v>
      </c>
      <c r="B1280">
        <v>227</v>
      </c>
      <c r="C1280" t="s">
        <v>25</v>
      </c>
      <c r="D1280" t="s">
        <v>36</v>
      </c>
      <c r="E1280" t="s">
        <v>32</v>
      </c>
      <c r="F1280" t="s">
        <v>24</v>
      </c>
      <c r="G1280">
        <v>11</v>
      </c>
      <c r="H1280">
        <v>10</v>
      </c>
      <c r="I1280">
        <v>5</v>
      </c>
      <c r="J1280">
        <v>60.1</v>
      </c>
      <c r="K1280">
        <v>257.01</v>
      </c>
      <c r="L1280">
        <v>0.22</v>
      </c>
      <c r="M1280">
        <v>54.85</v>
      </c>
      <c r="N1280">
        <v>1</v>
      </c>
      <c r="O1280" t="s">
        <v>20</v>
      </c>
      <c r="P1280" t="s">
        <v>21</v>
      </c>
      <c r="Q1280">
        <f t="shared" si="95"/>
        <v>16</v>
      </c>
      <c r="R1280" s="4">
        <f>RANK(N1280,$N$2:N$2800,0)</f>
        <v>1</v>
      </c>
      <c r="S1280">
        <f t="shared" si="96"/>
        <v>2.2000000000000002</v>
      </c>
      <c r="T1280" t="str">
        <f t="shared" si="97"/>
        <v>Good</v>
      </c>
      <c r="U1280" t="str" cm="1">
        <f t="array" ref="U1280">_xlfn.LET(_xlpm.roles,_xlfn.UNIQUE(D1280:D4078),_xlpm.kills, SUMIF(D1280:D4078,_xlpm.roles,G1280:G4078),INDEX(_xlpm.roles,MATCH(MAX(_xlpm.kills),_xlpm.kills,0)))</f>
        <v>Entry Fragger</v>
      </c>
      <c r="V1280" t="str">
        <f t="shared" si="98"/>
        <v>High Accuracy</v>
      </c>
      <c r="W1280" t="str" cm="1">
        <f t="array" ref="W1280">_xlfn.LET(_xlpm.roles,_xlfn.UNIQUE(D1280:D4078), _xlpm.counts,COUNTIF(D1280:D4078,_xlpm.roles), INDEX(_xlpm.roles,MATCH(MAX(_xlpm.counts),_xlpm.counts,0)))</f>
        <v>Entry Fragger</v>
      </c>
      <c r="X1280" s="2">
        <f t="shared" si="99"/>
        <v>12.809421841541756</v>
      </c>
    </row>
    <row r="1281" spans="1:24" x14ac:dyDescent="0.3">
      <c r="A1281">
        <v>245</v>
      </c>
      <c r="B1281">
        <v>227</v>
      </c>
      <c r="C1281" t="s">
        <v>39</v>
      </c>
      <c r="D1281" t="s">
        <v>17</v>
      </c>
      <c r="E1281" t="s">
        <v>29</v>
      </c>
      <c r="F1281" t="s">
        <v>26</v>
      </c>
      <c r="G1281">
        <v>20</v>
      </c>
      <c r="H1281">
        <v>6</v>
      </c>
      <c r="I1281">
        <v>8</v>
      </c>
      <c r="J1281">
        <v>41.98</v>
      </c>
      <c r="K1281">
        <v>241.52</v>
      </c>
      <c r="L1281">
        <v>0.86</v>
      </c>
      <c r="M1281">
        <v>50.39</v>
      </c>
      <c r="N1281">
        <v>1</v>
      </c>
      <c r="O1281" t="s">
        <v>20</v>
      </c>
      <c r="P1281" t="s">
        <v>21</v>
      </c>
      <c r="Q1281">
        <f t="shared" si="95"/>
        <v>18</v>
      </c>
      <c r="R1281" s="4">
        <f>RANK(N1281,$N$2:N$2800,0)</f>
        <v>1</v>
      </c>
      <c r="S1281">
        <f t="shared" si="96"/>
        <v>2.5</v>
      </c>
      <c r="T1281" t="str">
        <f t="shared" si="97"/>
        <v>Good</v>
      </c>
      <c r="U1281" t="str" cm="1">
        <f t="array" ref="U1281">_xlfn.LET(_xlpm.roles,_xlfn.UNIQUE(D1281:D4079),_xlpm.kills, SUMIF(D1281:D4079,_xlpm.roles,G1281:G4079),INDEX(_xlpm.roles,MATCH(MAX(_xlpm.kills),_xlpm.kills,0)))</f>
        <v>Entry Fragger</v>
      </c>
      <c r="V1281" t="str">
        <f t="shared" si="98"/>
        <v>Medium Accuracy</v>
      </c>
      <c r="W1281" t="str" cm="1">
        <f t="array" ref="W1281">_xlfn.LET(_xlpm.roles,_xlfn.UNIQUE(D1281:D4079), _xlpm.counts,COUNTIF(D1281:D4079,_xlpm.roles), INDEX(_xlpm.roles,MATCH(MAX(_xlpm.counts),_xlpm.counts,0)))</f>
        <v>Entry Fragger</v>
      </c>
      <c r="X1281" s="2">
        <f t="shared" si="99"/>
        <v>13.103594080338267</v>
      </c>
    </row>
    <row r="1282" spans="1:24" x14ac:dyDescent="0.3">
      <c r="A1282">
        <v>525</v>
      </c>
      <c r="B1282">
        <v>227</v>
      </c>
      <c r="C1282" t="s">
        <v>30</v>
      </c>
      <c r="D1282" t="s">
        <v>17</v>
      </c>
      <c r="E1282" t="s">
        <v>33</v>
      </c>
      <c r="F1282" t="s">
        <v>34</v>
      </c>
      <c r="G1282">
        <v>22</v>
      </c>
      <c r="H1282">
        <v>3</v>
      </c>
      <c r="I1282">
        <v>15</v>
      </c>
      <c r="J1282">
        <v>46.15</v>
      </c>
      <c r="K1282">
        <v>164.99</v>
      </c>
      <c r="L1282">
        <v>0.26</v>
      </c>
      <c r="M1282">
        <v>52.48</v>
      </c>
      <c r="N1282">
        <v>1</v>
      </c>
      <c r="O1282" t="s">
        <v>20</v>
      </c>
      <c r="P1282" t="s">
        <v>21</v>
      </c>
      <c r="Q1282">
        <f t="shared" si="95"/>
        <v>10</v>
      </c>
      <c r="R1282" s="4">
        <f>RANK(N1282,$N$2:N$2800,0)</f>
        <v>1</v>
      </c>
      <c r="S1282">
        <f t="shared" si="96"/>
        <v>1.4666666666666666</v>
      </c>
      <c r="T1282" t="str">
        <f t="shared" si="97"/>
        <v>Low</v>
      </c>
      <c r="U1282" t="str" cm="1">
        <f t="array" ref="U1282">_xlfn.LET(_xlpm.roles,_xlfn.UNIQUE(D1282:D4080),_xlpm.kills, SUMIF(D1282:D4080,_xlpm.roles,G1282:G4080),INDEX(_xlpm.roles,MATCH(MAX(_xlpm.kills),_xlpm.kills,0)))</f>
        <v>Entry Fragger</v>
      </c>
      <c r="V1282" t="str">
        <f t="shared" si="98"/>
        <v>Medium Accuracy</v>
      </c>
      <c r="W1282" t="str" cm="1">
        <f t="array" ref="W1282">_xlfn.LET(_xlpm.roles,_xlfn.UNIQUE(D1282:D4080), _xlpm.counts,COUNTIF(D1282:D4080,_xlpm.roles), INDEX(_xlpm.roles,MATCH(MAX(_xlpm.counts),_xlpm.counts,0)))</f>
        <v>Entry Fragger</v>
      </c>
      <c r="X1282" s="2">
        <f t="shared" si="99"/>
        <v>13.135802469135802</v>
      </c>
    </row>
    <row r="1283" spans="1:24" x14ac:dyDescent="0.3">
      <c r="A1283">
        <v>851</v>
      </c>
      <c r="B1283">
        <v>227</v>
      </c>
      <c r="C1283" t="s">
        <v>27</v>
      </c>
      <c r="D1283" t="s">
        <v>22</v>
      </c>
      <c r="E1283" t="s">
        <v>33</v>
      </c>
      <c r="F1283" t="s">
        <v>37</v>
      </c>
      <c r="G1283">
        <v>15</v>
      </c>
      <c r="H1283">
        <v>7</v>
      </c>
      <c r="I1283">
        <v>6</v>
      </c>
      <c r="J1283">
        <v>51.15</v>
      </c>
      <c r="K1283">
        <v>243.67</v>
      </c>
      <c r="L1283">
        <v>0.53</v>
      </c>
      <c r="M1283">
        <v>51.28</v>
      </c>
      <c r="N1283">
        <v>1</v>
      </c>
      <c r="O1283" t="s">
        <v>20</v>
      </c>
      <c r="P1283" t="s">
        <v>21</v>
      </c>
      <c r="Q1283">
        <f t="shared" ref="Q1283:Q1346" si="100">G1283+H1283-I1283</f>
        <v>16</v>
      </c>
      <c r="R1283" s="4">
        <f>RANK(N1283,$N$2:N$2800,0)</f>
        <v>1</v>
      </c>
      <c r="S1283">
        <f t="shared" ref="S1283:S1346" si="101">G1283/I1283</f>
        <v>2.5</v>
      </c>
      <c r="T1283" t="str">
        <f t="shared" ref="T1283:T1346" si="102">IF(Q1283&lt;15,"Low",IF(Q1283&lt;25,"Good","Excellent"))</f>
        <v>Good</v>
      </c>
      <c r="U1283" t="str" cm="1">
        <f t="array" ref="U1283">_xlfn.LET(_xlpm.roles,_xlfn.UNIQUE(D1283:D4081),_xlpm.kills, SUMIF(D1283:D4081,_xlpm.roles,G1283:G4081),INDEX(_xlpm.roles,MATCH(MAX(_xlpm.kills),_xlpm.kills,0)))</f>
        <v>Entry Fragger</v>
      </c>
      <c r="V1283" t="str">
        <f t="shared" ref="V1283:V1346" si="103">IF(J1283&gt;=50,"High Accuracy",IF(J1283&gt;=30,"Medium Accuracy","Low Accuracy"))</f>
        <v>High Accuracy</v>
      </c>
      <c r="W1283" t="str" cm="1">
        <f t="array" ref="W1283">_xlfn.LET(_xlpm.roles,_xlfn.UNIQUE(D1283:D4081), _xlpm.counts,COUNTIF(D1283:D4081,_xlpm.roles), INDEX(_xlpm.roles,MATCH(MAX(_xlpm.counts),_xlpm.counts,0)))</f>
        <v>Entry Fragger</v>
      </c>
      <c r="X1283" s="2">
        <f t="shared" ref="X1283:X1346" si="104">AVERAGEIF($C$2:$C$2800,C1283,$Q$2:$Q$2800)</f>
        <v>13.057077625570777</v>
      </c>
    </row>
    <row r="1284" spans="1:24" x14ac:dyDescent="0.3">
      <c r="A1284">
        <v>1047</v>
      </c>
      <c r="B1284">
        <v>227</v>
      </c>
      <c r="C1284" t="s">
        <v>39</v>
      </c>
      <c r="D1284" t="s">
        <v>22</v>
      </c>
      <c r="E1284" t="s">
        <v>33</v>
      </c>
      <c r="F1284" t="s">
        <v>37</v>
      </c>
      <c r="G1284">
        <v>24</v>
      </c>
      <c r="H1284">
        <v>12</v>
      </c>
      <c r="I1284">
        <v>9</v>
      </c>
      <c r="J1284">
        <v>43.11</v>
      </c>
      <c r="K1284">
        <v>213.56</v>
      </c>
      <c r="L1284">
        <v>0.37</v>
      </c>
      <c r="M1284">
        <v>68.86</v>
      </c>
      <c r="N1284">
        <v>1</v>
      </c>
      <c r="O1284" t="s">
        <v>20</v>
      </c>
      <c r="P1284" t="s">
        <v>38</v>
      </c>
      <c r="Q1284">
        <f t="shared" si="100"/>
        <v>27</v>
      </c>
      <c r="R1284" s="4">
        <f>RANK(N1284,$N$2:N$2800,0)</f>
        <v>1</v>
      </c>
      <c r="S1284">
        <f t="shared" si="101"/>
        <v>2.6666666666666665</v>
      </c>
      <c r="T1284" t="str">
        <f t="shared" si="102"/>
        <v>Excellent</v>
      </c>
      <c r="U1284" t="str" cm="1">
        <f t="array" ref="U1284">_xlfn.LET(_xlpm.roles,_xlfn.UNIQUE(D1284:D4082),_xlpm.kills, SUMIF(D1284:D4082,_xlpm.roles,G1284:G4082),INDEX(_xlpm.roles,MATCH(MAX(_xlpm.kills),_xlpm.kills,0)))</f>
        <v>Entry Fragger</v>
      </c>
      <c r="V1284" t="str">
        <f t="shared" si="103"/>
        <v>Medium Accuracy</v>
      </c>
      <c r="W1284" t="str" cm="1">
        <f t="array" ref="W1284">_xlfn.LET(_xlpm.roles,_xlfn.UNIQUE(D1284:D4082), _xlpm.counts,COUNTIF(D1284:D4082,_xlpm.roles), INDEX(_xlpm.roles,MATCH(MAX(_xlpm.counts),_xlpm.counts,0)))</f>
        <v>Entry Fragger</v>
      </c>
      <c r="X1284" s="2">
        <f t="shared" si="104"/>
        <v>13.103594080338267</v>
      </c>
    </row>
    <row r="1285" spans="1:24" x14ac:dyDescent="0.3">
      <c r="A1285">
        <v>1413</v>
      </c>
      <c r="B1285">
        <v>227</v>
      </c>
      <c r="C1285" t="s">
        <v>30</v>
      </c>
      <c r="D1285" t="s">
        <v>28</v>
      </c>
      <c r="E1285" t="s">
        <v>29</v>
      </c>
      <c r="F1285" t="s">
        <v>24</v>
      </c>
      <c r="G1285">
        <v>12</v>
      </c>
      <c r="H1285">
        <v>5</v>
      </c>
      <c r="I1285">
        <v>13</v>
      </c>
      <c r="J1285">
        <v>50.96</v>
      </c>
      <c r="K1285">
        <v>195.4</v>
      </c>
      <c r="L1285">
        <v>0.17</v>
      </c>
      <c r="M1285">
        <v>39.78</v>
      </c>
      <c r="N1285">
        <v>0.86</v>
      </c>
      <c r="O1285" t="s">
        <v>20</v>
      </c>
      <c r="P1285" t="s">
        <v>21</v>
      </c>
      <c r="Q1285">
        <f t="shared" si="100"/>
        <v>4</v>
      </c>
      <c r="R1285" s="4">
        <f>RANK(N1285,$N$2:N$2800,0)</f>
        <v>2040</v>
      </c>
      <c r="S1285">
        <f t="shared" si="101"/>
        <v>0.92307692307692313</v>
      </c>
      <c r="T1285" t="str">
        <f t="shared" si="102"/>
        <v>Low</v>
      </c>
      <c r="U1285" t="str" cm="1">
        <f t="array" ref="U1285">_xlfn.LET(_xlpm.roles,_xlfn.UNIQUE(D1285:D4083),_xlpm.kills, SUMIF(D1285:D4083,_xlpm.roles,G1285:G4083),INDEX(_xlpm.roles,MATCH(MAX(_xlpm.kills),_xlpm.kills,0)))</f>
        <v>Entry Fragger</v>
      </c>
      <c r="V1285" t="str">
        <f t="shared" si="103"/>
        <v>High Accuracy</v>
      </c>
      <c r="W1285" t="str" cm="1">
        <f t="array" ref="W1285">_xlfn.LET(_xlpm.roles,_xlfn.UNIQUE(D1285:D4083), _xlpm.counts,COUNTIF(D1285:D4083,_xlpm.roles), INDEX(_xlpm.roles,MATCH(MAX(_xlpm.counts),_xlpm.counts,0)))</f>
        <v>Entry Fragger</v>
      </c>
      <c r="X1285" s="2">
        <f t="shared" si="104"/>
        <v>13.135802469135802</v>
      </c>
    </row>
    <row r="1286" spans="1:24" x14ac:dyDescent="0.3">
      <c r="A1286">
        <v>2111</v>
      </c>
      <c r="B1286">
        <v>227</v>
      </c>
      <c r="C1286" t="s">
        <v>27</v>
      </c>
      <c r="D1286" t="s">
        <v>22</v>
      </c>
      <c r="E1286" t="s">
        <v>29</v>
      </c>
      <c r="F1286" t="s">
        <v>26</v>
      </c>
      <c r="G1286">
        <v>18</v>
      </c>
      <c r="H1286">
        <v>6</v>
      </c>
      <c r="I1286">
        <v>14</v>
      </c>
      <c r="J1286">
        <v>57.16</v>
      </c>
      <c r="K1286">
        <v>239.52</v>
      </c>
      <c r="L1286">
        <v>0.66</v>
      </c>
      <c r="M1286">
        <v>49.98</v>
      </c>
      <c r="N1286">
        <v>1</v>
      </c>
      <c r="O1286" t="s">
        <v>20</v>
      </c>
      <c r="P1286" t="s">
        <v>21</v>
      </c>
      <c r="Q1286">
        <f t="shared" si="100"/>
        <v>10</v>
      </c>
      <c r="R1286" s="4">
        <f>RANK(N1286,$N$2:N$2800,0)</f>
        <v>1</v>
      </c>
      <c r="S1286">
        <f t="shared" si="101"/>
        <v>1.2857142857142858</v>
      </c>
      <c r="T1286" t="str">
        <f t="shared" si="102"/>
        <v>Low</v>
      </c>
      <c r="U1286" t="str" cm="1">
        <f t="array" ref="U1286">_xlfn.LET(_xlpm.roles,_xlfn.UNIQUE(D1286:D4084),_xlpm.kills, SUMIF(D1286:D4084,_xlpm.roles,G1286:G4084),INDEX(_xlpm.roles,MATCH(MAX(_xlpm.kills),_xlpm.kills,0)))</f>
        <v>Entry Fragger</v>
      </c>
      <c r="V1286" t="str">
        <f t="shared" si="103"/>
        <v>High Accuracy</v>
      </c>
      <c r="W1286" t="str" cm="1">
        <f t="array" ref="W1286">_xlfn.LET(_xlpm.roles,_xlfn.UNIQUE(D1286:D4084), _xlpm.counts,COUNTIF(D1286:D4084,_xlpm.roles), INDEX(_xlpm.roles,MATCH(MAX(_xlpm.counts),_xlpm.counts,0)))</f>
        <v>Entry Fragger</v>
      </c>
      <c r="X1286" s="2">
        <f t="shared" si="104"/>
        <v>13.057077625570777</v>
      </c>
    </row>
    <row r="1287" spans="1:24" x14ac:dyDescent="0.3">
      <c r="A1287">
        <v>2544</v>
      </c>
      <c r="B1287">
        <v>227</v>
      </c>
      <c r="C1287" t="s">
        <v>30</v>
      </c>
      <c r="D1287" t="s">
        <v>28</v>
      </c>
      <c r="E1287" t="s">
        <v>23</v>
      </c>
      <c r="F1287" t="s">
        <v>34</v>
      </c>
      <c r="G1287">
        <v>20</v>
      </c>
      <c r="H1287">
        <v>10</v>
      </c>
      <c r="I1287">
        <v>14</v>
      </c>
      <c r="J1287">
        <v>47.49</v>
      </c>
      <c r="K1287">
        <v>205.48</v>
      </c>
      <c r="L1287">
        <v>0.93</v>
      </c>
      <c r="M1287">
        <v>50.45</v>
      </c>
      <c r="N1287">
        <v>1</v>
      </c>
      <c r="O1287" t="s">
        <v>20</v>
      </c>
      <c r="P1287" t="s">
        <v>21</v>
      </c>
      <c r="Q1287">
        <f t="shared" si="100"/>
        <v>16</v>
      </c>
      <c r="R1287" s="4">
        <f>RANK(N1287,$N$2:N$2800,0)</f>
        <v>1</v>
      </c>
      <c r="S1287">
        <f t="shared" si="101"/>
        <v>1.4285714285714286</v>
      </c>
      <c r="T1287" t="str">
        <f t="shared" si="102"/>
        <v>Good</v>
      </c>
      <c r="U1287" t="str" cm="1">
        <f t="array" ref="U1287">_xlfn.LET(_xlpm.roles,_xlfn.UNIQUE(D1287:D4085),_xlpm.kills, SUMIF(D1287:D4085,_xlpm.roles,G1287:G4085),INDEX(_xlpm.roles,MATCH(MAX(_xlpm.kills),_xlpm.kills,0)))</f>
        <v>Entry Fragger</v>
      </c>
      <c r="V1287" t="str">
        <f t="shared" si="103"/>
        <v>Medium Accuracy</v>
      </c>
      <c r="W1287" t="str" cm="1">
        <f t="array" ref="W1287">_xlfn.LET(_xlpm.roles,_xlfn.UNIQUE(D1287:D4085), _xlpm.counts,COUNTIF(D1287:D4085,_xlpm.roles), INDEX(_xlpm.roles,MATCH(MAX(_xlpm.counts),_xlpm.counts,0)))</f>
        <v>Entry Fragger</v>
      </c>
      <c r="X1287" s="2">
        <f t="shared" si="104"/>
        <v>13.135802469135802</v>
      </c>
    </row>
    <row r="1288" spans="1:24" x14ac:dyDescent="0.3">
      <c r="A1288">
        <v>113</v>
      </c>
      <c r="B1288">
        <v>228</v>
      </c>
      <c r="C1288" t="s">
        <v>30</v>
      </c>
      <c r="D1288" t="s">
        <v>36</v>
      </c>
      <c r="E1288" t="s">
        <v>33</v>
      </c>
      <c r="F1288" t="s">
        <v>24</v>
      </c>
      <c r="G1288">
        <v>19</v>
      </c>
      <c r="H1288">
        <v>9</v>
      </c>
      <c r="I1288">
        <v>11</v>
      </c>
      <c r="J1288">
        <v>49.64</v>
      </c>
      <c r="K1288">
        <v>229.77</v>
      </c>
      <c r="L1288">
        <v>0.08</v>
      </c>
      <c r="M1288">
        <v>60.02</v>
      </c>
      <c r="N1288">
        <v>1</v>
      </c>
      <c r="O1288" t="s">
        <v>20</v>
      </c>
      <c r="P1288" t="s">
        <v>38</v>
      </c>
      <c r="Q1288">
        <f t="shared" si="100"/>
        <v>17</v>
      </c>
      <c r="R1288" s="4">
        <f>RANK(N1288,$N$2:N$2800,0)</f>
        <v>1</v>
      </c>
      <c r="S1288">
        <f t="shared" si="101"/>
        <v>1.7272727272727273</v>
      </c>
      <c r="T1288" t="str">
        <f t="shared" si="102"/>
        <v>Good</v>
      </c>
      <c r="U1288" t="str" cm="1">
        <f t="array" ref="U1288">_xlfn.LET(_xlpm.roles,_xlfn.UNIQUE(D1288:D4086),_xlpm.kills, SUMIF(D1288:D4086,_xlpm.roles,G1288:G4086),INDEX(_xlpm.roles,MATCH(MAX(_xlpm.kills),_xlpm.kills,0)))</f>
        <v>Entry Fragger</v>
      </c>
      <c r="V1288" t="str">
        <f t="shared" si="103"/>
        <v>Medium Accuracy</v>
      </c>
      <c r="W1288" t="str" cm="1">
        <f t="array" ref="W1288">_xlfn.LET(_xlpm.roles,_xlfn.UNIQUE(D1288:D4086), _xlpm.counts,COUNTIF(D1288:D4086,_xlpm.roles), INDEX(_xlpm.roles,MATCH(MAX(_xlpm.counts),_xlpm.counts,0)))</f>
        <v>Entry Fragger</v>
      </c>
      <c r="X1288" s="2">
        <f t="shared" si="104"/>
        <v>13.135802469135802</v>
      </c>
    </row>
    <row r="1289" spans="1:24" x14ac:dyDescent="0.3">
      <c r="A1289">
        <v>1171</v>
      </c>
      <c r="B1289">
        <v>228</v>
      </c>
      <c r="C1289" t="s">
        <v>27</v>
      </c>
      <c r="D1289" t="s">
        <v>28</v>
      </c>
      <c r="E1289" t="s">
        <v>29</v>
      </c>
      <c r="F1289" t="s">
        <v>19</v>
      </c>
      <c r="G1289">
        <v>21</v>
      </c>
      <c r="H1289">
        <v>13</v>
      </c>
      <c r="I1289">
        <v>12</v>
      </c>
      <c r="J1289">
        <v>38.14</v>
      </c>
      <c r="K1289">
        <v>212.45</v>
      </c>
      <c r="L1289">
        <v>0.76</v>
      </c>
      <c r="M1289">
        <v>54.47</v>
      </c>
      <c r="N1289">
        <v>1</v>
      </c>
      <c r="O1289" t="s">
        <v>20</v>
      </c>
      <c r="P1289" t="s">
        <v>21</v>
      </c>
      <c r="Q1289">
        <f t="shared" si="100"/>
        <v>22</v>
      </c>
      <c r="R1289" s="4">
        <f>RANK(N1289,$N$2:N$2800,0)</f>
        <v>1</v>
      </c>
      <c r="S1289">
        <f t="shared" si="101"/>
        <v>1.75</v>
      </c>
      <c r="T1289" t="str">
        <f t="shared" si="102"/>
        <v>Good</v>
      </c>
      <c r="U1289" t="str" cm="1">
        <f t="array" ref="U1289">_xlfn.LET(_xlpm.roles,_xlfn.UNIQUE(D1289:D4087),_xlpm.kills, SUMIF(D1289:D4087,_xlpm.roles,G1289:G4087),INDEX(_xlpm.roles,MATCH(MAX(_xlpm.kills),_xlpm.kills,0)))</f>
        <v>Entry Fragger</v>
      </c>
      <c r="V1289" t="str">
        <f t="shared" si="103"/>
        <v>Medium Accuracy</v>
      </c>
      <c r="W1289" t="str" cm="1">
        <f t="array" ref="W1289">_xlfn.LET(_xlpm.roles,_xlfn.UNIQUE(D1289:D4087), _xlpm.counts,COUNTIF(D1289:D4087,_xlpm.roles), INDEX(_xlpm.roles,MATCH(MAX(_xlpm.counts),_xlpm.counts,0)))</f>
        <v>Entry Fragger</v>
      </c>
      <c r="X1289" s="2">
        <f t="shared" si="104"/>
        <v>13.057077625570777</v>
      </c>
    </row>
    <row r="1290" spans="1:24" x14ac:dyDescent="0.3">
      <c r="A1290">
        <v>1921</v>
      </c>
      <c r="B1290">
        <v>228</v>
      </c>
      <c r="C1290" t="s">
        <v>16</v>
      </c>
      <c r="D1290" t="s">
        <v>31</v>
      </c>
      <c r="E1290" t="s">
        <v>32</v>
      </c>
      <c r="F1290" t="s">
        <v>19</v>
      </c>
      <c r="G1290">
        <v>15</v>
      </c>
      <c r="H1290">
        <v>6</v>
      </c>
      <c r="I1290">
        <v>12</v>
      </c>
      <c r="J1290">
        <v>36.18</v>
      </c>
      <c r="K1290">
        <v>274.11</v>
      </c>
      <c r="L1290">
        <v>0.87</v>
      </c>
      <c r="M1290">
        <v>33.39</v>
      </c>
      <c r="N1290">
        <v>0.99</v>
      </c>
      <c r="O1290" t="s">
        <v>20</v>
      </c>
      <c r="P1290" t="s">
        <v>21</v>
      </c>
      <c r="Q1290">
        <f t="shared" si="100"/>
        <v>9</v>
      </c>
      <c r="R1290" s="4">
        <f>RANK(N1290,$N$2:N$2800,0)</f>
        <v>1080</v>
      </c>
      <c r="S1290">
        <f t="shared" si="101"/>
        <v>1.25</v>
      </c>
      <c r="T1290" t="str">
        <f t="shared" si="102"/>
        <v>Low</v>
      </c>
      <c r="U1290" t="str" cm="1">
        <f t="array" ref="U1290">_xlfn.LET(_xlpm.roles,_xlfn.UNIQUE(D1290:D4088),_xlpm.kills, SUMIF(D1290:D4088,_xlpm.roles,G1290:G4088),INDEX(_xlpm.roles,MATCH(MAX(_xlpm.kills),_xlpm.kills,0)))</f>
        <v>Entry Fragger</v>
      </c>
      <c r="V1290" t="str">
        <f t="shared" si="103"/>
        <v>Medium Accuracy</v>
      </c>
      <c r="W1290" t="str" cm="1">
        <f t="array" ref="W1290">_xlfn.LET(_xlpm.roles,_xlfn.UNIQUE(D1290:D4088), _xlpm.counts,COUNTIF(D1290:D4088,_xlpm.roles), INDEX(_xlpm.roles,MATCH(MAX(_xlpm.counts),_xlpm.counts,0)))</f>
        <v>Entry Fragger</v>
      </c>
      <c r="X1290" s="2">
        <f t="shared" si="104"/>
        <v>12.520971302428256</v>
      </c>
    </row>
    <row r="1291" spans="1:24" x14ac:dyDescent="0.3">
      <c r="A1291">
        <v>2367</v>
      </c>
      <c r="B1291">
        <v>228</v>
      </c>
      <c r="C1291" t="s">
        <v>16</v>
      </c>
      <c r="D1291" t="s">
        <v>36</v>
      </c>
      <c r="E1291" t="s">
        <v>33</v>
      </c>
      <c r="F1291" t="s">
        <v>26</v>
      </c>
      <c r="G1291">
        <v>19</v>
      </c>
      <c r="H1291">
        <v>9</v>
      </c>
      <c r="I1291">
        <v>10</v>
      </c>
      <c r="J1291">
        <v>37.619999999999997</v>
      </c>
      <c r="K1291">
        <v>203.75</v>
      </c>
      <c r="L1291">
        <v>0.81</v>
      </c>
      <c r="M1291">
        <v>47.71</v>
      </c>
      <c r="N1291">
        <v>0.93</v>
      </c>
      <c r="O1291" t="s">
        <v>20</v>
      </c>
      <c r="P1291" t="s">
        <v>21</v>
      </c>
      <c r="Q1291">
        <f t="shared" si="100"/>
        <v>18</v>
      </c>
      <c r="R1291" s="4">
        <f>RANK(N1291,$N$2:N$2800,0)</f>
        <v>1505</v>
      </c>
      <c r="S1291">
        <f t="shared" si="101"/>
        <v>1.9</v>
      </c>
      <c r="T1291" t="str">
        <f t="shared" si="102"/>
        <v>Good</v>
      </c>
      <c r="U1291" t="str" cm="1">
        <f t="array" ref="U1291">_xlfn.LET(_xlpm.roles,_xlfn.UNIQUE(D1291:D4089),_xlpm.kills, SUMIF(D1291:D4089,_xlpm.roles,G1291:G4089),INDEX(_xlpm.roles,MATCH(MAX(_xlpm.kills),_xlpm.kills,0)))</f>
        <v>Entry Fragger</v>
      </c>
      <c r="V1291" t="str">
        <f t="shared" si="103"/>
        <v>Medium Accuracy</v>
      </c>
      <c r="W1291" t="str" cm="1">
        <f t="array" ref="W1291">_xlfn.LET(_xlpm.roles,_xlfn.UNIQUE(D1291:D4089), _xlpm.counts,COUNTIF(D1291:D4089,_xlpm.roles), INDEX(_xlpm.roles,MATCH(MAX(_xlpm.counts),_xlpm.counts,0)))</f>
        <v>Entry Fragger</v>
      </c>
      <c r="X1291" s="2">
        <f t="shared" si="104"/>
        <v>12.520971302428256</v>
      </c>
    </row>
    <row r="1292" spans="1:24" x14ac:dyDescent="0.3">
      <c r="A1292">
        <v>2617</v>
      </c>
      <c r="B1292">
        <v>228</v>
      </c>
      <c r="C1292" t="s">
        <v>16</v>
      </c>
      <c r="D1292" t="s">
        <v>36</v>
      </c>
      <c r="E1292" t="s">
        <v>32</v>
      </c>
      <c r="F1292" t="s">
        <v>37</v>
      </c>
      <c r="G1292">
        <v>12</v>
      </c>
      <c r="H1292">
        <v>12</v>
      </c>
      <c r="I1292">
        <v>9</v>
      </c>
      <c r="J1292">
        <v>69.14</v>
      </c>
      <c r="K1292">
        <v>219.99</v>
      </c>
      <c r="L1292">
        <v>0.5</v>
      </c>
      <c r="M1292">
        <v>56.57</v>
      </c>
      <c r="N1292">
        <v>1</v>
      </c>
      <c r="O1292" t="s">
        <v>20</v>
      </c>
      <c r="P1292" t="s">
        <v>21</v>
      </c>
      <c r="Q1292">
        <f t="shared" si="100"/>
        <v>15</v>
      </c>
      <c r="R1292" s="4">
        <f>RANK(N1292,$N$2:N$2800,0)</f>
        <v>1</v>
      </c>
      <c r="S1292">
        <f t="shared" si="101"/>
        <v>1.3333333333333333</v>
      </c>
      <c r="T1292" t="str">
        <f t="shared" si="102"/>
        <v>Good</v>
      </c>
      <c r="U1292" t="str" cm="1">
        <f t="array" ref="U1292">_xlfn.LET(_xlpm.roles,_xlfn.UNIQUE(D1292:D4090),_xlpm.kills, SUMIF(D1292:D4090,_xlpm.roles,G1292:G4090),INDEX(_xlpm.roles,MATCH(MAX(_xlpm.kills),_xlpm.kills,0)))</f>
        <v>Entry Fragger</v>
      </c>
      <c r="V1292" t="str">
        <f t="shared" si="103"/>
        <v>High Accuracy</v>
      </c>
      <c r="W1292" t="str" cm="1">
        <f t="array" ref="W1292">_xlfn.LET(_xlpm.roles,_xlfn.UNIQUE(D1292:D4090), _xlpm.counts,COUNTIF(D1292:D4090,_xlpm.roles), INDEX(_xlpm.roles,MATCH(MAX(_xlpm.counts),_xlpm.counts,0)))</f>
        <v>Entry Fragger</v>
      </c>
      <c r="X1292" s="2">
        <f t="shared" si="104"/>
        <v>12.520971302428256</v>
      </c>
    </row>
    <row r="1293" spans="1:24" x14ac:dyDescent="0.3">
      <c r="A1293">
        <v>466</v>
      </c>
      <c r="B1293">
        <v>229</v>
      </c>
      <c r="C1293" t="s">
        <v>35</v>
      </c>
      <c r="D1293" t="s">
        <v>36</v>
      </c>
      <c r="E1293" t="s">
        <v>23</v>
      </c>
      <c r="F1293" t="s">
        <v>37</v>
      </c>
      <c r="G1293">
        <v>8</v>
      </c>
      <c r="H1293">
        <v>7</v>
      </c>
      <c r="I1293">
        <v>5</v>
      </c>
      <c r="J1293">
        <v>37.94</v>
      </c>
      <c r="K1293">
        <v>226.92</v>
      </c>
      <c r="L1293">
        <v>0.2</v>
      </c>
      <c r="M1293">
        <v>34.97</v>
      </c>
      <c r="N1293">
        <v>0.77</v>
      </c>
      <c r="O1293" t="s">
        <v>20</v>
      </c>
      <c r="P1293" t="s">
        <v>21</v>
      </c>
      <c r="Q1293">
        <f t="shared" si="100"/>
        <v>10</v>
      </c>
      <c r="R1293" s="4">
        <f>RANK(N1293,$N$2:N$2800,0)</f>
        <v>2511</v>
      </c>
      <c r="S1293">
        <f t="shared" si="101"/>
        <v>1.6</v>
      </c>
      <c r="T1293" t="str">
        <f t="shared" si="102"/>
        <v>Low</v>
      </c>
      <c r="U1293" t="str" cm="1">
        <f t="array" ref="U1293">_xlfn.LET(_xlpm.roles,_xlfn.UNIQUE(D1293:D4091),_xlpm.kills, SUMIF(D1293:D4091,_xlpm.roles,G1293:G4091),INDEX(_xlpm.roles,MATCH(MAX(_xlpm.kills),_xlpm.kills,0)))</f>
        <v>Entry Fragger</v>
      </c>
      <c r="V1293" t="str">
        <f t="shared" si="103"/>
        <v>Medium Accuracy</v>
      </c>
      <c r="W1293" t="str" cm="1">
        <f t="array" ref="W1293">_xlfn.LET(_xlpm.roles,_xlfn.UNIQUE(D1293:D4091), _xlpm.counts,COUNTIF(D1293:D4091,_xlpm.roles), INDEX(_xlpm.roles,MATCH(MAX(_xlpm.counts),_xlpm.counts,0)))</f>
        <v>Entry Fragger</v>
      </c>
      <c r="X1293" s="2">
        <f t="shared" si="104"/>
        <v>12.599585062240664</v>
      </c>
    </row>
    <row r="1294" spans="1:24" x14ac:dyDescent="0.3">
      <c r="A1294">
        <v>1388</v>
      </c>
      <c r="B1294">
        <v>229</v>
      </c>
      <c r="C1294" t="s">
        <v>35</v>
      </c>
      <c r="D1294" t="s">
        <v>28</v>
      </c>
      <c r="E1294" t="s">
        <v>32</v>
      </c>
      <c r="F1294" t="s">
        <v>37</v>
      </c>
      <c r="G1294">
        <v>11</v>
      </c>
      <c r="H1294">
        <v>9</v>
      </c>
      <c r="I1294">
        <v>8</v>
      </c>
      <c r="J1294">
        <v>29.56</v>
      </c>
      <c r="K1294">
        <v>212.16</v>
      </c>
      <c r="L1294">
        <v>0.74</v>
      </c>
      <c r="M1294">
        <v>30.38</v>
      </c>
      <c r="N1294">
        <v>0.92</v>
      </c>
      <c r="O1294" t="s">
        <v>20</v>
      </c>
      <c r="P1294" t="s">
        <v>21</v>
      </c>
      <c r="Q1294">
        <f t="shared" si="100"/>
        <v>12</v>
      </c>
      <c r="R1294" s="4">
        <f>RANK(N1294,$N$2:N$2800,0)</f>
        <v>1585</v>
      </c>
      <c r="S1294">
        <f t="shared" si="101"/>
        <v>1.375</v>
      </c>
      <c r="T1294" t="str">
        <f t="shared" si="102"/>
        <v>Low</v>
      </c>
      <c r="U1294" t="str" cm="1">
        <f t="array" ref="U1294">_xlfn.LET(_xlpm.roles,_xlfn.UNIQUE(D1294:D4092),_xlpm.kills, SUMIF(D1294:D4092,_xlpm.roles,G1294:G4092),INDEX(_xlpm.roles,MATCH(MAX(_xlpm.kills),_xlpm.kills,0)))</f>
        <v>Entry Fragger</v>
      </c>
      <c r="V1294" t="str">
        <f t="shared" si="103"/>
        <v>Low Accuracy</v>
      </c>
      <c r="W1294" t="str" cm="1">
        <f t="array" ref="W1294">_xlfn.LET(_xlpm.roles,_xlfn.UNIQUE(D1294:D4092), _xlpm.counts,COUNTIF(D1294:D4092,_xlpm.roles), INDEX(_xlpm.roles,MATCH(MAX(_xlpm.counts),_xlpm.counts,0)))</f>
        <v>Sniper</v>
      </c>
      <c r="X1294" s="2">
        <f t="shared" si="104"/>
        <v>12.599585062240664</v>
      </c>
    </row>
    <row r="1295" spans="1:24" x14ac:dyDescent="0.3">
      <c r="A1295">
        <v>1553</v>
      </c>
      <c r="B1295">
        <v>229</v>
      </c>
      <c r="C1295" t="s">
        <v>27</v>
      </c>
      <c r="D1295" t="s">
        <v>31</v>
      </c>
      <c r="E1295" t="s">
        <v>29</v>
      </c>
      <c r="F1295" t="s">
        <v>24</v>
      </c>
      <c r="G1295">
        <v>15</v>
      </c>
      <c r="H1295">
        <v>8</v>
      </c>
      <c r="I1295">
        <v>14</v>
      </c>
      <c r="J1295">
        <v>54.26</v>
      </c>
      <c r="K1295">
        <v>212.84</v>
      </c>
      <c r="L1295">
        <v>0.73</v>
      </c>
      <c r="M1295">
        <v>43.83</v>
      </c>
      <c r="N1295">
        <v>0.76</v>
      </c>
      <c r="O1295" t="s">
        <v>20</v>
      </c>
      <c r="P1295" t="s">
        <v>21</v>
      </c>
      <c r="Q1295">
        <f t="shared" si="100"/>
        <v>9</v>
      </c>
      <c r="R1295" s="4">
        <f>RANK(N1295,$N$2:N$2800,0)</f>
        <v>2547</v>
      </c>
      <c r="S1295">
        <f t="shared" si="101"/>
        <v>1.0714285714285714</v>
      </c>
      <c r="T1295" t="str">
        <f t="shared" si="102"/>
        <v>Low</v>
      </c>
      <c r="U1295" t="str" cm="1">
        <f t="array" ref="U1295">_xlfn.LET(_xlpm.roles,_xlfn.UNIQUE(D1295:D4093),_xlpm.kills, SUMIF(D1295:D4093,_xlpm.roles,G1295:G4093),INDEX(_xlpm.roles,MATCH(MAX(_xlpm.kills),_xlpm.kills,0)))</f>
        <v>Entry Fragger</v>
      </c>
      <c r="V1295" t="str">
        <f t="shared" si="103"/>
        <v>High Accuracy</v>
      </c>
      <c r="W1295" t="str" cm="1">
        <f t="array" ref="W1295">_xlfn.LET(_xlpm.roles,_xlfn.UNIQUE(D1295:D4093), _xlpm.counts,COUNTIF(D1295:D4093,_xlpm.roles), INDEX(_xlpm.roles,MATCH(MAX(_xlpm.counts),_xlpm.counts,0)))</f>
        <v>Sniper</v>
      </c>
      <c r="X1295" s="2">
        <f t="shared" si="104"/>
        <v>13.057077625570777</v>
      </c>
    </row>
    <row r="1296" spans="1:24" x14ac:dyDescent="0.3">
      <c r="A1296">
        <v>2216</v>
      </c>
      <c r="B1296">
        <v>229</v>
      </c>
      <c r="C1296" t="s">
        <v>30</v>
      </c>
      <c r="D1296" t="s">
        <v>22</v>
      </c>
      <c r="E1296" t="s">
        <v>23</v>
      </c>
      <c r="F1296" t="s">
        <v>37</v>
      </c>
      <c r="G1296">
        <v>12</v>
      </c>
      <c r="H1296">
        <v>6</v>
      </c>
      <c r="I1296">
        <v>8</v>
      </c>
      <c r="J1296">
        <v>55.4</v>
      </c>
      <c r="K1296">
        <v>223.08</v>
      </c>
      <c r="L1296">
        <v>0.54</v>
      </c>
      <c r="M1296">
        <v>44.3</v>
      </c>
      <c r="N1296">
        <v>0.93</v>
      </c>
      <c r="O1296" t="s">
        <v>20</v>
      </c>
      <c r="P1296" t="s">
        <v>21</v>
      </c>
      <c r="Q1296">
        <f t="shared" si="100"/>
        <v>10</v>
      </c>
      <c r="R1296" s="4">
        <f>RANK(N1296,$N$2:N$2800,0)</f>
        <v>1505</v>
      </c>
      <c r="S1296">
        <f t="shared" si="101"/>
        <v>1.5</v>
      </c>
      <c r="T1296" t="str">
        <f t="shared" si="102"/>
        <v>Low</v>
      </c>
      <c r="U1296" t="str" cm="1">
        <f t="array" ref="U1296">_xlfn.LET(_xlpm.roles,_xlfn.UNIQUE(D1296:D4094),_xlpm.kills, SUMIF(D1296:D4094,_xlpm.roles,G1296:G4094),INDEX(_xlpm.roles,MATCH(MAX(_xlpm.kills),_xlpm.kills,0)))</f>
        <v>Entry Fragger</v>
      </c>
      <c r="V1296" t="str">
        <f t="shared" si="103"/>
        <v>High Accuracy</v>
      </c>
      <c r="W1296" t="str" cm="1">
        <f t="array" ref="W1296">_xlfn.LET(_xlpm.roles,_xlfn.UNIQUE(D1296:D4094), _xlpm.counts,COUNTIF(D1296:D4094,_xlpm.roles), INDEX(_xlpm.roles,MATCH(MAX(_xlpm.counts),_xlpm.counts,0)))</f>
        <v>Entry Fragger</v>
      </c>
      <c r="X1296" s="2">
        <f t="shared" si="104"/>
        <v>13.135802469135802</v>
      </c>
    </row>
    <row r="1297" spans="1:24" x14ac:dyDescent="0.3">
      <c r="A1297">
        <v>2229</v>
      </c>
      <c r="B1297">
        <v>229</v>
      </c>
      <c r="C1297" t="s">
        <v>39</v>
      </c>
      <c r="D1297" t="s">
        <v>36</v>
      </c>
      <c r="E1297" t="s">
        <v>23</v>
      </c>
      <c r="F1297" t="s">
        <v>19</v>
      </c>
      <c r="G1297">
        <v>14</v>
      </c>
      <c r="H1297">
        <v>9</v>
      </c>
      <c r="I1297">
        <v>13</v>
      </c>
      <c r="J1297">
        <v>40.78</v>
      </c>
      <c r="K1297">
        <v>193.75</v>
      </c>
      <c r="L1297">
        <v>0.23</v>
      </c>
      <c r="M1297">
        <v>42.09</v>
      </c>
      <c r="N1297">
        <v>1</v>
      </c>
      <c r="O1297" t="s">
        <v>20</v>
      </c>
      <c r="P1297" t="s">
        <v>21</v>
      </c>
      <c r="Q1297">
        <f t="shared" si="100"/>
        <v>10</v>
      </c>
      <c r="R1297" s="4">
        <f>RANK(N1297,$N$2:N$2800,0)</f>
        <v>1</v>
      </c>
      <c r="S1297">
        <f t="shared" si="101"/>
        <v>1.0769230769230769</v>
      </c>
      <c r="T1297" t="str">
        <f t="shared" si="102"/>
        <v>Low</v>
      </c>
      <c r="U1297" t="str" cm="1">
        <f t="array" ref="U1297">_xlfn.LET(_xlpm.roles,_xlfn.UNIQUE(D1297:D4095),_xlpm.kills, SUMIF(D1297:D4095,_xlpm.roles,G1297:G4095),INDEX(_xlpm.roles,MATCH(MAX(_xlpm.kills),_xlpm.kills,0)))</f>
        <v>Entry Fragger</v>
      </c>
      <c r="V1297" t="str">
        <f t="shared" si="103"/>
        <v>Medium Accuracy</v>
      </c>
      <c r="W1297" t="str" cm="1">
        <f t="array" ref="W1297">_xlfn.LET(_xlpm.roles,_xlfn.UNIQUE(D1297:D4095), _xlpm.counts,COUNTIF(D1297:D4095,_xlpm.roles), INDEX(_xlpm.roles,MATCH(MAX(_xlpm.counts),_xlpm.counts,0)))</f>
        <v>Entry Fragger</v>
      </c>
      <c r="X1297" s="2">
        <f t="shared" si="104"/>
        <v>13.103594080338267</v>
      </c>
    </row>
    <row r="1298" spans="1:24" x14ac:dyDescent="0.3">
      <c r="A1298">
        <v>2315</v>
      </c>
      <c r="B1298">
        <v>229</v>
      </c>
      <c r="C1298" t="s">
        <v>25</v>
      </c>
      <c r="D1298" t="s">
        <v>22</v>
      </c>
      <c r="E1298" t="s">
        <v>23</v>
      </c>
      <c r="F1298" t="s">
        <v>26</v>
      </c>
      <c r="G1298">
        <v>10</v>
      </c>
      <c r="H1298">
        <v>6</v>
      </c>
      <c r="I1298">
        <v>10</v>
      </c>
      <c r="J1298">
        <v>39.369999999999997</v>
      </c>
      <c r="K1298">
        <v>192.13</v>
      </c>
      <c r="L1298">
        <v>0.12</v>
      </c>
      <c r="M1298">
        <v>34.479999999999997</v>
      </c>
      <c r="N1298">
        <v>0.93</v>
      </c>
      <c r="O1298" t="s">
        <v>20</v>
      </c>
      <c r="P1298" t="s">
        <v>21</v>
      </c>
      <c r="Q1298">
        <f t="shared" si="100"/>
        <v>6</v>
      </c>
      <c r="R1298" s="4">
        <f>RANK(N1298,$N$2:N$2800,0)</f>
        <v>1505</v>
      </c>
      <c r="S1298">
        <f t="shared" si="101"/>
        <v>1</v>
      </c>
      <c r="T1298" t="str">
        <f t="shared" si="102"/>
        <v>Low</v>
      </c>
      <c r="U1298" t="str" cm="1">
        <f t="array" ref="U1298">_xlfn.LET(_xlpm.roles,_xlfn.UNIQUE(D1298:D4096),_xlpm.kills, SUMIF(D1298:D4096,_xlpm.roles,G1298:G4096),INDEX(_xlpm.roles,MATCH(MAX(_xlpm.kills),_xlpm.kills,0)))</f>
        <v>Entry Fragger</v>
      </c>
      <c r="V1298" t="str">
        <f t="shared" si="103"/>
        <v>Medium Accuracy</v>
      </c>
      <c r="W1298" t="str" cm="1">
        <f t="array" ref="W1298">_xlfn.LET(_xlpm.roles,_xlfn.UNIQUE(D1298:D4096), _xlpm.counts,COUNTIF(D1298:D4096,_xlpm.roles), INDEX(_xlpm.roles,MATCH(MAX(_xlpm.counts),_xlpm.counts,0)))</f>
        <v>Entry Fragger</v>
      </c>
      <c r="X1298" s="2">
        <f t="shared" si="104"/>
        <v>12.809421841541756</v>
      </c>
    </row>
    <row r="1299" spans="1:24" x14ac:dyDescent="0.3">
      <c r="A1299">
        <v>2464</v>
      </c>
      <c r="B1299">
        <v>229</v>
      </c>
      <c r="C1299" t="s">
        <v>35</v>
      </c>
      <c r="D1299" t="s">
        <v>28</v>
      </c>
      <c r="E1299" t="s">
        <v>18</v>
      </c>
      <c r="F1299" t="s">
        <v>19</v>
      </c>
      <c r="G1299">
        <v>10</v>
      </c>
      <c r="H1299">
        <v>10</v>
      </c>
      <c r="I1299">
        <v>13</v>
      </c>
      <c r="J1299">
        <v>47.73</v>
      </c>
      <c r="K1299">
        <v>239.22</v>
      </c>
      <c r="L1299">
        <v>0.51</v>
      </c>
      <c r="M1299">
        <v>35.76</v>
      </c>
      <c r="N1299">
        <v>0.79</v>
      </c>
      <c r="O1299" t="s">
        <v>20</v>
      </c>
      <c r="P1299" t="s">
        <v>21</v>
      </c>
      <c r="Q1299">
        <f t="shared" si="100"/>
        <v>7</v>
      </c>
      <c r="R1299" s="4">
        <f>RANK(N1299,$N$2:N$2800,0)</f>
        <v>2436</v>
      </c>
      <c r="S1299">
        <f t="shared" si="101"/>
        <v>0.76923076923076927</v>
      </c>
      <c r="T1299" t="str">
        <f t="shared" si="102"/>
        <v>Low</v>
      </c>
      <c r="U1299" t="str" cm="1">
        <f t="array" ref="U1299">_xlfn.LET(_xlpm.roles,_xlfn.UNIQUE(D1299:D4097),_xlpm.kills, SUMIF(D1299:D4097,_xlpm.roles,G1299:G4097),INDEX(_xlpm.roles,MATCH(MAX(_xlpm.kills),_xlpm.kills,0)))</f>
        <v>Entry Fragger</v>
      </c>
      <c r="V1299" t="str">
        <f t="shared" si="103"/>
        <v>Medium Accuracy</v>
      </c>
      <c r="W1299" t="str" cm="1">
        <f t="array" ref="W1299">_xlfn.LET(_xlpm.roles,_xlfn.UNIQUE(D1299:D4097), _xlpm.counts,COUNTIF(D1299:D4097,_xlpm.roles), INDEX(_xlpm.roles,MATCH(MAX(_xlpm.counts),_xlpm.counts,0)))</f>
        <v>Entry Fragger</v>
      </c>
      <c r="X1299" s="2">
        <f t="shared" si="104"/>
        <v>12.599585062240664</v>
      </c>
    </row>
    <row r="1300" spans="1:24" x14ac:dyDescent="0.3">
      <c r="A1300">
        <v>185</v>
      </c>
      <c r="B1300">
        <v>230</v>
      </c>
      <c r="C1300" t="s">
        <v>39</v>
      </c>
      <c r="D1300" t="s">
        <v>17</v>
      </c>
      <c r="E1300" t="s">
        <v>29</v>
      </c>
      <c r="F1300" t="s">
        <v>19</v>
      </c>
      <c r="G1300">
        <v>17</v>
      </c>
      <c r="H1300">
        <v>11</v>
      </c>
      <c r="I1300">
        <v>14</v>
      </c>
      <c r="J1300">
        <v>40.869999999999997</v>
      </c>
      <c r="K1300">
        <v>214.11</v>
      </c>
      <c r="L1300">
        <v>0.98</v>
      </c>
      <c r="M1300">
        <v>41.64</v>
      </c>
      <c r="N1300">
        <v>0.95</v>
      </c>
      <c r="O1300" t="s">
        <v>20</v>
      </c>
      <c r="P1300" t="s">
        <v>21</v>
      </c>
      <c r="Q1300">
        <f t="shared" si="100"/>
        <v>14</v>
      </c>
      <c r="R1300" s="4">
        <f>RANK(N1300,$N$2:N$2800,0)</f>
        <v>1367</v>
      </c>
      <c r="S1300">
        <f t="shared" si="101"/>
        <v>1.2142857142857142</v>
      </c>
      <c r="T1300" t="str">
        <f t="shared" si="102"/>
        <v>Low</v>
      </c>
      <c r="U1300" t="str" cm="1">
        <f t="array" ref="U1300">_xlfn.LET(_xlpm.roles,_xlfn.UNIQUE(D1300:D4098),_xlpm.kills, SUMIF(D1300:D4098,_xlpm.roles,G1300:G4098),INDEX(_xlpm.roles,MATCH(MAX(_xlpm.kills),_xlpm.kills,0)))</f>
        <v>Entry Fragger</v>
      </c>
      <c r="V1300" t="str">
        <f t="shared" si="103"/>
        <v>Medium Accuracy</v>
      </c>
      <c r="W1300" t="str" cm="1">
        <f t="array" ref="W1300">_xlfn.LET(_xlpm.roles,_xlfn.UNIQUE(D1300:D4098), _xlpm.counts,COUNTIF(D1300:D4098,_xlpm.roles), INDEX(_xlpm.roles,MATCH(MAX(_xlpm.counts),_xlpm.counts,0)))</f>
        <v>Entry Fragger</v>
      </c>
      <c r="X1300" s="2">
        <f t="shared" si="104"/>
        <v>13.103594080338267</v>
      </c>
    </row>
    <row r="1301" spans="1:24" x14ac:dyDescent="0.3">
      <c r="A1301">
        <v>1450</v>
      </c>
      <c r="B1301">
        <v>230</v>
      </c>
      <c r="C1301" t="s">
        <v>27</v>
      </c>
      <c r="D1301" t="s">
        <v>36</v>
      </c>
      <c r="E1301" t="s">
        <v>23</v>
      </c>
      <c r="F1301" t="s">
        <v>24</v>
      </c>
      <c r="G1301">
        <v>17</v>
      </c>
      <c r="H1301">
        <v>9</v>
      </c>
      <c r="I1301">
        <v>8</v>
      </c>
      <c r="J1301">
        <v>37.93</v>
      </c>
      <c r="K1301">
        <v>201.87</v>
      </c>
      <c r="L1301">
        <v>0.28999999999999998</v>
      </c>
      <c r="M1301">
        <v>51.07</v>
      </c>
      <c r="N1301">
        <v>1</v>
      </c>
      <c r="O1301" t="s">
        <v>20</v>
      </c>
      <c r="P1301" t="s">
        <v>21</v>
      </c>
      <c r="Q1301">
        <f t="shared" si="100"/>
        <v>18</v>
      </c>
      <c r="R1301" s="4">
        <f>RANK(N1301,$N$2:N$2800,0)</f>
        <v>1</v>
      </c>
      <c r="S1301">
        <f t="shared" si="101"/>
        <v>2.125</v>
      </c>
      <c r="T1301" t="str">
        <f t="shared" si="102"/>
        <v>Good</v>
      </c>
      <c r="U1301" t="str" cm="1">
        <f t="array" ref="U1301">_xlfn.LET(_xlpm.roles,_xlfn.UNIQUE(D1301:D4099),_xlpm.kills, SUMIF(D1301:D4099,_xlpm.roles,G1301:G4099),INDEX(_xlpm.roles,MATCH(MAX(_xlpm.kills),_xlpm.kills,0)))</f>
        <v>Entry Fragger</v>
      </c>
      <c r="V1301" t="str">
        <f t="shared" si="103"/>
        <v>Medium Accuracy</v>
      </c>
      <c r="W1301" t="str" cm="1">
        <f t="array" ref="W1301">_xlfn.LET(_xlpm.roles,_xlfn.UNIQUE(D1301:D4099), _xlpm.counts,COUNTIF(D1301:D4099,_xlpm.roles), INDEX(_xlpm.roles,MATCH(MAX(_xlpm.counts),_xlpm.counts,0)))</f>
        <v>Entry Fragger</v>
      </c>
      <c r="X1301" s="2">
        <f t="shared" si="104"/>
        <v>13.057077625570777</v>
      </c>
    </row>
    <row r="1302" spans="1:24" x14ac:dyDescent="0.3">
      <c r="A1302">
        <v>2685</v>
      </c>
      <c r="B1302">
        <v>230</v>
      </c>
      <c r="C1302" t="s">
        <v>27</v>
      </c>
      <c r="D1302" t="s">
        <v>31</v>
      </c>
      <c r="E1302" t="s">
        <v>29</v>
      </c>
      <c r="F1302" t="s">
        <v>34</v>
      </c>
      <c r="G1302">
        <v>15</v>
      </c>
      <c r="H1302">
        <v>13</v>
      </c>
      <c r="I1302">
        <v>8</v>
      </c>
      <c r="J1302">
        <v>26.85</v>
      </c>
      <c r="K1302">
        <v>188.74</v>
      </c>
      <c r="L1302">
        <v>0.02</v>
      </c>
      <c r="M1302">
        <v>48.22</v>
      </c>
      <c r="N1302">
        <v>1</v>
      </c>
      <c r="O1302" t="s">
        <v>20</v>
      </c>
      <c r="P1302" t="s">
        <v>21</v>
      </c>
      <c r="Q1302">
        <f t="shared" si="100"/>
        <v>20</v>
      </c>
      <c r="R1302" s="4">
        <f>RANK(N1302,$N$2:N$2800,0)</f>
        <v>1</v>
      </c>
      <c r="S1302">
        <f t="shared" si="101"/>
        <v>1.875</v>
      </c>
      <c r="T1302" t="str">
        <f t="shared" si="102"/>
        <v>Good</v>
      </c>
      <c r="U1302" t="str" cm="1">
        <f t="array" ref="U1302">_xlfn.LET(_xlpm.roles,_xlfn.UNIQUE(D1302:D4100),_xlpm.kills, SUMIF(D1302:D4100,_xlpm.roles,G1302:G4100),INDEX(_xlpm.roles,MATCH(MAX(_xlpm.kills),_xlpm.kills,0)))</f>
        <v>Entry Fragger</v>
      </c>
      <c r="V1302" t="str">
        <f t="shared" si="103"/>
        <v>Low Accuracy</v>
      </c>
      <c r="W1302" t="str" cm="1">
        <f t="array" ref="W1302">_xlfn.LET(_xlpm.roles,_xlfn.UNIQUE(D1302:D4100), _xlpm.counts,COUNTIF(D1302:D4100,_xlpm.roles), INDEX(_xlpm.roles,MATCH(MAX(_xlpm.counts),_xlpm.counts,0)))</f>
        <v>Sniper</v>
      </c>
      <c r="X1302" s="2">
        <f t="shared" si="104"/>
        <v>13.057077625570777</v>
      </c>
    </row>
    <row r="1303" spans="1:24" x14ac:dyDescent="0.3">
      <c r="A1303">
        <v>2782</v>
      </c>
      <c r="B1303">
        <v>231</v>
      </c>
      <c r="C1303" t="s">
        <v>25</v>
      </c>
      <c r="D1303" t="s">
        <v>31</v>
      </c>
      <c r="E1303" t="s">
        <v>18</v>
      </c>
      <c r="F1303" t="s">
        <v>24</v>
      </c>
      <c r="G1303">
        <v>16</v>
      </c>
      <c r="H1303">
        <v>7</v>
      </c>
      <c r="I1303">
        <v>5</v>
      </c>
      <c r="J1303">
        <v>56.39</v>
      </c>
      <c r="K1303">
        <v>262.89999999999998</v>
      </c>
      <c r="L1303">
        <v>1</v>
      </c>
      <c r="M1303">
        <v>52.2</v>
      </c>
      <c r="N1303">
        <v>0.88</v>
      </c>
      <c r="O1303" t="s">
        <v>20</v>
      </c>
      <c r="P1303" t="s">
        <v>21</v>
      </c>
      <c r="Q1303">
        <f t="shared" si="100"/>
        <v>18</v>
      </c>
      <c r="R1303" s="4">
        <f>RANK(N1303,$N$2:N$2800,0)</f>
        <v>1894</v>
      </c>
      <c r="S1303">
        <f t="shared" si="101"/>
        <v>3.2</v>
      </c>
      <c r="T1303" t="str">
        <f t="shared" si="102"/>
        <v>Good</v>
      </c>
      <c r="U1303" t="str" cm="1">
        <f t="array" ref="U1303">_xlfn.LET(_xlpm.roles,_xlfn.UNIQUE(D1303:D4101),_xlpm.kills, SUMIF(D1303:D4101,_xlpm.roles,G1303:G4101),INDEX(_xlpm.roles,MATCH(MAX(_xlpm.kills),_xlpm.kills,0)))</f>
        <v>Entry Fragger</v>
      </c>
      <c r="V1303" t="str">
        <f t="shared" si="103"/>
        <v>High Accuracy</v>
      </c>
      <c r="W1303" t="str" cm="1">
        <f t="array" ref="W1303">_xlfn.LET(_xlpm.roles,_xlfn.UNIQUE(D1303:D4101), _xlpm.counts,COUNTIF(D1303:D4101,_xlpm.roles), INDEX(_xlpm.roles,MATCH(MAX(_xlpm.counts),_xlpm.counts,0)))</f>
        <v>Sniper</v>
      </c>
      <c r="X1303" s="2">
        <f t="shared" si="104"/>
        <v>12.809421841541756</v>
      </c>
    </row>
    <row r="1304" spans="1:24" x14ac:dyDescent="0.3">
      <c r="A1304">
        <v>137</v>
      </c>
      <c r="B1304">
        <v>232</v>
      </c>
      <c r="C1304" t="s">
        <v>30</v>
      </c>
      <c r="D1304" t="s">
        <v>22</v>
      </c>
      <c r="E1304" t="s">
        <v>33</v>
      </c>
      <c r="F1304" t="s">
        <v>34</v>
      </c>
      <c r="G1304">
        <v>15</v>
      </c>
      <c r="H1304">
        <v>11</v>
      </c>
      <c r="I1304">
        <v>12</v>
      </c>
      <c r="J1304">
        <v>51.75</v>
      </c>
      <c r="K1304">
        <v>236.78</v>
      </c>
      <c r="L1304">
        <v>0.8</v>
      </c>
      <c r="M1304">
        <v>46.88</v>
      </c>
      <c r="N1304">
        <v>1</v>
      </c>
      <c r="O1304" t="s">
        <v>20</v>
      </c>
      <c r="P1304" t="s">
        <v>21</v>
      </c>
      <c r="Q1304">
        <f t="shared" si="100"/>
        <v>14</v>
      </c>
      <c r="R1304" s="4">
        <f>RANK(N1304,$N$2:N$2800,0)</f>
        <v>1</v>
      </c>
      <c r="S1304">
        <f t="shared" si="101"/>
        <v>1.25</v>
      </c>
      <c r="T1304" t="str">
        <f t="shared" si="102"/>
        <v>Low</v>
      </c>
      <c r="U1304" t="str" cm="1">
        <f t="array" ref="U1304">_xlfn.LET(_xlpm.roles,_xlfn.UNIQUE(D1304:D4102),_xlpm.kills, SUMIF(D1304:D4102,_xlpm.roles,G1304:G4102),INDEX(_xlpm.roles,MATCH(MAX(_xlpm.kills),_xlpm.kills,0)))</f>
        <v>Entry Fragger</v>
      </c>
      <c r="V1304" t="str">
        <f t="shared" si="103"/>
        <v>High Accuracy</v>
      </c>
      <c r="W1304" t="str" cm="1">
        <f t="array" ref="W1304">_xlfn.LET(_xlpm.roles,_xlfn.UNIQUE(D1304:D4102), _xlpm.counts,COUNTIF(D1304:D4102,_xlpm.roles), INDEX(_xlpm.roles,MATCH(MAX(_xlpm.counts),_xlpm.counts,0)))</f>
        <v>Entry Fragger</v>
      </c>
      <c r="X1304" s="2">
        <f t="shared" si="104"/>
        <v>13.135802469135802</v>
      </c>
    </row>
    <row r="1305" spans="1:24" x14ac:dyDescent="0.3">
      <c r="A1305">
        <v>462</v>
      </c>
      <c r="B1305">
        <v>232</v>
      </c>
      <c r="C1305" t="s">
        <v>25</v>
      </c>
      <c r="D1305" t="s">
        <v>36</v>
      </c>
      <c r="E1305" t="s">
        <v>18</v>
      </c>
      <c r="F1305" t="s">
        <v>26</v>
      </c>
      <c r="G1305">
        <v>14</v>
      </c>
      <c r="H1305">
        <v>6</v>
      </c>
      <c r="I1305">
        <v>6</v>
      </c>
      <c r="J1305">
        <v>46.43</v>
      </c>
      <c r="K1305">
        <v>194.08</v>
      </c>
      <c r="L1305">
        <v>0.71</v>
      </c>
      <c r="M1305">
        <v>44.12</v>
      </c>
      <c r="N1305">
        <v>0.9</v>
      </c>
      <c r="O1305" t="s">
        <v>20</v>
      </c>
      <c r="P1305" t="s">
        <v>21</v>
      </c>
      <c r="Q1305">
        <f t="shared" si="100"/>
        <v>14</v>
      </c>
      <c r="R1305" s="4">
        <f>RANK(N1305,$N$2:N$2800,0)</f>
        <v>1738</v>
      </c>
      <c r="S1305">
        <f t="shared" si="101"/>
        <v>2.3333333333333335</v>
      </c>
      <c r="T1305" t="str">
        <f t="shared" si="102"/>
        <v>Low</v>
      </c>
      <c r="U1305" t="str" cm="1">
        <f t="array" ref="U1305">_xlfn.LET(_xlpm.roles,_xlfn.UNIQUE(D1305:D4103),_xlpm.kills, SUMIF(D1305:D4103,_xlpm.roles,G1305:G4103),INDEX(_xlpm.roles,MATCH(MAX(_xlpm.kills),_xlpm.kills,0)))</f>
        <v>Entry Fragger</v>
      </c>
      <c r="V1305" t="str">
        <f t="shared" si="103"/>
        <v>Medium Accuracy</v>
      </c>
      <c r="W1305" t="str" cm="1">
        <f t="array" ref="W1305">_xlfn.LET(_xlpm.roles,_xlfn.UNIQUE(D1305:D4103), _xlpm.counts,COUNTIF(D1305:D4103,_xlpm.roles), INDEX(_xlpm.roles,MATCH(MAX(_xlpm.counts),_xlpm.counts,0)))</f>
        <v>Entry Fragger</v>
      </c>
      <c r="X1305" s="2">
        <f t="shared" si="104"/>
        <v>12.809421841541756</v>
      </c>
    </row>
    <row r="1306" spans="1:24" x14ac:dyDescent="0.3">
      <c r="A1306">
        <v>569</v>
      </c>
      <c r="B1306">
        <v>232</v>
      </c>
      <c r="C1306" t="s">
        <v>25</v>
      </c>
      <c r="D1306" t="s">
        <v>36</v>
      </c>
      <c r="E1306" t="s">
        <v>23</v>
      </c>
      <c r="F1306" t="s">
        <v>37</v>
      </c>
      <c r="G1306">
        <v>15</v>
      </c>
      <c r="H1306">
        <v>6</v>
      </c>
      <c r="I1306">
        <v>11</v>
      </c>
      <c r="J1306">
        <v>38.71</v>
      </c>
      <c r="K1306">
        <v>229.97</v>
      </c>
      <c r="L1306">
        <v>0.56000000000000005</v>
      </c>
      <c r="M1306">
        <v>38.76</v>
      </c>
      <c r="N1306">
        <v>0.91</v>
      </c>
      <c r="O1306" t="s">
        <v>20</v>
      </c>
      <c r="P1306" t="s">
        <v>21</v>
      </c>
      <c r="Q1306">
        <f t="shared" si="100"/>
        <v>10</v>
      </c>
      <c r="R1306" s="4">
        <f>RANK(N1306,$N$2:N$2800,0)</f>
        <v>1665</v>
      </c>
      <c r="S1306">
        <f t="shared" si="101"/>
        <v>1.3636363636363635</v>
      </c>
      <c r="T1306" t="str">
        <f t="shared" si="102"/>
        <v>Low</v>
      </c>
      <c r="U1306" t="str" cm="1">
        <f t="array" ref="U1306">_xlfn.LET(_xlpm.roles,_xlfn.UNIQUE(D1306:D4104),_xlpm.kills, SUMIF(D1306:D4104,_xlpm.roles,G1306:G4104),INDEX(_xlpm.roles,MATCH(MAX(_xlpm.kills),_xlpm.kills,0)))</f>
        <v>Entry Fragger</v>
      </c>
      <c r="V1306" t="str">
        <f t="shared" si="103"/>
        <v>Medium Accuracy</v>
      </c>
      <c r="W1306" t="str" cm="1">
        <f t="array" ref="W1306">_xlfn.LET(_xlpm.roles,_xlfn.UNIQUE(D1306:D4104), _xlpm.counts,COUNTIF(D1306:D4104,_xlpm.roles), INDEX(_xlpm.roles,MATCH(MAX(_xlpm.counts),_xlpm.counts,0)))</f>
        <v>Entry Fragger</v>
      </c>
      <c r="X1306" s="2">
        <f t="shared" si="104"/>
        <v>12.809421841541756</v>
      </c>
    </row>
    <row r="1307" spans="1:24" x14ac:dyDescent="0.3">
      <c r="A1307">
        <v>1376</v>
      </c>
      <c r="B1307">
        <v>232</v>
      </c>
      <c r="C1307" t="s">
        <v>35</v>
      </c>
      <c r="D1307" t="s">
        <v>31</v>
      </c>
      <c r="E1307" t="s">
        <v>23</v>
      </c>
      <c r="F1307" t="s">
        <v>26</v>
      </c>
      <c r="G1307">
        <v>12</v>
      </c>
      <c r="H1307">
        <v>7</v>
      </c>
      <c r="I1307">
        <v>6</v>
      </c>
      <c r="J1307">
        <v>41.68</v>
      </c>
      <c r="K1307">
        <v>220.18</v>
      </c>
      <c r="L1307">
        <v>0.54</v>
      </c>
      <c r="M1307">
        <v>40.44</v>
      </c>
      <c r="N1307">
        <v>0.92</v>
      </c>
      <c r="O1307" t="s">
        <v>20</v>
      </c>
      <c r="P1307" t="s">
        <v>21</v>
      </c>
      <c r="Q1307">
        <f t="shared" si="100"/>
        <v>13</v>
      </c>
      <c r="R1307" s="4">
        <f>RANK(N1307,$N$2:N$2800,0)</f>
        <v>1585</v>
      </c>
      <c r="S1307">
        <f t="shared" si="101"/>
        <v>2</v>
      </c>
      <c r="T1307" t="str">
        <f t="shared" si="102"/>
        <v>Low</v>
      </c>
      <c r="U1307" t="str" cm="1">
        <f t="array" ref="U1307">_xlfn.LET(_xlpm.roles,_xlfn.UNIQUE(D1307:D4105),_xlpm.kills, SUMIF(D1307:D4105,_xlpm.roles,G1307:G4105),INDEX(_xlpm.roles,MATCH(MAX(_xlpm.kills),_xlpm.kills,0)))</f>
        <v>Entry Fragger</v>
      </c>
      <c r="V1307" t="str">
        <f t="shared" si="103"/>
        <v>Medium Accuracy</v>
      </c>
      <c r="W1307" t="str" cm="1">
        <f t="array" ref="W1307">_xlfn.LET(_xlpm.roles,_xlfn.UNIQUE(D1307:D4105), _xlpm.counts,COUNTIF(D1307:D4105,_xlpm.roles), INDEX(_xlpm.roles,MATCH(MAX(_xlpm.counts),_xlpm.counts,0)))</f>
        <v>Sniper</v>
      </c>
      <c r="X1307" s="2">
        <f t="shared" si="104"/>
        <v>12.599585062240664</v>
      </c>
    </row>
    <row r="1308" spans="1:24" x14ac:dyDescent="0.3">
      <c r="A1308">
        <v>2000</v>
      </c>
      <c r="B1308">
        <v>232</v>
      </c>
      <c r="C1308" t="s">
        <v>16</v>
      </c>
      <c r="D1308" t="s">
        <v>36</v>
      </c>
      <c r="E1308" t="s">
        <v>33</v>
      </c>
      <c r="F1308" t="s">
        <v>34</v>
      </c>
      <c r="G1308">
        <v>14</v>
      </c>
      <c r="H1308">
        <v>6</v>
      </c>
      <c r="I1308">
        <v>5</v>
      </c>
      <c r="J1308">
        <v>56.25</v>
      </c>
      <c r="K1308">
        <v>201.83</v>
      </c>
      <c r="L1308">
        <v>0.12</v>
      </c>
      <c r="M1308">
        <v>55.92</v>
      </c>
      <c r="N1308">
        <v>0.91</v>
      </c>
      <c r="O1308" t="s">
        <v>20</v>
      </c>
      <c r="P1308" t="s">
        <v>21</v>
      </c>
      <c r="Q1308">
        <f t="shared" si="100"/>
        <v>15</v>
      </c>
      <c r="R1308" s="4">
        <f>RANK(N1308,$N$2:N$2800,0)</f>
        <v>1665</v>
      </c>
      <c r="S1308">
        <f t="shared" si="101"/>
        <v>2.8</v>
      </c>
      <c r="T1308" t="str">
        <f t="shared" si="102"/>
        <v>Good</v>
      </c>
      <c r="U1308" t="str" cm="1">
        <f t="array" ref="U1308">_xlfn.LET(_xlpm.roles,_xlfn.UNIQUE(D1308:D4106),_xlpm.kills, SUMIF(D1308:D4106,_xlpm.roles,G1308:G4106),INDEX(_xlpm.roles,MATCH(MAX(_xlpm.kills),_xlpm.kills,0)))</f>
        <v>Entry Fragger</v>
      </c>
      <c r="V1308" t="str">
        <f t="shared" si="103"/>
        <v>High Accuracy</v>
      </c>
      <c r="W1308" t="str" cm="1">
        <f t="array" ref="W1308">_xlfn.LET(_xlpm.roles,_xlfn.UNIQUE(D1308:D4106), _xlpm.counts,COUNTIF(D1308:D4106,_xlpm.roles), INDEX(_xlpm.roles,MATCH(MAX(_xlpm.counts),_xlpm.counts,0)))</f>
        <v>Entry Fragger</v>
      </c>
      <c r="X1308" s="2">
        <f t="shared" si="104"/>
        <v>12.520971302428256</v>
      </c>
    </row>
    <row r="1309" spans="1:24" x14ac:dyDescent="0.3">
      <c r="A1309">
        <v>2332</v>
      </c>
      <c r="B1309">
        <v>232</v>
      </c>
      <c r="C1309" t="s">
        <v>27</v>
      </c>
      <c r="D1309" t="s">
        <v>31</v>
      </c>
      <c r="E1309" t="s">
        <v>32</v>
      </c>
      <c r="F1309" t="s">
        <v>24</v>
      </c>
      <c r="G1309">
        <v>14</v>
      </c>
      <c r="H1309">
        <v>10</v>
      </c>
      <c r="I1309">
        <v>12</v>
      </c>
      <c r="J1309">
        <v>40.03</v>
      </c>
      <c r="K1309">
        <v>183.48</v>
      </c>
      <c r="L1309">
        <v>0.63</v>
      </c>
      <c r="M1309">
        <v>39.72</v>
      </c>
      <c r="N1309">
        <v>0.97</v>
      </c>
      <c r="O1309" t="s">
        <v>20</v>
      </c>
      <c r="P1309" t="s">
        <v>21</v>
      </c>
      <c r="Q1309">
        <f t="shared" si="100"/>
        <v>12</v>
      </c>
      <c r="R1309" s="4">
        <f>RANK(N1309,$N$2:N$2800,0)</f>
        <v>1243</v>
      </c>
      <c r="S1309">
        <f t="shared" si="101"/>
        <v>1.1666666666666667</v>
      </c>
      <c r="T1309" t="str">
        <f t="shared" si="102"/>
        <v>Low</v>
      </c>
      <c r="U1309" t="str" cm="1">
        <f t="array" ref="U1309">_xlfn.LET(_xlpm.roles,_xlfn.UNIQUE(D1309:D4107),_xlpm.kills, SUMIF(D1309:D4107,_xlpm.roles,G1309:G4107),INDEX(_xlpm.roles,MATCH(MAX(_xlpm.kills),_xlpm.kills,0)))</f>
        <v>Entry Fragger</v>
      </c>
      <c r="V1309" t="str">
        <f t="shared" si="103"/>
        <v>Medium Accuracy</v>
      </c>
      <c r="W1309" t="str" cm="1">
        <f t="array" ref="W1309">_xlfn.LET(_xlpm.roles,_xlfn.UNIQUE(D1309:D4107), _xlpm.counts,COUNTIF(D1309:D4107,_xlpm.roles), INDEX(_xlpm.roles,MATCH(MAX(_xlpm.counts),_xlpm.counts,0)))</f>
        <v>Sniper</v>
      </c>
      <c r="X1309" s="2">
        <f t="shared" si="104"/>
        <v>13.057077625570777</v>
      </c>
    </row>
    <row r="1310" spans="1:24" x14ac:dyDescent="0.3">
      <c r="A1310">
        <v>2493</v>
      </c>
      <c r="B1310">
        <v>232</v>
      </c>
      <c r="C1310" t="s">
        <v>30</v>
      </c>
      <c r="D1310" t="s">
        <v>28</v>
      </c>
      <c r="E1310" t="s">
        <v>29</v>
      </c>
      <c r="F1310" t="s">
        <v>19</v>
      </c>
      <c r="G1310">
        <v>15</v>
      </c>
      <c r="H1310">
        <v>7</v>
      </c>
      <c r="I1310">
        <v>11</v>
      </c>
      <c r="J1310">
        <v>37.950000000000003</v>
      </c>
      <c r="K1310">
        <v>212.94</v>
      </c>
      <c r="L1310">
        <v>0.97</v>
      </c>
      <c r="M1310">
        <v>35.28</v>
      </c>
      <c r="N1310">
        <v>0.9</v>
      </c>
      <c r="O1310" t="s">
        <v>20</v>
      </c>
      <c r="P1310" t="s">
        <v>21</v>
      </c>
      <c r="Q1310">
        <f t="shared" si="100"/>
        <v>11</v>
      </c>
      <c r="R1310" s="4">
        <f>RANK(N1310,$N$2:N$2800,0)</f>
        <v>1738</v>
      </c>
      <c r="S1310">
        <f t="shared" si="101"/>
        <v>1.3636363636363635</v>
      </c>
      <c r="T1310" t="str">
        <f t="shared" si="102"/>
        <v>Low</v>
      </c>
      <c r="U1310" t="str" cm="1">
        <f t="array" ref="U1310">_xlfn.LET(_xlpm.roles,_xlfn.UNIQUE(D1310:D4108),_xlpm.kills, SUMIF(D1310:D4108,_xlpm.roles,G1310:G4108),INDEX(_xlpm.roles,MATCH(MAX(_xlpm.kills),_xlpm.kills,0)))</f>
        <v>Entry Fragger</v>
      </c>
      <c r="V1310" t="str">
        <f t="shared" si="103"/>
        <v>Medium Accuracy</v>
      </c>
      <c r="W1310" t="str" cm="1">
        <f t="array" ref="W1310">_xlfn.LET(_xlpm.roles,_xlfn.UNIQUE(D1310:D4108), _xlpm.counts,COUNTIF(D1310:D4108,_xlpm.roles), INDEX(_xlpm.roles,MATCH(MAX(_xlpm.counts),_xlpm.counts,0)))</f>
        <v>Sniper</v>
      </c>
      <c r="X1310" s="2">
        <f t="shared" si="104"/>
        <v>13.135802469135802</v>
      </c>
    </row>
    <row r="1311" spans="1:24" x14ac:dyDescent="0.3">
      <c r="A1311">
        <v>1386</v>
      </c>
      <c r="B1311">
        <v>233</v>
      </c>
      <c r="C1311" t="s">
        <v>35</v>
      </c>
      <c r="D1311" t="s">
        <v>31</v>
      </c>
      <c r="E1311" t="s">
        <v>23</v>
      </c>
      <c r="F1311" t="s">
        <v>24</v>
      </c>
      <c r="G1311">
        <v>7</v>
      </c>
      <c r="H1311">
        <v>10</v>
      </c>
      <c r="I1311">
        <v>16</v>
      </c>
      <c r="J1311">
        <v>39.200000000000003</v>
      </c>
      <c r="K1311">
        <v>261.33999999999997</v>
      </c>
      <c r="L1311">
        <v>0.39</v>
      </c>
      <c r="M1311">
        <v>23.7</v>
      </c>
      <c r="N1311">
        <v>0.94</v>
      </c>
      <c r="O1311" t="s">
        <v>20</v>
      </c>
      <c r="P1311" t="s">
        <v>21</v>
      </c>
      <c r="Q1311">
        <f t="shared" si="100"/>
        <v>1</v>
      </c>
      <c r="R1311" s="4">
        <f>RANK(N1311,$N$2:N$2800,0)</f>
        <v>1431</v>
      </c>
      <c r="S1311">
        <f t="shared" si="101"/>
        <v>0.4375</v>
      </c>
      <c r="T1311" t="str">
        <f t="shared" si="102"/>
        <v>Low</v>
      </c>
      <c r="U1311" t="str" cm="1">
        <f t="array" ref="U1311">_xlfn.LET(_xlpm.roles,_xlfn.UNIQUE(D1311:D4109),_xlpm.kills, SUMIF(D1311:D4109,_xlpm.roles,G1311:G4109),INDEX(_xlpm.roles,MATCH(MAX(_xlpm.kills),_xlpm.kills,0)))</f>
        <v>Entry Fragger</v>
      </c>
      <c r="V1311" t="str">
        <f t="shared" si="103"/>
        <v>Medium Accuracy</v>
      </c>
      <c r="W1311" t="str" cm="1">
        <f t="array" ref="W1311">_xlfn.LET(_xlpm.roles,_xlfn.UNIQUE(D1311:D4109), _xlpm.counts,COUNTIF(D1311:D4109,_xlpm.roles), INDEX(_xlpm.roles,MATCH(MAX(_xlpm.counts),_xlpm.counts,0)))</f>
        <v>Sniper</v>
      </c>
      <c r="X1311" s="2">
        <f t="shared" si="104"/>
        <v>12.599585062240664</v>
      </c>
    </row>
    <row r="1312" spans="1:24" x14ac:dyDescent="0.3">
      <c r="A1312">
        <v>1460</v>
      </c>
      <c r="B1312">
        <v>233</v>
      </c>
      <c r="C1312" t="s">
        <v>35</v>
      </c>
      <c r="D1312" t="s">
        <v>36</v>
      </c>
      <c r="E1312" t="s">
        <v>18</v>
      </c>
      <c r="F1312" t="s">
        <v>26</v>
      </c>
      <c r="G1312">
        <v>14</v>
      </c>
      <c r="H1312">
        <v>9</v>
      </c>
      <c r="I1312">
        <v>11</v>
      </c>
      <c r="J1312">
        <v>55.41</v>
      </c>
      <c r="K1312">
        <v>297.62</v>
      </c>
      <c r="L1312">
        <v>0.9</v>
      </c>
      <c r="M1312">
        <v>44.7</v>
      </c>
      <c r="N1312">
        <v>0.94</v>
      </c>
      <c r="O1312" t="s">
        <v>20</v>
      </c>
      <c r="P1312" t="s">
        <v>21</v>
      </c>
      <c r="Q1312">
        <f t="shared" si="100"/>
        <v>12</v>
      </c>
      <c r="R1312" s="4">
        <f>RANK(N1312,$N$2:N$2800,0)</f>
        <v>1431</v>
      </c>
      <c r="S1312">
        <f t="shared" si="101"/>
        <v>1.2727272727272727</v>
      </c>
      <c r="T1312" t="str">
        <f t="shared" si="102"/>
        <v>Low</v>
      </c>
      <c r="U1312" t="str" cm="1">
        <f t="array" ref="U1312">_xlfn.LET(_xlpm.roles,_xlfn.UNIQUE(D1312:D4110),_xlpm.kills, SUMIF(D1312:D4110,_xlpm.roles,G1312:G4110),INDEX(_xlpm.roles,MATCH(MAX(_xlpm.kills),_xlpm.kills,0)))</f>
        <v>Entry Fragger</v>
      </c>
      <c r="V1312" t="str">
        <f t="shared" si="103"/>
        <v>High Accuracy</v>
      </c>
      <c r="W1312" t="str" cm="1">
        <f t="array" ref="W1312">_xlfn.LET(_xlpm.roles,_xlfn.UNIQUE(D1312:D4110), _xlpm.counts,COUNTIF(D1312:D4110,_xlpm.roles), INDEX(_xlpm.roles,MATCH(MAX(_xlpm.counts),_xlpm.counts,0)))</f>
        <v>Entry Fragger</v>
      </c>
      <c r="X1312" s="2">
        <f t="shared" si="104"/>
        <v>12.599585062240664</v>
      </c>
    </row>
    <row r="1313" spans="1:24" x14ac:dyDescent="0.3">
      <c r="A1313">
        <v>2176</v>
      </c>
      <c r="B1313">
        <v>233</v>
      </c>
      <c r="C1313" t="s">
        <v>16</v>
      </c>
      <c r="D1313" t="s">
        <v>31</v>
      </c>
      <c r="E1313" t="s">
        <v>33</v>
      </c>
      <c r="F1313" t="s">
        <v>26</v>
      </c>
      <c r="G1313">
        <v>12</v>
      </c>
      <c r="H1313">
        <v>9</v>
      </c>
      <c r="I1313">
        <v>6</v>
      </c>
      <c r="J1313">
        <v>35.82</v>
      </c>
      <c r="K1313">
        <v>203.16</v>
      </c>
      <c r="L1313">
        <v>0.48</v>
      </c>
      <c r="M1313">
        <v>40.11</v>
      </c>
      <c r="N1313">
        <v>0.89</v>
      </c>
      <c r="O1313" t="s">
        <v>20</v>
      </c>
      <c r="P1313" t="s">
        <v>21</v>
      </c>
      <c r="Q1313">
        <f t="shared" si="100"/>
        <v>15</v>
      </c>
      <c r="R1313" s="4">
        <f>RANK(N1313,$N$2:N$2800,0)</f>
        <v>1815</v>
      </c>
      <c r="S1313">
        <f t="shared" si="101"/>
        <v>2</v>
      </c>
      <c r="T1313" t="str">
        <f t="shared" si="102"/>
        <v>Good</v>
      </c>
      <c r="U1313" t="str" cm="1">
        <f t="array" ref="U1313">_xlfn.LET(_xlpm.roles,_xlfn.UNIQUE(D1313:D4111),_xlpm.kills, SUMIF(D1313:D4111,_xlpm.roles,G1313:G4111),INDEX(_xlpm.roles,MATCH(MAX(_xlpm.kills),_xlpm.kills,0)))</f>
        <v>Entry Fragger</v>
      </c>
      <c r="V1313" t="str">
        <f t="shared" si="103"/>
        <v>Medium Accuracy</v>
      </c>
      <c r="W1313" t="str" cm="1">
        <f t="array" ref="W1313">_xlfn.LET(_xlpm.roles,_xlfn.UNIQUE(D1313:D4111), _xlpm.counts,COUNTIF(D1313:D4111,_xlpm.roles), INDEX(_xlpm.roles,MATCH(MAX(_xlpm.counts),_xlpm.counts,0)))</f>
        <v>Sniper</v>
      </c>
      <c r="X1313" s="2">
        <f t="shared" si="104"/>
        <v>12.520971302428256</v>
      </c>
    </row>
    <row r="1314" spans="1:24" x14ac:dyDescent="0.3">
      <c r="A1314">
        <v>2659</v>
      </c>
      <c r="B1314">
        <v>233</v>
      </c>
      <c r="C1314" t="s">
        <v>35</v>
      </c>
      <c r="D1314" t="s">
        <v>36</v>
      </c>
      <c r="E1314" t="s">
        <v>23</v>
      </c>
      <c r="F1314" t="s">
        <v>19</v>
      </c>
      <c r="G1314">
        <v>14</v>
      </c>
      <c r="H1314">
        <v>9</v>
      </c>
      <c r="I1314">
        <v>11</v>
      </c>
      <c r="J1314">
        <v>47.22</v>
      </c>
      <c r="K1314">
        <v>237.86</v>
      </c>
      <c r="L1314">
        <v>0.47</v>
      </c>
      <c r="M1314">
        <v>44.91</v>
      </c>
      <c r="N1314">
        <v>0.92</v>
      </c>
      <c r="O1314" t="s">
        <v>20</v>
      </c>
      <c r="P1314" t="s">
        <v>21</v>
      </c>
      <c r="Q1314">
        <f t="shared" si="100"/>
        <v>12</v>
      </c>
      <c r="R1314" s="4">
        <f>RANK(N1314,$N$2:N$2800,0)</f>
        <v>1585</v>
      </c>
      <c r="S1314">
        <f t="shared" si="101"/>
        <v>1.2727272727272727</v>
      </c>
      <c r="T1314" t="str">
        <f t="shared" si="102"/>
        <v>Low</v>
      </c>
      <c r="U1314" t="str" cm="1">
        <f t="array" ref="U1314">_xlfn.LET(_xlpm.roles,_xlfn.UNIQUE(D1314:D4112),_xlpm.kills, SUMIF(D1314:D4112,_xlpm.roles,G1314:G4112),INDEX(_xlpm.roles,MATCH(MAX(_xlpm.kills),_xlpm.kills,0)))</f>
        <v>Entry Fragger</v>
      </c>
      <c r="V1314" t="str">
        <f t="shared" si="103"/>
        <v>Medium Accuracy</v>
      </c>
      <c r="W1314" t="str" cm="1">
        <f t="array" ref="W1314">_xlfn.LET(_xlpm.roles,_xlfn.UNIQUE(D1314:D4112), _xlpm.counts,COUNTIF(D1314:D4112,_xlpm.roles), INDEX(_xlpm.roles,MATCH(MAX(_xlpm.counts),_xlpm.counts,0)))</f>
        <v>Entry Fragger</v>
      </c>
      <c r="X1314" s="2">
        <f t="shared" si="104"/>
        <v>12.599585062240664</v>
      </c>
    </row>
    <row r="1315" spans="1:24" x14ac:dyDescent="0.3">
      <c r="A1315">
        <v>1156</v>
      </c>
      <c r="B1315">
        <v>234</v>
      </c>
      <c r="C1315" t="s">
        <v>35</v>
      </c>
      <c r="D1315" t="s">
        <v>17</v>
      </c>
      <c r="E1315" t="s">
        <v>29</v>
      </c>
      <c r="F1315" t="s">
        <v>24</v>
      </c>
      <c r="G1315">
        <v>18</v>
      </c>
      <c r="H1315">
        <v>9</v>
      </c>
      <c r="I1315">
        <v>16</v>
      </c>
      <c r="J1315">
        <v>47.74</v>
      </c>
      <c r="K1315">
        <v>265.87</v>
      </c>
      <c r="L1315">
        <v>0.56000000000000005</v>
      </c>
      <c r="M1315">
        <v>47.27</v>
      </c>
      <c r="N1315">
        <v>1</v>
      </c>
      <c r="O1315" t="s">
        <v>20</v>
      </c>
      <c r="P1315" t="s">
        <v>21</v>
      </c>
      <c r="Q1315">
        <f t="shared" si="100"/>
        <v>11</v>
      </c>
      <c r="R1315" s="4">
        <f>RANK(N1315,$N$2:N$2800,0)</f>
        <v>1</v>
      </c>
      <c r="S1315">
        <f t="shared" si="101"/>
        <v>1.125</v>
      </c>
      <c r="T1315" t="str">
        <f t="shared" si="102"/>
        <v>Low</v>
      </c>
      <c r="U1315" t="str" cm="1">
        <f t="array" ref="U1315">_xlfn.LET(_xlpm.roles,_xlfn.UNIQUE(D1315:D4113),_xlpm.kills, SUMIF(D1315:D4113,_xlpm.roles,G1315:G4113),INDEX(_xlpm.roles,MATCH(MAX(_xlpm.kills),_xlpm.kills,0)))</f>
        <v>Entry Fragger</v>
      </c>
      <c r="V1315" t="str">
        <f t="shared" si="103"/>
        <v>Medium Accuracy</v>
      </c>
      <c r="W1315" t="str" cm="1">
        <f t="array" ref="W1315">_xlfn.LET(_xlpm.roles,_xlfn.UNIQUE(D1315:D4113), _xlpm.counts,COUNTIF(D1315:D4113,_xlpm.roles), INDEX(_xlpm.roles,MATCH(MAX(_xlpm.counts),_xlpm.counts,0)))</f>
        <v>Entry Fragger</v>
      </c>
      <c r="X1315" s="2">
        <f t="shared" si="104"/>
        <v>12.599585062240664</v>
      </c>
    </row>
    <row r="1316" spans="1:24" x14ac:dyDescent="0.3">
      <c r="A1316">
        <v>1532</v>
      </c>
      <c r="B1316">
        <v>234</v>
      </c>
      <c r="C1316" t="s">
        <v>39</v>
      </c>
      <c r="D1316" t="s">
        <v>36</v>
      </c>
      <c r="E1316" t="s">
        <v>18</v>
      </c>
      <c r="F1316" t="s">
        <v>19</v>
      </c>
      <c r="G1316">
        <v>20</v>
      </c>
      <c r="H1316">
        <v>8</v>
      </c>
      <c r="I1316">
        <v>16</v>
      </c>
      <c r="J1316">
        <v>27.56</v>
      </c>
      <c r="K1316">
        <v>179.13</v>
      </c>
      <c r="L1316">
        <v>0.49</v>
      </c>
      <c r="M1316">
        <v>40.880000000000003</v>
      </c>
      <c r="N1316">
        <v>0.91</v>
      </c>
      <c r="O1316" t="s">
        <v>20</v>
      </c>
      <c r="P1316" t="s">
        <v>21</v>
      </c>
      <c r="Q1316">
        <f t="shared" si="100"/>
        <v>12</v>
      </c>
      <c r="R1316" s="4">
        <f>RANK(N1316,$N$2:N$2800,0)</f>
        <v>1665</v>
      </c>
      <c r="S1316">
        <f t="shared" si="101"/>
        <v>1.25</v>
      </c>
      <c r="T1316" t="str">
        <f t="shared" si="102"/>
        <v>Low</v>
      </c>
      <c r="U1316" t="str" cm="1">
        <f t="array" ref="U1316">_xlfn.LET(_xlpm.roles,_xlfn.UNIQUE(D1316:D4114),_xlpm.kills, SUMIF(D1316:D4114,_xlpm.roles,G1316:G4114),INDEX(_xlpm.roles,MATCH(MAX(_xlpm.kills),_xlpm.kills,0)))</f>
        <v>Entry Fragger</v>
      </c>
      <c r="V1316" t="str">
        <f t="shared" si="103"/>
        <v>Low Accuracy</v>
      </c>
      <c r="W1316" t="str" cm="1">
        <f t="array" ref="W1316">_xlfn.LET(_xlpm.roles,_xlfn.UNIQUE(D1316:D4114), _xlpm.counts,COUNTIF(D1316:D4114,_xlpm.roles), INDEX(_xlpm.roles,MATCH(MAX(_xlpm.counts),_xlpm.counts,0)))</f>
        <v>Entry Fragger</v>
      </c>
      <c r="X1316" s="2">
        <f t="shared" si="104"/>
        <v>13.103594080338267</v>
      </c>
    </row>
    <row r="1317" spans="1:24" x14ac:dyDescent="0.3">
      <c r="A1317">
        <v>1761</v>
      </c>
      <c r="B1317">
        <v>234</v>
      </c>
      <c r="C1317" t="s">
        <v>35</v>
      </c>
      <c r="D1317" t="s">
        <v>22</v>
      </c>
      <c r="E1317" t="s">
        <v>32</v>
      </c>
      <c r="F1317" t="s">
        <v>19</v>
      </c>
      <c r="G1317">
        <v>22</v>
      </c>
      <c r="H1317">
        <v>5</v>
      </c>
      <c r="I1317">
        <v>9</v>
      </c>
      <c r="J1317">
        <v>37.65</v>
      </c>
      <c r="K1317">
        <v>236.85</v>
      </c>
      <c r="L1317">
        <v>0.93</v>
      </c>
      <c r="M1317">
        <v>49.53</v>
      </c>
      <c r="N1317">
        <v>0.82</v>
      </c>
      <c r="O1317" t="s">
        <v>20</v>
      </c>
      <c r="P1317" t="s">
        <v>21</v>
      </c>
      <c r="Q1317">
        <f t="shared" si="100"/>
        <v>18</v>
      </c>
      <c r="R1317" s="4">
        <f>RANK(N1317,$N$2:N$2800,0)</f>
        <v>2275</v>
      </c>
      <c r="S1317">
        <f t="shared" si="101"/>
        <v>2.4444444444444446</v>
      </c>
      <c r="T1317" t="str">
        <f t="shared" si="102"/>
        <v>Good</v>
      </c>
      <c r="U1317" t="str" cm="1">
        <f t="array" ref="U1317">_xlfn.LET(_xlpm.roles,_xlfn.UNIQUE(D1317:D4115),_xlpm.kills, SUMIF(D1317:D4115,_xlpm.roles,G1317:G4115),INDEX(_xlpm.roles,MATCH(MAX(_xlpm.kills),_xlpm.kills,0)))</f>
        <v>Entry Fragger</v>
      </c>
      <c r="V1317" t="str">
        <f t="shared" si="103"/>
        <v>Medium Accuracy</v>
      </c>
      <c r="W1317" t="str" cm="1">
        <f t="array" ref="W1317">_xlfn.LET(_xlpm.roles,_xlfn.UNIQUE(D1317:D4115), _xlpm.counts,COUNTIF(D1317:D4115,_xlpm.roles), INDEX(_xlpm.roles,MATCH(MAX(_xlpm.counts),_xlpm.counts,0)))</f>
        <v>Sniper</v>
      </c>
      <c r="X1317" s="2">
        <f t="shared" si="104"/>
        <v>12.599585062240664</v>
      </c>
    </row>
    <row r="1318" spans="1:24" x14ac:dyDescent="0.3">
      <c r="A1318">
        <v>1902</v>
      </c>
      <c r="B1318">
        <v>234</v>
      </c>
      <c r="C1318" t="s">
        <v>25</v>
      </c>
      <c r="D1318" t="s">
        <v>36</v>
      </c>
      <c r="E1318" t="s">
        <v>18</v>
      </c>
      <c r="F1318" t="s">
        <v>19</v>
      </c>
      <c r="G1318">
        <v>12</v>
      </c>
      <c r="H1318">
        <v>6</v>
      </c>
      <c r="I1318">
        <v>11</v>
      </c>
      <c r="J1318">
        <v>52.03</v>
      </c>
      <c r="K1318">
        <v>218.11</v>
      </c>
      <c r="L1318">
        <v>0.73</v>
      </c>
      <c r="M1318">
        <v>37.72</v>
      </c>
      <c r="N1318">
        <v>0.65</v>
      </c>
      <c r="O1318" t="s">
        <v>20</v>
      </c>
      <c r="P1318" t="s">
        <v>21</v>
      </c>
      <c r="Q1318">
        <f t="shared" si="100"/>
        <v>7</v>
      </c>
      <c r="R1318" s="4">
        <f>RANK(N1318,$N$2:N$2800,0)</f>
        <v>2756</v>
      </c>
      <c r="S1318">
        <f t="shared" si="101"/>
        <v>1.0909090909090908</v>
      </c>
      <c r="T1318" t="str">
        <f t="shared" si="102"/>
        <v>Low</v>
      </c>
      <c r="U1318" t="str" cm="1">
        <f t="array" ref="U1318">_xlfn.LET(_xlpm.roles,_xlfn.UNIQUE(D1318:D4116),_xlpm.kills, SUMIF(D1318:D4116,_xlpm.roles,G1318:G4116),INDEX(_xlpm.roles,MATCH(MAX(_xlpm.kills),_xlpm.kills,0)))</f>
        <v>Entry Fragger</v>
      </c>
      <c r="V1318" t="str">
        <f t="shared" si="103"/>
        <v>High Accuracy</v>
      </c>
      <c r="W1318" t="str" cm="1">
        <f t="array" ref="W1318">_xlfn.LET(_xlpm.roles,_xlfn.UNIQUE(D1318:D4116), _xlpm.counts,COUNTIF(D1318:D4116,_xlpm.roles), INDEX(_xlpm.roles,MATCH(MAX(_xlpm.counts),_xlpm.counts,0)))</f>
        <v>Sniper</v>
      </c>
      <c r="X1318" s="2">
        <f t="shared" si="104"/>
        <v>12.809421841541756</v>
      </c>
    </row>
    <row r="1319" spans="1:24" x14ac:dyDescent="0.3">
      <c r="A1319">
        <v>324</v>
      </c>
      <c r="B1319">
        <v>235</v>
      </c>
      <c r="C1319" t="s">
        <v>16</v>
      </c>
      <c r="D1319" t="s">
        <v>28</v>
      </c>
      <c r="E1319" t="s">
        <v>33</v>
      </c>
      <c r="F1319" t="s">
        <v>19</v>
      </c>
      <c r="G1319">
        <v>16</v>
      </c>
      <c r="H1319">
        <v>9</v>
      </c>
      <c r="I1319">
        <v>9</v>
      </c>
      <c r="J1319">
        <v>29.41</v>
      </c>
      <c r="K1319">
        <v>242.69</v>
      </c>
      <c r="L1319">
        <v>0.2</v>
      </c>
      <c r="M1319">
        <v>44.7</v>
      </c>
      <c r="N1319">
        <v>0.76</v>
      </c>
      <c r="O1319" t="s">
        <v>20</v>
      </c>
      <c r="P1319" t="s">
        <v>21</v>
      </c>
      <c r="Q1319">
        <f t="shared" si="100"/>
        <v>16</v>
      </c>
      <c r="R1319" s="4">
        <f>RANK(N1319,$N$2:N$2800,0)</f>
        <v>2547</v>
      </c>
      <c r="S1319">
        <f t="shared" si="101"/>
        <v>1.7777777777777777</v>
      </c>
      <c r="T1319" t="str">
        <f t="shared" si="102"/>
        <v>Good</v>
      </c>
      <c r="U1319" t="str" cm="1">
        <f t="array" ref="U1319">_xlfn.LET(_xlpm.roles,_xlfn.UNIQUE(D1319:D4117),_xlpm.kills, SUMIF(D1319:D4117,_xlpm.roles,G1319:G4117),INDEX(_xlpm.roles,MATCH(MAX(_xlpm.kills),_xlpm.kills,0)))</f>
        <v>Entry Fragger</v>
      </c>
      <c r="V1319" t="str">
        <f t="shared" si="103"/>
        <v>Low Accuracy</v>
      </c>
      <c r="W1319" t="str" cm="1">
        <f t="array" ref="W1319">_xlfn.LET(_xlpm.roles,_xlfn.UNIQUE(D1319:D4117), _xlpm.counts,COUNTIF(D1319:D4117,_xlpm.roles), INDEX(_xlpm.roles,MATCH(MAX(_xlpm.counts),_xlpm.counts,0)))</f>
        <v>Sniper</v>
      </c>
      <c r="X1319" s="2">
        <f t="shared" si="104"/>
        <v>12.520971302428256</v>
      </c>
    </row>
    <row r="1320" spans="1:24" x14ac:dyDescent="0.3">
      <c r="A1320">
        <v>510</v>
      </c>
      <c r="B1320">
        <v>235</v>
      </c>
      <c r="C1320" t="s">
        <v>30</v>
      </c>
      <c r="D1320" t="s">
        <v>17</v>
      </c>
      <c r="E1320" t="s">
        <v>29</v>
      </c>
      <c r="F1320" t="s">
        <v>24</v>
      </c>
      <c r="G1320">
        <v>6</v>
      </c>
      <c r="H1320">
        <v>7</v>
      </c>
      <c r="I1320">
        <v>9</v>
      </c>
      <c r="J1320">
        <v>51.98</v>
      </c>
      <c r="K1320">
        <v>187.43</v>
      </c>
      <c r="L1320">
        <v>0.74</v>
      </c>
      <c r="M1320">
        <v>28.59</v>
      </c>
      <c r="N1320">
        <v>0.79</v>
      </c>
      <c r="O1320" t="s">
        <v>20</v>
      </c>
      <c r="P1320" t="s">
        <v>21</v>
      </c>
      <c r="Q1320">
        <f t="shared" si="100"/>
        <v>4</v>
      </c>
      <c r="R1320" s="4">
        <f>RANK(N1320,$N$2:N$2800,0)</f>
        <v>2436</v>
      </c>
      <c r="S1320">
        <f t="shared" si="101"/>
        <v>0.66666666666666663</v>
      </c>
      <c r="T1320" t="str">
        <f t="shared" si="102"/>
        <v>Low</v>
      </c>
      <c r="U1320" t="str" cm="1">
        <f t="array" ref="U1320">_xlfn.LET(_xlpm.roles,_xlfn.UNIQUE(D1320:D4118),_xlpm.kills, SUMIF(D1320:D4118,_xlpm.roles,G1320:G4118),INDEX(_xlpm.roles,MATCH(MAX(_xlpm.kills),_xlpm.kills,0)))</f>
        <v>Entry Fragger</v>
      </c>
      <c r="V1320" t="str">
        <f t="shared" si="103"/>
        <v>High Accuracy</v>
      </c>
      <c r="W1320" t="str" cm="1">
        <f t="array" ref="W1320">_xlfn.LET(_xlpm.roles,_xlfn.UNIQUE(D1320:D4118), _xlpm.counts,COUNTIF(D1320:D4118,_xlpm.roles), INDEX(_xlpm.roles,MATCH(MAX(_xlpm.counts),_xlpm.counts,0)))</f>
        <v>Sniper</v>
      </c>
      <c r="X1320" s="2">
        <f t="shared" si="104"/>
        <v>13.135802469135802</v>
      </c>
    </row>
    <row r="1321" spans="1:24" x14ac:dyDescent="0.3">
      <c r="A1321">
        <v>613</v>
      </c>
      <c r="B1321">
        <v>235</v>
      </c>
      <c r="C1321" t="s">
        <v>16</v>
      </c>
      <c r="D1321" t="s">
        <v>31</v>
      </c>
      <c r="E1321" t="s">
        <v>29</v>
      </c>
      <c r="F1321" t="s">
        <v>19</v>
      </c>
      <c r="G1321">
        <v>18</v>
      </c>
      <c r="H1321">
        <v>6</v>
      </c>
      <c r="I1321">
        <v>4</v>
      </c>
      <c r="J1321">
        <v>41.47</v>
      </c>
      <c r="K1321">
        <v>228.72</v>
      </c>
      <c r="L1321">
        <v>0.84</v>
      </c>
      <c r="M1321">
        <v>50.34</v>
      </c>
      <c r="N1321">
        <v>1</v>
      </c>
      <c r="O1321" t="s">
        <v>20</v>
      </c>
      <c r="P1321" t="s">
        <v>21</v>
      </c>
      <c r="Q1321">
        <f t="shared" si="100"/>
        <v>20</v>
      </c>
      <c r="R1321" s="4">
        <f>RANK(N1321,$N$2:N$2800,0)</f>
        <v>1</v>
      </c>
      <c r="S1321">
        <f t="shared" si="101"/>
        <v>4.5</v>
      </c>
      <c r="T1321" t="str">
        <f t="shared" si="102"/>
        <v>Good</v>
      </c>
      <c r="U1321" t="str" cm="1">
        <f t="array" ref="U1321">_xlfn.LET(_xlpm.roles,_xlfn.UNIQUE(D1321:D4119),_xlpm.kills, SUMIF(D1321:D4119,_xlpm.roles,G1321:G4119),INDEX(_xlpm.roles,MATCH(MAX(_xlpm.kills),_xlpm.kills,0)))</f>
        <v>Entry Fragger</v>
      </c>
      <c r="V1321" t="str">
        <f t="shared" si="103"/>
        <v>Medium Accuracy</v>
      </c>
      <c r="W1321" t="str" cm="1">
        <f t="array" ref="W1321">_xlfn.LET(_xlpm.roles,_xlfn.UNIQUE(D1321:D4119), _xlpm.counts,COUNTIF(D1321:D4119,_xlpm.roles), INDEX(_xlpm.roles,MATCH(MAX(_xlpm.counts),_xlpm.counts,0)))</f>
        <v>Sniper</v>
      </c>
      <c r="X1321" s="2">
        <f t="shared" si="104"/>
        <v>12.520971302428256</v>
      </c>
    </row>
    <row r="1322" spans="1:24" x14ac:dyDescent="0.3">
      <c r="A1322">
        <v>1382</v>
      </c>
      <c r="B1322">
        <v>235</v>
      </c>
      <c r="C1322" t="s">
        <v>39</v>
      </c>
      <c r="D1322" t="s">
        <v>31</v>
      </c>
      <c r="E1322" t="s">
        <v>23</v>
      </c>
      <c r="F1322" t="s">
        <v>34</v>
      </c>
      <c r="G1322">
        <v>13</v>
      </c>
      <c r="H1322">
        <v>6</v>
      </c>
      <c r="I1322">
        <v>5</v>
      </c>
      <c r="J1322">
        <v>55.14</v>
      </c>
      <c r="K1322">
        <v>218.03</v>
      </c>
      <c r="L1322">
        <v>0.4</v>
      </c>
      <c r="M1322">
        <v>50.57</v>
      </c>
      <c r="N1322">
        <v>0.9</v>
      </c>
      <c r="O1322" t="s">
        <v>20</v>
      </c>
      <c r="P1322" t="s">
        <v>21</v>
      </c>
      <c r="Q1322">
        <f t="shared" si="100"/>
        <v>14</v>
      </c>
      <c r="R1322" s="4">
        <f>RANK(N1322,$N$2:N$2800,0)</f>
        <v>1738</v>
      </c>
      <c r="S1322">
        <f t="shared" si="101"/>
        <v>2.6</v>
      </c>
      <c r="T1322" t="str">
        <f t="shared" si="102"/>
        <v>Low</v>
      </c>
      <c r="U1322" t="str" cm="1">
        <f t="array" ref="U1322">_xlfn.LET(_xlpm.roles,_xlfn.UNIQUE(D1322:D4120),_xlpm.kills, SUMIF(D1322:D4120,_xlpm.roles,G1322:G4120),INDEX(_xlpm.roles,MATCH(MAX(_xlpm.kills),_xlpm.kills,0)))</f>
        <v>Entry Fragger</v>
      </c>
      <c r="V1322" t="str">
        <f t="shared" si="103"/>
        <v>High Accuracy</v>
      </c>
      <c r="W1322" t="str" cm="1">
        <f t="array" ref="W1322">_xlfn.LET(_xlpm.roles,_xlfn.UNIQUE(D1322:D4120), _xlpm.counts,COUNTIF(D1322:D4120,_xlpm.roles), INDEX(_xlpm.roles,MATCH(MAX(_xlpm.counts),_xlpm.counts,0)))</f>
        <v>Sniper</v>
      </c>
      <c r="X1322" s="2">
        <f t="shared" si="104"/>
        <v>13.103594080338267</v>
      </c>
    </row>
    <row r="1323" spans="1:24" x14ac:dyDescent="0.3">
      <c r="A1323">
        <v>1577</v>
      </c>
      <c r="B1323">
        <v>235</v>
      </c>
      <c r="C1323" t="s">
        <v>25</v>
      </c>
      <c r="D1323" t="s">
        <v>28</v>
      </c>
      <c r="E1323" t="s">
        <v>33</v>
      </c>
      <c r="F1323" t="s">
        <v>37</v>
      </c>
      <c r="G1323">
        <v>21</v>
      </c>
      <c r="H1323">
        <v>5</v>
      </c>
      <c r="I1323">
        <v>8</v>
      </c>
      <c r="J1323">
        <v>52.12</v>
      </c>
      <c r="K1323">
        <v>253.18</v>
      </c>
      <c r="L1323">
        <v>0.02</v>
      </c>
      <c r="M1323">
        <v>64.86</v>
      </c>
      <c r="N1323">
        <v>1</v>
      </c>
      <c r="O1323" t="s">
        <v>20</v>
      </c>
      <c r="P1323" t="s">
        <v>38</v>
      </c>
      <c r="Q1323">
        <f t="shared" si="100"/>
        <v>18</v>
      </c>
      <c r="R1323" s="4">
        <f>RANK(N1323,$N$2:N$2800,0)</f>
        <v>1</v>
      </c>
      <c r="S1323">
        <f t="shared" si="101"/>
        <v>2.625</v>
      </c>
      <c r="T1323" t="str">
        <f t="shared" si="102"/>
        <v>Good</v>
      </c>
      <c r="U1323" t="str" cm="1">
        <f t="array" ref="U1323">_xlfn.LET(_xlpm.roles,_xlfn.UNIQUE(D1323:D4121),_xlpm.kills, SUMIF(D1323:D4121,_xlpm.roles,G1323:G4121),INDEX(_xlpm.roles,MATCH(MAX(_xlpm.kills),_xlpm.kills,0)))</f>
        <v>Entry Fragger</v>
      </c>
      <c r="V1323" t="str">
        <f t="shared" si="103"/>
        <v>High Accuracy</v>
      </c>
      <c r="W1323" t="str" cm="1">
        <f t="array" ref="W1323">_xlfn.LET(_xlpm.roles,_xlfn.UNIQUE(D1323:D4121), _xlpm.counts,COUNTIF(D1323:D4121,_xlpm.roles), INDEX(_xlpm.roles,MATCH(MAX(_xlpm.counts),_xlpm.counts,0)))</f>
        <v>Entry Fragger</v>
      </c>
      <c r="X1323" s="2">
        <f t="shared" si="104"/>
        <v>12.809421841541756</v>
      </c>
    </row>
    <row r="1324" spans="1:24" x14ac:dyDescent="0.3">
      <c r="A1324">
        <v>1629</v>
      </c>
      <c r="B1324">
        <v>235</v>
      </c>
      <c r="C1324" t="s">
        <v>27</v>
      </c>
      <c r="D1324" t="s">
        <v>28</v>
      </c>
      <c r="E1324" t="s">
        <v>18</v>
      </c>
      <c r="F1324" t="s">
        <v>19</v>
      </c>
      <c r="G1324">
        <v>10</v>
      </c>
      <c r="H1324">
        <v>10</v>
      </c>
      <c r="I1324">
        <v>10</v>
      </c>
      <c r="J1324">
        <v>40.93</v>
      </c>
      <c r="K1324">
        <v>256.67</v>
      </c>
      <c r="L1324">
        <v>0.46</v>
      </c>
      <c r="M1324">
        <v>35.869999999999997</v>
      </c>
      <c r="N1324">
        <v>0.84</v>
      </c>
      <c r="O1324" t="s">
        <v>20</v>
      </c>
      <c r="P1324" t="s">
        <v>21</v>
      </c>
      <c r="Q1324">
        <f t="shared" si="100"/>
        <v>10</v>
      </c>
      <c r="R1324" s="4">
        <f>RANK(N1324,$N$2:N$2800,0)</f>
        <v>2156</v>
      </c>
      <c r="S1324">
        <f t="shared" si="101"/>
        <v>1</v>
      </c>
      <c r="T1324" t="str">
        <f t="shared" si="102"/>
        <v>Low</v>
      </c>
      <c r="U1324" t="str" cm="1">
        <f t="array" ref="U1324">_xlfn.LET(_xlpm.roles,_xlfn.UNIQUE(D1324:D4122),_xlpm.kills, SUMIF(D1324:D4122,_xlpm.roles,G1324:G4122),INDEX(_xlpm.roles,MATCH(MAX(_xlpm.kills),_xlpm.kills,0)))</f>
        <v>Entry Fragger</v>
      </c>
      <c r="V1324" t="str">
        <f t="shared" si="103"/>
        <v>Medium Accuracy</v>
      </c>
      <c r="W1324" t="str" cm="1">
        <f t="array" ref="W1324">_xlfn.LET(_xlpm.roles,_xlfn.UNIQUE(D1324:D4122), _xlpm.counts,COUNTIF(D1324:D4122,_xlpm.roles), INDEX(_xlpm.roles,MATCH(MAX(_xlpm.counts),_xlpm.counts,0)))</f>
        <v>Entry Fragger</v>
      </c>
      <c r="X1324" s="2">
        <f t="shared" si="104"/>
        <v>13.057077625570777</v>
      </c>
    </row>
    <row r="1325" spans="1:24" x14ac:dyDescent="0.3">
      <c r="A1325">
        <v>2135</v>
      </c>
      <c r="B1325">
        <v>235</v>
      </c>
      <c r="C1325" t="s">
        <v>16</v>
      </c>
      <c r="D1325" t="s">
        <v>17</v>
      </c>
      <c r="E1325" t="s">
        <v>32</v>
      </c>
      <c r="F1325" t="s">
        <v>37</v>
      </c>
      <c r="G1325">
        <v>11</v>
      </c>
      <c r="H1325">
        <v>7</v>
      </c>
      <c r="I1325">
        <v>12</v>
      </c>
      <c r="J1325">
        <v>51.2</v>
      </c>
      <c r="K1325">
        <v>206.43</v>
      </c>
      <c r="L1325">
        <v>0.46</v>
      </c>
      <c r="M1325">
        <v>38</v>
      </c>
      <c r="N1325">
        <v>0.74</v>
      </c>
      <c r="O1325" t="s">
        <v>20</v>
      </c>
      <c r="P1325" t="s">
        <v>21</v>
      </c>
      <c r="Q1325">
        <f t="shared" si="100"/>
        <v>6</v>
      </c>
      <c r="R1325" s="4">
        <f>RANK(N1325,$N$2:N$2800,0)</f>
        <v>2613</v>
      </c>
      <c r="S1325">
        <f t="shared" si="101"/>
        <v>0.91666666666666663</v>
      </c>
      <c r="T1325" t="str">
        <f t="shared" si="102"/>
        <v>Low</v>
      </c>
      <c r="U1325" t="str" cm="1">
        <f t="array" ref="U1325">_xlfn.LET(_xlpm.roles,_xlfn.UNIQUE(D1325:D4123),_xlpm.kills, SUMIF(D1325:D4123,_xlpm.roles,G1325:G4123),INDEX(_xlpm.roles,MATCH(MAX(_xlpm.kills),_xlpm.kills,0)))</f>
        <v>Entry Fragger</v>
      </c>
      <c r="V1325" t="str">
        <f t="shared" si="103"/>
        <v>High Accuracy</v>
      </c>
      <c r="W1325" t="str" cm="1">
        <f t="array" ref="W1325">_xlfn.LET(_xlpm.roles,_xlfn.UNIQUE(D1325:D4123), _xlpm.counts,COUNTIF(D1325:D4123,_xlpm.roles), INDEX(_xlpm.roles,MATCH(MAX(_xlpm.counts),_xlpm.counts,0)))</f>
        <v>Entry Fragger</v>
      </c>
      <c r="X1325" s="2">
        <f t="shared" si="104"/>
        <v>12.520971302428256</v>
      </c>
    </row>
    <row r="1326" spans="1:24" x14ac:dyDescent="0.3">
      <c r="A1326">
        <v>2195</v>
      </c>
      <c r="B1326">
        <v>235</v>
      </c>
      <c r="C1326" t="s">
        <v>25</v>
      </c>
      <c r="D1326" t="s">
        <v>36</v>
      </c>
      <c r="E1326" t="s">
        <v>18</v>
      </c>
      <c r="F1326" t="s">
        <v>37</v>
      </c>
      <c r="G1326">
        <v>19</v>
      </c>
      <c r="H1326">
        <v>5</v>
      </c>
      <c r="I1326">
        <v>12</v>
      </c>
      <c r="J1326">
        <v>46.2</v>
      </c>
      <c r="K1326">
        <v>236.86</v>
      </c>
      <c r="L1326">
        <v>0.81</v>
      </c>
      <c r="M1326">
        <v>46</v>
      </c>
      <c r="N1326">
        <v>0.92</v>
      </c>
      <c r="O1326" t="s">
        <v>20</v>
      </c>
      <c r="P1326" t="s">
        <v>21</v>
      </c>
      <c r="Q1326">
        <f t="shared" si="100"/>
        <v>12</v>
      </c>
      <c r="R1326" s="4">
        <f>RANK(N1326,$N$2:N$2800,0)</f>
        <v>1585</v>
      </c>
      <c r="S1326">
        <f t="shared" si="101"/>
        <v>1.5833333333333333</v>
      </c>
      <c r="T1326" t="str">
        <f t="shared" si="102"/>
        <v>Low</v>
      </c>
      <c r="U1326" t="str" cm="1">
        <f t="array" ref="U1326">_xlfn.LET(_xlpm.roles,_xlfn.UNIQUE(D1326:D4124),_xlpm.kills, SUMIF(D1326:D4124,_xlpm.roles,G1326:G4124),INDEX(_xlpm.roles,MATCH(MAX(_xlpm.kills),_xlpm.kills,0)))</f>
        <v>Entry Fragger</v>
      </c>
      <c r="V1326" t="str">
        <f t="shared" si="103"/>
        <v>Medium Accuracy</v>
      </c>
      <c r="W1326" t="str" cm="1">
        <f t="array" ref="W1326">_xlfn.LET(_xlpm.roles,_xlfn.UNIQUE(D1326:D4124), _xlpm.counts,COUNTIF(D1326:D4124,_xlpm.roles), INDEX(_xlpm.roles,MATCH(MAX(_xlpm.counts),_xlpm.counts,0)))</f>
        <v>Entry Fragger</v>
      </c>
      <c r="X1326" s="2">
        <f t="shared" si="104"/>
        <v>12.809421841541756</v>
      </c>
    </row>
    <row r="1327" spans="1:24" x14ac:dyDescent="0.3">
      <c r="A1327">
        <v>2416</v>
      </c>
      <c r="B1327">
        <v>235</v>
      </c>
      <c r="C1327" t="s">
        <v>16</v>
      </c>
      <c r="D1327" t="s">
        <v>17</v>
      </c>
      <c r="E1327" t="s">
        <v>29</v>
      </c>
      <c r="F1327" t="s">
        <v>34</v>
      </c>
      <c r="G1327">
        <v>9</v>
      </c>
      <c r="H1327">
        <v>6</v>
      </c>
      <c r="I1327">
        <v>13</v>
      </c>
      <c r="J1327">
        <v>40.75</v>
      </c>
      <c r="K1327">
        <v>208.47</v>
      </c>
      <c r="L1327">
        <v>0.76</v>
      </c>
      <c r="M1327">
        <v>23.77</v>
      </c>
      <c r="N1327">
        <v>0.63</v>
      </c>
      <c r="O1327" t="s">
        <v>20</v>
      </c>
      <c r="P1327" t="s">
        <v>21</v>
      </c>
      <c r="Q1327">
        <f t="shared" si="100"/>
        <v>2</v>
      </c>
      <c r="R1327" s="4">
        <f>RANK(N1327,$N$2:N$2800,0)</f>
        <v>2774</v>
      </c>
      <c r="S1327">
        <f t="shared" si="101"/>
        <v>0.69230769230769229</v>
      </c>
      <c r="T1327" t="str">
        <f t="shared" si="102"/>
        <v>Low</v>
      </c>
      <c r="U1327" t="str" cm="1">
        <f t="array" ref="U1327">_xlfn.LET(_xlpm.roles,_xlfn.UNIQUE(D1327:D4125),_xlpm.kills, SUMIF(D1327:D4125,_xlpm.roles,G1327:G4125),INDEX(_xlpm.roles,MATCH(MAX(_xlpm.kills),_xlpm.kills,0)))</f>
        <v>Entry Fragger</v>
      </c>
      <c r="V1327" t="str">
        <f t="shared" si="103"/>
        <v>Medium Accuracy</v>
      </c>
      <c r="W1327" t="str" cm="1">
        <f t="array" ref="W1327">_xlfn.LET(_xlpm.roles,_xlfn.UNIQUE(D1327:D4125), _xlpm.counts,COUNTIF(D1327:D4125,_xlpm.roles), INDEX(_xlpm.roles,MATCH(MAX(_xlpm.counts),_xlpm.counts,0)))</f>
        <v>Sniper</v>
      </c>
      <c r="X1327" s="2">
        <f t="shared" si="104"/>
        <v>12.520971302428256</v>
      </c>
    </row>
    <row r="1328" spans="1:24" x14ac:dyDescent="0.3">
      <c r="A1328">
        <v>2564</v>
      </c>
      <c r="B1328">
        <v>235</v>
      </c>
      <c r="C1328" t="s">
        <v>25</v>
      </c>
      <c r="D1328" t="s">
        <v>36</v>
      </c>
      <c r="E1328" t="s">
        <v>18</v>
      </c>
      <c r="F1328" t="s">
        <v>24</v>
      </c>
      <c r="G1328">
        <v>20</v>
      </c>
      <c r="H1328">
        <v>9</v>
      </c>
      <c r="I1328">
        <v>8</v>
      </c>
      <c r="J1328">
        <v>45.98</v>
      </c>
      <c r="K1328">
        <v>221.32</v>
      </c>
      <c r="L1328">
        <v>0.46</v>
      </c>
      <c r="M1328">
        <v>59.39</v>
      </c>
      <c r="N1328">
        <v>1</v>
      </c>
      <c r="O1328" t="s">
        <v>20</v>
      </c>
      <c r="P1328" t="s">
        <v>21</v>
      </c>
      <c r="Q1328">
        <f t="shared" si="100"/>
        <v>21</v>
      </c>
      <c r="R1328" s="4">
        <f>RANK(N1328,$N$2:N$2800,0)</f>
        <v>1</v>
      </c>
      <c r="S1328">
        <f t="shared" si="101"/>
        <v>2.5</v>
      </c>
      <c r="T1328" t="str">
        <f t="shared" si="102"/>
        <v>Good</v>
      </c>
      <c r="U1328" t="str" cm="1">
        <f t="array" ref="U1328">_xlfn.LET(_xlpm.roles,_xlfn.UNIQUE(D1328:D4126),_xlpm.kills, SUMIF(D1328:D4126,_xlpm.roles,G1328:G4126),INDEX(_xlpm.roles,MATCH(MAX(_xlpm.kills),_xlpm.kills,0)))</f>
        <v>Entry Fragger</v>
      </c>
      <c r="V1328" t="str">
        <f t="shared" si="103"/>
        <v>Medium Accuracy</v>
      </c>
      <c r="W1328" t="str" cm="1">
        <f t="array" ref="W1328">_xlfn.LET(_xlpm.roles,_xlfn.UNIQUE(D1328:D4126), _xlpm.counts,COUNTIF(D1328:D4126,_xlpm.roles), INDEX(_xlpm.roles,MATCH(MAX(_xlpm.counts),_xlpm.counts,0)))</f>
        <v>Sniper</v>
      </c>
      <c r="X1328" s="2">
        <f t="shared" si="104"/>
        <v>12.809421841541756</v>
      </c>
    </row>
    <row r="1329" spans="1:24" x14ac:dyDescent="0.3">
      <c r="A1329">
        <v>236</v>
      </c>
      <c r="B1329">
        <v>236</v>
      </c>
      <c r="C1329" t="s">
        <v>16</v>
      </c>
      <c r="D1329" t="s">
        <v>17</v>
      </c>
      <c r="E1329" t="s">
        <v>32</v>
      </c>
      <c r="F1329" t="s">
        <v>24</v>
      </c>
      <c r="G1329">
        <v>11</v>
      </c>
      <c r="H1329">
        <v>9</v>
      </c>
      <c r="I1329">
        <v>7</v>
      </c>
      <c r="J1329">
        <v>43.29</v>
      </c>
      <c r="K1329">
        <v>229.69</v>
      </c>
      <c r="L1329">
        <v>0.18</v>
      </c>
      <c r="M1329">
        <v>43.84</v>
      </c>
      <c r="N1329">
        <v>0.93</v>
      </c>
      <c r="O1329" t="s">
        <v>20</v>
      </c>
      <c r="P1329" t="s">
        <v>21</v>
      </c>
      <c r="Q1329">
        <f t="shared" si="100"/>
        <v>13</v>
      </c>
      <c r="R1329" s="4">
        <f>RANK(N1329,$N$2:N$2800,0)</f>
        <v>1505</v>
      </c>
      <c r="S1329">
        <f t="shared" si="101"/>
        <v>1.5714285714285714</v>
      </c>
      <c r="T1329" t="str">
        <f t="shared" si="102"/>
        <v>Low</v>
      </c>
      <c r="U1329" t="str" cm="1">
        <f t="array" ref="U1329">_xlfn.LET(_xlpm.roles,_xlfn.UNIQUE(D1329:D4127),_xlpm.kills, SUMIF(D1329:D4127,_xlpm.roles,G1329:G4127),INDEX(_xlpm.roles,MATCH(MAX(_xlpm.kills),_xlpm.kills,0)))</f>
        <v>Sniper</v>
      </c>
      <c r="V1329" t="str">
        <f t="shared" si="103"/>
        <v>Medium Accuracy</v>
      </c>
      <c r="W1329" t="str" cm="1">
        <f t="array" ref="W1329">_xlfn.LET(_xlpm.roles,_xlfn.UNIQUE(D1329:D4127), _xlpm.counts,COUNTIF(D1329:D4127,_xlpm.roles), INDEX(_xlpm.roles,MATCH(MAX(_xlpm.counts),_xlpm.counts,0)))</f>
        <v>Sniper</v>
      </c>
      <c r="X1329" s="2">
        <f t="shared" si="104"/>
        <v>12.520971302428256</v>
      </c>
    </row>
    <row r="1330" spans="1:24" x14ac:dyDescent="0.3">
      <c r="A1330">
        <v>2076</v>
      </c>
      <c r="B1330">
        <v>236</v>
      </c>
      <c r="C1330" t="s">
        <v>16</v>
      </c>
      <c r="D1330" t="s">
        <v>31</v>
      </c>
      <c r="E1330" t="s">
        <v>33</v>
      </c>
      <c r="F1330" t="s">
        <v>19</v>
      </c>
      <c r="G1330">
        <v>13</v>
      </c>
      <c r="H1330">
        <v>8</v>
      </c>
      <c r="I1330">
        <v>8</v>
      </c>
      <c r="J1330">
        <v>57.43</v>
      </c>
      <c r="K1330">
        <v>218.33</v>
      </c>
      <c r="L1330">
        <v>0.83</v>
      </c>
      <c r="M1330">
        <v>46.42</v>
      </c>
      <c r="N1330">
        <v>0.79</v>
      </c>
      <c r="O1330" t="s">
        <v>20</v>
      </c>
      <c r="P1330" t="s">
        <v>21</v>
      </c>
      <c r="Q1330">
        <f t="shared" si="100"/>
        <v>13</v>
      </c>
      <c r="R1330" s="4">
        <f>RANK(N1330,$N$2:N$2800,0)</f>
        <v>2436</v>
      </c>
      <c r="S1330">
        <f t="shared" si="101"/>
        <v>1.625</v>
      </c>
      <c r="T1330" t="str">
        <f t="shared" si="102"/>
        <v>Low</v>
      </c>
      <c r="U1330" t="str" cm="1">
        <f t="array" ref="U1330">_xlfn.LET(_xlpm.roles,_xlfn.UNIQUE(D1330:D4128),_xlpm.kills, SUMIF(D1330:D4128,_xlpm.roles,G1330:G4128),INDEX(_xlpm.roles,MATCH(MAX(_xlpm.kills),_xlpm.kills,0)))</f>
        <v>Sniper</v>
      </c>
      <c r="V1330" t="str">
        <f t="shared" si="103"/>
        <v>High Accuracy</v>
      </c>
      <c r="W1330" t="str" cm="1">
        <f t="array" ref="W1330">_xlfn.LET(_xlpm.roles,_xlfn.UNIQUE(D1330:D4128), _xlpm.counts,COUNTIF(D1330:D4128,_xlpm.roles), INDEX(_xlpm.roles,MATCH(MAX(_xlpm.counts),_xlpm.counts,0)))</f>
        <v>Sniper</v>
      </c>
      <c r="X1330" s="2">
        <f t="shared" si="104"/>
        <v>12.520971302428256</v>
      </c>
    </row>
    <row r="1331" spans="1:24" x14ac:dyDescent="0.3">
      <c r="A1331">
        <v>110</v>
      </c>
      <c r="B1331">
        <v>237</v>
      </c>
      <c r="C1331" t="s">
        <v>25</v>
      </c>
      <c r="D1331" t="s">
        <v>17</v>
      </c>
      <c r="E1331" t="s">
        <v>33</v>
      </c>
      <c r="F1331" t="s">
        <v>26</v>
      </c>
      <c r="G1331">
        <v>14</v>
      </c>
      <c r="H1331">
        <v>7</v>
      </c>
      <c r="I1331">
        <v>14</v>
      </c>
      <c r="J1331">
        <v>45.46</v>
      </c>
      <c r="K1331">
        <v>229.52</v>
      </c>
      <c r="L1331">
        <v>0.77</v>
      </c>
      <c r="M1331">
        <v>36.03</v>
      </c>
      <c r="N1331">
        <v>0.86</v>
      </c>
      <c r="O1331" t="s">
        <v>20</v>
      </c>
      <c r="P1331" t="s">
        <v>21</v>
      </c>
      <c r="Q1331">
        <f t="shared" si="100"/>
        <v>7</v>
      </c>
      <c r="R1331" s="4">
        <f>RANK(N1331,$N$2:N$2800,0)</f>
        <v>2040</v>
      </c>
      <c r="S1331">
        <f t="shared" si="101"/>
        <v>1</v>
      </c>
      <c r="T1331" t="str">
        <f t="shared" si="102"/>
        <v>Low</v>
      </c>
      <c r="U1331" t="str" cm="1">
        <f t="array" ref="U1331">_xlfn.LET(_xlpm.roles,_xlfn.UNIQUE(D1331:D4129),_xlpm.kills, SUMIF(D1331:D4129,_xlpm.roles,G1331:G4129),INDEX(_xlpm.roles,MATCH(MAX(_xlpm.kills),_xlpm.kills,0)))</f>
        <v>Entry Fragger</v>
      </c>
      <c r="V1331" t="str">
        <f t="shared" si="103"/>
        <v>Medium Accuracy</v>
      </c>
      <c r="W1331" t="str" cm="1">
        <f t="array" ref="W1331">_xlfn.LET(_xlpm.roles,_xlfn.UNIQUE(D1331:D4129), _xlpm.counts,COUNTIF(D1331:D4129,_xlpm.roles), INDEX(_xlpm.roles,MATCH(MAX(_xlpm.counts),_xlpm.counts,0)))</f>
        <v>Sniper</v>
      </c>
      <c r="X1331" s="2">
        <f t="shared" si="104"/>
        <v>12.809421841541756</v>
      </c>
    </row>
    <row r="1332" spans="1:24" x14ac:dyDescent="0.3">
      <c r="A1332">
        <v>685</v>
      </c>
      <c r="B1332">
        <v>237</v>
      </c>
      <c r="C1332" t="s">
        <v>39</v>
      </c>
      <c r="D1332" t="s">
        <v>36</v>
      </c>
      <c r="E1332" t="s">
        <v>23</v>
      </c>
      <c r="F1332" t="s">
        <v>34</v>
      </c>
      <c r="G1332">
        <v>21</v>
      </c>
      <c r="H1332">
        <v>8</v>
      </c>
      <c r="I1332">
        <v>14</v>
      </c>
      <c r="J1332">
        <v>50.36</v>
      </c>
      <c r="K1332">
        <v>216.64</v>
      </c>
      <c r="L1332">
        <v>0.43</v>
      </c>
      <c r="M1332">
        <v>56.88</v>
      </c>
      <c r="N1332">
        <v>0.98</v>
      </c>
      <c r="O1332" t="s">
        <v>20</v>
      </c>
      <c r="P1332" t="s">
        <v>21</v>
      </c>
      <c r="Q1332">
        <f t="shared" si="100"/>
        <v>15</v>
      </c>
      <c r="R1332" s="4">
        <f>RANK(N1332,$N$2:N$2800,0)</f>
        <v>1157</v>
      </c>
      <c r="S1332">
        <f t="shared" si="101"/>
        <v>1.5</v>
      </c>
      <c r="T1332" t="str">
        <f t="shared" si="102"/>
        <v>Good</v>
      </c>
      <c r="U1332" t="str" cm="1">
        <f t="array" ref="U1332">_xlfn.LET(_xlpm.roles,_xlfn.UNIQUE(D1332:D4130),_xlpm.kills, SUMIF(D1332:D4130,_xlpm.roles,G1332:G4130),INDEX(_xlpm.roles,MATCH(MAX(_xlpm.kills),_xlpm.kills,0)))</f>
        <v>Entry Fragger</v>
      </c>
      <c r="V1332" t="str">
        <f t="shared" si="103"/>
        <v>High Accuracy</v>
      </c>
      <c r="W1332" t="str" cm="1">
        <f t="array" ref="W1332">_xlfn.LET(_xlpm.roles,_xlfn.UNIQUE(D1332:D4130), _xlpm.counts,COUNTIF(D1332:D4130,_xlpm.roles), INDEX(_xlpm.roles,MATCH(MAX(_xlpm.counts),_xlpm.counts,0)))</f>
        <v>Sniper</v>
      </c>
      <c r="X1332" s="2">
        <f t="shared" si="104"/>
        <v>13.103594080338267</v>
      </c>
    </row>
    <row r="1333" spans="1:24" x14ac:dyDescent="0.3">
      <c r="A1333">
        <v>745</v>
      </c>
      <c r="B1333">
        <v>237</v>
      </c>
      <c r="C1333" t="s">
        <v>39</v>
      </c>
      <c r="D1333" t="s">
        <v>36</v>
      </c>
      <c r="E1333" t="s">
        <v>23</v>
      </c>
      <c r="F1333" t="s">
        <v>24</v>
      </c>
      <c r="G1333">
        <v>21</v>
      </c>
      <c r="H1333">
        <v>6</v>
      </c>
      <c r="I1333">
        <v>13</v>
      </c>
      <c r="J1333">
        <v>35.549999999999997</v>
      </c>
      <c r="K1333">
        <v>201.32</v>
      </c>
      <c r="L1333">
        <v>0.59</v>
      </c>
      <c r="M1333">
        <v>46.88</v>
      </c>
      <c r="N1333">
        <v>1</v>
      </c>
      <c r="O1333" t="s">
        <v>20</v>
      </c>
      <c r="P1333" t="s">
        <v>21</v>
      </c>
      <c r="Q1333">
        <f t="shared" si="100"/>
        <v>14</v>
      </c>
      <c r="R1333" s="4">
        <f>RANK(N1333,$N$2:N$2800,0)</f>
        <v>1</v>
      </c>
      <c r="S1333">
        <f t="shared" si="101"/>
        <v>1.6153846153846154</v>
      </c>
      <c r="T1333" t="str">
        <f t="shared" si="102"/>
        <v>Low</v>
      </c>
      <c r="U1333" t="str" cm="1">
        <f t="array" ref="U1333">_xlfn.LET(_xlpm.roles,_xlfn.UNIQUE(D1333:D4131),_xlpm.kills, SUMIF(D1333:D4131,_xlpm.roles,G1333:G4131),INDEX(_xlpm.roles,MATCH(MAX(_xlpm.kills),_xlpm.kills,0)))</f>
        <v>Sniper</v>
      </c>
      <c r="V1333" t="str">
        <f t="shared" si="103"/>
        <v>Medium Accuracy</v>
      </c>
      <c r="W1333" t="str" cm="1">
        <f t="array" ref="W1333">_xlfn.LET(_xlpm.roles,_xlfn.UNIQUE(D1333:D4131), _xlpm.counts,COUNTIF(D1333:D4131,_xlpm.roles), INDEX(_xlpm.roles,MATCH(MAX(_xlpm.counts),_xlpm.counts,0)))</f>
        <v>Sniper</v>
      </c>
      <c r="X1333" s="2">
        <f t="shared" si="104"/>
        <v>13.103594080338267</v>
      </c>
    </row>
    <row r="1334" spans="1:24" x14ac:dyDescent="0.3">
      <c r="A1334">
        <v>1056</v>
      </c>
      <c r="B1334">
        <v>237</v>
      </c>
      <c r="C1334" t="s">
        <v>25</v>
      </c>
      <c r="D1334" t="s">
        <v>22</v>
      </c>
      <c r="E1334" t="s">
        <v>32</v>
      </c>
      <c r="F1334" t="s">
        <v>26</v>
      </c>
      <c r="G1334">
        <v>12</v>
      </c>
      <c r="H1334">
        <v>6</v>
      </c>
      <c r="I1334">
        <v>7</v>
      </c>
      <c r="J1334">
        <v>47.96</v>
      </c>
      <c r="K1334">
        <v>210.56</v>
      </c>
      <c r="L1334">
        <v>0.72</v>
      </c>
      <c r="M1334">
        <v>39.78</v>
      </c>
      <c r="N1334">
        <v>0.92</v>
      </c>
      <c r="O1334" t="s">
        <v>20</v>
      </c>
      <c r="P1334" t="s">
        <v>21</v>
      </c>
      <c r="Q1334">
        <f t="shared" si="100"/>
        <v>11</v>
      </c>
      <c r="R1334" s="4">
        <f>RANK(N1334,$N$2:N$2800,0)</f>
        <v>1585</v>
      </c>
      <c r="S1334">
        <f t="shared" si="101"/>
        <v>1.7142857142857142</v>
      </c>
      <c r="T1334" t="str">
        <f t="shared" si="102"/>
        <v>Low</v>
      </c>
      <c r="U1334" t="str" cm="1">
        <f t="array" ref="U1334">_xlfn.LET(_xlpm.roles,_xlfn.UNIQUE(D1334:D4132),_xlpm.kills, SUMIF(D1334:D4132,_xlpm.roles,G1334:G4132),INDEX(_xlpm.roles,MATCH(MAX(_xlpm.kills),_xlpm.kills,0)))</f>
        <v>Sniper</v>
      </c>
      <c r="V1334" t="str">
        <f t="shared" si="103"/>
        <v>Medium Accuracy</v>
      </c>
      <c r="W1334" t="str" cm="1">
        <f t="array" ref="W1334">_xlfn.LET(_xlpm.roles,_xlfn.UNIQUE(D1334:D4132), _xlpm.counts,COUNTIF(D1334:D4132,_xlpm.roles), INDEX(_xlpm.roles,MATCH(MAX(_xlpm.counts),_xlpm.counts,0)))</f>
        <v>Sniper</v>
      </c>
      <c r="X1334" s="2">
        <f t="shared" si="104"/>
        <v>12.809421841541756</v>
      </c>
    </row>
    <row r="1335" spans="1:24" x14ac:dyDescent="0.3">
      <c r="A1335">
        <v>1186</v>
      </c>
      <c r="B1335">
        <v>237</v>
      </c>
      <c r="C1335" t="s">
        <v>35</v>
      </c>
      <c r="D1335" t="s">
        <v>28</v>
      </c>
      <c r="E1335" t="s">
        <v>32</v>
      </c>
      <c r="F1335" t="s">
        <v>24</v>
      </c>
      <c r="G1335">
        <v>14</v>
      </c>
      <c r="H1335">
        <v>9</v>
      </c>
      <c r="I1335">
        <v>12</v>
      </c>
      <c r="J1335">
        <v>35.57</v>
      </c>
      <c r="K1335">
        <v>174.41</v>
      </c>
      <c r="L1335">
        <v>0.98</v>
      </c>
      <c r="M1335">
        <v>32.979999999999997</v>
      </c>
      <c r="N1335">
        <v>0.79</v>
      </c>
      <c r="O1335" t="s">
        <v>20</v>
      </c>
      <c r="P1335" t="s">
        <v>21</v>
      </c>
      <c r="Q1335">
        <f t="shared" si="100"/>
        <v>11</v>
      </c>
      <c r="R1335" s="4">
        <f>RANK(N1335,$N$2:N$2800,0)</f>
        <v>2436</v>
      </c>
      <c r="S1335">
        <f t="shared" si="101"/>
        <v>1.1666666666666667</v>
      </c>
      <c r="T1335" t="str">
        <f t="shared" si="102"/>
        <v>Low</v>
      </c>
      <c r="U1335" t="str" cm="1">
        <f t="array" ref="U1335">_xlfn.LET(_xlpm.roles,_xlfn.UNIQUE(D1335:D4133),_xlpm.kills, SUMIF(D1335:D4133,_xlpm.roles,G1335:G4133),INDEX(_xlpm.roles,MATCH(MAX(_xlpm.kills),_xlpm.kills,0)))</f>
        <v>Sniper</v>
      </c>
      <c r="V1335" t="str">
        <f t="shared" si="103"/>
        <v>Medium Accuracy</v>
      </c>
      <c r="W1335" t="str" cm="1">
        <f t="array" ref="W1335">_xlfn.LET(_xlpm.roles,_xlfn.UNIQUE(D1335:D4133), _xlpm.counts,COUNTIF(D1335:D4133,_xlpm.roles), INDEX(_xlpm.roles,MATCH(MAX(_xlpm.counts),_xlpm.counts,0)))</f>
        <v>Sniper</v>
      </c>
      <c r="X1335" s="2">
        <f t="shared" si="104"/>
        <v>12.599585062240664</v>
      </c>
    </row>
    <row r="1336" spans="1:24" x14ac:dyDescent="0.3">
      <c r="A1336">
        <v>1508</v>
      </c>
      <c r="B1336">
        <v>237</v>
      </c>
      <c r="C1336" t="s">
        <v>27</v>
      </c>
      <c r="D1336" t="s">
        <v>22</v>
      </c>
      <c r="E1336" t="s">
        <v>18</v>
      </c>
      <c r="F1336" t="s">
        <v>19</v>
      </c>
      <c r="G1336">
        <v>8</v>
      </c>
      <c r="H1336">
        <v>10</v>
      </c>
      <c r="I1336">
        <v>10</v>
      </c>
      <c r="J1336">
        <v>46.46</v>
      </c>
      <c r="K1336">
        <v>232.45</v>
      </c>
      <c r="L1336">
        <v>0.2</v>
      </c>
      <c r="M1336">
        <v>37.229999999999997</v>
      </c>
      <c r="N1336">
        <v>0.86</v>
      </c>
      <c r="O1336" t="s">
        <v>20</v>
      </c>
      <c r="P1336" t="s">
        <v>21</v>
      </c>
      <c r="Q1336">
        <f t="shared" si="100"/>
        <v>8</v>
      </c>
      <c r="R1336" s="4">
        <f>RANK(N1336,$N$2:N$2800,0)</f>
        <v>2040</v>
      </c>
      <c r="S1336">
        <f t="shared" si="101"/>
        <v>0.8</v>
      </c>
      <c r="T1336" t="str">
        <f t="shared" si="102"/>
        <v>Low</v>
      </c>
      <c r="U1336" t="str" cm="1">
        <f t="array" ref="U1336">_xlfn.LET(_xlpm.roles,_xlfn.UNIQUE(D1336:D4134),_xlpm.kills, SUMIF(D1336:D4134,_xlpm.roles,G1336:G4134),INDEX(_xlpm.roles,MATCH(MAX(_xlpm.kills),_xlpm.kills,0)))</f>
        <v>Sniper</v>
      </c>
      <c r="V1336" t="str">
        <f t="shared" si="103"/>
        <v>Medium Accuracy</v>
      </c>
      <c r="W1336" t="str" cm="1">
        <f t="array" ref="W1336">_xlfn.LET(_xlpm.roles,_xlfn.UNIQUE(D1336:D4134), _xlpm.counts,COUNTIF(D1336:D4134,_xlpm.roles), INDEX(_xlpm.roles,MATCH(MAX(_xlpm.counts),_xlpm.counts,0)))</f>
        <v>Sniper</v>
      </c>
      <c r="X1336" s="2">
        <f t="shared" si="104"/>
        <v>13.057077625570777</v>
      </c>
    </row>
    <row r="1337" spans="1:24" x14ac:dyDescent="0.3">
      <c r="A1337">
        <v>1579</v>
      </c>
      <c r="B1337">
        <v>237</v>
      </c>
      <c r="C1337" t="s">
        <v>27</v>
      </c>
      <c r="D1337" t="s">
        <v>17</v>
      </c>
      <c r="E1337" t="s">
        <v>18</v>
      </c>
      <c r="F1337" t="s">
        <v>19</v>
      </c>
      <c r="G1337">
        <v>13</v>
      </c>
      <c r="H1337">
        <v>8</v>
      </c>
      <c r="I1337">
        <v>11</v>
      </c>
      <c r="J1337">
        <v>44.41</v>
      </c>
      <c r="K1337">
        <v>193.5</v>
      </c>
      <c r="L1337">
        <v>0.26</v>
      </c>
      <c r="M1337">
        <v>42.6</v>
      </c>
      <c r="N1337">
        <v>1</v>
      </c>
      <c r="O1337" t="s">
        <v>20</v>
      </c>
      <c r="P1337" t="s">
        <v>21</v>
      </c>
      <c r="Q1337">
        <f t="shared" si="100"/>
        <v>10</v>
      </c>
      <c r="R1337" s="4">
        <f>RANK(N1337,$N$2:N$2800,0)</f>
        <v>1</v>
      </c>
      <c r="S1337">
        <f t="shared" si="101"/>
        <v>1.1818181818181819</v>
      </c>
      <c r="T1337" t="str">
        <f t="shared" si="102"/>
        <v>Low</v>
      </c>
      <c r="U1337" t="str" cm="1">
        <f t="array" ref="U1337">_xlfn.LET(_xlpm.roles,_xlfn.UNIQUE(D1337:D4135),_xlpm.kills, SUMIF(D1337:D4135,_xlpm.roles,G1337:G4135),INDEX(_xlpm.roles,MATCH(MAX(_xlpm.kills),_xlpm.kills,0)))</f>
        <v>Sniper</v>
      </c>
      <c r="V1337" t="str">
        <f t="shared" si="103"/>
        <v>Medium Accuracy</v>
      </c>
      <c r="W1337" t="str" cm="1">
        <f t="array" ref="W1337">_xlfn.LET(_xlpm.roles,_xlfn.UNIQUE(D1337:D4135), _xlpm.counts,COUNTIF(D1337:D4135,_xlpm.roles), INDEX(_xlpm.roles,MATCH(MAX(_xlpm.counts),_xlpm.counts,0)))</f>
        <v>Sniper</v>
      </c>
      <c r="X1337" s="2">
        <f t="shared" si="104"/>
        <v>13.057077625570777</v>
      </c>
    </row>
    <row r="1338" spans="1:24" x14ac:dyDescent="0.3">
      <c r="A1338">
        <v>242</v>
      </c>
      <c r="B1338">
        <v>238</v>
      </c>
      <c r="C1338" t="s">
        <v>16</v>
      </c>
      <c r="D1338" t="s">
        <v>31</v>
      </c>
      <c r="E1338" t="s">
        <v>33</v>
      </c>
      <c r="F1338" t="s">
        <v>34</v>
      </c>
      <c r="G1338">
        <v>11</v>
      </c>
      <c r="H1338">
        <v>7</v>
      </c>
      <c r="I1338">
        <v>10</v>
      </c>
      <c r="J1338">
        <v>34.65</v>
      </c>
      <c r="K1338">
        <v>257.77999999999997</v>
      </c>
      <c r="L1338">
        <v>0.93</v>
      </c>
      <c r="M1338">
        <v>27.03</v>
      </c>
      <c r="N1338">
        <v>0.88</v>
      </c>
      <c r="O1338" t="s">
        <v>20</v>
      </c>
      <c r="P1338" t="s">
        <v>21</v>
      </c>
      <c r="Q1338">
        <f t="shared" si="100"/>
        <v>8</v>
      </c>
      <c r="R1338" s="4">
        <f>RANK(N1338,$N$2:N$2800,0)</f>
        <v>1894</v>
      </c>
      <c r="S1338">
        <f t="shared" si="101"/>
        <v>1.1000000000000001</v>
      </c>
      <c r="T1338" t="str">
        <f t="shared" si="102"/>
        <v>Low</v>
      </c>
      <c r="U1338" t="str" cm="1">
        <f t="array" ref="U1338">_xlfn.LET(_xlpm.roles,_xlfn.UNIQUE(D1338:D4136),_xlpm.kills, SUMIF(D1338:D4136,_xlpm.roles,G1338:G4136),INDEX(_xlpm.roles,MATCH(MAX(_xlpm.kills),_xlpm.kills,0)))</f>
        <v>Sniper</v>
      </c>
      <c r="V1338" t="str">
        <f t="shared" si="103"/>
        <v>Medium Accuracy</v>
      </c>
      <c r="W1338" t="str" cm="1">
        <f t="array" ref="W1338">_xlfn.LET(_xlpm.roles,_xlfn.UNIQUE(D1338:D4136), _xlpm.counts,COUNTIF(D1338:D4136,_xlpm.roles), INDEX(_xlpm.roles,MATCH(MAX(_xlpm.counts),_xlpm.counts,0)))</f>
        <v>Sniper</v>
      </c>
      <c r="X1338" s="2">
        <f t="shared" si="104"/>
        <v>12.520971302428256</v>
      </c>
    </row>
    <row r="1339" spans="1:24" x14ac:dyDescent="0.3">
      <c r="A1339">
        <v>1235</v>
      </c>
      <c r="B1339">
        <v>238</v>
      </c>
      <c r="C1339" t="s">
        <v>30</v>
      </c>
      <c r="D1339" t="s">
        <v>36</v>
      </c>
      <c r="E1339" t="s">
        <v>32</v>
      </c>
      <c r="F1339" t="s">
        <v>26</v>
      </c>
      <c r="G1339">
        <v>14</v>
      </c>
      <c r="H1339">
        <v>16</v>
      </c>
      <c r="I1339">
        <v>12</v>
      </c>
      <c r="J1339">
        <v>41.5</v>
      </c>
      <c r="K1339">
        <v>216.16</v>
      </c>
      <c r="L1339">
        <v>0.37</v>
      </c>
      <c r="M1339">
        <v>49.05</v>
      </c>
      <c r="N1339">
        <v>0.84</v>
      </c>
      <c r="O1339" t="s">
        <v>20</v>
      </c>
      <c r="P1339" t="s">
        <v>21</v>
      </c>
      <c r="Q1339">
        <f t="shared" si="100"/>
        <v>18</v>
      </c>
      <c r="R1339" s="4">
        <f>RANK(N1339,$N$2:N$2800,0)</f>
        <v>2156</v>
      </c>
      <c r="S1339">
        <f t="shared" si="101"/>
        <v>1.1666666666666667</v>
      </c>
      <c r="T1339" t="str">
        <f t="shared" si="102"/>
        <v>Good</v>
      </c>
      <c r="U1339" t="str" cm="1">
        <f t="array" ref="U1339">_xlfn.LET(_xlpm.roles,_xlfn.UNIQUE(D1339:D4137),_xlpm.kills, SUMIF(D1339:D4137,_xlpm.roles,G1339:G4137),INDEX(_xlpm.roles,MATCH(MAX(_xlpm.kills),_xlpm.kills,0)))</f>
        <v>Sniper</v>
      </c>
      <c r="V1339" t="str">
        <f t="shared" si="103"/>
        <v>Medium Accuracy</v>
      </c>
      <c r="W1339" t="str" cm="1">
        <f t="array" ref="W1339">_xlfn.LET(_xlpm.roles,_xlfn.UNIQUE(D1339:D4137), _xlpm.counts,COUNTIF(D1339:D4137,_xlpm.roles), INDEX(_xlpm.roles,MATCH(MAX(_xlpm.counts),_xlpm.counts,0)))</f>
        <v>Sniper</v>
      </c>
      <c r="X1339" s="2">
        <f t="shared" si="104"/>
        <v>13.135802469135802</v>
      </c>
    </row>
    <row r="1340" spans="1:24" x14ac:dyDescent="0.3">
      <c r="A1340">
        <v>1930</v>
      </c>
      <c r="B1340">
        <v>238</v>
      </c>
      <c r="C1340" t="s">
        <v>27</v>
      </c>
      <c r="D1340" t="s">
        <v>22</v>
      </c>
      <c r="E1340" t="s">
        <v>18</v>
      </c>
      <c r="F1340" t="s">
        <v>26</v>
      </c>
      <c r="G1340">
        <v>14</v>
      </c>
      <c r="H1340">
        <v>9</v>
      </c>
      <c r="I1340">
        <v>12</v>
      </c>
      <c r="J1340">
        <v>40.72</v>
      </c>
      <c r="K1340">
        <v>241.17</v>
      </c>
      <c r="L1340">
        <v>0.11</v>
      </c>
      <c r="M1340">
        <v>44.26</v>
      </c>
      <c r="N1340">
        <v>0.96</v>
      </c>
      <c r="O1340" t="s">
        <v>20</v>
      </c>
      <c r="P1340" t="s">
        <v>21</v>
      </c>
      <c r="Q1340">
        <f t="shared" si="100"/>
        <v>11</v>
      </c>
      <c r="R1340" s="4">
        <f>RANK(N1340,$N$2:N$2800,0)</f>
        <v>1301</v>
      </c>
      <c r="S1340">
        <f t="shared" si="101"/>
        <v>1.1666666666666667</v>
      </c>
      <c r="T1340" t="str">
        <f t="shared" si="102"/>
        <v>Low</v>
      </c>
      <c r="U1340" t="str" cm="1">
        <f t="array" ref="U1340">_xlfn.LET(_xlpm.roles,_xlfn.UNIQUE(D1340:D4138),_xlpm.kills, SUMIF(D1340:D4138,_xlpm.roles,G1340:G4138),INDEX(_xlpm.roles,MATCH(MAX(_xlpm.kills),_xlpm.kills,0)))</f>
        <v>Sniper</v>
      </c>
      <c r="V1340" t="str">
        <f t="shared" si="103"/>
        <v>Medium Accuracy</v>
      </c>
      <c r="W1340" t="str" cm="1">
        <f t="array" ref="W1340">_xlfn.LET(_xlpm.roles,_xlfn.UNIQUE(D1340:D4138), _xlpm.counts,COUNTIF(D1340:D4138,_xlpm.roles), INDEX(_xlpm.roles,MATCH(MAX(_xlpm.counts),_xlpm.counts,0)))</f>
        <v>Sniper</v>
      </c>
      <c r="X1340" s="2">
        <f t="shared" si="104"/>
        <v>13.057077625570777</v>
      </c>
    </row>
    <row r="1341" spans="1:24" x14ac:dyDescent="0.3">
      <c r="A1341">
        <v>2148</v>
      </c>
      <c r="B1341">
        <v>238</v>
      </c>
      <c r="C1341" t="s">
        <v>30</v>
      </c>
      <c r="D1341" t="s">
        <v>28</v>
      </c>
      <c r="E1341" t="s">
        <v>29</v>
      </c>
      <c r="F1341" t="s">
        <v>19</v>
      </c>
      <c r="G1341">
        <v>14</v>
      </c>
      <c r="H1341">
        <v>6</v>
      </c>
      <c r="I1341">
        <v>10</v>
      </c>
      <c r="J1341">
        <v>43.34</v>
      </c>
      <c r="K1341">
        <v>216.18</v>
      </c>
      <c r="L1341">
        <v>0.19</v>
      </c>
      <c r="M1341">
        <v>43.77</v>
      </c>
      <c r="N1341">
        <v>1</v>
      </c>
      <c r="O1341" t="s">
        <v>20</v>
      </c>
      <c r="P1341" t="s">
        <v>21</v>
      </c>
      <c r="Q1341">
        <f t="shared" si="100"/>
        <v>10</v>
      </c>
      <c r="R1341" s="4">
        <f>RANK(N1341,$N$2:N$2800,0)</f>
        <v>1</v>
      </c>
      <c r="S1341">
        <f t="shared" si="101"/>
        <v>1.4</v>
      </c>
      <c r="T1341" t="str">
        <f t="shared" si="102"/>
        <v>Low</v>
      </c>
      <c r="U1341" t="str" cm="1">
        <f t="array" ref="U1341">_xlfn.LET(_xlpm.roles,_xlfn.UNIQUE(D1341:D4139),_xlpm.kills, SUMIF(D1341:D4139,_xlpm.roles,G1341:G4139),INDEX(_xlpm.roles,MATCH(MAX(_xlpm.kills),_xlpm.kills,0)))</f>
        <v>Sniper</v>
      </c>
      <c r="V1341" t="str">
        <f t="shared" si="103"/>
        <v>Medium Accuracy</v>
      </c>
      <c r="W1341" t="str" cm="1">
        <f t="array" ref="W1341">_xlfn.LET(_xlpm.roles,_xlfn.UNIQUE(D1341:D4139), _xlpm.counts,COUNTIF(D1341:D4139,_xlpm.roles), INDEX(_xlpm.roles,MATCH(MAX(_xlpm.counts),_xlpm.counts,0)))</f>
        <v>Sniper</v>
      </c>
      <c r="X1341" s="2">
        <f t="shared" si="104"/>
        <v>13.135802469135802</v>
      </c>
    </row>
    <row r="1342" spans="1:24" x14ac:dyDescent="0.3">
      <c r="A1342">
        <v>2300</v>
      </c>
      <c r="B1342">
        <v>238</v>
      </c>
      <c r="C1342" t="s">
        <v>30</v>
      </c>
      <c r="D1342" t="s">
        <v>17</v>
      </c>
      <c r="E1342" t="s">
        <v>33</v>
      </c>
      <c r="F1342" t="s">
        <v>37</v>
      </c>
      <c r="G1342">
        <v>11</v>
      </c>
      <c r="H1342">
        <v>12</v>
      </c>
      <c r="I1342">
        <v>8</v>
      </c>
      <c r="J1342">
        <v>40.5</v>
      </c>
      <c r="K1342">
        <v>258.54000000000002</v>
      </c>
      <c r="L1342">
        <v>0.3</v>
      </c>
      <c r="M1342">
        <v>43.25</v>
      </c>
      <c r="N1342">
        <v>0.91</v>
      </c>
      <c r="O1342" t="s">
        <v>20</v>
      </c>
      <c r="P1342" t="s">
        <v>21</v>
      </c>
      <c r="Q1342">
        <f t="shared" si="100"/>
        <v>15</v>
      </c>
      <c r="R1342" s="4">
        <f>RANK(N1342,$N$2:N$2800,0)</f>
        <v>1665</v>
      </c>
      <c r="S1342">
        <f t="shared" si="101"/>
        <v>1.375</v>
      </c>
      <c r="T1342" t="str">
        <f t="shared" si="102"/>
        <v>Good</v>
      </c>
      <c r="U1342" t="str" cm="1">
        <f t="array" ref="U1342">_xlfn.LET(_xlpm.roles,_xlfn.UNIQUE(D1342:D4140),_xlpm.kills, SUMIF(D1342:D4140,_xlpm.roles,G1342:G4140),INDEX(_xlpm.roles,MATCH(MAX(_xlpm.kills),_xlpm.kills,0)))</f>
        <v>Sniper</v>
      </c>
      <c r="V1342" t="str">
        <f t="shared" si="103"/>
        <v>Medium Accuracy</v>
      </c>
      <c r="W1342" t="str" cm="1">
        <f t="array" ref="W1342">_xlfn.LET(_xlpm.roles,_xlfn.UNIQUE(D1342:D4140), _xlpm.counts,COUNTIF(D1342:D4140,_xlpm.roles), INDEX(_xlpm.roles,MATCH(MAX(_xlpm.counts),_xlpm.counts,0)))</f>
        <v>Sniper</v>
      </c>
      <c r="X1342" s="2">
        <f t="shared" si="104"/>
        <v>13.135802469135802</v>
      </c>
    </row>
    <row r="1343" spans="1:24" x14ac:dyDescent="0.3">
      <c r="A1343">
        <v>2543</v>
      </c>
      <c r="B1343">
        <v>238</v>
      </c>
      <c r="C1343" t="s">
        <v>16</v>
      </c>
      <c r="D1343" t="s">
        <v>36</v>
      </c>
      <c r="E1343" t="s">
        <v>33</v>
      </c>
      <c r="F1343" t="s">
        <v>34</v>
      </c>
      <c r="G1343">
        <v>12</v>
      </c>
      <c r="H1343">
        <v>4</v>
      </c>
      <c r="I1343">
        <v>8</v>
      </c>
      <c r="J1343">
        <v>59.16</v>
      </c>
      <c r="K1343">
        <v>261.89</v>
      </c>
      <c r="L1343">
        <v>0.9</v>
      </c>
      <c r="M1343">
        <v>40.58</v>
      </c>
      <c r="N1343">
        <v>0.95</v>
      </c>
      <c r="O1343" t="s">
        <v>20</v>
      </c>
      <c r="P1343" t="s">
        <v>21</v>
      </c>
      <c r="Q1343">
        <f t="shared" si="100"/>
        <v>8</v>
      </c>
      <c r="R1343" s="4">
        <f>RANK(N1343,$N$2:N$2800,0)</f>
        <v>1367</v>
      </c>
      <c r="S1343">
        <f t="shared" si="101"/>
        <v>1.5</v>
      </c>
      <c r="T1343" t="str">
        <f t="shared" si="102"/>
        <v>Low</v>
      </c>
      <c r="U1343" t="str" cm="1">
        <f t="array" ref="U1343">_xlfn.LET(_xlpm.roles,_xlfn.UNIQUE(D1343:D4141),_xlpm.kills, SUMIF(D1343:D4141,_xlpm.roles,G1343:G4141),INDEX(_xlpm.roles,MATCH(MAX(_xlpm.kills),_xlpm.kills,0)))</f>
        <v>Sniper</v>
      </c>
      <c r="V1343" t="str">
        <f t="shared" si="103"/>
        <v>High Accuracy</v>
      </c>
      <c r="W1343" t="str" cm="1">
        <f t="array" ref="W1343">_xlfn.LET(_xlpm.roles,_xlfn.UNIQUE(D1343:D4141), _xlpm.counts,COUNTIF(D1343:D4141,_xlpm.roles), INDEX(_xlpm.roles,MATCH(MAX(_xlpm.counts),_xlpm.counts,0)))</f>
        <v>Sniper</v>
      </c>
      <c r="X1343" s="2">
        <f t="shared" si="104"/>
        <v>12.520971302428256</v>
      </c>
    </row>
    <row r="1344" spans="1:24" x14ac:dyDescent="0.3">
      <c r="A1344">
        <v>276</v>
      </c>
      <c r="B1344">
        <v>239</v>
      </c>
      <c r="C1344" t="s">
        <v>39</v>
      </c>
      <c r="D1344" t="s">
        <v>17</v>
      </c>
      <c r="E1344" t="s">
        <v>32</v>
      </c>
      <c r="F1344" t="s">
        <v>24</v>
      </c>
      <c r="G1344">
        <v>20</v>
      </c>
      <c r="H1344">
        <v>12</v>
      </c>
      <c r="I1344">
        <v>12</v>
      </c>
      <c r="J1344">
        <v>43.21</v>
      </c>
      <c r="K1344">
        <v>239.48</v>
      </c>
      <c r="L1344">
        <v>0.06</v>
      </c>
      <c r="M1344">
        <v>61.01</v>
      </c>
      <c r="N1344">
        <v>1</v>
      </c>
      <c r="O1344" t="s">
        <v>20</v>
      </c>
      <c r="P1344" t="s">
        <v>38</v>
      </c>
      <c r="Q1344">
        <f t="shared" si="100"/>
        <v>20</v>
      </c>
      <c r="R1344" s="4">
        <f>RANK(N1344,$N$2:N$2800,0)</f>
        <v>1</v>
      </c>
      <c r="S1344">
        <f t="shared" si="101"/>
        <v>1.6666666666666667</v>
      </c>
      <c r="T1344" t="str">
        <f t="shared" si="102"/>
        <v>Good</v>
      </c>
      <c r="U1344" t="str" cm="1">
        <f t="array" ref="U1344">_xlfn.LET(_xlpm.roles,_xlfn.UNIQUE(D1344:D4142),_xlpm.kills, SUMIF(D1344:D4142,_xlpm.roles,G1344:G4142),INDEX(_xlpm.roles,MATCH(MAX(_xlpm.kills),_xlpm.kills,0)))</f>
        <v>Sniper</v>
      </c>
      <c r="V1344" t="str">
        <f t="shared" si="103"/>
        <v>Medium Accuracy</v>
      </c>
      <c r="W1344" t="str" cm="1">
        <f t="array" ref="W1344">_xlfn.LET(_xlpm.roles,_xlfn.UNIQUE(D1344:D4142), _xlpm.counts,COUNTIF(D1344:D4142,_xlpm.roles), INDEX(_xlpm.roles,MATCH(MAX(_xlpm.counts),_xlpm.counts,0)))</f>
        <v>Sniper</v>
      </c>
      <c r="X1344" s="2">
        <f t="shared" si="104"/>
        <v>13.103594080338267</v>
      </c>
    </row>
    <row r="1345" spans="1:24" x14ac:dyDescent="0.3">
      <c r="A1345">
        <v>374</v>
      </c>
      <c r="B1345">
        <v>239</v>
      </c>
      <c r="C1345" t="s">
        <v>30</v>
      </c>
      <c r="D1345" t="s">
        <v>31</v>
      </c>
      <c r="E1345" t="s">
        <v>33</v>
      </c>
      <c r="F1345" t="s">
        <v>19</v>
      </c>
      <c r="G1345">
        <v>12</v>
      </c>
      <c r="H1345">
        <v>6</v>
      </c>
      <c r="I1345">
        <v>12</v>
      </c>
      <c r="J1345">
        <v>39.71</v>
      </c>
      <c r="K1345">
        <v>233.84</v>
      </c>
      <c r="L1345">
        <v>0.49</v>
      </c>
      <c r="M1345">
        <v>32.96</v>
      </c>
      <c r="N1345">
        <v>0.96</v>
      </c>
      <c r="O1345" t="s">
        <v>20</v>
      </c>
      <c r="P1345" t="s">
        <v>21</v>
      </c>
      <c r="Q1345">
        <f t="shared" si="100"/>
        <v>6</v>
      </c>
      <c r="R1345" s="4">
        <f>RANK(N1345,$N$2:N$2800,0)</f>
        <v>1301</v>
      </c>
      <c r="S1345">
        <f t="shared" si="101"/>
        <v>1</v>
      </c>
      <c r="T1345" t="str">
        <f t="shared" si="102"/>
        <v>Low</v>
      </c>
      <c r="U1345" t="str" cm="1">
        <f t="array" ref="U1345">_xlfn.LET(_xlpm.roles,_xlfn.UNIQUE(D1345:D4143),_xlpm.kills, SUMIF(D1345:D4143,_xlpm.roles,G1345:G4143),INDEX(_xlpm.roles,MATCH(MAX(_xlpm.kills),_xlpm.kills,0)))</f>
        <v>Sniper</v>
      </c>
      <c r="V1345" t="str">
        <f t="shared" si="103"/>
        <v>Medium Accuracy</v>
      </c>
      <c r="W1345" t="str" cm="1">
        <f t="array" ref="W1345">_xlfn.LET(_xlpm.roles,_xlfn.UNIQUE(D1345:D4143), _xlpm.counts,COUNTIF(D1345:D4143,_xlpm.roles), INDEX(_xlpm.roles,MATCH(MAX(_xlpm.counts),_xlpm.counts,0)))</f>
        <v>Sniper</v>
      </c>
      <c r="X1345" s="2">
        <f t="shared" si="104"/>
        <v>13.135802469135802</v>
      </c>
    </row>
    <row r="1346" spans="1:24" x14ac:dyDescent="0.3">
      <c r="A1346">
        <v>704</v>
      </c>
      <c r="B1346">
        <v>239</v>
      </c>
      <c r="C1346" t="s">
        <v>39</v>
      </c>
      <c r="D1346" t="s">
        <v>31</v>
      </c>
      <c r="E1346" t="s">
        <v>29</v>
      </c>
      <c r="F1346" t="s">
        <v>24</v>
      </c>
      <c r="G1346">
        <v>16</v>
      </c>
      <c r="H1346">
        <v>6</v>
      </c>
      <c r="I1346">
        <v>8</v>
      </c>
      <c r="J1346">
        <v>41.07</v>
      </c>
      <c r="K1346">
        <v>237.62</v>
      </c>
      <c r="L1346">
        <v>0.33</v>
      </c>
      <c r="M1346">
        <v>47.23</v>
      </c>
      <c r="N1346">
        <v>0.9</v>
      </c>
      <c r="O1346" t="s">
        <v>20</v>
      </c>
      <c r="P1346" t="s">
        <v>21</v>
      </c>
      <c r="Q1346">
        <f t="shared" si="100"/>
        <v>14</v>
      </c>
      <c r="R1346" s="4">
        <f>RANK(N1346,$N$2:N$2800,0)</f>
        <v>1738</v>
      </c>
      <c r="S1346">
        <f t="shared" si="101"/>
        <v>2</v>
      </c>
      <c r="T1346" t="str">
        <f t="shared" si="102"/>
        <v>Low</v>
      </c>
      <c r="U1346" t="str" cm="1">
        <f t="array" ref="U1346">_xlfn.LET(_xlpm.roles,_xlfn.UNIQUE(D1346:D4144),_xlpm.kills, SUMIF(D1346:D4144,_xlpm.roles,G1346:G4144),INDEX(_xlpm.roles,MATCH(MAX(_xlpm.kills),_xlpm.kills,0)))</f>
        <v>Sniper</v>
      </c>
      <c r="V1346" t="str">
        <f t="shared" si="103"/>
        <v>Medium Accuracy</v>
      </c>
      <c r="W1346" t="str" cm="1">
        <f t="array" ref="W1346">_xlfn.LET(_xlpm.roles,_xlfn.UNIQUE(D1346:D4144), _xlpm.counts,COUNTIF(D1346:D4144,_xlpm.roles), INDEX(_xlpm.roles,MATCH(MAX(_xlpm.counts),_xlpm.counts,0)))</f>
        <v>Sniper</v>
      </c>
      <c r="X1346" s="2">
        <f t="shared" si="104"/>
        <v>13.103594080338267</v>
      </c>
    </row>
    <row r="1347" spans="1:24" x14ac:dyDescent="0.3">
      <c r="A1347">
        <v>887</v>
      </c>
      <c r="B1347">
        <v>239</v>
      </c>
      <c r="C1347" t="s">
        <v>16</v>
      </c>
      <c r="D1347" t="s">
        <v>22</v>
      </c>
      <c r="E1347" t="s">
        <v>33</v>
      </c>
      <c r="F1347" t="s">
        <v>37</v>
      </c>
      <c r="G1347">
        <v>15</v>
      </c>
      <c r="H1347">
        <v>11</v>
      </c>
      <c r="I1347">
        <v>13</v>
      </c>
      <c r="J1347">
        <v>44.04</v>
      </c>
      <c r="K1347">
        <v>178.38</v>
      </c>
      <c r="L1347">
        <v>0.68</v>
      </c>
      <c r="M1347">
        <v>43.22</v>
      </c>
      <c r="N1347">
        <v>0.83</v>
      </c>
      <c r="O1347" t="s">
        <v>20</v>
      </c>
      <c r="P1347" t="s">
        <v>21</v>
      </c>
      <c r="Q1347">
        <f t="shared" ref="Q1347:Q1410" si="105">G1347+H1347-I1347</f>
        <v>13</v>
      </c>
      <c r="R1347" s="4">
        <f>RANK(N1347,$N$2:N$2800,0)</f>
        <v>2218</v>
      </c>
      <c r="S1347">
        <f t="shared" ref="S1347:S1410" si="106">G1347/I1347</f>
        <v>1.1538461538461537</v>
      </c>
      <c r="T1347" t="str">
        <f t="shared" ref="T1347:T1410" si="107">IF(Q1347&lt;15,"Low",IF(Q1347&lt;25,"Good","Excellent"))</f>
        <v>Low</v>
      </c>
      <c r="U1347" t="str" cm="1">
        <f t="array" ref="U1347">_xlfn.LET(_xlpm.roles,_xlfn.UNIQUE(D1347:D4145),_xlpm.kills, SUMIF(D1347:D4145,_xlpm.roles,G1347:G4145),INDEX(_xlpm.roles,MATCH(MAX(_xlpm.kills),_xlpm.kills,0)))</f>
        <v>Sniper</v>
      </c>
      <c r="V1347" t="str">
        <f t="shared" ref="V1347:V1410" si="108">IF(J1347&gt;=50,"High Accuracy",IF(J1347&gt;=30,"Medium Accuracy","Low Accuracy"))</f>
        <v>Medium Accuracy</v>
      </c>
      <c r="W1347" t="str" cm="1">
        <f t="array" ref="W1347">_xlfn.LET(_xlpm.roles,_xlfn.UNIQUE(D1347:D4145), _xlpm.counts,COUNTIF(D1347:D4145,_xlpm.roles), INDEX(_xlpm.roles,MATCH(MAX(_xlpm.counts),_xlpm.counts,0)))</f>
        <v>Sniper</v>
      </c>
      <c r="X1347" s="2">
        <f t="shared" ref="X1347:X1410" si="109">AVERAGEIF($C$2:$C$2800,C1347,$Q$2:$Q$2800)</f>
        <v>12.520971302428256</v>
      </c>
    </row>
    <row r="1348" spans="1:24" x14ac:dyDescent="0.3">
      <c r="A1348">
        <v>970</v>
      </c>
      <c r="B1348">
        <v>239</v>
      </c>
      <c r="C1348" t="s">
        <v>30</v>
      </c>
      <c r="D1348" t="s">
        <v>28</v>
      </c>
      <c r="E1348" t="s">
        <v>23</v>
      </c>
      <c r="F1348" t="s">
        <v>34</v>
      </c>
      <c r="G1348">
        <v>22</v>
      </c>
      <c r="H1348">
        <v>5</v>
      </c>
      <c r="I1348">
        <v>11</v>
      </c>
      <c r="J1348">
        <v>37.67</v>
      </c>
      <c r="K1348">
        <v>210.66</v>
      </c>
      <c r="L1348">
        <v>0.17</v>
      </c>
      <c r="M1348">
        <v>55.13</v>
      </c>
      <c r="N1348">
        <v>0.98</v>
      </c>
      <c r="O1348" t="s">
        <v>20</v>
      </c>
      <c r="P1348" t="s">
        <v>21</v>
      </c>
      <c r="Q1348">
        <f t="shared" si="105"/>
        <v>16</v>
      </c>
      <c r="R1348" s="4">
        <f>RANK(N1348,$N$2:N$2800,0)</f>
        <v>1157</v>
      </c>
      <c r="S1348">
        <f t="shared" si="106"/>
        <v>2</v>
      </c>
      <c r="T1348" t="str">
        <f t="shared" si="107"/>
        <v>Good</v>
      </c>
      <c r="U1348" t="str" cm="1">
        <f t="array" ref="U1348">_xlfn.LET(_xlpm.roles,_xlfn.UNIQUE(D1348:D4146),_xlpm.kills, SUMIF(D1348:D4146,_xlpm.roles,G1348:G4146),INDEX(_xlpm.roles,MATCH(MAX(_xlpm.kills),_xlpm.kills,0)))</f>
        <v>Sniper</v>
      </c>
      <c r="V1348" t="str">
        <f t="shared" si="108"/>
        <v>Medium Accuracy</v>
      </c>
      <c r="W1348" t="str" cm="1">
        <f t="array" ref="W1348">_xlfn.LET(_xlpm.roles,_xlfn.UNIQUE(D1348:D4146), _xlpm.counts,COUNTIF(D1348:D4146,_xlpm.roles), INDEX(_xlpm.roles,MATCH(MAX(_xlpm.counts),_xlpm.counts,0)))</f>
        <v>Sniper</v>
      </c>
      <c r="X1348" s="2">
        <f t="shared" si="109"/>
        <v>13.135802469135802</v>
      </c>
    </row>
    <row r="1349" spans="1:24" x14ac:dyDescent="0.3">
      <c r="A1349">
        <v>983</v>
      </c>
      <c r="B1349">
        <v>239</v>
      </c>
      <c r="C1349" t="s">
        <v>30</v>
      </c>
      <c r="D1349" t="s">
        <v>22</v>
      </c>
      <c r="E1349" t="s">
        <v>18</v>
      </c>
      <c r="F1349" t="s">
        <v>34</v>
      </c>
      <c r="G1349">
        <v>13</v>
      </c>
      <c r="H1349">
        <v>12</v>
      </c>
      <c r="I1349">
        <v>7</v>
      </c>
      <c r="J1349">
        <v>37</v>
      </c>
      <c r="K1349">
        <v>281.08</v>
      </c>
      <c r="L1349">
        <v>0.49</v>
      </c>
      <c r="M1349">
        <v>44.6</v>
      </c>
      <c r="N1349">
        <v>0.92</v>
      </c>
      <c r="O1349" t="s">
        <v>20</v>
      </c>
      <c r="P1349" t="s">
        <v>21</v>
      </c>
      <c r="Q1349">
        <f t="shared" si="105"/>
        <v>18</v>
      </c>
      <c r="R1349" s="4">
        <f>RANK(N1349,$N$2:N$2800,0)</f>
        <v>1585</v>
      </c>
      <c r="S1349">
        <f t="shared" si="106"/>
        <v>1.8571428571428572</v>
      </c>
      <c r="T1349" t="str">
        <f t="shared" si="107"/>
        <v>Good</v>
      </c>
      <c r="U1349" t="str" cm="1">
        <f t="array" ref="U1349">_xlfn.LET(_xlpm.roles,_xlfn.UNIQUE(D1349:D4147),_xlpm.kills, SUMIF(D1349:D4147,_xlpm.roles,G1349:G4147),INDEX(_xlpm.roles,MATCH(MAX(_xlpm.kills),_xlpm.kills,0)))</f>
        <v>Sniper</v>
      </c>
      <c r="V1349" t="str">
        <f t="shared" si="108"/>
        <v>Medium Accuracy</v>
      </c>
      <c r="W1349" t="str" cm="1">
        <f t="array" ref="W1349">_xlfn.LET(_xlpm.roles,_xlfn.UNIQUE(D1349:D4147), _xlpm.counts,COUNTIF(D1349:D4147,_xlpm.roles), INDEX(_xlpm.roles,MATCH(MAX(_xlpm.counts),_xlpm.counts,0)))</f>
        <v>Sniper</v>
      </c>
      <c r="X1349" s="2">
        <f t="shared" si="109"/>
        <v>13.135802469135802</v>
      </c>
    </row>
    <row r="1350" spans="1:24" x14ac:dyDescent="0.3">
      <c r="A1350">
        <v>2090</v>
      </c>
      <c r="B1350">
        <v>239</v>
      </c>
      <c r="C1350" t="s">
        <v>30</v>
      </c>
      <c r="D1350" t="s">
        <v>28</v>
      </c>
      <c r="E1350" t="s">
        <v>18</v>
      </c>
      <c r="F1350" t="s">
        <v>24</v>
      </c>
      <c r="G1350">
        <v>18</v>
      </c>
      <c r="H1350">
        <v>6</v>
      </c>
      <c r="I1350">
        <v>8</v>
      </c>
      <c r="J1350">
        <v>53.06</v>
      </c>
      <c r="K1350">
        <v>228.28</v>
      </c>
      <c r="L1350">
        <v>0.36</v>
      </c>
      <c r="M1350">
        <v>56.93</v>
      </c>
      <c r="N1350">
        <v>1</v>
      </c>
      <c r="O1350" t="s">
        <v>20</v>
      </c>
      <c r="P1350" t="s">
        <v>21</v>
      </c>
      <c r="Q1350">
        <f t="shared" si="105"/>
        <v>16</v>
      </c>
      <c r="R1350" s="4">
        <f>RANK(N1350,$N$2:N$2800,0)</f>
        <v>1</v>
      </c>
      <c r="S1350">
        <f t="shared" si="106"/>
        <v>2.25</v>
      </c>
      <c r="T1350" t="str">
        <f t="shared" si="107"/>
        <v>Good</v>
      </c>
      <c r="U1350" t="str" cm="1">
        <f t="array" ref="U1350">_xlfn.LET(_xlpm.roles,_xlfn.UNIQUE(D1350:D4148),_xlpm.kills, SUMIF(D1350:D4148,_xlpm.roles,G1350:G4148),INDEX(_xlpm.roles,MATCH(MAX(_xlpm.kills),_xlpm.kills,0)))</f>
        <v>Sniper</v>
      </c>
      <c r="V1350" t="str">
        <f t="shared" si="108"/>
        <v>High Accuracy</v>
      </c>
      <c r="W1350" t="str" cm="1">
        <f t="array" ref="W1350">_xlfn.LET(_xlpm.roles,_xlfn.UNIQUE(D1350:D4148), _xlpm.counts,COUNTIF(D1350:D4148,_xlpm.roles), INDEX(_xlpm.roles,MATCH(MAX(_xlpm.counts),_xlpm.counts,0)))</f>
        <v>Sniper</v>
      </c>
      <c r="X1350" s="2">
        <f t="shared" si="109"/>
        <v>13.135802469135802</v>
      </c>
    </row>
    <row r="1351" spans="1:24" x14ac:dyDescent="0.3">
      <c r="A1351">
        <v>179</v>
      </c>
      <c r="B1351">
        <v>240</v>
      </c>
      <c r="C1351" t="s">
        <v>39</v>
      </c>
      <c r="D1351" t="s">
        <v>31</v>
      </c>
      <c r="E1351" t="s">
        <v>23</v>
      </c>
      <c r="F1351" t="s">
        <v>24</v>
      </c>
      <c r="G1351">
        <v>18</v>
      </c>
      <c r="H1351">
        <v>5</v>
      </c>
      <c r="I1351">
        <v>7</v>
      </c>
      <c r="J1351">
        <v>42.34</v>
      </c>
      <c r="K1351">
        <v>234.75</v>
      </c>
      <c r="L1351">
        <v>0.56000000000000005</v>
      </c>
      <c r="M1351">
        <v>49.57</v>
      </c>
      <c r="N1351">
        <v>1</v>
      </c>
      <c r="O1351" t="s">
        <v>20</v>
      </c>
      <c r="P1351" t="s">
        <v>21</v>
      </c>
      <c r="Q1351">
        <f t="shared" si="105"/>
        <v>16</v>
      </c>
      <c r="R1351" s="4">
        <f>RANK(N1351,$N$2:N$2800,0)</f>
        <v>1</v>
      </c>
      <c r="S1351">
        <f t="shared" si="106"/>
        <v>2.5714285714285716</v>
      </c>
      <c r="T1351" t="str">
        <f t="shared" si="107"/>
        <v>Good</v>
      </c>
      <c r="U1351" t="str" cm="1">
        <f t="array" ref="U1351">_xlfn.LET(_xlpm.roles,_xlfn.UNIQUE(D1351:D4149),_xlpm.kills, SUMIF(D1351:D4149,_xlpm.roles,G1351:G4149),INDEX(_xlpm.roles,MATCH(MAX(_xlpm.kills),_xlpm.kills,0)))</f>
        <v>Sniper</v>
      </c>
      <c r="V1351" t="str">
        <f t="shared" si="108"/>
        <v>Medium Accuracy</v>
      </c>
      <c r="W1351" t="str" cm="1">
        <f t="array" ref="W1351">_xlfn.LET(_xlpm.roles,_xlfn.UNIQUE(D1351:D4149), _xlpm.counts,COUNTIF(D1351:D4149,_xlpm.roles), INDEX(_xlpm.roles,MATCH(MAX(_xlpm.counts),_xlpm.counts,0)))</f>
        <v>Sniper</v>
      </c>
      <c r="X1351" s="2">
        <f t="shared" si="109"/>
        <v>13.103594080338267</v>
      </c>
    </row>
    <row r="1352" spans="1:24" x14ac:dyDescent="0.3">
      <c r="A1352">
        <v>397</v>
      </c>
      <c r="B1352">
        <v>240</v>
      </c>
      <c r="C1352" t="s">
        <v>35</v>
      </c>
      <c r="D1352" t="s">
        <v>31</v>
      </c>
      <c r="E1352" t="s">
        <v>32</v>
      </c>
      <c r="F1352" t="s">
        <v>24</v>
      </c>
      <c r="G1352">
        <v>15</v>
      </c>
      <c r="H1352">
        <v>10</v>
      </c>
      <c r="I1352">
        <v>9</v>
      </c>
      <c r="J1352">
        <v>53.81</v>
      </c>
      <c r="K1352">
        <v>208.58</v>
      </c>
      <c r="L1352">
        <v>0.65</v>
      </c>
      <c r="M1352">
        <v>51.41</v>
      </c>
      <c r="N1352">
        <v>0.86</v>
      </c>
      <c r="O1352" t="s">
        <v>20</v>
      </c>
      <c r="P1352" t="s">
        <v>21</v>
      </c>
      <c r="Q1352">
        <f t="shared" si="105"/>
        <v>16</v>
      </c>
      <c r="R1352" s="4">
        <f>RANK(N1352,$N$2:N$2800,0)</f>
        <v>2040</v>
      </c>
      <c r="S1352">
        <f t="shared" si="106"/>
        <v>1.6666666666666667</v>
      </c>
      <c r="T1352" t="str">
        <f t="shared" si="107"/>
        <v>Good</v>
      </c>
      <c r="U1352" t="str" cm="1">
        <f t="array" ref="U1352">_xlfn.LET(_xlpm.roles,_xlfn.UNIQUE(D1352:D4150),_xlpm.kills, SUMIF(D1352:D4150,_xlpm.roles,G1352:G4150),INDEX(_xlpm.roles,MATCH(MAX(_xlpm.kills),_xlpm.kills,0)))</f>
        <v>Entry Fragger</v>
      </c>
      <c r="V1352" t="str">
        <f t="shared" si="108"/>
        <v>High Accuracy</v>
      </c>
      <c r="W1352" t="str" cm="1">
        <f t="array" ref="W1352">_xlfn.LET(_xlpm.roles,_xlfn.UNIQUE(D1352:D4150), _xlpm.counts,COUNTIF(D1352:D4150,_xlpm.roles), INDEX(_xlpm.roles,MATCH(MAX(_xlpm.counts),_xlpm.counts,0)))</f>
        <v>Sniper</v>
      </c>
      <c r="X1352" s="2">
        <f t="shared" si="109"/>
        <v>12.599585062240664</v>
      </c>
    </row>
    <row r="1353" spans="1:24" x14ac:dyDescent="0.3">
      <c r="A1353">
        <v>780</v>
      </c>
      <c r="B1353">
        <v>240</v>
      </c>
      <c r="C1353" t="s">
        <v>30</v>
      </c>
      <c r="D1353" t="s">
        <v>22</v>
      </c>
      <c r="E1353" t="s">
        <v>32</v>
      </c>
      <c r="F1353" t="s">
        <v>34</v>
      </c>
      <c r="G1353">
        <v>19</v>
      </c>
      <c r="H1353">
        <v>10</v>
      </c>
      <c r="I1353">
        <v>9</v>
      </c>
      <c r="J1353">
        <v>47.63</v>
      </c>
      <c r="K1353">
        <v>220.72</v>
      </c>
      <c r="L1353">
        <v>0.56999999999999995</v>
      </c>
      <c r="M1353">
        <v>57.11</v>
      </c>
      <c r="N1353">
        <v>1</v>
      </c>
      <c r="O1353" t="s">
        <v>20</v>
      </c>
      <c r="P1353" t="s">
        <v>21</v>
      </c>
      <c r="Q1353">
        <f t="shared" si="105"/>
        <v>20</v>
      </c>
      <c r="R1353" s="4">
        <f>RANK(N1353,$N$2:N$2800,0)</f>
        <v>1</v>
      </c>
      <c r="S1353">
        <f t="shared" si="106"/>
        <v>2.1111111111111112</v>
      </c>
      <c r="T1353" t="str">
        <f t="shared" si="107"/>
        <v>Good</v>
      </c>
      <c r="U1353" t="str" cm="1">
        <f t="array" ref="U1353">_xlfn.LET(_xlpm.roles,_xlfn.UNIQUE(D1353:D4151),_xlpm.kills, SUMIF(D1353:D4151,_xlpm.roles,G1353:G4151),INDEX(_xlpm.roles,MATCH(MAX(_xlpm.kills),_xlpm.kills,0)))</f>
        <v>Entry Fragger</v>
      </c>
      <c r="V1353" t="str">
        <f t="shared" si="108"/>
        <v>Medium Accuracy</v>
      </c>
      <c r="W1353" t="str" cm="1">
        <f t="array" ref="W1353">_xlfn.LET(_xlpm.roles,_xlfn.UNIQUE(D1353:D4151), _xlpm.counts,COUNTIF(D1353:D4151,_xlpm.roles), INDEX(_xlpm.roles,MATCH(MAX(_xlpm.counts),_xlpm.counts,0)))</f>
        <v>Sniper</v>
      </c>
      <c r="X1353" s="2">
        <f t="shared" si="109"/>
        <v>13.135802469135802</v>
      </c>
    </row>
    <row r="1354" spans="1:24" x14ac:dyDescent="0.3">
      <c r="A1354">
        <v>922</v>
      </c>
      <c r="B1354">
        <v>240</v>
      </c>
      <c r="C1354" t="s">
        <v>25</v>
      </c>
      <c r="D1354" t="s">
        <v>17</v>
      </c>
      <c r="E1354" t="s">
        <v>29</v>
      </c>
      <c r="F1354" t="s">
        <v>37</v>
      </c>
      <c r="G1354">
        <v>4</v>
      </c>
      <c r="H1354">
        <v>10</v>
      </c>
      <c r="I1354">
        <v>6</v>
      </c>
      <c r="J1354">
        <v>37.96</v>
      </c>
      <c r="K1354">
        <v>196.99</v>
      </c>
      <c r="L1354">
        <v>0.98</v>
      </c>
      <c r="M1354">
        <v>21.18</v>
      </c>
      <c r="N1354">
        <v>0.53</v>
      </c>
      <c r="O1354" t="s">
        <v>40</v>
      </c>
      <c r="P1354" t="s">
        <v>21</v>
      </c>
      <c r="Q1354">
        <f t="shared" si="105"/>
        <v>8</v>
      </c>
      <c r="R1354" s="4">
        <f>RANK(N1354,$N$2:N$2800,0)</f>
        <v>2794</v>
      </c>
      <c r="S1354">
        <f t="shared" si="106"/>
        <v>0.66666666666666663</v>
      </c>
      <c r="T1354" t="str">
        <f t="shared" si="107"/>
        <v>Low</v>
      </c>
      <c r="U1354" t="str" cm="1">
        <f t="array" ref="U1354">_xlfn.LET(_xlpm.roles,_xlfn.UNIQUE(D1354:D4152),_xlpm.kills, SUMIF(D1354:D4152,_xlpm.roles,G1354:G4152),INDEX(_xlpm.roles,MATCH(MAX(_xlpm.kills),_xlpm.kills,0)))</f>
        <v>Entry Fragger</v>
      </c>
      <c r="V1354" t="str">
        <f t="shared" si="108"/>
        <v>Medium Accuracy</v>
      </c>
      <c r="W1354" t="str" cm="1">
        <f t="array" ref="W1354">_xlfn.LET(_xlpm.roles,_xlfn.UNIQUE(D1354:D4152), _xlpm.counts,COUNTIF(D1354:D4152,_xlpm.roles), INDEX(_xlpm.roles,MATCH(MAX(_xlpm.counts),_xlpm.counts,0)))</f>
        <v>Sniper</v>
      </c>
      <c r="X1354" s="2">
        <f t="shared" si="109"/>
        <v>12.809421841541756</v>
      </c>
    </row>
    <row r="1355" spans="1:24" x14ac:dyDescent="0.3">
      <c r="A1355">
        <v>1295</v>
      </c>
      <c r="B1355">
        <v>240</v>
      </c>
      <c r="C1355" t="s">
        <v>27</v>
      </c>
      <c r="D1355" t="s">
        <v>17</v>
      </c>
      <c r="E1355" t="s">
        <v>29</v>
      </c>
      <c r="F1355" t="s">
        <v>24</v>
      </c>
      <c r="G1355">
        <v>10</v>
      </c>
      <c r="H1355">
        <v>14</v>
      </c>
      <c r="I1355">
        <v>6</v>
      </c>
      <c r="J1355">
        <v>38.36</v>
      </c>
      <c r="K1355">
        <v>164.27</v>
      </c>
      <c r="L1355">
        <v>0.06</v>
      </c>
      <c r="M1355">
        <v>46.58</v>
      </c>
      <c r="N1355">
        <v>0.91</v>
      </c>
      <c r="O1355" t="s">
        <v>20</v>
      </c>
      <c r="P1355" t="s">
        <v>21</v>
      </c>
      <c r="Q1355">
        <f t="shared" si="105"/>
        <v>18</v>
      </c>
      <c r="R1355" s="4">
        <f>RANK(N1355,$N$2:N$2800,0)</f>
        <v>1665</v>
      </c>
      <c r="S1355">
        <f t="shared" si="106"/>
        <v>1.6666666666666667</v>
      </c>
      <c r="T1355" t="str">
        <f t="shared" si="107"/>
        <v>Good</v>
      </c>
      <c r="U1355" t="str" cm="1">
        <f t="array" ref="U1355">_xlfn.LET(_xlpm.roles,_xlfn.UNIQUE(D1355:D4153),_xlpm.kills, SUMIF(D1355:D4153,_xlpm.roles,G1355:G4153),INDEX(_xlpm.roles,MATCH(MAX(_xlpm.kills),_xlpm.kills,0)))</f>
        <v>Entry Fragger</v>
      </c>
      <c r="V1355" t="str">
        <f t="shared" si="108"/>
        <v>Medium Accuracy</v>
      </c>
      <c r="W1355" t="str" cm="1">
        <f t="array" ref="W1355">_xlfn.LET(_xlpm.roles,_xlfn.UNIQUE(D1355:D4153), _xlpm.counts,COUNTIF(D1355:D4153,_xlpm.roles), INDEX(_xlpm.roles,MATCH(MAX(_xlpm.counts),_xlpm.counts,0)))</f>
        <v>Sniper</v>
      </c>
      <c r="X1355" s="2">
        <f t="shared" si="109"/>
        <v>13.057077625570777</v>
      </c>
    </row>
    <row r="1356" spans="1:24" x14ac:dyDescent="0.3">
      <c r="A1356">
        <v>1589</v>
      </c>
      <c r="B1356">
        <v>240</v>
      </c>
      <c r="C1356" t="s">
        <v>39</v>
      </c>
      <c r="D1356" t="s">
        <v>28</v>
      </c>
      <c r="E1356" t="s">
        <v>33</v>
      </c>
      <c r="F1356" t="s">
        <v>24</v>
      </c>
      <c r="G1356">
        <v>19</v>
      </c>
      <c r="H1356">
        <v>3</v>
      </c>
      <c r="I1356">
        <v>6</v>
      </c>
      <c r="J1356">
        <v>47.41</v>
      </c>
      <c r="K1356">
        <v>229.85</v>
      </c>
      <c r="L1356">
        <v>0.31</v>
      </c>
      <c r="M1356">
        <v>55.6</v>
      </c>
      <c r="N1356">
        <v>0.83</v>
      </c>
      <c r="O1356" t="s">
        <v>20</v>
      </c>
      <c r="P1356" t="s">
        <v>21</v>
      </c>
      <c r="Q1356">
        <f t="shared" si="105"/>
        <v>16</v>
      </c>
      <c r="R1356" s="4">
        <f>RANK(N1356,$N$2:N$2800,0)</f>
        <v>2218</v>
      </c>
      <c r="S1356">
        <f t="shared" si="106"/>
        <v>3.1666666666666665</v>
      </c>
      <c r="T1356" t="str">
        <f t="shared" si="107"/>
        <v>Good</v>
      </c>
      <c r="U1356" t="str" cm="1">
        <f t="array" ref="U1356">_xlfn.LET(_xlpm.roles,_xlfn.UNIQUE(D1356:D4154),_xlpm.kills, SUMIF(D1356:D4154,_xlpm.roles,G1356:G4154),INDEX(_xlpm.roles,MATCH(MAX(_xlpm.kills),_xlpm.kills,0)))</f>
        <v>Entry Fragger</v>
      </c>
      <c r="V1356" t="str">
        <f t="shared" si="108"/>
        <v>Medium Accuracy</v>
      </c>
      <c r="W1356" t="str" cm="1">
        <f t="array" ref="W1356">_xlfn.LET(_xlpm.roles,_xlfn.UNIQUE(D1356:D4154), _xlpm.counts,COUNTIF(D1356:D4154,_xlpm.roles), INDEX(_xlpm.roles,MATCH(MAX(_xlpm.counts),_xlpm.counts,0)))</f>
        <v>Sniper</v>
      </c>
      <c r="X1356" s="2">
        <f t="shared" si="109"/>
        <v>13.103594080338267</v>
      </c>
    </row>
    <row r="1357" spans="1:24" x14ac:dyDescent="0.3">
      <c r="A1357">
        <v>1968</v>
      </c>
      <c r="B1357">
        <v>240</v>
      </c>
      <c r="C1357" t="s">
        <v>25</v>
      </c>
      <c r="D1357" t="s">
        <v>28</v>
      </c>
      <c r="E1357" t="s">
        <v>29</v>
      </c>
      <c r="F1357" t="s">
        <v>37</v>
      </c>
      <c r="G1357">
        <v>9</v>
      </c>
      <c r="H1357">
        <v>10</v>
      </c>
      <c r="I1357">
        <v>8</v>
      </c>
      <c r="J1357">
        <v>50.61</v>
      </c>
      <c r="K1357">
        <v>262.44</v>
      </c>
      <c r="L1357">
        <v>0.57999999999999996</v>
      </c>
      <c r="M1357">
        <v>39.51</v>
      </c>
      <c r="N1357">
        <v>1</v>
      </c>
      <c r="O1357" t="s">
        <v>20</v>
      </c>
      <c r="P1357" t="s">
        <v>21</v>
      </c>
      <c r="Q1357">
        <f t="shared" si="105"/>
        <v>11</v>
      </c>
      <c r="R1357" s="4">
        <f>RANK(N1357,$N$2:N$2800,0)</f>
        <v>1</v>
      </c>
      <c r="S1357">
        <f t="shared" si="106"/>
        <v>1.125</v>
      </c>
      <c r="T1357" t="str">
        <f t="shared" si="107"/>
        <v>Low</v>
      </c>
      <c r="U1357" t="str" cm="1">
        <f t="array" ref="U1357">_xlfn.LET(_xlpm.roles,_xlfn.UNIQUE(D1357:D4155),_xlpm.kills, SUMIF(D1357:D4155,_xlpm.roles,G1357:G4155),INDEX(_xlpm.roles,MATCH(MAX(_xlpm.kills),_xlpm.kills,0)))</f>
        <v>Entry Fragger</v>
      </c>
      <c r="V1357" t="str">
        <f t="shared" si="108"/>
        <v>High Accuracy</v>
      </c>
      <c r="W1357" t="str" cm="1">
        <f t="array" ref="W1357">_xlfn.LET(_xlpm.roles,_xlfn.UNIQUE(D1357:D4155), _xlpm.counts,COUNTIF(D1357:D4155,_xlpm.roles), INDEX(_xlpm.roles,MATCH(MAX(_xlpm.counts),_xlpm.counts,0)))</f>
        <v>Sniper</v>
      </c>
      <c r="X1357" s="2">
        <f t="shared" si="109"/>
        <v>12.809421841541756</v>
      </c>
    </row>
    <row r="1358" spans="1:24" x14ac:dyDescent="0.3">
      <c r="A1358">
        <v>2196</v>
      </c>
      <c r="B1358">
        <v>240</v>
      </c>
      <c r="C1358" t="s">
        <v>39</v>
      </c>
      <c r="D1358" t="s">
        <v>31</v>
      </c>
      <c r="E1358" t="s">
        <v>33</v>
      </c>
      <c r="F1358" t="s">
        <v>37</v>
      </c>
      <c r="G1358">
        <v>15</v>
      </c>
      <c r="H1358">
        <v>3</v>
      </c>
      <c r="I1358">
        <v>8</v>
      </c>
      <c r="J1358">
        <v>40.29</v>
      </c>
      <c r="K1358">
        <v>223.99</v>
      </c>
      <c r="L1358">
        <v>0.7</v>
      </c>
      <c r="M1358">
        <v>38.14</v>
      </c>
      <c r="N1358">
        <v>0.78</v>
      </c>
      <c r="O1358" t="s">
        <v>20</v>
      </c>
      <c r="P1358" t="s">
        <v>21</v>
      </c>
      <c r="Q1358">
        <f t="shared" si="105"/>
        <v>10</v>
      </c>
      <c r="R1358" s="4">
        <f>RANK(N1358,$N$2:N$2800,0)</f>
        <v>2469</v>
      </c>
      <c r="S1358">
        <f t="shared" si="106"/>
        <v>1.875</v>
      </c>
      <c r="T1358" t="str">
        <f t="shared" si="107"/>
        <v>Low</v>
      </c>
      <c r="U1358" t="str" cm="1">
        <f t="array" ref="U1358">_xlfn.LET(_xlpm.roles,_xlfn.UNIQUE(D1358:D4156),_xlpm.kills, SUMIF(D1358:D4156,_xlpm.roles,G1358:G4156),INDEX(_xlpm.roles,MATCH(MAX(_xlpm.kills),_xlpm.kills,0)))</f>
        <v>Entry Fragger</v>
      </c>
      <c r="V1358" t="str">
        <f t="shared" si="108"/>
        <v>Medium Accuracy</v>
      </c>
      <c r="W1358" t="str" cm="1">
        <f t="array" ref="W1358">_xlfn.LET(_xlpm.roles,_xlfn.UNIQUE(D1358:D4156), _xlpm.counts,COUNTIF(D1358:D4156,_xlpm.roles), INDEX(_xlpm.roles,MATCH(MAX(_xlpm.counts),_xlpm.counts,0)))</f>
        <v>Sniper</v>
      </c>
      <c r="X1358" s="2">
        <f t="shared" si="109"/>
        <v>13.103594080338267</v>
      </c>
    </row>
    <row r="1359" spans="1:24" x14ac:dyDescent="0.3">
      <c r="A1359">
        <v>487</v>
      </c>
      <c r="B1359">
        <v>241</v>
      </c>
      <c r="C1359" t="s">
        <v>30</v>
      </c>
      <c r="D1359" t="s">
        <v>31</v>
      </c>
      <c r="E1359" t="s">
        <v>29</v>
      </c>
      <c r="F1359" t="s">
        <v>26</v>
      </c>
      <c r="G1359">
        <v>11</v>
      </c>
      <c r="H1359">
        <v>17</v>
      </c>
      <c r="I1359">
        <v>7</v>
      </c>
      <c r="J1359">
        <v>31.05</v>
      </c>
      <c r="K1359">
        <v>224.7</v>
      </c>
      <c r="L1359">
        <v>0.78</v>
      </c>
      <c r="M1359">
        <v>39.72</v>
      </c>
      <c r="N1359">
        <v>1</v>
      </c>
      <c r="O1359" t="s">
        <v>20</v>
      </c>
      <c r="P1359" t="s">
        <v>21</v>
      </c>
      <c r="Q1359">
        <f t="shared" si="105"/>
        <v>21</v>
      </c>
      <c r="R1359" s="4">
        <f>RANK(N1359,$N$2:N$2800,0)</f>
        <v>1</v>
      </c>
      <c r="S1359">
        <f t="shared" si="106"/>
        <v>1.5714285714285714</v>
      </c>
      <c r="T1359" t="str">
        <f t="shared" si="107"/>
        <v>Good</v>
      </c>
      <c r="U1359" t="str" cm="1">
        <f t="array" ref="U1359">_xlfn.LET(_xlpm.roles,_xlfn.UNIQUE(D1359:D4157),_xlpm.kills, SUMIF(D1359:D4157,_xlpm.roles,G1359:G4157),INDEX(_xlpm.roles,MATCH(MAX(_xlpm.kills),_xlpm.kills,0)))</f>
        <v>Entry Fragger</v>
      </c>
      <c r="V1359" t="str">
        <f t="shared" si="108"/>
        <v>Medium Accuracy</v>
      </c>
      <c r="W1359" t="str" cm="1">
        <f t="array" ref="W1359">_xlfn.LET(_xlpm.roles,_xlfn.UNIQUE(D1359:D4157), _xlpm.counts,COUNTIF(D1359:D4157,_xlpm.roles), INDEX(_xlpm.roles,MATCH(MAX(_xlpm.counts),_xlpm.counts,0)))</f>
        <v>Entry Fragger</v>
      </c>
      <c r="X1359" s="2">
        <f t="shared" si="109"/>
        <v>13.135802469135802</v>
      </c>
    </row>
    <row r="1360" spans="1:24" x14ac:dyDescent="0.3">
      <c r="A1360">
        <v>537</v>
      </c>
      <c r="B1360">
        <v>241</v>
      </c>
      <c r="C1360" t="s">
        <v>16</v>
      </c>
      <c r="D1360" t="s">
        <v>31</v>
      </c>
      <c r="E1360" t="s">
        <v>32</v>
      </c>
      <c r="F1360" t="s">
        <v>34</v>
      </c>
      <c r="G1360">
        <v>19</v>
      </c>
      <c r="H1360">
        <v>7</v>
      </c>
      <c r="I1360">
        <v>10</v>
      </c>
      <c r="J1360">
        <v>40.880000000000003</v>
      </c>
      <c r="K1360">
        <v>219.9</v>
      </c>
      <c r="L1360">
        <v>0.61</v>
      </c>
      <c r="M1360">
        <v>49.34</v>
      </c>
      <c r="N1360">
        <v>0.93</v>
      </c>
      <c r="O1360" t="s">
        <v>20</v>
      </c>
      <c r="P1360" t="s">
        <v>21</v>
      </c>
      <c r="Q1360">
        <f t="shared" si="105"/>
        <v>16</v>
      </c>
      <c r="R1360" s="4">
        <f>RANK(N1360,$N$2:N$2800,0)</f>
        <v>1505</v>
      </c>
      <c r="S1360">
        <f t="shared" si="106"/>
        <v>1.9</v>
      </c>
      <c r="T1360" t="str">
        <f t="shared" si="107"/>
        <v>Good</v>
      </c>
      <c r="U1360" t="str" cm="1">
        <f t="array" ref="U1360">_xlfn.LET(_xlpm.roles,_xlfn.UNIQUE(D1360:D4158),_xlpm.kills, SUMIF(D1360:D4158,_xlpm.roles,G1360:G4158),INDEX(_xlpm.roles,MATCH(MAX(_xlpm.kills),_xlpm.kills,0)))</f>
        <v>Entry Fragger</v>
      </c>
      <c r="V1360" t="str">
        <f t="shared" si="108"/>
        <v>Medium Accuracy</v>
      </c>
      <c r="W1360" t="str" cm="1">
        <f t="array" ref="W1360">_xlfn.LET(_xlpm.roles,_xlfn.UNIQUE(D1360:D4158), _xlpm.counts,COUNTIF(D1360:D4158,_xlpm.roles), INDEX(_xlpm.roles,MATCH(MAX(_xlpm.counts),_xlpm.counts,0)))</f>
        <v>Entry Fragger</v>
      </c>
      <c r="X1360" s="2">
        <f t="shared" si="109"/>
        <v>12.520971302428256</v>
      </c>
    </row>
    <row r="1361" spans="1:24" x14ac:dyDescent="0.3">
      <c r="A1361">
        <v>1692</v>
      </c>
      <c r="B1361">
        <v>241</v>
      </c>
      <c r="C1361" t="s">
        <v>39</v>
      </c>
      <c r="D1361" t="s">
        <v>36</v>
      </c>
      <c r="E1361" t="s">
        <v>18</v>
      </c>
      <c r="F1361" t="s">
        <v>24</v>
      </c>
      <c r="G1361">
        <v>11</v>
      </c>
      <c r="H1361">
        <v>11</v>
      </c>
      <c r="I1361">
        <v>8</v>
      </c>
      <c r="J1361">
        <v>49.62</v>
      </c>
      <c r="K1361">
        <v>227.39</v>
      </c>
      <c r="L1361">
        <v>0.39</v>
      </c>
      <c r="M1361">
        <v>45.91</v>
      </c>
      <c r="N1361">
        <v>0.89</v>
      </c>
      <c r="O1361" t="s">
        <v>20</v>
      </c>
      <c r="P1361" t="s">
        <v>21</v>
      </c>
      <c r="Q1361">
        <f t="shared" si="105"/>
        <v>14</v>
      </c>
      <c r="R1361" s="4">
        <f>RANK(N1361,$N$2:N$2800,0)</f>
        <v>1815</v>
      </c>
      <c r="S1361">
        <f t="shared" si="106"/>
        <v>1.375</v>
      </c>
      <c r="T1361" t="str">
        <f t="shared" si="107"/>
        <v>Low</v>
      </c>
      <c r="U1361" t="str" cm="1">
        <f t="array" ref="U1361">_xlfn.LET(_xlpm.roles,_xlfn.UNIQUE(D1361:D4159),_xlpm.kills, SUMIF(D1361:D4159,_xlpm.roles,G1361:G4159),INDEX(_xlpm.roles,MATCH(MAX(_xlpm.kills),_xlpm.kills,0)))</f>
        <v>Entry Fragger</v>
      </c>
      <c r="V1361" t="str">
        <f t="shared" si="108"/>
        <v>Medium Accuracy</v>
      </c>
      <c r="W1361" t="str" cm="1">
        <f t="array" ref="W1361">_xlfn.LET(_xlpm.roles,_xlfn.UNIQUE(D1361:D4159), _xlpm.counts,COUNTIF(D1361:D4159,_xlpm.roles), INDEX(_xlpm.roles,MATCH(MAX(_xlpm.counts),_xlpm.counts,0)))</f>
        <v>Entry Fragger</v>
      </c>
      <c r="X1361" s="2">
        <f t="shared" si="109"/>
        <v>13.103594080338267</v>
      </c>
    </row>
    <row r="1362" spans="1:24" x14ac:dyDescent="0.3">
      <c r="A1362">
        <v>2240</v>
      </c>
      <c r="B1362">
        <v>241</v>
      </c>
      <c r="C1362" t="s">
        <v>35</v>
      </c>
      <c r="D1362" t="s">
        <v>31</v>
      </c>
      <c r="E1362" t="s">
        <v>23</v>
      </c>
      <c r="F1362" t="s">
        <v>19</v>
      </c>
      <c r="G1362">
        <v>16</v>
      </c>
      <c r="H1362">
        <v>9</v>
      </c>
      <c r="I1362">
        <v>14</v>
      </c>
      <c r="J1362">
        <v>47.33</v>
      </c>
      <c r="K1362">
        <v>214.22</v>
      </c>
      <c r="L1362">
        <v>0.61</v>
      </c>
      <c r="M1362">
        <v>44.56</v>
      </c>
      <c r="N1362">
        <v>1</v>
      </c>
      <c r="O1362" t="s">
        <v>20</v>
      </c>
      <c r="P1362" t="s">
        <v>21</v>
      </c>
      <c r="Q1362">
        <f t="shared" si="105"/>
        <v>11</v>
      </c>
      <c r="R1362" s="4">
        <f>RANK(N1362,$N$2:N$2800,0)</f>
        <v>1</v>
      </c>
      <c r="S1362">
        <f t="shared" si="106"/>
        <v>1.1428571428571428</v>
      </c>
      <c r="T1362" t="str">
        <f t="shared" si="107"/>
        <v>Low</v>
      </c>
      <c r="U1362" t="str" cm="1">
        <f t="array" ref="U1362">_xlfn.LET(_xlpm.roles,_xlfn.UNIQUE(D1362:D4160),_xlpm.kills, SUMIF(D1362:D4160,_xlpm.roles,G1362:G4160),INDEX(_xlpm.roles,MATCH(MAX(_xlpm.kills),_xlpm.kills,0)))</f>
        <v>Entry Fragger</v>
      </c>
      <c r="V1362" t="str">
        <f t="shared" si="108"/>
        <v>Medium Accuracy</v>
      </c>
      <c r="W1362" t="str" cm="1">
        <f t="array" ref="W1362">_xlfn.LET(_xlpm.roles,_xlfn.UNIQUE(D1362:D4160), _xlpm.counts,COUNTIF(D1362:D4160,_xlpm.roles), INDEX(_xlpm.roles,MATCH(MAX(_xlpm.counts),_xlpm.counts,0)))</f>
        <v>Entry Fragger</v>
      </c>
      <c r="X1362" s="2">
        <f t="shared" si="109"/>
        <v>12.599585062240664</v>
      </c>
    </row>
    <row r="1363" spans="1:24" x14ac:dyDescent="0.3">
      <c r="A1363">
        <v>2273</v>
      </c>
      <c r="B1363">
        <v>241</v>
      </c>
      <c r="C1363" t="s">
        <v>25</v>
      </c>
      <c r="D1363" t="s">
        <v>31</v>
      </c>
      <c r="E1363" t="s">
        <v>29</v>
      </c>
      <c r="F1363" t="s">
        <v>37</v>
      </c>
      <c r="G1363">
        <v>15</v>
      </c>
      <c r="H1363">
        <v>12</v>
      </c>
      <c r="I1363">
        <v>11</v>
      </c>
      <c r="J1363">
        <v>52.39</v>
      </c>
      <c r="K1363">
        <v>249.13</v>
      </c>
      <c r="L1363">
        <v>0.1</v>
      </c>
      <c r="M1363">
        <v>56.2</v>
      </c>
      <c r="N1363">
        <v>1</v>
      </c>
      <c r="O1363" t="s">
        <v>20</v>
      </c>
      <c r="P1363" t="s">
        <v>21</v>
      </c>
      <c r="Q1363">
        <f t="shared" si="105"/>
        <v>16</v>
      </c>
      <c r="R1363" s="4">
        <f>RANK(N1363,$N$2:N$2800,0)</f>
        <v>1</v>
      </c>
      <c r="S1363">
        <f t="shared" si="106"/>
        <v>1.3636363636363635</v>
      </c>
      <c r="T1363" t="str">
        <f t="shared" si="107"/>
        <v>Good</v>
      </c>
      <c r="U1363" t="str" cm="1">
        <f t="array" ref="U1363">_xlfn.LET(_xlpm.roles,_xlfn.UNIQUE(D1363:D4161),_xlpm.kills, SUMIF(D1363:D4161,_xlpm.roles,G1363:G4161),INDEX(_xlpm.roles,MATCH(MAX(_xlpm.kills),_xlpm.kills,0)))</f>
        <v>Entry Fragger</v>
      </c>
      <c r="V1363" t="str">
        <f t="shared" si="108"/>
        <v>High Accuracy</v>
      </c>
      <c r="W1363" t="str" cm="1">
        <f t="array" ref="W1363">_xlfn.LET(_xlpm.roles,_xlfn.UNIQUE(D1363:D4161), _xlpm.counts,COUNTIF(D1363:D4161,_xlpm.roles), INDEX(_xlpm.roles,MATCH(MAX(_xlpm.counts),_xlpm.counts,0)))</f>
        <v>Entry Fragger</v>
      </c>
      <c r="X1363" s="2">
        <f t="shared" si="109"/>
        <v>12.809421841541756</v>
      </c>
    </row>
    <row r="1364" spans="1:24" x14ac:dyDescent="0.3">
      <c r="A1364">
        <v>2423</v>
      </c>
      <c r="B1364">
        <v>241</v>
      </c>
      <c r="C1364" t="s">
        <v>35</v>
      </c>
      <c r="D1364" t="s">
        <v>36</v>
      </c>
      <c r="E1364" t="s">
        <v>32</v>
      </c>
      <c r="F1364" t="s">
        <v>34</v>
      </c>
      <c r="G1364">
        <v>18</v>
      </c>
      <c r="H1364">
        <v>6</v>
      </c>
      <c r="I1364">
        <v>11</v>
      </c>
      <c r="J1364">
        <v>44.8</v>
      </c>
      <c r="K1364">
        <v>218.47</v>
      </c>
      <c r="L1364">
        <v>0.85</v>
      </c>
      <c r="M1364">
        <v>44.9</v>
      </c>
      <c r="N1364">
        <v>0.88</v>
      </c>
      <c r="O1364" t="s">
        <v>20</v>
      </c>
      <c r="P1364" t="s">
        <v>21</v>
      </c>
      <c r="Q1364">
        <f t="shared" si="105"/>
        <v>13</v>
      </c>
      <c r="R1364" s="4">
        <f>RANK(N1364,$N$2:N$2800,0)</f>
        <v>1894</v>
      </c>
      <c r="S1364">
        <f t="shared" si="106"/>
        <v>1.6363636363636365</v>
      </c>
      <c r="T1364" t="str">
        <f t="shared" si="107"/>
        <v>Low</v>
      </c>
      <c r="U1364" t="str" cm="1">
        <f t="array" ref="U1364">_xlfn.LET(_xlpm.roles,_xlfn.UNIQUE(D1364:D4162),_xlpm.kills, SUMIF(D1364:D4162,_xlpm.roles,G1364:G4162),INDEX(_xlpm.roles,MATCH(MAX(_xlpm.kills),_xlpm.kills,0)))</f>
        <v>Entry Fragger</v>
      </c>
      <c r="V1364" t="str">
        <f t="shared" si="108"/>
        <v>Medium Accuracy</v>
      </c>
      <c r="W1364" t="str" cm="1">
        <f t="array" ref="W1364">_xlfn.LET(_xlpm.roles,_xlfn.UNIQUE(D1364:D4162), _xlpm.counts,COUNTIF(D1364:D4162,_xlpm.roles), INDEX(_xlpm.roles,MATCH(MAX(_xlpm.counts),_xlpm.counts,0)))</f>
        <v>Entry Fragger</v>
      </c>
      <c r="X1364" s="2">
        <f t="shared" si="109"/>
        <v>12.599585062240664</v>
      </c>
    </row>
    <row r="1365" spans="1:24" x14ac:dyDescent="0.3">
      <c r="A1365">
        <v>895</v>
      </c>
      <c r="B1365">
        <v>242</v>
      </c>
      <c r="C1365" t="s">
        <v>39</v>
      </c>
      <c r="D1365" t="s">
        <v>28</v>
      </c>
      <c r="E1365" t="s">
        <v>23</v>
      </c>
      <c r="F1365" t="s">
        <v>34</v>
      </c>
      <c r="G1365">
        <v>12</v>
      </c>
      <c r="H1365">
        <v>12</v>
      </c>
      <c r="I1365">
        <v>12</v>
      </c>
      <c r="J1365">
        <v>49.59</v>
      </c>
      <c r="K1365">
        <v>214.55</v>
      </c>
      <c r="L1365">
        <v>0.86</v>
      </c>
      <c r="M1365">
        <v>40.200000000000003</v>
      </c>
      <c r="N1365">
        <v>0.82</v>
      </c>
      <c r="O1365" t="s">
        <v>20</v>
      </c>
      <c r="P1365" t="s">
        <v>21</v>
      </c>
      <c r="Q1365">
        <f t="shared" si="105"/>
        <v>12</v>
      </c>
      <c r="R1365" s="4">
        <f>RANK(N1365,$N$2:N$2800,0)</f>
        <v>2275</v>
      </c>
      <c r="S1365">
        <f t="shared" si="106"/>
        <v>1</v>
      </c>
      <c r="T1365" t="str">
        <f t="shared" si="107"/>
        <v>Low</v>
      </c>
      <c r="U1365" t="str" cm="1">
        <f t="array" ref="U1365">_xlfn.LET(_xlpm.roles,_xlfn.UNIQUE(D1365:D4163),_xlpm.kills, SUMIF(D1365:D4163,_xlpm.roles,G1365:G4163),INDEX(_xlpm.roles,MATCH(MAX(_xlpm.kills),_xlpm.kills,0)))</f>
        <v>Entry Fragger</v>
      </c>
      <c r="V1365" t="str">
        <f t="shared" si="108"/>
        <v>Medium Accuracy</v>
      </c>
      <c r="W1365" t="str" cm="1">
        <f t="array" ref="W1365">_xlfn.LET(_xlpm.roles,_xlfn.UNIQUE(D1365:D4163), _xlpm.counts,COUNTIF(D1365:D4163,_xlpm.roles), INDEX(_xlpm.roles,MATCH(MAX(_xlpm.counts),_xlpm.counts,0)))</f>
        <v>Entry Fragger</v>
      </c>
      <c r="X1365" s="2">
        <f t="shared" si="109"/>
        <v>13.103594080338267</v>
      </c>
    </row>
    <row r="1366" spans="1:24" x14ac:dyDescent="0.3">
      <c r="A1366">
        <v>994</v>
      </c>
      <c r="B1366">
        <v>242</v>
      </c>
      <c r="C1366" t="s">
        <v>35</v>
      </c>
      <c r="D1366" t="s">
        <v>17</v>
      </c>
      <c r="E1366" t="s">
        <v>23</v>
      </c>
      <c r="F1366" t="s">
        <v>34</v>
      </c>
      <c r="G1366">
        <v>23</v>
      </c>
      <c r="H1366">
        <v>13</v>
      </c>
      <c r="I1366">
        <v>9</v>
      </c>
      <c r="J1366">
        <v>41.19</v>
      </c>
      <c r="K1366">
        <v>199.29</v>
      </c>
      <c r="L1366">
        <v>0.27</v>
      </c>
      <c r="M1366">
        <v>67.89</v>
      </c>
      <c r="N1366">
        <v>1</v>
      </c>
      <c r="O1366" t="s">
        <v>20</v>
      </c>
      <c r="P1366" t="s">
        <v>38</v>
      </c>
      <c r="Q1366">
        <f t="shared" si="105"/>
        <v>27</v>
      </c>
      <c r="R1366" s="4">
        <f>RANK(N1366,$N$2:N$2800,0)</f>
        <v>1</v>
      </c>
      <c r="S1366">
        <f t="shared" si="106"/>
        <v>2.5555555555555554</v>
      </c>
      <c r="T1366" t="str">
        <f t="shared" si="107"/>
        <v>Excellent</v>
      </c>
      <c r="U1366" t="str" cm="1">
        <f t="array" ref="U1366">_xlfn.LET(_xlpm.roles,_xlfn.UNIQUE(D1366:D4164),_xlpm.kills, SUMIF(D1366:D4164,_xlpm.roles,G1366:G4164),INDEX(_xlpm.roles,MATCH(MAX(_xlpm.kills),_xlpm.kills,0)))</f>
        <v>Entry Fragger</v>
      </c>
      <c r="V1366" t="str">
        <f t="shared" si="108"/>
        <v>Medium Accuracy</v>
      </c>
      <c r="W1366" t="str" cm="1">
        <f t="array" ref="W1366">_xlfn.LET(_xlpm.roles,_xlfn.UNIQUE(D1366:D4164), _xlpm.counts,COUNTIF(D1366:D4164,_xlpm.roles), INDEX(_xlpm.roles,MATCH(MAX(_xlpm.counts),_xlpm.counts,0)))</f>
        <v>Entry Fragger</v>
      </c>
      <c r="X1366" s="2">
        <f t="shared" si="109"/>
        <v>12.599585062240664</v>
      </c>
    </row>
    <row r="1367" spans="1:24" x14ac:dyDescent="0.3">
      <c r="A1367">
        <v>1559</v>
      </c>
      <c r="B1367">
        <v>242</v>
      </c>
      <c r="C1367" t="s">
        <v>25</v>
      </c>
      <c r="D1367" t="s">
        <v>17</v>
      </c>
      <c r="E1367" t="s">
        <v>18</v>
      </c>
      <c r="F1367" t="s">
        <v>24</v>
      </c>
      <c r="G1367">
        <v>13</v>
      </c>
      <c r="H1367">
        <v>6</v>
      </c>
      <c r="I1367">
        <v>7</v>
      </c>
      <c r="J1367">
        <v>42.94</v>
      </c>
      <c r="K1367">
        <v>251.93</v>
      </c>
      <c r="L1367">
        <v>0.61</v>
      </c>
      <c r="M1367">
        <v>40.369999999999997</v>
      </c>
      <c r="N1367">
        <v>1</v>
      </c>
      <c r="O1367" t="s">
        <v>20</v>
      </c>
      <c r="P1367" t="s">
        <v>21</v>
      </c>
      <c r="Q1367">
        <f t="shared" si="105"/>
        <v>12</v>
      </c>
      <c r="R1367" s="4">
        <f>RANK(N1367,$N$2:N$2800,0)</f>
        <v>1</v>
      </c>
      <c r="S1367">
        <f t="shared" si="106"/>
        <v>1.8571428571428572</v>
      </c>
      <c r="T1367" t="str">
        <f t="shared" si="107"/>
        <v>Low</v>
      </c>
      <c r="U1367" t="str" cm="1">
        <f t="array" ref="U1367">_xlfn.LET(_xlpm.roles,_xlfn.UNIQUE(D1367:D4165),_xlpm.kills, SUMIF(D1367:D4165,_xlpm.roles,G1367:G4165),INDEX(_xlpm.roles,MATCH(MAX(_xlpm.kills),_xlpm.kills,0)))</f>
        <v>Entry Fragger</v>
      </c>
      <c r="V1367" t="str">
        <f t="shared" si="108"/>
        <v>Medium Accuracy</v>
      </c>
      <c r="W1367" t="str" cm="1">
        <f t="array" ref="W1367">_xlfn.LET(_xlpm.roles,_xlfn.UNIQUE(D1367:D4165), _xlpm.counts,COUNTIF(D1367:D4165,_xlpm.roles), INDEX(_xlpm.roles,MATCH(MAX(_xlpm.counts),_xlpm.counts,0)))</f>
        <v>Entry Fragger</v>
      </c>
      <c r="X1367" s="2">
        <f t="shared" si="109"/>
        <v>12.809421841541756</v>
      </c>
    </row>
    <row r="1368" spans="1:24" x14ac:dyDescent="0.3">
      <c r="A1368">
        <v>1573</v>
      </c>
      <c r="B1368">
        <v>242</v>
      </c>
      <c r="C1368" t="s">
        <v>27</v>
      </c>
      <c r="D1368" t="s">
        <v>36</v>
      </c>
      <c r="E1368" t="s">
        <v>18</v>
      </c>
      <c r="F1368" t="s">
        <v>34</v>
      </c>
      <c r="G1368">
        <v>12</v>
      </c>
      <c r="H1368">
        <v>9</v>
      </c>
      <c r="I1368">
        <v>6</v>
      </c>
      <c r="J1368">
        <v>44.23</v>
      </c>
      <c r="K1368">
        <v>181.46</v>
      </c>
      <c r="L1368">
        <v>0.8</v>
      </c>
      <c r="M1368">
        <v>41.11</v>
      </c>
      <c r="N1368">
        <v>0.98</v>
      </c>
      <c r="O1368" t="s">
        <v>20</v>
      </c>
      <c r="P1368" t="s">
        <v>21</v>
      </c>
      <c r="Q1368">
        <f t="shared" si="105"/>
        <v>15</v>
      </c>
      <c r="R1368" s="4">
        <f>RANK(N1368,$N$2:N$2800,0)</f>
        <v>1157</v>
      </c>
      <c r="S1368">
        <f t="shared" si="106"/>
        <v>2</v>
      </c>
      <c r="T1368" t="str">
        <f t="shared" si="107"/>
        <v>Good</v>
      </c>
      <c r="U1368" t="str" cm="1">
        <f t="array" ref="U1368">_xlfn.LET(_xlpm.roles,_xlfn.UNIQUE(D1368:D4166),_xlpm.kills, SUMIF(D1368:D4166,_xlpm.roles,G1368:G4166),INDEX(_xlpm.roles,MATCH(MAX(_xlpm.kills),_xlpm.kills,0)))</f>
        <v>Entry Fragger</v>
      </c>
      <c r="V1368" t="str">
        <f t="shared" si="108"/>
        <v>Medium Accuracy</v>
      </c>
      <c r="W1368" t="str" cm="1">
        <f t="array" ref="W1368">_xlfn.LET(_xlpm.roles,_xlfn.UNIQUE(D1368:D4166), _xlpm.counts,COUNTIF(D1368:D4166,_xlpm.roles), INDEX(_xlpm.roles,MATCH(MAX(_xlpm.counts),_xlpm.counts,0)))</f>
        <v>Entry Fragger</v>
      </c>
      <c r="X1368" s="2">
        <f t="shared" si="109"/>
        <v>13.057077625570777</v>
      </c>
    </row>
    <row r="1369" spans="1:24" x14ac:dyDescent="0.3">
      <c r="A1369">
        <v>1925</v>
      </c>
      <c r="B1369">
        <v>242</v>
      </c>
      <c r="C1369" t="s">
        <v>35</v>
      </c>
      <c r="D1369" t="s">
        <v>28</v>
      </c>
      <c r="E1369" t="s">
        <v>18</v>
      </c>
      <c r="F1369" t="s">
        <v>26</v>
      </c>
      <c r="G1369">
        <v>14</v>
      </c>
      <c r="H1369">
        <v>8</v>
      </c>
      <c r="I1369">
        <v>7</v>
      </c>
      <c r="J1369">
        <v>55.01</v>
      </c>
      <c r="K1369">
        <v>185.49</v>
      </c>
      <c r="L1369">
        <v>0.5</v>
      </c>
      <c r="M1369">
        <v>51.5</v>
      </c>
      <c r="N1369">
        <v>0.87</v>
      </c>
      <c r="O1369" t="s">
        <v>20</v>
      </c>
      <c r="P1369" t="s">
        <v>21</v>
      </c>
      <c r="Q1369">
        <f t="shared" si="105"/>
        <v>15</v>
      </c>
      <c r="R1369" s="4">
        <f>RANK(N1369,$N$2:N$2800,0)</f>
        <v>1965</v>
      </c>
      <c r="S1369">
        <f t="shared" si="106"/>
        <v>2</v>
      </c>
      <c r="T1369" t="str">
        <f t="shared" si="107"/>
        <v>Good</v>
      </c>
      <c r="U1369" t="str" cm="1">
        <f t="array" ref="U1369">_xlfn.LET(_xlpm.roles,_xlfn.UNIQUE(D1369:D4167),_xlpm.kills, SUMIF(D1369:D4167,_xlpm.roles,G1369:G4167),INDEX(_xlpm.roles,MATCH(MAX(_xlpm.kills),_xlpm.kills,0)))</f>
        <v>Entry Fragger</v>
      </c>
      <c r="V1369" t="str">
        <f t="shared" si="108"/>
        <v>High Accuracy</v>
      </c>
      <c r="W1369" t="str" cm="1">
        <f t="array" ref="W1369">_xlfn.LET(_xlpm.roles,_xlfn.UNIQUE(D1369:D4167), _xlpm.counts,COUNTIF(D1369:D4167,_xlpm.roles), INDEX(_xlpm.roles,MATCH(MAX(_xlpm.counts),_xlpm.counts,0)))</f>
        <v>Entry Fragger</v>
      </c>
      <c r="X1369" s="2">
        <f t="shared" si="109"/>
        <v>12.599585062240664</v>
      </c>
    </row>
    <row r="1370" spans="1:24" x14ac:dyDescent="0.3">
      <c r="A1370">
        <v>2309</v>
      </c>
      <c r="B1370">
        <v>242</v>
      </c>
      <c r="C1370" t="s">
        <v>30</v>
      </c>
      <c r="D1370" t="s">
        <v>17</v>
      </c>
      <c r="E1370" t="s">
        <v>33</v>
      </c>
      <c r="F1370" t="s">
        <v>34</v>
      </c>
      <c r="G1370">
        <v>17</v>
      </c>
      <c r="H1370">
        <v>5</v>
      </c>
      <c r="I1370">
        <v>11</v>
      </c>
      <c r="J1370">
        <v>39.14</v>
      </c>
      <c r="K1370">
        <v>196.83</v>
      </c>
      <c r="L1370">
        <v>0.63</v>
      </c>
      <c r="M1370">
        <v>41.27</v>
      </c>
      <c r="N1370">
        <v>0.9</v>
      </c>
      <c r="O1370" t="s">
        <v>20</v>
      </c>
      <c r="P1370" t="s">
        <v>21</v>
      </c>
      <c r="Q1370">
        <f t="shared" si="105"/>
        <v>11</v>
      </c>
      <c r="R1370" s="4">
        <f>RANK(N1370,$N$2:N$2800,0)</f>
        <v>1738</v>
      </c>
      <c r="S1370">
        <f t="shared" si="106"/>
        <v>1.5454545454545454</v>
      </c>
      <c r="T1370" t="str">
        <f t="shared" si="107"/>
        <v>Low</v>
      </c>
      <c r="U1370" t="str" cm="1">
        <f t="array" ref="U1370">_xlfn.LET(_xlpm.roles,_xlfn.UNIQUE(D1370:D4168),_xlpm.kills, SUMIF(D1370:D4168,_xlpm.roles,G1370:G4168),INDEX(_xlpm.roles,MATCH(MAX(_xlpm.kills),_xlpm.kills,0)))</f>
        <v>Entry Fragger</v>
      </c>
      <c r="V1370" t="str">
        <f t="shared" si="108"/>
        <v>Medium Accuracy</v>
      </c>
      <c r="W1370" t="str" cm="1">
        <f t="array" ref="W1370">_xlfn.LET(_xlpm.roles,_xlfn.UNIQUE(D1370:D4168), _xlpm.counts,COUNTIF(D1370:D4168,_xlpm.roles), INDEX(_xlpm.roles,MATCH(MAX(_xlpm.counts),_xlpm.counts,0)))</f>
        <v>Entry Fragger</v>
      </c>
      <c r="X1370" s="2">
        <f t="shared" si="109"/>
        <v>13.135802469135802</v>
      </c>
    </row>
    <row r="1371" spans="1:24" x14ac:dyDescent="0.3">
      <c r="A1371">
        <v>2765</v>
      </c>
      <c r="B1371">
        <v>242</v>
      </c>
      <c r="C1371" t="s">
        <v>30</v>
      </c>
      <c r="D1371" t="s">
        <v>22</v>
      </c>
      <c r="E1371" t="s">
        <v>33</v>
      </c>
      <c r="F1371" t="s">
        <v>24</v>
      </c>
      <c r="G1371">
        <v>17</v>
      </c>
      <c r="H1371">
        <v>11</v>
      </c>
      <c r="I1371">
        <v>13</v>
      </c>
      <c r="J1371">
        <v>46.28</v>
      </c>
      <c r="K1371">
        <v>216.28</v>
      </c>
      <c r="L1371">
        <v>0.84</v>
      </c>
      <c r="M1371">
        <v>46.74</v>
      </c>
      <c r="N1371">
        <v>0.97</v>
      </c>
      <c r="O1371" t="s">
        <v>20</v>
      </c>
      <c r="P1371" t="s">
        <v>21</v>
      </c>
      <c r="Q1371">
        <f t="shared" si="105"/>
        <v>15</v>
      </c>
      <c r="R1371" s="4">
        <f>RANK(N1371,$N$2:N$2800,0)</f>
        <v>1243</v>
      </c>
      <c r="S1371">
        <f t="shared" si="106"/>
        <v>1.3076923076923077</v>
      </c>
      <c r="T1371" t="str">
        <f t="shared" si="107"/>
        <v>Good</v>
      </c>
      <c r="U1371" t="str" cm="1">
        <f t="array" ref="U1371">_xlfn.LET(_xlpm.roles,_xlfn.UNIQUE(D1371:D4169),_xlpm.kills, SUMIF(D1371:D4169,_xlpm.roles,G1371:G4169),INDEX(_xlpm.roles,MATCH(MAX(_xlpm.kills),_xlpm.kills,0)))</f>
        <v>Entry Fragger</v>
      </c>
      <c r="V1371" t="str">
        <f t="shared" si="108"/>
        <v>Medium Accuracy</v>
      </c>
      <c r="W1371" t="str" cm="1">
        <f t="array" ref="W1371">_xlfn.LET(_xlpm.roles,_xlfn.UNIQUE(D1371:D4169), _xlpm.counts,COUNTIF(D1371:D4169,_xlpm.roles), INDEX(_xlpm.roles,MATCH(MAX(_xlpm.counts),_xlpm.counts,0)))</f>
        <v>Entry Fragger</v>
      </c>
      <c r="X1371" s="2">
        <f t="shared" si="109"/>
        <v>13.135802469135802</v>
      </c>
    </row>
    <row r="1372" spans="1:24" x14ac:dyDescent="0.3">
      <c r="A1372">
        <v>595</v>
      </c>
      <c r="B1372">
        <v>243</v>
      </c>
      <c r="C1372" t="s">
        <v>25</v>
      </c>
      <c r="D1372" t="s">
        <v>22</v>
      </c>
      <c r="E1372" t="s">
        <v>18</v>
      </c>
      <c r="F1372" t="s">
        <v>19</v>
      </c>
      <c r="G1372">
        <v>23</v>
      </c>
      <c r="H1372">
        <v>12</v>
      </c>
      <c r="I1372">
        <v>12</v>
      </c>
      <c r="J1372">
        <v>54.94</v>
      </c>
      <c r="K1372">
        <v>268.52999999999997</v>
      </c>
      <c r="L1372">
        <v>0.15</v>
      </c>
      <c r="M1372">
        <v>71.97</v>
      </c>
      <c r="N1372">
        <v>1</v>
      </c>
      <c r="O1372" t="s">
        <v>20</v>
      </c>
      <c r="P1372" t="s">
        <v>38</v>
      </c>
      <c r="Q1372">
        <f t="shared" si="105"/>
        <v>23</v>
      </c>
      <c r="R1372" s="4">
        <f>RANK(N1372,$N$2:N$2800,0)</f>
        <v>1</v>
      </c>
      <c r="S1372">
        <f t="shared" si="106"/>
        <v>1.9166666666666667</v>
      </c>
      <c r="T1372" t="str">
        <f t="shared" si="107"/>
        <v>Good</v>
      </c>
      <c r="U1372" t="str" cm="1">
        <f t="array" ref="U1372">_xlfn.LET(_xlpm.roles,_xlfn.UNIQUE(D1372:D4170),_xlpm.kills, SUMIF(D1372:D4170,_xlpm.roles,G1372:G4170),INDEX(_xlpm.roles,MATCH(MAX(_xlpm.kills),_xlpm.kills,0)))</f>
        <v>Entry Fragger</v>
      </c>
      <c r="V1372" t="str">
        <f t="shared" si="108"/>
        <v>High Accuracy</v>
      </c>
      <c r="W1372" t="str" cm="1">
        <f t="array" ref="W1372">_xlfn.LET(_xlpm.roles,_xlfn.UNIQUE(D1372:D4170), _xlpm.counts,COUNTIF(D1372:D4170,_xlpm.roles), INDEX(_xlpm.roles,MATCH(MAX(_xlpm.counts),_xlpm.counts,0)))</f>
        <v>Entry Fragger</v>
      </c>
      <c r="X1372" s="2">
        <f t="shared" si="109"/>
        <v>12.809421841541756</v>
      </c>
    </row>
    <row r="1373" spans="1:24" x14ac:dyDescent="0.3">
      <c r="A1373">
        <v>696</v>
      </c>
      <c r="B1373">
        <v>243</v>
      </c>
      <c r="C1373" t="s">
        <v>35</v>
      </c>
      <c r="D1373" t="s">
        <v>22</v>
      </c>
      <c r="E1373" t="s">
        <v>32</v>
      </c>
      <c r="F1373" t="s">
        <v>24</v>
      </c>
      <c r="G1373">
        <v>8</v>
      </c>
      <c r="H1373">
        <v>3</v>
      </c>
      <c r="I1373">
        <v>12</v>
      </c>
      <c r="J1373">
        <v>45.98</v>
      </c>
      <c r="K1373">
        <v>189.53</v>
      </c>
      <c r="L1373">
        <v>0.61</v>
      </c>
      <c r="M1373">
        <v>23.89</v>
      </c>
      <c r="N1373">
        <v>0.79</v>
      </c>
      <c r="O1373" t="s">
        <v>20</v>
      </c>
      <c r="P1373" t="s">
        <v>21</v>
      </c>
      <c r="Q1373">
        <f t="shared" si="105"/>
        <v>-1</v>
      </c>
      <c r="R1373" s="4">
        <f>RANK(N1373,$N$2:N$2800,0)</f>
        <v>2436</v>
      </c>
      <c r="S1373">
        <f t="shared" si="106"/>
        <v>0.66666666666666663</v>
      </c>
      <c r="T1373" t="str">
        <f t="shared" si="107"/>
        <v>Low</v>
      </c>
      <c r="U1373" t="str" cm="1">
        <f t="array" ref="U1373">_xlfn.LET(_xlpm.roles,_xlfn.UNIQUE(D1373:D4171),_xlpm.kills, SUMIF(D1373:D4171,_xlpm.roles,G1373:G4171),INDEX(_xlpm.roles,MATCH(MAX(_xlpm.kills),_xlpm.kills,0)))</f>
        <v>Entry Fragger</v>
      </c>
      <c r="V1373" t="str">
        <f t="shared" si="108"/>
        <v>Medium Accuracy</v>
      </c>
      <c r="W1373" t="str" cm="1">
        <f t="array" ref="W1373">_xlfn.LET(_xlpm.roles,_xlfn.UNIQUE(D1373:D4171), _xlpm.counts,COUNTIF(D1373:D4171,_xlpm.roles), INDEX(_xlpm.roles,MATCH(MAX(_xlpm.counts),_xlpm.counts,0)))</f>
        <v>Entry Fragger</v>
      </c>
      <c r="X1373" s="2">
        <f t="shared" si="109"/>
        <v>12.599585062240664</v>
      </c>
    </row>
    <row r="1374" spans="1:24" x14ac:dyDescent="0.3">
      <c r="A1374">
        <v>797</v>
      </c>
      <c r="B1374">
        <v>243</v>
      </c>
      <c r="C1374" t="s">
        <v>39</v>
      </c>
      <c r="D1374" t="s">
        <v>22</v>
      </c>
      <c r="E1374" t="s">
        <v>29</v>
      </c>
      <c r="F1374" t="s">
        <v>19</v>
      </c>
      <c r="G1374">
        <v>20</v>
      </c>
      <c r="H1374">
        <v>7</v>
      </c>
      <c r="I1374">
        <v>14</v>
      </c>
      <c r="J1374">
        <v>43.6</v>
      </c>
      <c r="K1374">
        <v>284.74</v>
      </c>
      <c r="L1374">
        <v>0.37</v>
      </c>
      <c r="M1374">
        <v>51.1</v>
      </c>
      <c r="N1374">
        <v>1</v>
      </c>
      <c r="O1374" t="s">
        <v>20</v>
      </c>
      <c r="P1374" t="s">
        <v>21</v>
      </c>
      <c r="Q1374">
        <f t="shared" si="105"/>
        <v>13</v>
      </c>
      <c r="R1374" s="4">
        <f>RANK(N1374,$N$2:N$2800,0)</f>
        <v>1</v>
      </c>
      <c r="S1374">
        <f t="shared" si="106"/>
        <v>1.4285714285714286</v>
      </c>
      <c r="T1374" t="str">
        <f t="shared" si="107"/>
        <v>Low</v>
      </c>
      <c r="U1374" t="str" cm="1">
        <f t="array" ref="U1374">_xlfn.LET(_xlpm.roles,_xlfn.UNIQUE(D1374:D4172),_xlpm.kills, SUMIF(D1374:D4172,_xlpm.roles,G1374:G4172),INDEX(_xlpm.roles,MATCH(MAX(_xlpm.kills),_xlpm.kills,0)))</f>
        <v>Entry Fragger</v>
      </c>
      <c r="V1374" t="str">
        <f t="shared" si="108"/>
        <v>Medium Accuracy</v>
      </c>
      <c r="W1374" t="str" cm="1">
        <f t="array" ref="W1374">_xlfn.LET(_xlpm.roles,_xlfn.UNIQUE(D1374:D4172), _xlpm.counts,COUNTIF(D1374:D4172,_xlpm.roles), INDEX(_xlpm.roles,MATCH(MAX(_xlpm.counts),_xlpm.counts,0)))</f>
        <v>Entry Fragger</v>
      </c>
      <c r="X1374" s="2">
        <f t="shared" si="109"/>
        <v>13.103594080338267</v>
      </c>
    </row>
    <row r="1375" spans="1:24" x14ac:dyDescent="0.3">
      <c r="A1375">
        <v>1145</v>
      </c>
      <c r="B1375">
        <v>243</v>
      </c>
      <c r="C1375" t="s">
        <v>16</v>
      </c>
      <c r="D1375" t="s">
        <v>22</v>
      </c>
      <c r="E1375" t="s">
        <v>29</v>
      </c>
      <c r="F1375" t="s">
        <v>34</v>
      </c>
      <c r="G1375">
        <v>15</v>
      </c>
      <c r="H1375">
        <v>11</v>
      </c>
      <c r="I1375">
        <v>5</v>
      </c>
      <c r="J1375">
        <v>38.72</v>
      </c>
      <c r="K1375">
        <v>173.05</v>
      </c>
      <c r="L1375">
        <v>0.55000000000000004</v>
      </c>
      <c r="M1375">
        <v>49.86</v>
      </c>
      <c r="N1375">
        <v>0.95</v>
      </c>
      <c r="O1375" t="s">
        <v>20</v>
      </c>
      <c r="P1375" t="s">
        <v>21</v>
      </c>
      <c r="Q1375">
        <f t="shared" si="105"/>
        <v>21</v>
      </c>
      <c r="R1375" s="4">
        <f>RANK(N1375,$N$2:N$2800,0)</f>
        <v>1367</v>
      </c>
      <c r="S1375">
        <f t="shared" si="106"/>
        <v>3</v>
      </c>
      <c r="T1375" t="str">
        <f t="shared" si="107"/>
        <v>Good</v>
      </c>
      <c r="U1375" t="str" cm="1">
        <f t="array" ref="U1375">_xlfn.LET(_xlpm.roles,_xlfn.UNIQUE(D1375:D4173),_xlpm.kills, SUMIF(D1375:D4173,_xlpm.roles,G1375:G4173),INDEX(_xlpm.roles,MATCH(MAX(_xlpm.kills),_xlpm.kills,0)))</f>
        <v>Entry Fragger</v>
      </c>
      <c r="V1375" t="str">
        <f t="shared" si="108"/>
        <v>Medium Accuracy</v>
      </c>
      <c r="W1375" t="str" cm="1">
        <f t="array" ref="W1375">_xlfn.LET(_xlpm.roles,_xlfn.UNIQUE(D1375:D4173), _xlpm.counts,COUNTIF(D1375:D4173,_xlpm.roles), INDEX(_xlpm.roles,MATCH(MAX(_xlpm.counts),_xlpm.counts,0)))</f>
        <v>Entry Fragger</v>
      </c>
      <c r="X1375" s="2">
        <f t="shared" si="109"/>
        <v>12.520971302428256</v>
      </c>
    </row>
    <row r="1376" spans="1:24" x14ac:dyDescent="0.3">
      <c r="A1376">
        <v>1430</v>
      </c>
      <c r="B1376">
        <v>243</v>
      </c>
      <c r="C1376" t="s">
        <v>16</v>
      </c>
      <c r="D1376" t="s">
        <v>22</v>
      </c>
      <c r="E1376" t="s">
        <v>18</v>
      </c>
      <c r="F1376" t="s">
        <v>26</v>
      </c>
      <c r="G1376">
        <v>8</v>
      </c>
      <c r="H1376">
        <v>11</v>
      </c>
      <c r="I1376">
        <v>2</v>
      </c>
      <c r="J1376">
        <v>49.97</v>
      </c>
      <c r="K1376">
        <v>204.13</v>
      </c>
      <c r="L1376">
        <v>0.8</v>
      </c>
      <c r="M1376">
        <v>41.98</v>
      </c>
      <c r="N1376">
        <v>0.9</v>
      </c>
      <c r="O1376" t="s">
        <v>20</v>
      </c>
      <c r="P1376" t="s">
        <v>21</v>
      </c>
      <c r="Q1376">
        <f t="shared" si="105"/>
        <v>17</v>
      </c>
      <c r="R1376" s="4">
        <f>RANK(N1376,$N$2:N$2800,0)</f>
        <v>1738</v>
      </c>
      <c r="S1376">
        <f t="shared" si="106"/>
        <v>4</v>
      </c>
      <c r="T1376" t="str">
        <f t="shared" si="107"/>
        <v>Good</v>
      </c>
      <c r="U1376" t="str" cm="1">
        <f t="array" ref="U1376">_xlfn.LET(_xlpm.roles,_xlfn.UNIQUE(D1376:D4174),_xlpm.kills, SUMIF(D1376:D4174,_xlpm.roles,G1376:G4174),INDEX(_xlpm.roles,MATCH(MAX(_xlpm.kills),_xlpm.kills,0)))</f>
        <v>Entry Fragger</v>
      </c>
      <c r="V1376" t="str">
        <f t="shared" si="108"/>
        <v>Medium Accuracy</v>
      </c>
      <c r="W1376" t="str" cm="1">
        <f t="array" ref="W1376">_xlfn.LET(_xlpm.roles,_xlfn.UNIQUE(D1376:D4174), _xlpm.counts,COUNTIF(D1376:D4174,_xlpm.roles), INDEX(_xlpm.roles,MATCH(MAX(_xlpm.counts),_xlpm.counts,0)))</f>
        <v>Entry Fragger</v>
      </c>
      <c r="X1376" s="2">
        <f t="shared" si="109"/>
        <v>12.520971302428256</v>
      </c>
    </row>
    <row r="1377" spans="1:24" x14ac:dyDescent="0.3">
      <c r="A1377">
        <v>1599</v>
      </c>
      <c r="B1377">
        <v>243</v>
      </c>
      <c r="C1377" t="s">
        <v>16</v>
      </c>
      <c r="D1377" t="s">
        <v>36</v>
      </c>
      <c r="E1377" t="s">
        <v>18</v>
      </c>
      <c r="F1377" t="s">
        <v>24</v>
      </c>
      <c r="G1377">
        <v>15</v>
      </c>
      <c r="H1377">
        <v>11</v>
      </c>
      <c r="I1377">
        <v>13</v>
      </c>
      <c r="J1377">
        <v>38.200000000000003</v>
      </c>
      <c r="K1377">
        <v>236.94</v>
      </c>
      <c r="L1377">
        <v>0.02</v>
      </c>
      <c r="M1377">
        <v>46.9</v>
      </c>
      <c r="N1377">
        <v>0.93</v>
      </c>
      <c r="O1377" t="s">
        <v>20</v>
      </c>
      <c r="P1377" t="s">
        <v>21</v>
      </c>
      <c r="Q1377">
        <f t="shared" si="105"/>
        <v>13</v>
      </c>
      <c r="R1377" s="4">
        <f>RANK(N1377,$N$2:N$2800,0)</f>
        <v>1505</v>
      </c>
      <c r="S1377">
        <f t="shared" si="106"/>
        <v>1.1538461538461537</v>
      </c>
      <c r="T1377" t="str">
        <f t="shared" si="107"/>
        <v>Low</v>
      </c>
      <c r="U1377" t="str" cm="1">
        <f t="array" ref="U1377">_xlfn.LET(_xlpm.roles,_xlfn.UNIQUE(D1377:D4175),_xlpm.kills, SUMIF(D1377:D4175,_xlpm.roles,G1377:G4175),INDEX(_xlpm.roles,MATCH(MAX(_xlpm.kills),_xlpm.kills,0)))</f>
        <v>Entry Fragger</v>
      </c>
      <c r="V1377" t="str">
        <f t="shared" si="108"/>
        <v>Medium Accuracy</v>
      </c>
      <c r="W1377" t="str" cm="1">
        <f t="array" ref="W1377">_xlfn.LET(_xlpm.roles,_xlfn.UNIQUE(D1377:D4175), _xlpm.counts,COUNTIF(D1377:D4175,_xlpm.roles), INDEX(_xlpm.roles,MATCH(MAX(_xlpm.counts),_xlpm.counts,0)))</f>
        <v>Entry Fragger</v>
      </c>
      <c r="X1377" s="2">
        <f t="shared" si="109"/>
        <v>12.520971302428256</v>
      </c>
    </row>
    <row r="1378" spans="1:24" x14ac:dyDescent="0.3">
      <c r="A1378">
        <v>1612</v>
      </c>
      <c r="B1378">
        <v>243</v>
      </c>
      <c r="C1378" t="s">
        <v>35</v>
      </c>
      <c r="D1378" t="s">
        <v>28</v>
      </c>
      <c r="E1378" t="s">
        <v>29</v>
      </c>
      <c r="F1378" t="s">
        <v>24</v>
      </c>
      <c r="G1378">
        <v>14</v>
      </c>
      <c r="H1378">
        <v>8</v>
      </c>
      <c r="I1378">
        <v>7</v>
      </c>
      <c r="J1378">
        <v>52.77</v>
      </c>
      <c r="K1378">
        <v>222.91</v>
      </c>
      <c r="L1378">
        <v>0.51</v>
      </c>
      <c r="M1378">
        <v>50.29</v>
      </c>
      <c r="N1378">
        <v>0.87</v>
      </c>
      <c r="O1378" t="s">
        <v>20</v>
      </c>
      <c r="P1378" t="s">
        <v>21</v>
      </c>
      <c r="Q1378">
        <f t="shared" si="105"/>
        <v>15</v>
      </c>
      <c r="R1378" s="4">
        <f>RANK(N1378,$N$2:N$2800,0)</f>
        <v>1965</v>
      </c>
      <c r="S1378">
        <f t="shared" si="106"/>
        <v>2</v>
      </c>
      <c r="T1378" t="str">
        <f t="shared" si="107"/>
        <v>Good</v>
      </c>
      <c r="U1378" t="str" cm="1">
        <f t="array" ref="U1378">_xlfn.LET(_xlpm.roles,_xlfn.UNIQUE(D1378:D4176),_xlpm.kills, SUMIF(D1378:D4176,_xlpm.roles,G1378:G4176),INDEX(_xlpm.roles,MATCH(MAX(_xlpm.kills),_xlpm.kills,0)))</f>
        <v>Entry Fragger</v>
      </c>
      <c r="V1378" t="str">
        <f t="shared" si="108"/>
        <v>High Accuracy</v>
      </c>
      <c r="W1378" t="str" cm="1">
        <f t="array" ref="W1378">_xlfn.LET(_xlpm.roles,_xlfn.UNIQUE(D1378:D4176), _xlpm.counts,COUNTIF(D1378:D4176,_xlpm.roles), INDEX(_xlpm.roles,MATCH(MAX(_xlpm.counts),_xlpm.counts,0)))</f>
        <v>Entry Fragger</v>
      </c>
      <c r="X1378" s="2">
        <f t="shared" si="109"/>
        <v>12.599585062240664</v>
      </c>
    </row>
    <row r="1379" spans="1:24" x14ac:dyDescent="0.3">
      <c r="A1379">
        <v>149</v>
      </c>
      <c r="B1379">
        <v>244</v>
      </c>
      <c r="C1379" t="s">
        <v>39</v>
      </c>
      <c r="D1379" t="s">
        <v>36</v>
      </c>
      <c r="E1379" t="s">
        <v>18</v>
      </c>
      <c r="F1379" t="s">
        <v>34</v>
      </c>
      <c r="G1379">
        <v>16</v>
      </c>
      <c r="H1379">
        <v>14</v>
      </c>
      <c r="I1379">
        <v>12</v>
      </c>
      <c r="J1379">
        <v>56.87</v>
      </c>
      <c r="K1379">
        <v>230.67</v>
      </c>
      <c r="L1379">
        <v>0.5</v>
      </c>
      <c r="M1379">
        <v>57.44</v>
      </c>
      <c r="N1379">
        <v>1</v>
      </c>
      <c r="O1379" t="s">
        <v>20</v>
      </c>
      <c r="P1379" t="s">
        <v>21</v>
      </c>
      <c r="Q1379">
        <f t="shared" si="105"/>
        <v>18</v>
      </c>
      <c r="R1379" s="4">
        <f>RANK(N1379,$N$2:N$2800,0)</f>
        <v>1</v>
      </c>
      <c r="S1379">
        <f t="shared" si="106"/>
        <v>1.3333333333333333</v>
      </c>
      <c r="T1379" t="str">
        <f t="shared" si="107"/>
        <v>Good</v>
      </c>
      <c r="U1379" t="str" cm="1">
        <f t="array" ref="U1379">_xlfn.LET(_xlpm.roles,_xlfn.UNIQUE(D1379:D4177),_xlpm.kills, SUMIF(D1379:D4177,_xlpm.roles,G1379:G4177),INDEX(_xlpm.roles,MATCH(MAX(_xlpm.kills),_xlpm.kills,0)))</f>
        <v>Entry Fragger</v>
      </c>
      <c r="V1379" t="str">
        <f t="shared" si="108"/>
        <v>High Accuracy</v>
      </c>
      <c r="W1379" t="str" cm="1">
        <f t="array" ref="W1379">_xlfn.LET(_xlpm.roles,_xlfn.UNIQUE(D1379:D4177), _xlpm.counts,COUNTIF(D1379:D4177,_xlpm.roles), INDEX(_xlpm.roles,MATCH(MAX(_xlpm.counts),_xlpm.counts,0)))</f>
        <v>Entry Fragger</v>
      </c>
      <c r="X1379" s="2">
        <f t="shared" si="109"/>
        <v>13.103594080338267</v>
      </c>
    </row>
    <row r="1380" spans="1:24" x14ac:dyDescent="0.3">
      <c r="A1380">
        <v>1593</v>
      </c>
      <c r="B1380">
        <v>244</v>
      </c>
      <c r="C1380" t="s">
        <v>27</v>
      </c>
      <c r="D1380" t="s">
        <v>28</v>
      </c>
      <c r="E1380" t="s">
        <v>29</v>
      </c>
      <c r="F1380" t="s">
        <v>19</v>
      </c>
      <c r="G1380">
        <v>15</v>
      </c>
      <c r="H1380">
        <v>9</v>
      </c>
      <c r="I1380">
        <v>12</v>
      </c>
      <c r="J1380">
        <v>44.04</v>
      </c>
      <c r="K1380">
        <v>230.73</v>
      </c>
      <c r="L1380">
        <v>0.87</v>
      </c>
      <c r="M1380">
        <v>40.32</v>
      </c>
      <c r="N1380">
        <v>0.83</v>
      </c>
      <c r="O1380" t="s">
        <v>20</v>
      </c>
      <c r="P1380" t="s">
        <v>21</v>
      </c>
      <c r="Q1380">
        <f t="shared" si="105"/>
        <v>12</v>
      </c>
      <c r="R1380" s="4">
        <f>RANK(N1380,$N$2:N$2800,0)</f>
        <v>2218</v>
      </c>
      <c r="S1380">
        <f t="shared" si="106"/>
        <v>1.25</v>
      </c>
      <c r="T1380" t="str">
        <f t="shared" si="107"/>
        <v>Low</v>
      </c>
      <c r="U1380" t="str" cm="1">
        <f t="array" ref="U1380">_xlfn.LET(_xlpm.roles,_xlfn.UNIQUE(D1380:D4178),_xlpm.kills, SUMIF(D1380:D4178,_xlpm.roles,G1380:G4178),INDEX(_xlpm.roles,MATCH(MAX(_xlpm.kills),_xlpm.kills,0)))</f>
        <v>Entry Fragger</v>
      </c>
      <c r="V1380" t="str">
        <f t="shared" si="108"/>
        <v>Medium Accuracy</v>
      </c>
      <c r="W1380" t="str" cm="1">
        <f t="array" ref="W1380">_xlfn.LET(_xlpm.roles,_xlfn.UNIQUE(D1380:D4178), _xlpm.counts,COUNTIF(D1380:D4178,_xlpm.roles), INDEX(_xlpm.roles,MATCH(MAX(_xlpm.counts),_xlpm.counts,0)))</f>
        <v>Sniper</v>
      </c>
      <c r="X1380" s="2">
        <f t="shared" si="109"/>
        <v>13.057077625570777</v>
      </c>
    </row>
    <row r="1381" spans="1:24" x14ac:dyDescent="0.3">
      <c r="A1381">
        <v>1796</v>
      </c>
      <c r="B1381">
        <v>244</v>
      </c>
      <c r="C1381" t="s">
        <v>30</v>
      </c>
      <c r="D1381" t="s">
        <v>22</v>
      </c>
      <c r="E1381" t="s">
        <v>23</v>
      </c>
      <c r="F1381" t="s">
        <v>37</v>
      </c>
      <c r="G1381">
        <v>15</v>
      </c>
      <c r="H1381">
        <v>10</v>
      </c>
      <c r="I1381">
        <v>10</v>
      </c>
      <c r="J1381">
        <v>42.49</v>
      </c>
      <c r="K1381">
        <v>237.3</v>
      </c>
      <c r="L1381">
        <v>0.39</v>
      </c>
      <c r="M1381">
        <v>47.35</v>
      </c>
      <c r="N1381">
        <v>1</v>
      </c>
      <c r="O1381" t="s">
        <v>20</v>
      </c>
      <c r="P1381" t="s">
        <v>21</v>
      </c>
      <c r="Q1381">
        <f t="shared" si="105"/>
        <v>15</v>
      </c>
      <c r="R1381" s="4">
        <f>RANK(N1381,$N$2:N$2800,0)</f>
        <v>1</v>
      </c>
      <c r="S1381">
        <f t="shared" si="106"/>
        <v>1.5</v>
      </c>
      <c r="T1381" t="str">
        <f t="shared" si="107"/>
        <v>Good</v>
      </c>
      <c r="U1381" t="str" cm="1">
        <f t="array" ref="U1381">_xlfn.LET(_xlpm.roles,_xlfn.UNIQUE(D1381:D4179),_xlpm.kills, SUMIF(D1381:D4179,_xlpm.roles,G1381:G4179),INDEX(_xlpm.roles,MATCH(MAX(_xlpm.kills),_xlpm.kills,0)))</f>
        <v>Entry Fragger</v>
      </c>
      <c r="V1381" t="str">
        <f t="shared" si="108"/>
        <v>Medium Accuracy</v>
      </c>
      <c r="W1381" t="str" cm="1">
        <f t="array" ref="W1381">_xlfn.LET(_xlpm.roles,_xlfn.UNIQUE(D1381:D4179), _xlpm.counts,COUNTIF(D1381:D4179,_xlpm.roles), INDEX(_xlpm.roles,MATCH(MAX(_xlpm.counts),_xlpm.counts,0)))</f>
        <v>Sniper</v>
      </c>
      <c r="X1381" s="2">
        <f t="shared" si="109"/>
        <v>13.135802469135802</v>
      </c>
    </row>
    <row r="1382" spans="1:24" x14ac:dyDescent="0.3">
      <c r="A1382">
        <v>2043</v>
      </c>
      <c r="B1382">
        <v>244</v>
      </c>
      <c r="C1382" t="s">
        <v>30</v>
      </c>
      <c r="D1382" t="s">
        <v>22</v>
      </c>
      <c r="E1382" t="s">
        <v>29</v>
      </c>
      <c r="F1382" t="s">
        <v>19</v>
      </c>
      <c r="G1382">
        <v>13</v>
      </c>
      <c r="H1382">
        <v>10</v>
      </c>
      <c r="I1382">
        <v>11</v>
      </c>
      <c r="J1382">
        <v>54.55</v>
      </c>
      <c r="K1382">
        <v>206.63</v>
      </c>
      <c r="L1382">
        <v>0</v>
      </c>
      <c r="M1382">
        <v>52.27</v>
      </c>
      <c r="N1382">
        <v>1</v>
      </c>
      <c r="O1382" t="s">
        <v>20</v>
      </c>
      <c r="P1382" t="s">
        <v>21</v>
      </c>
      <c r="Q1382">
        <f t="shared" si="105"/>
        <v>12</v>
      </c>
      <c r="R1382" s="4">
        <f>RANK(N1382,$N$2:N$2800,0)</f>
        <v>1</v>
      </c>
      <c r="S1382">
        <f t="shared" si="106"/>
        <v>1.1818181818181819</v>
      </c>
      <c r="T1382" t="str">
        <f t="shared" si="107"/>
        <v>Low</v>
      </c>
      <c r="U1382" t="str" cm="1">
        <f t="array" ref="U1382">_xlfn.LET(_xlpm.roles,_xlfn.UNIQUE(D1382:D4180),_xlpm.kills, SUMIF(D1382:D4180,_xlpm.roles,G1382:G4180),INDEX(_xlpm.roles,MATCH(MAX(_xlpm.kills),_xlpm.kills,0)))</f>
        <v>Entry Fragger</v>
      </c>
      <c r="V1382" t="str">
        <f t="shared" si="108"/>
        <v>High Accuracy</v>
      </c>
      <c r="W1382" t="str" cm="1">
        <f t="array" ref="W1382">_xlfn.LET(_xlpm.roles,_xlfn.UNIQUE(D1382:D4180), _xlpm.counts,COUNTIF(D1382:D4180,_xlpm.roles), INDEX(_xlpm.roles,MATCH(MAX(_xlpm.counts),_xlpm.counts,0)))</f>
        <v>Sniper</v>
      </c>
      <c r="X1382" s="2">
        <f t="shared" si="109"/>
        <v>13.135802469135802</v>
      </c>
    </row>
    <row r="1383" spans="1:24" x14ac:dyDescent="0.3">
      <c r="A1383">
        <v>2175</v>
      </c>
      <c r="B1383">
        <v>244</v>
      </c>
      <c r="C1383" t="s">
        <v>27</v>
      </c>
      <c r="D1383" t="s">
        <v>31</v>
      </c>
      <c r="E1383" t="s">
        <v>18</v>
      </c>
      <c r="F1383" t="s">
        <v>34</v>
      </c>
      <c r="G1383">
        <v>19</v>
      </c>
      <c r="H1383">
        <v>10</v>
      </c>
      <c r="I1383">
        <v>17</v>
      </c>
      <c r="J1383">
        <v>44.06</v>
      </c>
      <c r="K1383">
        <v>218.41</v>
      </c>
      <c r="L1383">
        <v>0.25</v>
      </c>
      <c r="M1383">
        <v>50.53</v>
      </c>
      <c r="N1383">
        <v>0.82</v>
      </c>
      <c r="O1383" t="s">
        <v>20</v>
      </c>
      <c r="P1383" t="s">
        <v>21</v>
      </c>
      <c r="Q1383">
        <f t="shared" si="105"/>
        <v>12</v>
      </c>
      <c r="R1383" s="4">
        <f>RANK(N1383,$N$2:N$2800,0)</f>
        <v>2275</v>
      </c>
      <c r="S1383">
        <f t="shared" si="106"/>
        <v>1.1176470588235294</v>
      </c>
      <c r="T1383" t="str">
        <f t="shared" si="107"/>
        <v>Low</v>
      </c>
      <c r="U1383" t="str" cm="1">
        <f t="array" ref="U1383">_xlfn.LET(_xlpm.roles,_xlfn.UNIQUE(D1383:D4181),_xlpm.kills, SUMIF(D1383:D4181,_xlpm.roles,G1383:G4181),INDEX(_xlpm.roles,MATCH(MAX(_xlpm.kills),_xlpm.kills,0)))</f>
        <v>Entry Fragger</v>
      </c>
      <c r="V1383" t="str">
        <f t="shared" si="108"/>
        <v>Medium Accuracy</v>
      </c>
      <c r="W1383" t="str" cm="1">
        <f t="array" ref="W1383">_xlfn.LET(_xlpm.roles,_xlfn.UNIQUE(D1383:D4181), _xlpm.counts,COUNTIF(D1383:D4181,_xlpm.roles), INDEX(_xlpm.roles,MATCH(MAX(_xlpm.counts),_xlpm.counts,0)))</f>
        <v>Sniper</v>
      </c>
      <c r="X1383" s="2">
        <f t="shared" si="109"/>
        <v>13.057077625570777</v>
      </c>
    </row>
    <row r="1384" spans="1:24" x14ac:dyDescent="0.3">
      <c r="A1384">
        <v>2410</v>
      </c>
      <c r="B1384">
        <v>244</v>
      </c>
      <c r="C1384" t="s">
        <v>16</v>
      </c>
      <c r="D1384" t="s">
        <v>22</v>
      </c>
      <c r="E1384" t="s">
        <v>33</v>
      </c>
      <c r="F1384" t="s">
        <v>37</v>
      </c>
      <c r="G1384">
        <v>19</v>
      </c>
      <c r="H1384">
        <v>6</v>
      </c>
      <c r="I1384">
        <v>11</v>
      </c>
      <c r="J1384">
        <v>55.36</v>
      </c>
      <c r="K1384">
        <v>187</v>
      </c>
      <c r="L1384">
        <v>0.63</v>
      </c>
      <c r="M1384">
        <v>54.38</v>
      </c>
      <c r="N1384">
        <v>1</v>
      </c>
      <c r="O1384" t="s">
        <v>20</v>
      </c>
      <c r="P1384" t="s">
        <v>21</v>
      </c>
      <c r="Q1384">
        <f t="shared" si="105"/>
        <v>14</v>
      </c>
      <c r="R1384" s="4">
        <f>RANK(N1384,$N$2:N$2800,0)</f>
        <v>1</v>
      </c>
      <c r="S1384">
        <f t="shared" si="106"/>
        <v>1.7272727272727273</v>
      </c>
      <c r="T1384" t="str">
        <f t="shared" si="107"/>
        <v>Low</v>
      </c>
      <c r="U1384" t="str" cm="1">
        <f t="array" ref="U1384">_xlfn.LET(_xlpm.roles,_xlfn.UNIQUE(D1384:D4182),_xlpm.kills, SUMIF(D1384:D4182,_xlpm.roles,G1384:G4182),INDEX(_xlpm.roles,MATCH(MAX(_xlpm.kills),_xlpm.kills,0)))</f>
        <v>Entry Fragger</v>
      </c>
      <c r="V1384" t="str">
        <f t="shared" si="108"/>
        <v>High Accuracy</v>
      </c>
      <c r="W1384" t="str" cm="1">
        <f t="array" ref="W1384">_xlfn.LET(_xlpm.roles,_xlfn.UNIQUE(D1384:D4182), _xlpm.counts,COUNTIF(D1384:D4182,_xlpm.roles), INDEX(_xlpm.roles,MATCH(MAX(_xlpm.counts),_xlpm.counts,0)))</f>
        <v>Entry Fragger</v>
      </c>
      <c r="X1384" s="2">
        <f t="shared" si="109"/>
        <v>12.520971302428256</v>
      </c>
    </row>
    <row r="1385" spans="1:24" x14ac:dyDescent="0.3">
      <c r="A1385">
        <v>861</v>
      </c>
      <c r="B1385">
        <v>245</v>
      </c>
      <c r="C1385" t="s">
        <v>16</v>
      </c>
      <c r="D1385" t="s">
        <v>31</v>
      </c>
      <c r="E1385" t="s">
        <v>23</v>
      </c>
      <c r="F1385" t="s">
        <v>24</v>
      </c>
      <c r="G1385">
        <v>18</v>
      </c>
      <c r="H1385">
        <v>9</v>
      </c>
      <c r="I1385">
        <v>10</v>
      </c>
      <c r="J1385">
        <v>57.76</v>
      </c>
      <c r="K1385">
        <v>189.53</v>
      </c>
      <c r="L1385">
        <v>0.69</v>
      </c>
      <c r="M1385">
        <v>56.98</v>
      </c>
      <c r="N1385">
        <v>1</v>
      </c>
      <c r="O1385" t="s">
        <v>20</v>
      </c>
      <c r="P1385" t="s">
        <v>21</v>
      </c>
      <c r="Q1385">
        <f t="shared" si="105"/>
        <v>17</v>
      </c>
      <c r="R1385" s="4">
        <f>RANK(N1385,$N$2:N$2800,0)</f>
        <v>1</v>
      </c>
      <c r="S1385">
        <f t="shared" si="106"/>
        <v>1.8</v>
      </c>
      <c r="T1385" t="str">
        <f t="shared" si="107"/>
        <v>Good</v>
      </c>
      <c r="U1385" t="str" cm="1">
        <f t="array" ref="U1385">_xlfn.LET(_xlpm.roles,_xlfn.UNIQUE(D1385:D4183),_xlpm.kills, SUMIF(D1385:D4183,_xlpm.roles,G1385:G4183),INDEX(_xlpm.roles,MATCH(MAX(_xlpm.kills),_xlpm.kills,0)))</f>
        <v>Entry Fragger</v>
      </c>
      <c r="V1385" t="str">
        <f t="shared" si="108"/>
        <v>High Accuracy</v>
      </c>
      <c r="W1385" t="str" cm="1">
        <f t="array" ref="W1385">_xlfn.LET(_xlpm.roles,_xlfn.UNIQUE(D1385:D4183), _xlpm.counts,COUNTIF(D1385:D4183,_xlpm.roles), INDEX(_xlpm.roles,MATCH(MAX(_xlpm.counts),_xlpm.counts,0)))</f>
        <v>Entry Fragger</v>
      </c>
      <c r="X1385" s="2">
        <f t="shared" si="109"/>
        <v>12.520971302428256</v>
      </c>
    </row>
    <row r="1386" spans="1:24" x14ac:dyDescent="0.3">
      <c r="A1386">
        <v>1147</v>
      </c>
      <c r="B1386">
        <v>245</v>
      </c>
      <c r="C1386" t="s">
        <v>39</v>
      </c>
      <c r="D1386" t="s">
        <v>22</v>
      </c>
      <c r="E1386" t="s">
        <v>23</v>
      </c>
      <c r="F1386" t="s">
        <v>19</v>
      </c>
      <c r="G1386">
        <v>13</v>
      </c>
      <c r="H1386">
        <v>9</v>
      </c>
      <c r="I1386">
        <v>10</v>
      </c>
      <c r="J1386">
        <v>44.85</v>
      </c>
      <c r="K1386">
        <v>218.19</v>
      </c>
      <c r="L1386">
        <v>0.92</v>
      </c>
      <c r="M1386">
        <v>38.22</v>
      </c>
      <c r="N1386">
        <v>0.92</v>
      </c>
      <c r="O1386" t="s">
        <v>20</v>
      </c>
      <c r="P1386" t="s">
        <v>21</v>
      </c>
      <c r="Q1386">
        <f t="shared" si="105"/>
        <v>12</v>
      </c>
      <c r="R1386" s="4">
        <f>RANK(N1386,$N$2:N$2800,0)</f>
        <v>1585</v>
      </c>
      <c r="S1386">
        <f t="shared" si="106"/>
        <v>1.3</v>
      </c>
      <c r="T1386" t="str">
        <f t="shared" si="107"/>
        <v>Low</v>
      </c>
      <c r="U1386" t="str" cm="1">
        <f t="array" ref="U1386">_xlfn.LET(_xlpm.roles,_xlfn.UNIQUE(D1386:D4184),_xlpm.kills, SUMIF(D1386:D4184,_xlpm.roles,G1386:G4184),INDEX(_xlpm.roles,MATCH(MAX(_xlpm.kills),_xlpm.kills,0)))</f>
        <v>Entry Fragger</v>
      </c>
      <c r="V1386" t="str">
        <f t="shared" si="108"/>
        <v>Medium Accuracy</v>
      </c>
      <c r="W1386" t="str" cm="1">
        <f t="array" ref="W1386">_xlfn.LET(_xlpm.roles,_xlfn.UNIQUE(D1386:D4184), _xlpm.counts,COUNTIF(D1386:D4184,_xlpm.roles), INDEX(_xlpm.roles,MATCH(MAX(_xlpm.counts),_xlpm.counts,0)))</f>
        <v>Entry Fragger</v>
      </c>
      <c r="X1386" s="2">
        <f t="shared" si="109"/>
        <v>13.103594080338267</v>
      </c>
    </row>
    <row r="1387" spans="1:24" x14ac:dyDescent="0.3">
      <c r="A1387">
        <v>1252</v>
      </c>
      <c r="B1387">
        <v>245</v>
      </c>
      <c r="C1387" t="s">
        <v>25</v>
      </c>
      <c r="D1387" t="s">
        <v>28</v>
      </c>
      <c r="E1387" t="s">
        <v>29</v>
      </c>
      <c r="F1387" t="s">
        <v>26</v>
      </c>
      <c r="G1387">
        <v>13</v>
      </c>
      <c r="H1387">
        <v>7</v>
      </c>
      <c r="I1387">
        <v>10</v>
      </c>
      <c r="J1387">
        <v>32.64</v>
      </c>
      <c r="K1387">
        <v>181.21</v>
      </c>
      <c r="L1387">
        <v>0.69</v>
      </c>
      <c r="M1387">
        <v>32.42</v>
      </c>
      <c r="N1387">
        <v>0.72</v>
      </c>
      <c r="O1387" t="s">
        <v>20</v>
      </c>
      <c r="P1387" t="s">
        <v>21</v>
      </c>
      <c r="Q1387">
        <f t="shared" si="105"/>
        <v>10</v>
      </c>
      <c r="R1387" s="4">
        <f>RANK(N1387,$N$2:N$2800,0)</f>
        <v>2663</v>
      </c>
      <c r="S1387">
        <f t="shared" si="106"/>
        <v>1.3</v>
      </c>
      <c r="T1387" t="str">
        <f t="shared" si="107"/>
        <v>Low</v>
      </c>
      <c r="U1387" t="str" cm="1">
        <f t="array" ref="U1387">_xlfn.LET(_xlpm.roles,_xlfn.UNIQUE(D1387:D4185),_xlpm.kills, SUMIF(D1387:D4185,_xlpm.roles,G1387:G4185),INDEX(_xlpm.roles,MATCH(MAX(_xlpm.kills),_xlpm.kills,0)))</f>
        <v>Entry Fragger</v>
      </c>
      <c r="V1387" t="str">
        <f t="shared" si="108"/>
        <v>Medium Accuracy</v>
      </c>
      <c r="W1387" t="str" cm="1">
        <f t="array" ref="W1387">_xlfn.LET(_xlpm.roles,_xlfn.UNIQUE(D1387:D4185), _xlpm.counts,COUNTIF(D1387:D4185,_xlpm.roles), INDEX(_xlpm.roles,MATCH(MAX(_xlpm.counts),_xlpm.counts,0)))</f>
        <v>Entry Fragger</v>
      </c>
      <c r="X1387" s="2">
        <f t="shared" si="109"/>
        <v>12.809421841541756</v>
      </c>
    </row>
    <row r="1388" spans="1:24" x14ac:dyDescent="0.3">
      <c r="A1388">
        <v>1620</v>
      </c>
      <c r="B1388">
        <v>245</v>
      </c>
      <c r="C1388" t="s">
        <v>16</v>
      </c>
      <c r="D1388" t="s">
        <v>28</v>
      </c>
      <c r="E1388" t="s">
        <v>18</v>
      </c>
      <c r="F1388" t="s">
        <v>24</v>
      </c>
      <c r="G1388">
        <v>15</v>
      </c>
      <c r="H1388">
        <v>3</v>
      </c>
      <c r="I1388">
        <v>9</v>
      </c>
      <c r="J1388">
        <v>45.12</v>
      </c>
      <c r="K1388">
        <v>218.59</v>
      </c>
      <c r="L1388">
        <v>0.17</v>
      </c>
      <c r="M1388">
        <v>44.86</v>
      </c>
      <c r="N1388">
        <v>0.79</v>
      </c>
      <c r="O1388" t="s">
        <v>20</v>
      </c>
      <c r="P1388" t="s">
        <v>21</v>
      </c>
      <c r="Q1388">
        <f t="shared" si="105"/>
        <v>9</v>
      </c>
      <c r="R1388" s="4">
        <f>RANK(N1388,$N$2:N$2800,0)</f>
        <v>2436</v>
      </c>
      <c r="S1388">
        <f t="shared" si="106"/>
        <v>1.6666666666666667</v>
      </c>
      <c r="T1388" t="str">
        <f t="shared" si="107"/>
        <v>Low</v>
      </c>
      <c r="U1388" t="str" cm="1">
        <f t="array" ref="U1388">_xlfn.LET(_xlpm.roles,_xlfn.UNIQUE(D1388:D4186),_xlpm.kills, SUMIF(D1388:D4186,_xlpm.roles,G1388:G4186),INDEX(_xlpm.roles,MATCH(MAX(_xlpm.kills),_xlpm.kills,0)))</f>
        <v>Entry Fragger</v>
      </c>
      <c r="V1388" t="str">
        <f t="shared" si="108"/>
        <v>Medium Accuracy</v>
      </c>
      <c r="W1388" t="str" cm="1">
        <f t="array" ref="W1388">_xlfn.LET(_xlpm.roles,_xlfn.UNIQUE(D1388:D4186), _xlpm.counts,COUNTIF(D1388:D4186,_xlpm.roles), INDEX(_xlpm.roles,MATCH(MAX(_xlpm.counts),_xlpm.counts,0)))</f>
        <v>Entry Fragger</v>
      </c>
      <c r="X1388" s="2">
        <f t="shared" si="109"/>
        <v>12.520971302428256</v>
      </c>
    </row>
    <row r="1389" spans="1:24" x14ac:dyDescent="0.3">
      <c r="A1389">
        <v>1648</v>
      </c>
      <c r="B1389">
        <v>245</v>
      </c>
      <c r="C1389" t="s">
        <v>16</v>
      </c>
      <c r="D1389" t="s">
        <v>31</v>
      </c>
      <c r="E1389" t="s">
        <v>18</v>
      </c>
      <c r="F1389" t="s">
        <v>19</v>
      </c>
      <c r="G1389">
        <v>19</v>
      </c>
      <c r="H1389">
        <v>13</v>
      </c>
      <c r="I1389">
        <v>4</v>
      </c>
      <c r="J1389">
        <v>52.26</v>
      </c>
      <c r="K1389">
        <v>212.49</v>
      </c>
      <c r="L1389">
        <v>0.16</v>
      </c>
      <c r="M1389">
        <v>71.53</v>
      </c>
      <c r="N1389">
        <v>1</v>
      </c>
      <c r="O1389" t="s">
        <v>20</v>
      </c>
      <c r="P1389" t="s">
        <v>38</v>
      </c>
      <c r="Q1389">
        <f t="shared" si="105"/>
        <v>28</v>
      </c>
      <c r="R1389" s="4">
        <f>RANK(N1389,$N$2:N$2800,0)</f>
        <v>1</v>
      </c>
      <c r="S1389">
        <f t="shared" si="106"/>
        <v>4.75</v>
      </c>
      <c r="T1389" t="str">
        <f t="shared" si="107"/>
        <v>Excellent</v>
      </c>
      <c r="U1389" t="str" cm="1">
        <f t="array" ref="U1389">_xlfn.LET(_xlpm.roles,_xlfn.UNIQUE(D1389:D4187),_xlpm.kills, SUMIF(D1389:D4187,_xlpm.roles,G1389:G4187),INDEX(_xlpm.roles,MATCH(MAX(_xlpm.kills),_xlpm.kills,0)))</f>
        <v>Entry Fragger</v>
      </c>
      <c r="V1389" t="str">
        <f t="shared" si="108"/>
        <v>High Accuracy</v>
      </c>
      <c r="W1389" t="str" cm="1">
        <f t="array" ref="W1389">_xlfn.LET(_xlpm.roles,_xlfn.UNIQUE(D1389:D4187), _xlpm.counts,COUNTIF(D1389:D4187,_xlpm.roles), INDEX(_xlpm.roles,MATCH(MAX(_xlpm.counts),_xlpm.counts,0)))</f>
        <v>Entry Fragger</v>
      </c>
      <c r="X1389" s="2">
        <f t="shared" si="109"/>
        <v>12.520971302428256</v>
      </c>
    </row>
    <row r="1390" spans="1:24" x14ac:dyDescent="0.3">
      <c r="A1390">
        <v>1894</v>
      </c>
      <c r="B1390">
        <v>245</v>
      </c>
      <c r="C1390" t="s">
        <v>16</v>
      </c>
      <c r="D1390" t="s">
        <v>22</v>
      </c>
      <c r="E1390" t="s">
        <v>29</v>
      </c>
      <c r="F1390" t="s">
        <v>26</v>
      </c>
      <c r="G1390">
        <v>15</v>
      </c>
      <c r="H1390">
        <v>12</v>
      </c>
      <c r="I1390">
        <v>10</v>
      </c>
      <c r="J1390">
        <v>30.69</v>
      </c>
      <c r="K1390">
        <v>191.99</v>
      </c>
      <c r="L1390">
        <v>0.15</v>
      </c>
      <c r="M1390">
        <v>45.84</v>
      </c>
      <c r="N1390">
        <v>0.96</v>
      </c>
      <c r="O1390" t="s">
        <v>20</v>
      </c>
      <c r="P1390" t="s">
        <v>21</v>
      </c>
      <c r="Q1390">
        <f t="shared" si="105"/>
        <v>17</v>
      </c>
      <c r="R1390" s="4">
        <f>RANK(N1390,$N$2:N$2800,0)</f>
        <v>1301</v>
      </c>
      <c r="S1390">
        <f t="shared" si="106"/>
        <v>1.5</v>
      </c>
      <c r="T1390" t="str">
        <f t="shared" si="107"/>
        <v>Good</v>
      </c>
      <c r="U1390" t="str" cm="1">
        <f t="array" ref="U1390">_xlfn.LET(_xlpm.roles,_xlfn.UNIQUE(D1390:D4188),_xlpm.kills, SUMIF(D1390:D4188,_xlpm.roles,G1390:G4188),INDEX(_xlpm.roles,MATCH(MAX(_xlpm.kills),_xlpm.kills,0)))</f>
        <v>Entry Fragger</v>
      </c>
      <c r="V1390" t="str">
        <f t="shared" si="108"/>
        <v>Medium Accuracy</v>
      </c>
      <c r="W1390" t="str" cm="1">
        <f t="array" ref="W1390">_xlfn.LET(_xlpm.roles,_xlfn.UNIQUE(D1390:D4188), _xlpm.counts,COUNTIF(D1390:D4188,_xlpm.roles), INDEX(_xlpm.roles,MATCH(MAX(_xlpm.counts),_xlpm.counts,0)))</f>
        <v>Entry Fragger</v>
      </c>
      <c r="X1390" s="2">
        <f t="shared" si="109"/>
        <v>12.520971302428256</v>
      </c>
    </row>
    <row r="1391" spans="1:24" x14ac:dyDescent="0.3">
      <c r="A1391">
        <v>905</v>
      </c>
      <c r="B1391">
        <v>246</v>
      </c>
      <c r="C1391" t="s">
        <v>30</v>
      </c>
      <c r="D1391" t="s">
        <v>28</v>
      </c>
      <c r="E1391" t="s">
        <v>32</v>
      </c>
      <c r="F1391" t="s">
        <v>37</v>
      </c>
      <c r="G1391">
        <v>12</v>
      </c>
      <c r="H1391">
        <v>10</v>
      </c>
      <c r="I1391">
        <v>11</v>
      </c>
      <c r="J1391">
        <v>45.97</v>
      </c>
      <c r="K1391">
        <v>213.92</v>
      </c>
      <c r="L1391">
        <v>0.73</v>
      </c>
      <c r="M1391">
        <v>38.69</v>
      </c>
      <c r="N1391">
        <v>0.91</v>
      </c>
      <c r="O1391" t="s">
        <v>20</v>
      </c>
      <c r="P1391" t="s">
        <v>21</v>
      </c>
      <c r="Q1391">
        <f t="shared" si="105"/>
        <v>11</v>
      </c>
      <c r="R1391" s="4">
        <f>RANK(N1391,$N$2:N$2800,0)</f>
        <v>1665</v>
      </c>
      <c r="S1391">
        <f t="shared" si="106"/>
        <v>1.0909090909090908</v>
      </c>
      <c r="T1391" t="str">
        <f t="shared" si="107"/>
        <v>Low</v>
      </c>
      <c r="U1391" t="str" cm="1">
        <f t="array" ref="U1391">_xlfn.LET(_xlpm.roles,_xlfn.UNIQUE(D1391:D4189),_xlpm.kills, SUMIF(D1391:D4189,_xlpm.roles,G1391:G4189),INDEX(_xlpm.roles,MATCH(MAX(_xlpm.kills),_xlpm.kills,0)))</f>
        <v>Entry Fragger</v>
      </c>
      <c r="V1391" t="str">
        <f t="shared" si="108"/>
        <v>Medium Accuracy</v>
      </c>
      <c r="W1391" t="str" cm="1">
        <f t="array" ref="W1391">_xlfn.LET(_xlpm.roles,_xlfn.UNIQUE(D1391:D4189), _xlpm.counts,COUNTIF(D1391:D4189,_xlpm.roles), INDEX(_xlpm.roles,MATCH(MAX(_xlpm.counts),_xlpm.counts,0)))</f>
        <v>Entry Fragger</v>
      </c>
      <c r="X1391" s="2">
        <f t="shared" si="109"/>
        <v>13.135802469135802</v>
      </c>
    </row>
    <row r="1392" spans="1:24" x14ac:dyDescent="0.3">
      <c r="A1392">
        <v>1423</v>
      </c>
      <c r="B1392">
        <v>246</v>
      </c>
      <c r="C1392" t="s">
        <v>39</v>
      </c>
      <c r="D1392" t="s">
        <v>36</v>
      </c>
      <c r="E1392" t="s">
        <v>18</v>
      </c>
      <c r="F1392" t="s">
        <v>24</v>
      </c>
      <c r="G1392">
        <v>18</v>
      </c>
      <c r="H1392">
        <v>11</v>
      </c>
      <c r="I1392">
        <v>9</v>
      </c>
      <c r="J1392">
        <v>44.52</v>
      </c>
      <c r="K1392">
        <v>206.62</v>
      </c>
      <c r="L1392">
        <v>0.6</v>
      </c>
      <c r="M1392">
        <v>54.26</v>
      </c>
      <c r="N1392">
        <v>1</v>
      </c>
      <c r="O1392" t="s">
        <v>20</v>
      </c>
      <c r="P1392" t="s">
        <v>21</v>
      </c>
      <c r="Q1392">
        <f t="shared" si="105"/>
        <v>20</v>
      </c>
      <c r="R1392" s="4">
        <f>RANK(N1392,$N$2:N$2800,0)</f>
        <v>1</v>
      </c>
      <c r="S1392">
        <f t="shared" si="106"/>
        <v>2</v>
      </c>
      <c r="T1392" t="str">
        <f t="shared" si="107"/>
        <v>Good</v>
      </c>
      <c r="U1392" t="str" cm="1">
        <f t="array" ref="U1392">_xlfn.LET(_xlpm.roles,_xlfn.UNIQUE(D1392:D4190),_xlpm.kills, SUMIF(D1392:D4190,_xlpm.roles,G1392:G4190),INDEX(_xlpm.roles,MATCH(MAX(_xlpm.kills),_xlpm.kills,0)))</f>
        <v>Entry Fragger</v>
      </c>
      <c r="V1392" t="str">
        <f t="shared" si="108"/>
        <v>Medium Accuracy</v>
      </c>
      <c r="W1392" t="str" cm="1">
        <f t="array" ref="W1392">_xlfn.LET(_xlpm.roles,_xlfn.UNIQUE(D1392:D4190), _xlpm.counts,COUNTIF(D1392:D4190,_xlpm.roles), INDEX(_xlpm.roles,MATCH(MAX(_xlpm.counts),_xlpm.counts,0)))</f>
        <v>Entry Fragger</v>
      </c>
      <c r="X1392" s="2">
        <f t="shared" si="109"/>
        <v>13.103594080338267</v>
      </c>
    </row>
    <row r="1393" spans="1:24" x14ac:dyDescent="0.3">
      <c r="A1393">
        <v>1727</v>
      </c>
      <c r="B1393">
        <v>246</v>
      </c>
      <c r="C1393" t="s">
        <v>35</v>
      </c>
      <c r="D1393" t="s">
        <v>36</v>
      </c>
      <c r="E1393" t="s">
        <v>29</v>
      </c>
      <c r="F1393" t="s">
        <v>37</v>
      </c>
      <c r="G1393">
        <v>16</v>
      </c>
      <c r="H1393">
        <v>6</v>
      </c>
      <c r="I1393">
        <v>7</v>
      </c>
      <c r="J1393">
        <v>40.6</v>
      </c>
      <c r="K1393">
        <v>235.39</v>
      </c>
      <c r="L1393">
        <v>0.35</v>
      </c>
      <c r="M1393">
        <v>47.8</v>
      </c>
      <c r="N1393">
        <v>0.99</v>
      </c>
      <c r="O1393" t="s">
        <v>20</v>
      </c>
      <c r="P1393" t="s">
        <v>21</v>
      </c>
      <c r="Q1393">
        <f t="shared" si="105"/>
        <v>15</v>
      </c>
      <c r="R1393" s="4">
        <f>RANK(N1393,$N$2:N$2800,0)</f>
        <v>1080</v>
      </c>
      <c r="S1393">
        <f t="shared" si="106"/>
        <v>2.2857142857142856</v>
      </c>
      <c r="T1393" t="str">
        <f t="shared" si="107"/>
        <v>Good</v>
      </c>
      <c r="U1393" t="str" cm="1">
        <f t="array" ref="U1393">_xlfn.LET(_xlpm.roles,_xlfn.UNIQUE(D1393:D4191),_xlpm.kills, SUMIF(D1393:D4191,_xlpm.roles,G1393:G4191),INDEX(_xlpm.roles,MATCH(MAX(_xlpm.kills),_xlpm.kills,0)))</f>
        <v>Entry Fragger</v>
      </c>
      <c r="V1393" t="str">
        <f t="shared" si="108"/>
        <v>Medium Accuracy</v>
      </c>
      <c r="W1393" t="str" cm="1">
        <f t="array" ref="W1393">_xlfn.LET(_xlpm.roles,_xlfn.UNIQUE(D1393:D4191), _xlpm.counts,COUNTIF(D1393:D4191,_xlpm.roles), INDEX(_xlpm.roles,MATCH(MAX(_xlpm.counts),_xlpm.counts,0)))</f>
        <v>Entry Fragger</v>
      </c>
      <c r="X1393" s="2">
        <f t="shared" si="109"/>
        <v>12.599585062240664</v>
      </c>
    </row>
    <row r="1394" spans="1:24" x14ac:dyDescent="0.3">
      <c r="A1394">
        <v>1855</v>
      </c>
      <c r="B1394">
        <v>246</v>
      </c>
      <c r="C1394" t="s">
        <v>35</v>
      </c>
      <c r="D1394" t="s">
        <v>22</v>
      </c>
      <c r="E1394" t="s">
        <v>18</v>
      </c>
      <c r="F1394" t="s">
        <v>19</v>
      </c>
      <c r="G1394">
        <v>12</v>
      </c>
      <c r="H1394">
        <v>12</v>
      </c>
      <c r="I1394">
        <v>9</v>
      </c>
      <c r="J1394">
        <v>47.16</v>
      </c>
      <c r="K1394">
        <v>233.07</v>
      </c>
      <c r="L1394">
        <v>0.34</v>
      </c>
      <c r="M1394">
        <v>47.18</v>
      </c>
      <c r="N1394">
        <v>1</v>
      </c>
      <c r="O1394" t="s">
        <v>20</v>
      </c>
      <c r="P1394" t="s">
        <v>21</v>
      </c>
      <c r="Q1394">
        <f t="shared" si="105"/>
        <v>15</v>
      </c>
      <c r="R1394" s="4">
        <f>RANK(N1394,$N$2:N$2800,0)</f>
        <v>1</v>
      </c>
      <c r="S1394">
        <f t="shared" si="106"/>
        <v>1.3333333333333333</v>
      </c>
      <c r="T1394" t="str">
        <f t="shared" si="107"/>
        <v>Good</v>
      </c>
      <c r="U1394" t="str" cm="1">
        <f t="array" ref="U1394">_xlfn.LET(_xlpm.roles,_xlfn.UNIQUE(D1394:D4192),_xlpm.kills, SUMIF(D1394:D4192,_xlpm.roles,G1394:G4192),INDEX(_xlpm.roles,MATCH(MAX(_xlpm.kills),_xlpm.kills,0)))</f>
        <v>Entry Fragger</v>
      </c>
      <c r="V1394" t="str">
        <f t="shared" si="108"/>
        <v>Medium Accuracy</v>
      </c>
      <c r="W1394" t="str" cm="1">
        <f t="array" ref="W1394">_xlfn.LET(_xlpm.roles,_xlfn.UNIQUE(D1394:D4192), _xlpm.counts,COUNTIF(D1394:D4192,_xlpm.roles), INDEX(_xlpm.roles,MATCH(MAX(_xlpm.counts),_xlpm.counts,0)))</f>
        <v>Entry Fragger</v>
      </c>
      <c r="X1394" s="2">
        <f t="shared" si="109"/>
        <v>12.599585062240664</v>
      </c>
    </row>
    <row r="1395" spans="1:24" x14ac:dyDescent="0.3">
      <c r="A1395">
        <v>2656</v>
      </c>
      <c r="B1395">
        <v>246</v>
      </c>
      <c r="C1395" t="s">
        <v>30</v>
      </c>
      <c r="D1395" t="s">
        <v>36</v>
      </c>
      <c r="E1395" t="s">
        <v>23</v>
      </c>
      <c r="F1395" t="s">
        <v>19</v>
      </c>
      <c r="G1395">
        <v>11</v>
      </c>
      <c r="H1395">
        <v>6</v>
      </c>
      <c r="I1395">
        <v>14</v>
      </c>
      <c r="J1395">
        <v>47.81</v>
      </c>
      <c r="K1395">
        <v>244.99</v>
      </c>
      <c r="L1395">
        <v>0.61</v>
      </c>
      <c r="M1395">
        <v>31.8</v>
      </c>
      <c r="N1395">
        <v>0.64</v>
      </c>
      <c r="O1395" t="s">
        <v>20</v>
      </c>
      <c r="P1395" t="s">
        <v>21</v>
      </c>
      <c r="Q1395">
        <f t="shared" si="105"/>
        <v>3</v>
      </c>
      <c r="R1395" s="4">
        <f>RANK(N1395,$N$2:N$2800,0)</f>
        <v>2767</v>
      </c>
      <c r="S1395">
        <f t="shared" si="106"/>
        <v>0.7857142857142857</v>
      </c>
      <c r="T1395" t="str">
        <f t="shared" si="107"/>
        <v>Low</v>
      </c>
      <c r="U1395" t="str" cm="1">
        <f t="array" ref="U1395">_xlfn.LET(_xlpm.roles,_xlfn.UNIQUE(D1395:D4193),_xlpm.kills, SUMIF(D1395:D4193,_xlpm.roles,G1395:G4193),INDEX(_xlpm.roles,MATCH(MAX(_xlpm.kills),_xlpm.kills,0)))</f>
        <v>Entry Fragger</v>
      </c>
      <c r="V1395" t="str">
        <f t="shared" si="108"/>
        <v>Medium Accuracy</v>
      </c>
      <c r="W1395" t="str" cm="1">
        <f t="array" ref="W1395">_xlfn.LET(_xlpm.roles,_xlfn.UNIQUE(D1395:D4193), _xlpm.counts,COUNTIF(D1395:D4193,_xlpm.roles), INDEX(_xlpm.roles,MATCH(MAX(_xlpm.counts),_xlpm.counts,0)))</f>
        <v>Entry Fragger</v>
      </c>
      <c r="X1395" s="2">
        <f t="shared" si="109"/>
        <v>13.135802469135802</v>
      </c>
    </row>
    <row r="1396" spans="1:24" x14ac:dyDescent="0.3">
      <c r="A1396">
        <v>495</v>
      </c>
      <c r="B1396">
        <v>247</v>
      </c>
      <c r="C1396" t="s">
        <v>25</v>
      </c>
      <c r="D1396" t="s">
        <v>36</v>
      </c>
      <c r="E1396" t="s">
        <v>33</v>
      </c>
      <c r="F1396" t="s">
        <v>37</v>
      </c>
      <c r="G1396">
        <v>14</v>
      </c>
      <c r="H1396">
        <v>4</v>
      </c>
      <c r="I1396">
        <v>12</v>
      </c>
      <c r="J1396">
        <v>48.8</v>
      </c>
      <c r="K1396">
        <v>241.23</v>
      </c>
      <c r="L1396">
        <v>0.61</v>
      </c>
      <c r="M1396">
        <v>38.299999999999997</v>
      </c>
      <c r="N1396">
        <v>0.85</v>
      </c>
      <c r="O1396" t="s">
        <v>20</v>
      </c>
      <c r="P1396" t="s">
        <v>21</v>
      </c>
      <c r="Q1396">
        <f t="shared" si="105"/>
        <v>6</v>
      </c>
      <c r="R1396" s="4">
        <f>RANK(N1396,$N$2:N$2800,0)</f>
        <v>2105</v>
      </c>
      <c r="S1396">
        <f t="shared" si="106"/>
        <v>1.1666666666666667</v>
      </c>
      <c r="T1396" t="str">
        <f t="shared" si="107"/>
        <v>Low</v>
      </c>
      <c r="U1396" t="str" cm="1">
        <f t="array" ref="U1396">_xlfn.LET(_xlpm.roles,_xlfn.UNIQUE(D1396:D4194),_xlpm.kills, SUMIF(D1396:D4194,_xlpm.roles,G1396:G4194),INDEX(_xlpm.roles,MATCH(MAX(_xlpm.kills),_xlpm.kills,0)))</f>
        <v>Entry Fragger</v>
      </c>
      <c r="V1396" t="str">
        <f t="shared" si="108"/>
        <v>Medium Accuracy</v>
      </c>
      <c r="W1396" t="str" cm="1">
        <f t="array" ref="W1396">_xlfn.LET(_xlpm.roles,_xlfn.UNIQUE(D1396:D4194), _xlpm.counts,COUNTIF(D1396:D4194,_xlpm.roles), INDEX(_xlpm.roles,MATCH(MAX(_xlpm.counts),_xlpm.counts,0)))</f>
        <v>Entry Fragger</v>
      </c>
      <c r="X1396" s="2">
        <f t="shared" si="109"/>
        <v>12.809421841541756</v>
      </c>
    </row>
    <row r="1397" spans="1:24" x14ac:dyDescent="0.3">
      <c r="A1397">
        <v>646</v>
      </c>
      <c r="B1397">
        <v>247</v>
      </c>
      <c r="C1397" t="s">
        <v>39</v>
      </c>
      <c r="D1397" t="s">
        <v>17</v>
      </c>
      <c r="E1397" t="s">
        <v>18</v>
      </c>
      <c r="F1397" t="s">
        <v>37</v>
      </c>
      <c r="G1397">
        <v>14</v>
      </c>
      <c r="H1397">
        <v>10</v>
      </c>
      <c r="I1397">
        <v>14</v>
      </c>
      <c r="J1397">
        <v>51.03</v>
      </c>
      <c r="K1397">
        <v>215.15</v>
      </c>
      <c r="L1397">
        <v>0.61</v>
      </c>
      <c r="M1397">
        <v>43.41</v>
      </c>
      <c r="N1397">
        <v>0.94</v>
      </c>
      <c r="O1397" t="s">
        <v>20</v>
      </c>
      <c r="P1397" t="s">
        <v>21</v>
      </c>
      <c r="Q1397">
        <f t="shared" si="105"/>
        <v>10</v>
      </c>
      <c r="R1397" s="4">
        <f>RANK(N1397,$N$2:N$2800,0)</f>
        <v>1431</v>
      </c>
      <c r="S1397">
        <f t="shared" si="106"/>
        <v>1</v>
      </c>
      <c r="T1397" t="str">
        <f t="shared" si="107"/>
        <v>Low</v>
      </c>
      <c r="U1397" t="str" cm="1">
        <f t="array" ref="U1397">_xlfn.LET(_xlpm.roles,_xlfn.UNIQUE(D1397:D4195),_xlpm.kills, SUMIF(D1397:D4195,_xlpm.roles,G1397:G4195),INDEX(_xlpm.roles,MATCH(MAX(_xlpm.kills),_xlpm.kills,0)))</f>
        <v>Entry Fragger</v>
      </c>
      <c r="V1397" t="str">
        <f t="shared" si="108"/>
        <v>High Accuracy</v>
      </c>
      <c r="W1397" t="str" cm="1">
        <f t="array" ref="W1397">_xlfn.LET(_xlpm.roles,_xlfn.UNIQUE(D1397:D4195), _xlpm.counts,COUNTIF(D1397:D4195,_xlpm.roles), INDEX(_xlpm.roles,MATCH(MAX(_xlpm.counts),_xlpm.counts,0)))</f>
        <v>Sniper</v>
      </c>
      <c r="X1397" s="2">
        <f t="shared" si="109"/>
        <v>13.103594080338267</v>
      </c>
    </row>
    <row r="1398" spans="1:24" x14ac:dyDescent="0.3">
      <c r="A1398">
        <v>1351</v>
      </c>
      <c r="B1398">
        <v>247</v>
      </c>
      <c r="C1398" t="s">
        <v>35</v>
      </c>
      <c r="D1398" t="s">
        <v>31</v>
      </c>
      <c r="E1398" t="s">
        <v>18</v>
      </c>
      <c r="F1398" t="s">
        <v>19</v>
      </c>
      <c r="G1398">
        <v>17</v>
      </c>
      <c r="H1398">
        <v>9</v>
      </c>
      <c r="I1398">
        <v>7</v>
      </c>
      <c r="J1398">
        <v>37.18</v>
      </c>
      <c r="K1398">
        <v>183.78</v>
      </c>
      <c r="L1398">
        <v>0.42</v>
      </c>
      <c r="M1398">
        <v>50.39</v>
      </c>
      <c r="N1398">
        <v>0.88</v>
      </c>
      <c r="O1398" t="s">
        <v>20</v>
      </c>
      <c r="P1398" t="s">
        <v>21</v>
      </c>
      <c r="Q1398">
        <f t="shared" si="105"/>
        <v>19</v>
      </c>
      <c r="R1398" s="4">
        <f>RANK(N1398,$N$2:N$2800,0)</f>
        <v>1894</v>
      </c>
      <c r="S1398">
        <f t="shared" si="106"/>
        <v>2.4285714285714284</v>
      </c>
      <c r="T1398" t="str">
        <f t="shared" si="107"/>
        <v>Good</v>
      </c>
      <c r="U1398" t="str" cm="1">
        <f t="array" ref="U1398">_xlfn.LET(_xlpm.roles,_xlfn.UNIQUE(D1398:D4196),_xlpm.kills, SUMIF(D1398:D4196,_xlpm.roles,G1398:G4196),INDEX(_xlpm.roles,MATCH(MAX(_xlpm.kills),_xlpm.kills,0)))</f>
        <v>Entry Fragger</v>
      </c>
      <c r="V1398" t="str">
        <f t="shared" si="108"/>
        <v>Medium Accuracy</v>
      </c>
      <c r="W1398" t="str" cm="1">
        <f t="array" ref="W1398">_xlfn.LET(_xlpm.roles,_xlfn.UNIQUE(D1398:D4196), _xlpm.counts,COUNTIF(D1398:D4196,_xlpm.roles), INDEX(_xlpm.roles,MATCH(MAX(_xlpm.counts),_xlpm.counts,0)))</f>
        <v>Sniper</v>
      </c>
      <c r="X1398" s="2">
        <f t="shared" si="109"/>
        <v>12.599585062240664</v>
      </c>
    </row>
    <row r="1399" spans="1:24" x14ac:dyDescent="0.3">
      <c r="A1399">
        <v>1427</v>
      </c>
      <c r="B1399">
        <v>247</v>
      </c>
      <c r="C1399" t="s">
        <v>27</v>
      </c>
      <c r="D1399" t="s">
        <v>36</v>
      </c>
      <c r="E1399" t="s">
        <v>32</v>
      </c>
      <c r="F1399" t="s">
        <v>24</v>
      </c>
      <c r="G1399">
        <v>16</v>
      </c>
      <c r="H1399">
        <v>8</v>
      </c>
      <c r="I1399">
        <v>9</v>
      </c>
      <c r="J1399">
        <v>36.32</v>
      </c>
      <c r="K1399">
        <v>192.83</v>
      </c>
      <c r="L1399">
        <v>0.81</v>
      </c>
      <c r="M1399">
        <v>41.06</v>
      </c>
      <c r="N1399">
        <v>0.64</v>
      </c>
      <c r="O1399" t="s">
        <v>20</v>
      </c>
      <c r="P1399" t="s">
        <v>21</v>
      </c>
      <c r="Q1399">
        <f t="shared" si="105"/>
        <v>15</v>
      </c>
      <c r="R1399" s="4">
        <f>RANK(N1399,$N$2:N$2800,0)</f>
        <v>2767</v>
      </c>
      <c r="S1399">
        <f t="shared" si="106"/>
        <v>1.7777777777777777</v>
      </c>
      <c r="T1399" t="str">
        <f t="shared" si="107"/>
        <v>Good</v>
      </c>
      <c r="U1399" t="str" cm="1">
        <f t="array" ref="U1399">_xlfn.LET(_xlpm.roles,_xlfn.UNIQUE(D1399:D4197),_xlpm.kills, SUMIF(D1399:D4197,_xlpm.roles,G1399:G4197),INDEX(_xlpm.roles,MATCH(MAX(_xlpm.kills),_xlpm.kills,0)))</f>
        <v>Entry Fragger</v>
      </c>
      <c r="V1399" t="str">
        <f t="shared" si="108"/>
        <v>Medium Accuracy</v>
      </c>
      <c r="W1399" t="str" cm="1">
        <f t="array" ref="W1399">_xlfn.LET(_xlpm.roles,_xlfn.UNIQUE(D1399:D4197), _xlpm.counts,COUNTIF(D1399:D4197,_xlpm.roles), INDEX(_xlpm.roles,MATCH(MAX(_xlpm.counts),_xlpm.counts,0)))</f>
        <v>Entry Fragger</v>
      </c>
      <c r="X1399" s="2">
        <f t="shared" si="109"/>
        <v>13.057077625570777</v>
      </c>
    </row>
    <row r="1400" spans="1:24" x14ac:dyDescent="0.3">
      <c r="A1400">
        <v>92</v>
      </c>
      <c r="B1400">
        <v>248</v>
      </c>
      <c r="C1400" t="s">
        <v>25</v>
      </c>
      <c r="D1400" t="s">
        <v>36</v>
      </c>
      <c r="E1400" t="s">
        <v>29</v>
      </c>
      <c r="F1400" t="s">
        <v>24</v>
      </c>
      <c r="G1400">
        <v>20</v>
      </c>
      <c r="H1400">
        <v>6</v>
      </c>
      <c r="I1400">
        <v>9</v>
      </c>
      <c r="J1400">
        <v>43.33</v>
      </c>
      <c r="K1400">
        <v>203.61</v>
      </c>
      <c r="L1400">
        <v>0.54</v>
      </c>
      <c r="M1400">
        <v>53.27</v>
      </c>
      <c r="N1400">
        <v>1</v>
      </c>
      <c r="O1400" t="s">
        <v>20</v>
      </c>
      <c r="P1400" t="s">
        <v>21</v>
      </c>
      <c r="Q1400">
        <f t="shared" si="105"/>
        <v>17</v>
      </c>
      <c r="R1400" s="4">
        <f>RANK(N1400,$N$2:N$2800,0)</f>
        <v>1</v>
      </c>
      <c r="S1400">
        <f t="shared" si="106"/>
        <v>2.2222222222222223</v>
      </c>
      <c r="T1400" t="str">
        <f t="shared" si="107"/>
        <v>Good</v>
      </c>
      <c r="U1400" t="str" cm="1">
        <f t="array" ref="U1400">_xlfn.LET(_xlpm.roles,_xlfn.UNIQUE(D1400:D4198),_xlpm.kills, SUMIF(D1400:D4198,_xlpm.roles,G1400:G4198),INDEX(_xlpm.roles,MATCH(MAX(_xlpm.kills),_xlpm.kills,0)))</f>
        <v>Entry Fragger</v>
      </c>
      <c r="V1400" t="str">
        <f t="shared" si="108"/>
        <v>Medium Accuracy</v>
      </c>
      <c r="W1400" t="str" cm="1">
        <f t="array" ref="W1400">_xlfn.LET(_xlpm.roles,_xlfn.UNIQUE(D1400:D4198), _xlpm.counts,COUNTIF(D1400:D4198,_xlpm.roles), INDEX(_xlpm.roles,MATCH(MAX(_xlpm.counts),_xlpm.counts,0)))</f>
        <v>Sniper</v>
      </c>
      <c r="X1400" s="2">
        <f t="shared" si="109"/>
        <v>12.809421841541756</v>
      </c>
    </row>
    <row r="1401" spans="1:24" x14ac:dyDescent="0.3">
      <c r="A1401">
        <v>132</v>
      </c>
      <c r="B1401">
        <v>248</v>
      </c>
      <c r="C1401" t="s">
        <v>35</v>
      </c>
      <c r="D1401" t="s">
        <v>36</v>
      </c>
      <c r="E1401" t="s">
        <v>33</v>
      </c>
      <c r="F1401" t="s">
        <v>19</v>
      </c>
      <c r="G1401">
        <v>19</v>
      </c>
      <c r="H1401">
        <v>10</v>
      </c>
      <c r="I1401">
        <v>13</v>
      </c>
      <c r="J1401">
        <v>47.24</v>
      </c>
      <c r="K1401">
        <v>155.93</v>
      </c>
      <c r="L1401">
        <v>0.57999999999999996</v>
      </c>
      <c r="M1401">
        <v>52.82</v>
      </c>
      <c r="N1401">
        <v>1</v>
      </c>
      <c r="O1401" t="s">
        <v>20</v>
      </c>
      <c r="P1401" t="s">
        <v>21</v>
      </c>
      <c r="Q1401">
        <f t="shared" si="105"/>
        <v>16</v>
      </c>
      <c r="R1401" s="4">
        <f>RANK(N1401,$N$2:N$2800,0)</f>
        <v>1</v>
      </c>
      <c r="S1401">
        <f t="shared" si="106"/>
        <v>1.4615384615384615</v>
      </c>
      <c r="T1401" t="str">
        <f t="shared" si="107"/>
        <v>Good</v>
      </c>
      <c r="U1401" t="str" cm="1">
        <f t="array" ref="U1401">_xlfn.LET(_xlpm.roles,_xlfn.UNIQUE(D1401:D4199),_xlpm.kills, SUMIF(D1401:D4199,_xlpm.roles,G1401:G4199),INDEX(_xlpm.roles,MATCH(MAX(_xlpm.kills),_xlpm.kills,0)))</f>
        <v>Sniper</v>
      </c>
      <c r="V1401" t="str">
        <f t="shared" si="108"/>
        <v>Medium Accuracy</v>
      </c>
      <c r="W1401" t="str" cm="1">
        <f t="array" ref="W1401">_xlfn.LET(_xlpm.roles,_xlfn.UNIQUE(D1401:D4199), _xlpm.counts,COUNTIF(D1401:D4199,_xlpm.roles), INDEX(_xlpm.roles,MATCH(MAX(_xlpm.counts),_xlpm.counts,0)))</f>
        <v>Sniper</v>
      </c>
      <c r="X1401" s="2">
        <f t="shared" si="109"/>
        <v>12.599585062240664</v>
      </c>
    </row>
    <row r="1402" spans="1:24" x14ac:dyDescent="0.3">
      <c r="A1402">
        <v>234</v>
      </c>
      <c r="B1402">
        <v>248</v>
      </c>
      <c r="C1402" t="s">
        <v>35</v>
      </c>
      <c r="D1402" t="s">
        <v>22</v>
      </c>
      <c r="E1402" t="s">
        <v>33</v>
      </c>
      <c r="F1402" t="s">
        <v>24</v>
      </c>
      <c r="G1402">
        <v>8</v>
      </c>
      <c r="H1402">
        <v>8</v>
      </c>
      <c r="I1402">
        <v>9</v>
      </c>
      <c r="J1402">
        <v>51.57</v>
      </c>
      <c r="K1402">
        <v>254.61</v>
      </c>
      <c r="L1402">
        <v>0.41</v>
      </c>
      <c r="M1402">
        <v>36.68</v>
      </c>
      <c r="N1402">
        <v>1</v>
      </c>
      <c r="O1402" t="s">
        <v>20</v>
      </c>
      <c r="P1402" t="s">
        <v>21</v>
      </c>
      <c r="Q1402">
        <f t="shared" si="105"/>
        <v>7</v>
      </c>
      <c r="R1402" s="4">
        <f>RANK(N1402,$N$2:N$2800,0)</f>
        <v>1</v>
      </c>
      <c r="S1402">
        <f t="shared" si="106"/>
        <v>0.88888888888888884</v>
      </c>
      <c r="T1402" t="str">
        <f t="shared" si="107"/>
        <v>Low</v>
      </c>
      <c r="U1402" t="str" cm="1">
        <f t="array" ref="U1402">_xlfn.LET(_xlpm.roles,_xlfn.UNIQUE(D1402:D4200),_xlpm.kills, SUMIF(D1402:D4200,_xlpm.roles,G1402:G4200),INDEX(_xlpm.roles,MATCH(MAX(_xlpm.kills),_xlpm.kills,0)))</f>
        <v>Sniper</v>
      </c>
      <c r="V1402" t="str">
        <f t="shared" si="108"/>
        <v>High Accuracy</v>
      </c>
      <c r="W1402" t="str" cm="1">
        <f t="array" ref="W1402">_xlfn.LET(_xlpm.roles,_xlfn.UNIQUE(D1402:D4200), _xlpm.counts,COUNTIF(D1402:D4200,_xlpm.roles), INDEX(_xlpm.roles,MATCH(MAX(_xlpm.counts),_xlpm.counts,0)))</f>
        <v>Sniper</v>
      </c>
      <c r="X1402" s="2">
        <f t="shared" si="109"/>
        <v>12.599585062240664</v>
      </c>
    </row>
    <row r="1403" spans="1:24" x14ac:dyDescent="0.3">
      <c r="A1403">
        <v>280</v>
      </c>
      <c r="B1403">
        <v>248</v>
      </c>
      <c r="C1403" t="s">
        <v>25</v>
      </c>
      <c r="D1403" t="s">
        <v>28</v>
      </c>
      <c r="E1403" t="s">
        <v>18</v>
      </c>
      <c r="F1403" t="s">
        <v>24</v>
      </c>
      <c r="G1403">
        <v>19</v>
      </c>
      <c r="H1403">
        <v>7</v>
      </c>
      <c r="I1403">
        <v>6</v>
      </c>
      <c r="J1403">
        <v>47.55</v>
      </c>
      <c r="K1403">
        <v>215.42</v>
      </c>
      <c r="L1403">
        <v>0.23</v>
      </c>
      <c r="M1403">
        <v>60.48</v>
      </c>
      <c r="N1403">
        <v>1</v>
      </c>
      <c r="O1403" t="s">
        <v>20</v>
      </c>
      <c r="P1403" t="s">
        <v>38</v>
      </c>
      <c r="Q1403">
        <f t="shared" si="105"/>
        <v>20</v>
      </c>
      <c r="R1403" s="4">
        <f>RANK(N1403,$N$2:N$2800,0)</f>
        <v>1</v>
      </c>
      <c r="S1403">
        <f t="shared" si="106"/>
        <v>3.1666666666666665</v>
      </c>
      <c r="T1403" t="str">
        <f t="shared" si="107"/>
        <v>Good</v>
      </c>
      <c r="U1403" t="str" cm="1">
        <f t="array" ref="U1403">_xlfn.LET(_xlpm.roles,_xlfn.UNIQUE(D1403:D4201),_xlpm.kills, SUMIF(D1403:D4201,_xlpm.roles,G1403:G4201),INDEX(_xlpm.roles,MATCH(MAX(_xlpm.kills),_xlpm.kills,0)))</f>
        <v>Sniper</v>
      </c>
      <c r="V1403" t="str">
        <f t="shared" si="108"/>
        <v>Medium Accuracy</v>
      </c>
      <c r="W1403" t="str" cm="1">
        <f t="array" ref="W1403">_xlfn.LET(_xlpm.roles,_xlfn.UNIQUE(D1403:D4201), _xlpm.counts,COUNTIF(D1403:D4201,_xlpm.roles), INDEX(_xlpm.roles,MATCH(MAX(_xlpm.counts),_xlpm.counts,0)))</f>
        <v>Sniper</v>
      </c>
      <c r="X1403" s="2">
        <f t="shared" si="109"/>
        <v>12.809421841541756</v>
      </c>
    </row>
    <row r="1404" spans="1:24" x14ac:dyDescent="0.3">
      <c r="A1404">
        <v>707</v>
      </c>
      <c r="B1404">
        <v>248</v>
      </c>
      <c r="C1404" t="s">
        <v>39</v>
      </c>
      <c r="D1404" t="s">
        <v>31</v>
      </c>
      <c r="E1404" t="s">
        <v>23</v>
      </c>
      <c r="F1404" t="s">
        <v>37</v>
      </c>
      <c r="G1404">
        <v>18</v>
      </c>
      <c r="H1404">
        <v>11</v>
      </c>
      <c r="I1404">
        <v>10</v>
      </c>
      <c r="J1404">
        <v>45.01</v>
      </c>
      <c r="K1404">
        <v>288.39999999999998</v>
      </c>
      <c r="L1404">
        <v>0.1</v>
      </c>
      <c r="M1404">
        <v>58.5</v>
      </c>
      <c r="N1404">
        <v>1</v>
      </c>
      <c r="O1404" t="s">
        <v>20</v>
      </c>
      <c r="P1404" t="s">
        <v>21</v>
      </c>
      <c r="Q1404">
        <f t="shared" si="105"/>
        <v>19</v>
      </c>
      <c r="R1404" s="4">
        <f>RANK(N1404,$N$2:N$2800,0)</f>
        <v>1</v>
      </c>
      <c r="S1404">
        <f t="shared" si="106"/>
        <v>1.8</v>
      </c>
      <c r="T1404" t="str">
        <f t="shared" si="107"/>
        <v>Good</v>
      </c>
      <c r="U1404" t="str" cm="1">
        <f t="array" ref="U1404">_xlfn.LET(_xlpm.roles,_xlfn.UNIQUE(D1404:D4202),_xlpm.kills, SUMIF(D1404:D4202,_xlpm.roles,G1404:G4202),INDEX(_xlpm.roles,MATCH(MAX(_xlpm.kills),_xlpm.kills,0)))</f>
        <v>Sniper</v>
      </c>
      <c r="V1404" t="str">
        <f t="shared" si="108"/>
        <v>Medium Accuracy</v>
      </c>
      <c r="W1404" t="str" cm="1">
        <f t="array" ref="W1404">_xlfn.LET(_xlpm.roles,_xlfn.UNIQUE(D1404:D4202), _xlpm.counts,COUNTIF(D1404:D4202,_xlpm.roles), INDEX(_xlpm.roles,MATCH(MAX(_xlpm.counts),_xlpm.counts,0)))</f>
        <v>Sniper</v>
      </c>
      <c r="X1404" s="2">
        <f t="shared" si="109"/>
        <v>13.103594080338267</v>
      </c>
    </row>
    <row r="1405" spans="1:24" x14ac:dyDescent="0.3">
      <c r="A1405">
        <v>829</v>
      </c>
      <c r="B1405">
        <v>248</v>
      </c>
      <c r="C1405" t="s">
        <v>16</v>
      </c>
      <c r="D1405" t="s">
        <v>28</v>
      </c>
      <c r="E1405" t="s">
        <v>29</v>
      </c>
      <c r="F1405" t="s">
        <v>34</v>
      </c>
      <c r="G1405">
        <v>9</v>
      </c>
      <c r="H1405">
        <v>10</v>
      </c>
      <c r="I1405">
        <v>13</v>
      </c>
      <c r="J1405">
        <v>37.64</v>
      </c>
      <c r="K1405">
        <v>245.5</v>
      </c>
      <c r="L1405">
        <v>0.4</v>
      </c>
      <c r="M1405">
        <v>29.82</v>
      </c>
      <c r="N1405">
        <v>0.65</v>
      </c>
      <c r="O1405" t="s">
        <v>20</v>
      </c>
      <c r="P1405" t="s">
        <v>21</v>
      </c>
      <c r="Q1405">
        <f t="shared" si="105"/>
        <v>6</v>
      </c>
      <c r="R1405" s="4">
        <f>RANK(N1405,$N$2:N$2800,0)</f>
        <v>2756</v>
      </c>
      <c r="S1405">
        <f t="shared" si="106"/>
        <v>0.69230769230769229</v>
      </c>
      <c r="T1405" t="str">
        <f t="shared" si="107"/>
        <v>Low</v>
      </c>
      <c r="U1405" t="str" cm="1">
        <f t="array" ref="U1405">_xlfn.LET(_xlpm.roles,_xlfn.UNIQUE(D1405:D4203),_xlpm.kills, SUMIF(D1405:D4203,_xlpm.roles,G1405:G4203),INDEX(_xlpm.roles,MATCH(MAX(_xlpm.kills),_xlpm.kills,0)))</f>
        <v>Sniper</v>
      </c>
      <c r="V1405" t="str">
        <f t="shared" si="108"/>
        <v>Medium Accuracy</v>
      </c>
      <c r="W1405" t="str" cm="1">
        <f t="array" ref="W1405">_xlfn.LET(_xlpm.roles,_xlfn.UNIQUE(D1405:D4203), _xlpm.counts,COUNTIF(D1405:D4203,_xlpm.roles), INDEX(_xlpm.roles,MATCH(MAX(_xlpm.counts),_xlpm.counts,0)))</f>
        <v>Sniper</v>
      </c>
      <c r="X1405" s="2">
        <f t="shared" si="109"/>
        <v>12.520971302428256</v>
      </c>
    </row>
    <row r="1406" spans="1:24" x14ac:dyDescent="0.3">
      <c r="A1406">
        <v>1603</v>
      </c>
      <c r="B1406">
        <v>248</v>
      </c>
      <c r="C1406" t="s">
        <v>27</v>
      </c>
      <c r="D1406" t="s">
        <v>36</v>
      </c>
      <c r="E1406" t="s">
        <v>29</v>
      </c>
      <c r="F1406" t="s">
        <v>37</v>
      </c>
      <c r="G1406">
        <v>12</v>
      </c>
      <c r="H1406">
        <v>6</v>
      </c>
      <c r="I1406">
        <v>11</v>
      </c>
      <c r="J1406">
        <v>30.82</v>
      </c>
      <c r="K1406">
        <v>204.23</v>
      </c>
      <c r="L1406">
        <v>0.35</v>
      </c>
      <c r="M1406">
        <v>30.91</v>
      </c>
      <c r="N1406">
        <v>0.88</v>
      </c>
      <c r="O1406" t="s">
        <v>20</v>
      </c>
      <c r="P1406" t="s">
        <v>21</v>
      </c>
      <c r="Q1406">
        <f t="shared" si="105"/>
        <v>7</v>
      </c>
      <c r="R1406" s="4">
        <f>RANK(N1406,$N$2:N$2800,0)</f>
        <v>1894</v>
      </c>
      <c r="S1406">
        <f t="shared" si="106"/>
        <v>1.0909090909090908</v>
      </c>
      <c r="T1406" t="str">
        <f t="shared" si="107"/>
        <v>Low</v>
      </c>
      <c r="U1406" t="str" cm="1">
        <f t="array" ref="U1406">_xlfn.LET(_xlpm.roles,_xlfn.UNIQUE(D1406:D4204),_xlpm.kills, SUMIF(D1406:D4204,_xlpm.roles,G1406:G4204),INDEX(_xlpm.roles,MATCH(MAX(_xlpm.kills),_xlpm.kills,0)))</f>
        <v>Sniper</v>
      </c>
      <c r="V1406" t="str">
        <f t="shared" si="108"/>
        <v>Medium Accuracy</v>
      </c>
      <c r="W1406" t="str" cm="1">
        <f t="array" ref="W1406">_xlfn.LET(_xlpm.roles,_xlfn.UNIQUE(D1406:D4204), _xlpm.counts,COUNTIF(D1406:D4204,_xlpm.roles), INDEX(_xlpm.roles,MATCH(MAX(_xlpm.counts),_xlpm.counts,0)))</f>
        <v>Sniper</v>
      </c>
      <c r="X1406" s="2">
        <f t="shared" si="109"/>
        <v>13.057077625570777</v>
      </c>
    </row>
    <row r="1407" spans="1:24" x14ac:dyDescent="0.3">
      <c r="A1407">
        <v>1686</v>
      </c>
      <c r="B1407">
        <v>248</v>
      </c>
      <c r="C1407" t="s">
        <v>25</v>
      </c>
      <c r="D1407" t="s">
        <v>31</v>
      </c>
      <c r="E1407" t="s">
        <v>32</v>
      </c>
      <c r="F1407" t="s">
        <v>34</v>
      </c>
      <c r="G1407">
        <v>12</v>
      </c>
      <c r="H1407">
        <v>8</v>
      </c>
      <c r="I1407">
        <v>14</v>
      </c>
      <c r="J1407">
        <v>42.08</v>
      </c>
      <c r="K1407">
        <v>195.25</v>
      </c>
      <c r="L1407">
        <v>0.65</v>
      </c>
      <c r="M1407">
        <v>32.54</v>
      </c>
      <c r="N1407">
        <v>1</v>
      </c>
      <c r="O1407" t="s">
        <v>20</v>
      </c>
      <c r="P1407" t="s">
        <v>21</v>
      </c>
      <c r="Q1407">
        <f t="shared" si="105"/>
        <v>6</v>
      </c>
      <c r="R1407" s="4">
        <f>RANK(N1407,$N$2:N$2800,0)</f>
        <v>1</v>
      </c>
      <c r="S1407">
        <f t="shared" si="106"/>
        <v>0.8571428571428571</v>
      </c>
      <c r="T1407" t="str">
        <f t="shared" si="107"/>
        <v>Low</v>
      </c>
      <c r="U1407" t="str" cm="1">
        <f t="array" ref="U1407">_xlfn.LET(_xlpm.roles,_xlfn.UNIQUE(D1407:D4205),_xlpm.kills, SUMIF(D1407:D4205,_xlpm.roles,G1407:G4205),INDEX(_xlpm.roles,MATCH(MAX(_xlpm.kills),_xlpm.kills,0)))</f>
        <v>Sniper</v>
      </c>
      <c r="V1407" t="str">
        <f t="shared" si="108"/>
        <v>Medium Accuracy</v>
      </c>
      <c r="W1407" t="str" cm="1">
        <f t="array" ref="W1407">_xlfn.LET(_xlpm.roles,_xlfn.UNIQUE(D1407:D4205), _xlpm.counts,COUNTIF(D1407:D4205,_xlpm.roles), INDEX(_xlpm.roles,MATCH(MAX(_xlpm.counts),_xlpm.counts,0)))</f>
        <v>Sniper</v>
      </c>
      <c r="X1407" s="2">
        <f t="shared" si="109"/>
        <v>12.809421841541756</v>
      </c>
    </row>
    <row r="1408" spans="1:24" x14ac:dyDescent="0.3">
      <c r="A1408">
        <v>238</v>
      </c>
      <c r="B1408">
        <v>249</v>
      </c>
      <c r="C1408" t="s">
        <v>39</v>
      </c>
      <c r="D1408" t="s">
        <v>36</v>
      </c>
      <c r="E1408" t="s">
        <v>18</v>
      </c>
      <c r="F1408" t="s">
        <v>19</v>
      </c>
      <c r="G1408">
        <v>10</v>
      </c>
      <c r="H1408">
        <v>12</v>
      </c>
      <c r="I1408">
        <v>10</v>
      </c>
      <c r="J1408">
        <v>58.03</v>
      </c>
      <c r="K1408">
        <v>178.09</v>
      </c>
      <c r="L1408">
        <v>0.74</v>
      </c>
      <c r="M1408">
        <v>43.62</v>
      </c>
      <c r="N1408">
        <v>0.97</v>
      </c>
      <c r="O1408" t="s">
        <v>20</v>
      </c>
      <c r="P1408" t="s">
        <v>21</v>
      </c>
      <c r="Q1408">
        <f t="shared" si="105"/>
        <v>12</v>
      </c>
      <c r="R1408" s="4">
        <f>RANK(N1408,$N$2:N$2800,0)</f>
        <v>1243</v>
      </c>
      <c r="S1408">
        <f t="shared" si="106"/>
        <v>1</v>
      </c>
      <c r="T1408" t="str">
        <f t="shared" si="107"/>
        <v>Low</v>
      </c>
      <c r="U1408" t="str" cm="1">
        <f t="array" ref="U1408">_xlfn.LET(_xlpm.roles,_xlfn.UNIQUE(D1408:D4206),_xlpm.kills, SUMIF(D1408:D4206,_xlpm.roles,G1408:G4206),INDEX(_xlpm.roles,MATCH(MAX(_xlpm.kills),_xlpm.kills,0)))</f>
        <v>Sniper</v>
      </c>
      <c r="V1408" t="str">
        <f t="shared" si="108"/>
        <v>High Accuracy</v>
      </c>
      <c r="W1408" t="str" cm="1">
        <f t="array" ref="W1408">_xlfn.LET(_xlpm.roles,_xlfn.UNIQUE(D1408:D4206), _xlpm.counts,COUNTIF(D1408:D4206,_xlpm.roles), INDEX(_xlpm.roles,MATCH(MAX(_xlpm.counts),_xlpm.counts,0)))</f>
        <v>Sniper</v>
      </c>
      <c r="X1408" s="2">
        <f t="shared" si="109"/>
        <v>13.103594080338267</v>
      </c>
    </row>
    <row r="1409" spans="1:24" x14ac:dyDescent="0.3">
      <c r="A1409">
        <v>857</v>
      </c>
      <c r="B1409">
        <v>249</v>
      </c>
      <c r="C1409" t="s">
        <v>39</v>
      </c>
      <c r="D1409" t="s">
        <v>31</v>
      </c>
      <c r="E1409" t="s">
        <v>29</v>
      </c>
      <c r="F1409" t="s">
        <v>37</v>
      </c>
      <c r="G1409">
        <v>17</v>
      </c>
      <c r="H1409">
        <v>9</v>
      </c>
      <c r="I1409">
        <v>7</v>
      </c>
      <c r="J1409">
        <v>57.86</v>
      </c>
      <c r="K1409">
        <v>265.16000000000003</v>
      </c>
      <c r="L1409">
        <v>0.39</v>
      </c>
      <c r="M1409">
        <v>61.03</v>
      </c>
      <c r="N1409">
        <v>1</v>
      </c>
      <c r="O1409" t="s">
        <v>20</v>
      </c>
      <c r="P1409" t="s">
        <v>38</v>
      </c>
      <c r="Q1409">
        <f t="shared" si="105"/>
        <v>19</v>
      </c>
      <c r="R1409" s="4">
        <f>RANK(N1409,$N$2:N$2800,0)</f>
        <v>1</v>
      </c>
      <c r="S1409">
        <f t="shared" si="106"/>
        <v>2.4285714285714284</v>
      </c>
      <c r="T1409" t="str">
        <f t="shared" si="107"/>
        <v>Good</v>
      </c>
      <c r="U1409" t="str" cm="1">
        <f t="array" ref="U1409">_xlfn.LET(_xlpm.roles,_xlfn.UNIQUE(D1409:D4207),_xlpm.kills, SUMIF(D1409:D4207,_xlpm.roles,G1409:G4207),INDEX(_xlpm.roles,MATCH(MAX(_xlpm.kills),_xlpm.kills,0)))</f>
        <v>Sniper</v>
      </c>
      <c r="V1409" t="str">
        <f t="shared" si="108"/>
        <v>High Accuracy</v>
      </c>
      <c r="W1409" t="str" cm="1">
        <f t="array" ref="W1409">_xlfn.LET(_xlpm.roles,_xlfn.UNIQUE(D1409:D4207), _xlpm.counts,COUNTIF(D1409:D4207,_xlpm.roles), INDEX(_xlpm.roles,MATCH(MAX(_xlpm.counts),_xlpm.counts,0)))</f>
        <v>Sniper</v>
      </c>
      <c r="X1409" s="2">
        <f t="shared" si="109"/>
        <v>13.103594080338267</v>
      </c>
    </row>
    <row r="1410" spans="1:24" x14ac:dyDescent="0.3">
      <c r="A1410">
        <v>1045</v>
      </c>
      <c r="B1410">
        <v>249</v>
      </c>
      <c r="C1410" t="s">
        <v>16</v>
      </c>
      <c r="D1410" t="s">
        <v>28</v>
      </c>
      <c r="E1410" t="s">
        <v>32</v>
      </c>
      <c r="F1410" t="s">
        <v>19</v>
      </c>
      <c r="G1410">
        <v>13</v>
      </c>
      <c r="H1410">
        <v>12</v>
      </c>
      <c r="I1410">
        <v>6</v>
      </c>
      <c r="J1410">
        <v>36.229999999999997</v>
      </c>
      <c r="K1410">
        <v>209.17</v>
      </c>
      <c r="L1410">
        <v>0.89</v>
      </c>
      <c r="M1410">
        <v>41.21</v>
      </c>
      <c r="N1410">
        <v>0.91</v>
      </c>
      <c r="O1410" t="s">
        <v>20</v>
      </c>
      <c r="P1410" t="s">
        <v>21</v>
      </c>
      <c r="Q1410">
        <f t="shared" si="105"/>
        <v>19</v>
      </c>
      <c r="R1410" s="4">
        <f>RANK(N1410,$N$2:N$2800,0)</f>
        <v>1665</v>
      </c>
      <c r="S1410">
        <f t="shared" si="106"/>
        <v>2.1666666666666665</v>
      </c>
      <c r="T1410" t="str">
        <f t="shared" si="107"/>
        <v>Good</v>
      </c>
      <c r="U1410" t="str" cm="1">
        <f t="array" ref="U1410">_xlfn.LET(_xlpm.roles,_xlfn.UNIQUE(D1410:D4208),_xlpm.kills, SUMIF(D1410:D4208,_xlpm.roles,G1410:G4208),INDEX(_xlpm.roles,MATCH(MAX(_xlpm.kills),_xlpm.kills,0)))</f>
        <v>Entry Fragger</v>
      </c>
      <c r="V1410" t="str">
        <f t="shared" si="108"/>
        <v>Medium Accuracy</v>
      </c>
      <c r="W1410" t="str" cm="1">
        <f t="array" ref="W1410">_xlfn.LET(_xlpm.roles,_xlfn.UNIQUE(D1410:D4208), _xlpm.counts,COUNTIF(D1410:D4208,_xlpm.roles), INDEX(_xlpm.roles,MATCH(MAX(_xlpm.counts),_xlpm.counts,0)))</f>
        <v>Sniper</v>
      </c>
      <c r="X1410" s="2">
        <f t="shared" si="109"/>
        <v>12.520971302428256</v>
      </c>
    </row>
    <row r="1411" spans="1:24" x14ac:dyDescent="0.3">
      <c r="A1411">
        <v>1234</v>
      </c>
      <c r="B1411">
        <v>249</v>
      </c>
      <c r="C1411" t="s">
        <v>39</v>
      </c>
      <c r="D1411" t="s">
        <v>22</v>
      </c>
      <c r="E1411" t="s">
        <v>29</v>
      </c>
      <c r="F1411" t="s">
        <v>37</v>
      </c>
      <c r="G1411">
        <v>15</v>
      </c>
      <c r="H1411">
        <v>5</v>
      </c>
      <c r="I1411">
        <v>11</v>
      </c>
      <c r="J1411">
        <v>47.58</v>
      </c>
      <c r="K1411">
        <v>214.43</v>
      </c>
      <c r="L1411">
        <v>0.28000000000000003</v>
      </c>
      <c r="M1411">
        <v>44.99</v>
      </c>
      <c r="N1411">
        <v>0.99</v>
      </c>
      <c r="O1411" t="s">
        <v>20</v>
      </c>
      <c r="P1411" t="s">
        <v>21</v>
      </c>
      <c r="Q1411">
        <f t="shared" ref="Q1411:Q1474" si="110">G1411+H1411-I1411</f>
        <v>9</v>
      </c>
      <c r="R1411" s="4">
        <f>RANK(N1411,$N$2:N$2800,0)</f>
        <v>1080</v>
      </c>
      <c r="S1411">
        <f t="shared" ref="S1411:S1474" si="111">G1411/I1411</f>
        <v>1.3636363636363635</v>
      </c>
      <c r="T1411" t="str">
        <f t="shared" ref="T1411:T1474" si="112">IF(Q1411&lt;15,"Low",IF(Q1411&lt;25,"Good","Excellent"))</f>
        <v>Low</v>
      </c>
      <c r="U1411" t="str" cm="1">
        <f t="array" ref="U1411">_xlfn.LET(_xlpm.roles,_xlfn.UNIQUE(D1411:D4209),_xlpm.kills, SUMIF(D1411:D4209,_xlpm.roles,G1411:G4209),INDEX(_xlpm.roles,MATCH(MAX(_xlpm.kills),_xlpm.kills,0)))</f>
        <v>Entry Fragger</v>
      </c>
      <c r="V1411" t="str">
        <f t="shared" ref="V1411:V1474" si="113">IF(J1411&gt;=50,"High Accuracy",IF(J1411&gt;=30,"Medium Accuracy","Low Accuracy"))</f>
        <v>Medium Accuracy</v>
      </c>
      <c r="W1411" t="str" cm="1">
        <f t="array" ref="W1411">_xlfn.LET(_xlpm.roles,_xlfn.UNIQUE(D1411:D4209), _xlpm.counts,COUNTIF(D1411:D4209,_xlpm.roles), INDEX(_xlpm.roles,MATCH(MAX(_xlpm.counts),_xlpm.counts,0)))</f>
        <v>Sniper</v>
      </c>
      <c r="X1411" s="2">
        <f t="shared" ref="X1411:X1474" si="114">AVERAGEIF($C$2:$C$2800,C1411,$Q$2:$Q$2800)</f>
        <v>13.103594080338267</v>
      </c>
    </row>
    <row r="1412" spans="1:24" x14ac:dyDescent="0.3">
      <c r="A1412">
        <v>1628</v>
      </c>
      <c r="B1412">
        <v>249</v>
      </c>
      <c r="C1412" t="s">
        <v>27</v>
      </c>
      <c r="D1412" t="s">
        <v>17</v>
      </c>
      <c r="E1412" t="s">
        <v>23</v>
      </c>
      <c r="F1412" t="s">
        <v>37</v>
      </c>
      <c r="G1412">
        <v>14</v>
      </c>
      <c r="H1412">
        <v>8</v>
      </c>
      <c r="I1412">
        <v>13</v>
      </c>
      <c r="J1412">
        <v>50.65</v>
      </c>
      <c r="K1412">
        <v>205.11</v>
      </c>
      <c r="L1412">
        <v>0.89</v>
      </c>
      <c r="M1412">
        <v>39.43</v>
      </c>
      <c r="N1412">
        <v>0.92</v>
      </c>
      <c r="O1412" t="s">
        <v>20</v>
      </c>
      <c r="P1412" t="s">
        <v>21</v>
      </c>
      <c r="Q1412">
        <f t="shared" si="110"/>
        <v>9</v>
      </c>
      <c r="R1412" s="4">
        <f>RANK(N1412,$N$2:N$2800,0)</f>
        <v>1585</v>
      </c>
      <c r="S1412">
        <f t="shared" si="111"/>
        <v>1.0769230769230769</v>
      </c>
      <c r="T1412" t="str">
        <f t="shared" si="112"/>
        <v>Low</v>
      </c>
      <c r="U1412" t="str" cm="1">
        <f t="array" ref="U1412">_xlfn.LET(_xlpm.roles,_xlfn.UNIQUE(D1412:D4210),_xlpm.kills, SUMIF(D1412:D4210,_xlpm.roles,G1412:G4210),INDEX(_xlpm.roles,MATCH(MAX(_xlpm.kills),_xlpm.kills,0)))</f>
        <v>Entry Fragger</v>
      </c>
      <c r="V1412" t="str">
        <f t="shared" si="113"/>
        <v>High Accuracy</v>
      </c>
      <c r="W1412" t="str" cm="1">
        <f t="array" ref="W1412">_xlfn.LET(_xlpm.roles,_xlfn.UNIQUE(D1412:D4210), _xlpm.counts,COUNTIF(D1412:D4210,_xlpm.roles), INDEX(_xlpm.roles,MATCH(MAX(_xlpm.counts),_xlpm.counts,0)))</f>
        <v>Sniper</v>
      </c>
      <c r="X1412" s="2">
        <f t="shared" si="114"/>
        <v>13.057077625570777</v>
      </c>
    </row>
    <row r="1413" spans="1:24" x14ac:dyDescent="0.3">
      <c r="A1413">
        <v>2013</v>
      </c>
      <c r="B1413">
        <v>249</v>
      </c>
      <c r="C1413" t="s">
        <v>16</v>
      </c>
      <c r="D1413" t="s">
        <v>36</v>
      </c>
      <c r="E1413" t="s">
        <v>32</v>
      </c>
      <c r="F1413" t="s">
        <v>24</v>
      </c>
      <c r="G1413">
        <v>17</v>
      </c>
      <c r="H1413">
        <v>10</v>
      </c>
      <c r="I1413">
        <v>16</v>
      </c>
      <c r="J1413">
        <v>42.03</v>
      </c>
      <c r="K1413">
        <v>234.37</v>
      </c>
      <c r="L1413">
        <v>0.03</v>
      </c>
      <c r="M1413">
        <v>48.72</v>
      </c>
      <c r="N1413">
        <v>0.81</v>
      </c>
      <c r="O1413" t="s">
        <v>20</v>
      </c>
      <c r="P1413" t="s">
        <v>21</v>
      </c>
      <c r="Q1413">
        <f t="shared" si="110"/>
        <v>11</v>
      </c>
      <c r="R1413" s="4">
        <f>RANK(N1413,$N$2:N$2800,0)</f>
        <v>2341</v>
      </c>
      <c r="S1413">
        <f t="shared" si="111"/>
        <v>1.0625</v>
      </c>
      <c r="T1413" t="str">
        <f t="shared" si="112"/>
        <v>Low</v>
      </c>
      <c r="U1413" t="str" cm="1">
        <f t="array" ref="U1413">_xlfn.LET(_xlpm.roles,_xlfn.UNIQUE(D1413:D4211),_xlpm.kills, SUMIF(D1413:D4211,_xlpm.roles,G1413:G4211),INDEX(_xlpm.roles,MATCH(MAX(_xlpm.kills),_xlpm.kills,0)))</f>
        <v>Entry Fragger</v>
      </c>
      <c r="V1413" t="str">
        <f t="shared" si="113"/>
        <v>Medium Accuracy</v>
      </c>
      <c r="W1413" t="str" cm="1">
        <f t="array" ref="W1413">_xlfn.LET(_xlpm.roles,_xlfn.UNIQUE(D1413:D4211), _xlpm.counts,COUNTIF(D1413:D4211,_xlpm.roles), INDEX(_xlpm.roles,MATCH(MAX(_xlpm.counts),_xlpm.counts,0)))</f>
        <v>Sniper</v>
      </c>
      <c r="X1413" s="2">
        <f t="shared" si="114"/>
        <v>12.520971302428256</v>
      </c>
    </row>
    <row r="1414" spans="1:24" x14ac:dyDescent="0.3">
      <c r="A1414">
        <v>559</v>
      </c>
      <c r="B1414">
        <v>250</v>
      </c>
      <c r="C1414" t="s">
        <v>16</v>
      </c>
      <c r="D1414" t="s">
        <v>31</v>
      </c>
      <c r="E1414" t="s">
        <v>32</v>
      </c>
      <c r="F1414" t="s">
        <v>26</v>
      </c>
      <c r="G1414">
        <v>4</v>
      </c>
      <c r="H1414">
        <v>8</v>
      </c>
      <c r="I1414">
        <v>6</v>
      </c>
      <c r="J1414">
        <v>39.93</v>
      </c>
      <c r="K1414">
        <v>162.81</v>
      </c>
      <c r="L1414">
        <v>0.65</v>
      </c>
      <c r="M1414">
        <v>23.46</v>
      </c>
      <c r="N1414">
        <v>0.97</v>
      </c>
      <c r="O1414" t="s">
        <v>20</v>
      </c>
      <c r="P1414" t="s">
        <v>21</v>
      </c>
      <c r="Q1414">
        <f t="shared" si="110"/>
        <v>6</v>
      </c>
      <c r="R1414" s="4">
        <f>RANK(N1414,$N$2:N$2800,0)</f>
        <v>1243</v>
      </c>
      <c r="S1414">
        <f t="shared" si="111"/>
        <v>0.66666666666666663</v>
      </c>
      <c r="T1414" t="str">
        <f t="shared" si="112"/>
        <v>Low</v>
      </c>
      <c r="U1414" t="str" cm="1">
        <f t="array" ref="U1414">_xlfn.LET(_xlpm.roles,_xlfn.UNIQUE(D1414:D4212),_xlpm.kills, SUMIF(D1414:D4212,_xlpm.roles,G1414:G4212),INDEX(_xlpm.roles,MATCH(MAX(_xlpm.kills),_xlpm.kills,0)))</f>
        <v>Sniper</v>
      </c>
      <c r="V1414" t="str">
        <f t="shared" si="113"/>
        <v>Medium Accuracy</v>
      </c>
      <c r="W1414" t="str" cm="1">
        <f t="array" ref="W1414">_xlfn.LET(_xlpm.roles,_xlfn.UNIQUE(D1414:D4212), _xlpm.counts,COUNTIF(D1414:D4212,_xlpm.roles), INDEX(_xlpm.roles,MATCH(MAX(_xlpm.counts),_xlpm.counts,0)))</f>
        <v>Sniper</v>
      </c>
      <c r="X1414" s="2">
        <f t="shared" si="114"/>
        <v>12.520971302428256</v>
      </c>
    </row>
    <row r="1415" spans="1:24" x14ac:dyDescent="0.3">
      <c r="A1415">
        <v>716</v>
      </c>
      <c r="B1415">
        <v>250</v>
      </c>
      <c r="C1415" t="s">
        <v>35</v>
      </c>
      <c r="D1415" t="s">
        <v>36</v>
      </c>
      <c r="E1415" t="s">
        <v>23</v>
      </c>
      <c r="F1415" t="s">
        <v>19</v>
      </c>
      <c r="G1415">
        <v>15</v>
      </c>
      <c r="H1415">
        <v>9</v>
      </c>
      <c r="I1415">
        <v>9</v>
      </c>
      <c r="J1415">
        <v>46.81</v>
      </c>
      <c r="K1415">
        <v>240.18</v>
      </c>
      <c r="L1415">
        <v>0.16</v>
      </c>
      <c r="M1415">
        <v>51.8</v>
      </c>
      <c r="N1415">
        <v>0.9</v>
      </c>
      <c r="O1415" t="s">
        <v>20</v>
      </c>
      <c r="P1415" t="s">
        <v>21</v>
      </c>
      <c r="Q1415">
        <f t="shared" si="110"/>
        <v>15</v>
      </c>
      <c r="R1415" s="4">
        <f>RANK(N1415,$N$2:N$2800,0)</f>
        <v>1738</v>
      </c>
      <c r="S1415">
        <f t="shared" si="111"/>
        <v>1.6666666666666667</v>
      </c>
      <c r="T1415" t="str">
        <f t="shared" si="112"/>
        <v>Good</v>
      </c>
      <c r="U1415" t="str" cm="1">
        <f t="array" ref="U1415">_xlfn.LET(_xlpm.roles,_xlfn.UNIQUE(D1415:D4213),_xlpm.kills, SUMIF(D1415:D4213,_xlpm.roles,G1415:G4213),INDEX(_xlpm.roles,MATCH(MAX(_xlpm.kills),_xlpm.kills,0)))</f>
        <v>Sniper</v>
      </c>
      <c r="V1415" t="str">
        <f t="shared" si="113"/>
        <v>Medium Accuracy</v>
      </c>
      <c r="W1415" t="str" cm="1">
        <f t="array" ref="W1415">_xlfn.LET(_xlpm.roles,_xlfn.UNIQUE(D1415:D4213), _xlpm.counts,COUNTIF(D1415:D4213,_xlpm.roles), INDEX(_xlpm.roles,MATCH(MAX(_xlpm.counts),_xlpm.counts,0)))</f>
        <v>Sniper</v>
      </c>
      <c r="X1415" s="2">
        <f t="shared" si="114"/>
        <v>12.599585062240664</v>
      </c>
    </row>
    <row r="1416" spans="1:24" x14ac:dyDescent="0.3">
      <c r="A1416">
        <v>1799</v>
      </c>
      <c r="B1416">
        <v>250</v>
      </c>
      <c r="C1416" t="s">
        <v>27</v>
      </c>
      <c r="D1416" t="s">
        <v>31</v>
      </c>
      <c r="E1416" t="s">
        <v>18</v>
      </c>
      <c r="F1416" t="s">
        <v>37</v>
      </c>
      <c r="G1416">
        <v>9</v>
      </c>
      <c r="H1416">
        <v>5</v>
      </c>
      <c r="I1416">
        <v>15</v>
      </c>
      <c r="J1416">
        <v>44.18</v>
      </c>
      <c r="K1416">
        <v>230.16</v>
      </c>
      <c r="L1416">
        <v>0.66</v>
      </c>
      <c r="M1416">
        <v>23.49</v>
      </c>
      <c r="N1416">
        <v>0.78</v>
      </c>
      <c r="O1416" t="s">
        <v>20</v>
      </c>
      <c r="P1416" t="s">
        <v>21</v>
      </c>
      <c r="Q1416">
        <f t="shared" si="110"/>
        <v>-1</v>
      </c>
      <c r="R1416" s="4">
        <f>RANK(N1416,$N$2:N$2800,0)</f>
        <v>2469</v>
      </c>
      <c r="S1416">
        <f t="shared" si="111"/>
        <v>0.6</v>
      </c>
      <c r="T1416" t="str">
        <f t="shared" si="112"/>
        <v>Low</v>
      </c>
      <c r="U1416" t="str" cm="1">
        <f t="array" ref="U1416">_xlfn.LET(_xlpm.roles,_xlfn.UNIQUE(D1416:D4214),_xlpm.kills, SUMIF(D1416:D4214,_xlpm.roles,G1416:G4214),INDEX(_xlpm.roles,MATCH(MAX(_xlpm.kills),_xlpm.kills,0)))</f>
        <v>Sniper</v>
      </c>
      <c r="V1416" t="str">
        <f t="shared" si="113"/>
        <v>Medium Accuracy</v>
      </c>
      <c r="W1416" t="str" cm="1">
        <f t="array" ref="W1416">_xlfn.LET(_xlpm.roles,_xlfn.UNIQUE(D1416:D4214), _xlpm.counts,COUNTIF(D1416:D4214,_xlpm.roles), INDEX(_xlpm.roles,MATCH(MAX(_xlpm.counts),_xlpm.counts,0)))</f>
        <v>Sniper</v>
      </c>
      <c r="X1416" s="2">
        <f t="shared" si="114"/>
        <v>13.057077625570777</v>
      </c>
    </row>
    <row r="1417" spans="1:24" x14ac:dyDescent="0.3">
      <c r="A1417">
        <v>1937</v>
      </c>
      <c r="B1417">
        <v>250</v>
      </c>
      <c r="C1417" t="s">
        <v>30</v>
      </c>
      <c r="D1417" t="s">
        <v>22</v>
      </c>
      <c r="E1417" t="s">
        <v>33</v>
      </c>
      <c r="F1417" t="s">
        <v>19</v>
      </c>
      <c r="G1417">
        <v>8</v>
      </c>
      <c r="H1417">
        <v>9</v>
      </c>
      <c r="I1417">
        <v>15</v>
      </c>
      <c r="J1417">
        <v>54.04</v>
      </c>
      <c r="K1417">
        <v>192.22</v>
      </c>
      <c r="L1417">
        <v>0.22</v>
      </c>
      <c r="M1417">
        <v>34.82</v>
      </c>
      <c r="N1417">
        <v>0.89</v>
      </c>
      <c r="O1417" t="s">
        <v>20</v>
      </c>
      <c r="P1417" t="s">
        <v>21</v>
      </c>
      <c r="Q1417">
        <f t="shared" si="110"/>
        <v>2</v>
      </c>
      <c r="R1417" s="4">
        <f>RANK(N1417,$N$2:N$2800,0)</f>
        <v>1815</v>
      </c>
      <c r="S1417">
        <f t="shared" si="111"/>
        <v>0.53333333333333333</v>
      </c>
      <c r="T1417" t="str">
        <f t="shared" si="112"/>
        <v>Low</v>
      </c>
      <c r="U1417" t="str" cm="1">
        <f t="array" ref="U1417">_xlfn.LET(_xlpm.roles,_xlfn.UNIQUE(D1417:D4215),_xlpm.kills, SUMIF(D1417:D4215,_xlpm.roles,G1417:G4215),INDEX(_xlpm.roles,MATCH(MAX(_xlpm.kills),_xlpm.kills,0)))</f>
        <v>Sniper</v>
      </c>
      <c r="V1417" t="str">
        <f t="shared" si="113"/>
        <v>High Accuracy</v>
      </c>
      <c r="W1417" t="str" cm="1">
        <f t="array" ref="W1417">_xlfn.LET(_xlpm.roles,_xlfn.UNIQUE(D1417:D4215), _xlpm.counts,COUNTIF(D1417:D4215,_xlpm.roles), INDEX(_xlpm.roles,MATCH(MAX(_xlpm.counts),_xlpm.counts,0)))</f>
        <v>Sniper</v>
      </c>
      <c r="X1417" s="2">
        <f t="shared" si="114"/>
        <v>13.135802469135802</v>
      </c>
    </row>
    <row r="1418" spans="1:24" x14ac:dyDescent="0.3">
      <c r="A1418">
        <v>2145</v>
      </c>
      <c r="B1418">
        <v>250</v>
      </c>
      <c r="C1418" t="s">
        <v>30</v>
      </c>
      <c r="D1418" t="s">
        <v>36</v>
      </c>
      <c r="E1418" t="s">
        <v>23</v>
      </c>
      <c r="F1418" t="s">
        <v>24</v>
      </c>
      <c r="G1418">
        <v>9</v>
      </c>
      <c r="H1418">
        <v>5</v>
      </c>
      <c r="I1418">
        <v>7</v>
      </c>
      <c r="J1418">
        <v>45.11</v>
      </c>
      <c r="K1418">
        <v>184.35</v>
      </c>
      <c r="L1418">
        <v>0.4</v>
      </c>
      <c r="M1418">
        <v>34.549999999999997</v>
      </c>
      <c r="N1418">
        <v>0.94</v>
      </c>
      <c r="O1418" t="s">
        <v>20</v>
      </c>
      <c r="P1418" t="s">
        <v>21</v>
      </c>
      <c r="Q1418">
        <f t="shared" si="110"/>
        <v>7</v>
      </c>
      <c r="R1418" s="4">
        <f>RANK(N1418,$N$2:N$2800,0)</f>
        <v>1431</v>
      </c>
      <c r="S1418">
        <f t="shared" si="111"/>
        <v>1.2857142857142858</v>
      </c>
      <c r="T1418" t="str">
        <f t="shared" si="112"/>
        <v>Low</v>
      </c>
      <c r="U1418" t="str" cm="1">
        <f t="array" ref="U1418">_xlfn.LET(_xlpm.roles,_xlfn.UNIQUE(D1418:D4216),_xlpm.kills, SUMIF(D1418:D4216,_xlpm.roles,G1418:G4216),INDEX(_xlpm.roles,MATCH(MAX(_xlpm.kills),_xlpm.kills,0)))</f>
        <v>Sniper</v>
      </c>
      <c r="V1418" t="str">
        <f t="shared" si="113"/>
        <v>Medium Accuracy</v>
      </c>
      <c r="W1418" t="str" cm="1">
        <f t="array" ref="W1418">_xlfn.LET(_xlpm.roles,_xlfn.UNIQUE(D1418:D4216), _xlpm.counts,COUNTIF(D1418:D4216,_xlpm.roles), INDEX(_xlpm.roles,MATCH(MAX(_xlpm.counts),_xlpm.counts,0)))</f>
        <v>Sniper</v>
      </c>
      <c r="X1418" s="2">
        <f t="shared" si="114"/>
        <v>13.135802469135802</v>
      </c>
    </row>
    <row r="1419" spans="1:24" x14ac:dyDescent="0.3">
      <c r="A1419">
        <v>1870</v>
      </c>
      <c r="B1419">
        <v>251</v>
      </c>
      <c r="C1419" t="s">
        <v>16</v>
      </c>
      <c r="D1419" t="s">
        <v>31</v>
      </c>
      <c r="E1419" t="s">
        <v>23</v>
      </c>
      <c r="F1419" t="s">
        <v>34</v>
      </c>
      <c r="G1419">
        <v>17</v>
      </c>
      <c r="H1419">
        <v>11</v>
      </c>
      <c r="I1419">
        <v>11</v>
      </c>
      <c r="J1419">
        <v>38.47</v>
      </c>
      <c r="K1419">
        <v>182.06</v>
      </c>
      <c r="L1419">
        <v>0.35</v>
      </c>
      <c r="M1419">
        <v>49.73</v>
      </c>
      <c r="N1419">
        <v>0.9</v>
      </c>
      <c r="O1419" t="s">
        <v>20</v>
      </c>
      <c r="P1419" t="s">
        <v>21</v>
      </c>
      <c r="Q1419">
        <f t="shared" si="110"/>
        <v>17</v>
      </c>
      <c r="R1419" s="4">
        <f>RANK(N1419,$N$2:N$2800,0)</f>
        <v>1738</v>
      </c>
      <c r="S1419">
        <f t="shared" si="111"/>
        <v>1.5454545454545454</v>
      </c>
      <c r="T1419" t="str">
        <f t="shared" si="112"/>
        <v>Good</v>
      </c>
      <c r="U1419" t="str" cm="1">
        <f t="array" ref="U1419">_xlfn.LET(_xlpm.roles,_xlfn.UNIQUE(D1419:D4217),_xlpm.kills, SUMIF(D1419:D4217,_xlpm.roles,G1419:G4217),INDEX(_xlpm.roles,MATCH(MAX(_xlpm.kills),_xlpm.kills,0)))</f>
        <v>Sniper</v>
      </c>
      <c r="V1419" t="str">
        <f t="shared" si="113"/>
        <v>Medium Accuracy</v>
      </c>
      <c r="W1419" t="str" cm="1">
        <f t="array" ref="W1419">_xlfn.LET(_xlpm.roles,_xlfn.UNIQUE(D1419:D4217), _xlpm.counts,COUNTIF(D1419:D4217,_xlpm.roles), INDEX(_xlpm.roles,MATCH(MAX(_xlpm.counts),_xlpm.counts,0)))</f>
        <v>Sniper</v>
      </c>
      <c r="X1419" s="2">
        <f t="shared" si="114"/>
        <v>12.520971302428256</v>
      </c>
    </row>
    <row r="1420" spans="1:24" x14ac:dyDescent="0.3">
      <c r="A1420">
        <v>1934</v>
      </c>
      <c r="B1420">
        <v>251</v>
      </c>
      <c r="C1420" t="s">
        <v>27</v>
      </c>
      <c r="D1420" t="s">
        <v>31</v>
      </c>
      <c r="E1420" t="s">
        <v>32</v>
      </c>
      <c r="F1420" t="s">
        <v>26</v>
      </c>
      <c r="G1420">
        <v>17</v>
      </c>
      <c r="H1420">
        <v>7</v>
      </c>
      <c r="I1420">
        <v>12</v>
      </c>
      <c r="J1420">
        <v>55.76</v>
      </c>
      <c r="K1420">
        <v>256.57</v>
      </c>
      <c r="L1420">
        <v>0.66</v>
      </c>
      <c r="M1420">
        <v>50.28</v>
      </c>
      <c r="N1420">
        <v>0.92</v>
      </c>
      <c r="O1420" t="s">
        <v>20</v>
      </c>
      <c r="P1420" t="s">
        <v>21</v>
      </c>
      <c r="Q1420">
        <f t="shared" si="110"/>
        <v>12</v>
      </c>
      <c r="R1420" s="4">
        <f>RANK(N1420,$N$2:N$2800,0)</f>
        <v>1585</v>
      </c>
      <c r="S1420">
        <f t="shared" si="111"/>
        <v>1.4166666666666667</v>
      </c>
      <c r="T1420" t="str">
        <f t="shared" si="112"/>
        <v>Low</v>
      </c>
      <c r="U1420" t="str" cm="1">
        <f t="array" ref="U1420">_xlfn.LET(_xlpm.roles,_xlfn.UNIQUE(D1420:D4218),_xlpm.kills, SUMIF(D1420:D4218,_xlpm.roles,G1420:G4218),INDEX(_xlpm.roles,MATCH(MAX(_xlpm.kills),_xlpm.kills,0)))</f>
        <v>Sniper</v>
      </c>
      <c r="V1420" t="str">
        <f t="shared" si="113"/>
        <v>High Accuracy</v>
      </c>
      <c r="W1420" t="str" cm="1">
        <f t="array" ref="W1420">_xlfn.LET(_xlpm.roles,_xlfn.UNIQUE(D1420:D4218), _xlpm.counts,COUNTIF(D1420:D4218,_xlpm.roles), INDEX(_xlpm.roles,MATCH(MAX(_xlpm.counts),_xlpm.counts,0)))</f>
        <v>Sniper</v>
      </c>
      <c r="X1420" s="2">
        <f t="shared" si="114"/>
        <v>13.057077625570777</v>
      </c>
    </row>
    <row r="1421" spans="1:24" x14ac:dyDescent="0.3">
      <c r="A1421">
        <v>2266</v>
      </c>
      <c r="B1421">
        <v>251</v>
      </c>
      <c r="C1421" t="s">
        <v>25</v>
      </c>
      <c r="D1421" t="s">
        <v>31</v>
      </c>
      <c r="E1421" t="s">
        <v>18</v>
      </c>
      <c r="F1421" t="s">
        <v>26</v>
      </c>
      <c r="G1421">
        <v>20</v>
      </c>
      <c r="H1421">
        <v>9</v>
      </c>
      <c r="I1421">
        <v>10</v>
      </c>
      <c r="J1421">
        <v>44.25</v>
      </c>
      <c r="K1421">
        <v>194.22</v>
      </c>
      <c r="L1421">
        <v>0.28000000000000003</v>
      </c>
      <c r="M1421">
        <v>58.33</v>
      </c>
      <c r="N1421">
        <v>0.93</v>
      </c>
      <c r="O1421" t="s">
        <v>20</v>
      </c>
      <c r="P1421" t="s">
        <v>21</v>
      </c>
      <c r="Q1421">
        <f t="shared" si="110"/>
        <v>19</v>
      </c>
      <c r="R1421" s="4">
        <f>RANK(N1421,$N$2:N$2800,0)</f>
        <v>1505</v>
      </c>
      <c r="S1421">
        <f t="shared" si="111"/>
        <v>2</v>
      </c>
      <c r="T1421" t="str">
        <f t="shared" si="112"/>
        <v>Good</v>
      </c>
      <c r="U1421" t="str" cm="1">
        <f t="array" ref="U1421">_xlfn.LET(_xlpm.roles,_xlfn.UNIQUE(D1421:D4219),_xlpm.kills, SUMIF(D1421:D4219,_xlpm.roles,G1421:G4219),INDEX(_xlpm.roles,MATCH(MAX(_xlpm.kills),_xlpm.kills,0)))</f>
        <v>Entry Fragger</v>
      </c>
      <c r="V1421" t="str">
        <f t="shared" si="113"/>
        <v>Medium Accuracy</v>
      </c>
      <c r="W1421" t="str" cm="1">
        <f t="array" ref="W1421">_xlfn.LET(_xlpm.roles,_xlfn.UNIQUE(D1421:D4219), _xlpm.counts,COUNTIF(D1421:D4219,_xlpm.roles), INDEX(_xlpm.roles,MATCH(MAX(_xlpm.counts),_xlpm.counts,0)))</f>
        <v>Sniper</v>
      </c>
      <c r="X1421" s="2">
        <f t="shared" si="114"/>
        <v>12.809421841541756</v>
      </c>
    </row>
    <row r="1422" spans="1:24" x14ac:dyDescent="0.3">
      <c r="A1422">
        <v>2719</v>
      </c>
      <c r="B1422">
        <v>251</v>
      </c>
      <c r="C1422" t="s">
        <v>25</v>
      </c>
      <c r="D1422" t="s">
        <v>22</v>
      </c>
      <c r="E1422" t="s">
        <v>18</v>
      </c>
      <c r="F1422" t="s">
        <v>19</v>
      </c>
      <c r="G1422">
        <v>21</v>
      </c>
      <c r="H1422">
        <v>9</v>
      </c>
      <c r="I1422">
        <v>12</v>
      </c>
      <c r="J1422">
        <v>55.31</v>
      </c>
      <c r="K1422">
        <v>202.42</v>
      </c>
      <c r="L1422">
        <v>0.96</v>
      </c>
      <c r="M1422">
        <v>57.05</v>
      </c>
      <c r="N1422">
        <v>0.99</v>
      </c>
      <c r="O1422" t="s">
        <v>20</v>
      </c>
      <c r="P1422" t="s">
        <v>21</v>
      </c>
      <c r="Q1422">
        <f t="shared" si="110"/>
        <v>18</v>
      </c>
      <c r="R1422" s="4">
        <f>RANK(N1422,$N$2:N$2800,0)</f>
        <v>1080</v>
      </c>
      <c r="S1422">
        <f t="shared" si="111"/>
        <v>1.75</v>
      </c>
      <c r="T1422" t="str">
        <f t="shared" si="112"/>
        <v>Good</v>
      </c>
      <c r="U1422" t="str" cm="1">
        <f t="array" ref="U1422">_xlfn.LET(_xlpm.roles,_xlfn.UNIQUE(D1422:D4220),_xlpm.kills, SUMIF(D1422:D4220,_xlpm.roles,G1422:G4220),INDEX(_xlpm.roles,MATCH(MAX(_xlpm.kills),_xlpm.kills,0)))</f>
        <v>Entry Fragger</v>
      </c>
      <c r="V1422" t="str">
        <f t="shared" si="113"/>
        <v>High Accuracy</v>
      </c>
      <c r="W1422" t="str" cm="1">
        <f t="array" ref="W1422">_xlfn.LET(_xlpm.roles,_xlfn.UNIQUE(D1422:D4220), _xlpm.counts,COUNTIF(D1422:D4220,_xlpm.roles), INDEX(_xlpm.roles,MATCH(MAX(_xlpm.counts),_xlpm.counts,0)))</f>
        <v>Sniper</v>
      </c>
      <c r="X1422" s="2">
        <f t="shared" si="114"/>
        <v>12.809421841541756</v>
      </c>
    </row>
    <row r="1423" spans="1:24" x14ac:dyDescent="0.3">
      <c r="A1423">
        <v>411</v>
      </c>
      <c r="B1423">
        <v>252</v>
      </c>
      <c r="C1423" t="s">
        <v>16</v>
      </c>
      <c r="D1423" t="s">
        <v>17</v>
      </c>
      <c r="E1423" t="s">
        <v>32</v>
      </c>
      <c r="F1423" t="s">
        <v>19</v>
      </c>
      <c r="G1423">
        <v>16</v>
      </c>
      <c r="H1423">
        <v>6</v>
      </c>
      <c r="I1423">
        <v>17</v>
      </c>
      <c r="J1423">
        <v>43.92</v>
      </c>
      <c r="K1423">
        <v>243.17</v>
      </c>
      <c r="L1423">
        <v>0.99</v>
      </c>
      <c r="M1423">
        <v>33.06</v>
      </c>
      <c r="N1423">
        <v>0.91</v>
      </c>
      <c r="O1423" t="s">
        <v>20</v>
      </c>
      <c r="P1423" t="s">
        <v>21</v>
      </c>
      <c r="Q1423">
        <f t="shared" si="110"/>
        <v>5</v>
      </c>
      <c r="R1423" s="4">
        <f>RANK(N1423,$N$2:N$2800,0)</f>
        <v>1665</v>
      </c>
      <c r="S1423">
        <f t="shared" si="111"/>
        <v>0.94117647058823528</v>
      </c>
      <c r="T1423" t="str">
        <f t="shared" si="112"/>
        <v>Low</v>
      </c>
      <c r="U1423" t="str" cm="1">
        <f t="array" ref="U1423">_xlfn.LET(_xlpm.roles,_xlfn.UNIQUE(D1423:D4221),_xlpm.kills, SUMIF(D1423:D4221,_xlpm.roles,G1423:G4221),INDEX(_xlpm.roles,MATCH(MAX(_xlpm.kills),_xlpm.kills,0)))</f>
        <v>Entry Fragger</v>
      </c>
      <c r="V1423" t="str">
        <f t="shared" si="113"/>
        <v>Medium Accuracy</v>
      </c>
      <c r="W1423" t="str" cm="1">
        <f t="array" ref="W1423">_xlfn.LET(_xlpm.roles,_xlfn.UNIQUE(D1423:D4221), _xlpm.counts,COUNTIF(D1423:D4221,_xlpm.roles), INDEX(_xlpm.roles,MATCH(MAX(_xlpm.counts),_xlpm.counts,0)))</f>
        <v>Sniper</v>
      </c>
      <c r="X1423" s="2">
        <f t="shared" si="114"/>
        <v>12.520971302428256</v>
      </c>
    </row>
    <row r="1424" spans="1:24" x14ac:dyDescent="0.3">
      <c r="A1424">
        <v>539</v>
      </c>
      <c r="B1424">
        <v>252</v>
      </c>
      <c r="C1424" t="s">
        <v>16</v>
      </c>
      <c r="D1424" t="s">
        <v>17</v>
      </c>
      <c r="E1424" t="s">
        <v>29</v>
      </c>
      <c r="F1424" t="s">
        <v>34</v>
      </c>
      <c r="G1424">
        <v>11</v>
      </c>
      <c r="H1424">
        <v>4</v>
      </c>
      <c r="I1424">
        <v>5</v>
      </c>
      <c r="J1424">
        <v>46.77</v>
      </c>
      <c r="K1424">
        <v>209.44</v>
      </c>
      <c r="L1424">
        <v>0.02</v>
      </c>
      <c r="M1424">
        <v>44.19</v>
      </c>
      <c r="N1424">
        <v>0.99</v>
      </c>
      <c r="O1424" t="s">
        <v>20</v>
      </c>
      <c r="P1424" t="s">
        <v>21</v>
      </c>
      <c r="Q1424">
        <f t="shared" si="110"/>
        <v>10</v>
      </c>
      <c r="R1424" s="4">
        <f>RANK(N1424,$N$2:N$2800,0)</f>
        <v>1080</v>
      </c>
      <c r="S1424">
        <f t="shared" si="111"/>
        <v>2.2000000000000002</v>
      </c>
      <c r="T1424" t="str">
        <f t="shared" si="112"/>
        <v>Low</v>
      </c>
      <c r="U1424" t="str" cm="1">
        <f t="array" ref="U1424">_xlfn.LET(_xlpm.roles,_xlfn.UNIQUE(D1424:D4222),_xlpm.kills, SUMIF(D1424:D4222,_xlpm.roles,G1424:G4222),INDEX(_xlpm.roles,MATCH(MAX(_xlpm.kills),_xlpm.kills,0)))</f>
        <v>Entry Fragger</v>
      </c>
      <c r="V1424" t="str">
        <f t="shared" si="113"/>
        <v>Medium Accuracy</v>
      </c>
      <c r="W1424" t="str" cm="1">
        <f t="array" ref="W1424">_xlfn.LET(_xlpm.roles,_xlfn.UNIQUE(D1424:D4222), _xlpm.counts,COUNTIF(D1424:D4222,_xlpm.roles), INDEX(_xlpm.roles,MATCH(MAX(_xlpm.counts),_xlpm.counts,0)))</f>
        <v>Sniper</v>
      </c>
      <c r="X1424" s="2">
        <f t="shared" si="114"/>
        <v>12.520971302428256</v>
      </c>
    </row>
    <row r="1425" spans="1:24" x14ac:dyDescent="0.3">
      <c r="A1425">
        <v>777</v>
      </c>
      <c r="B1425">
        <v>252</v>
      </c>
      <c r="C1425" t="s">
        <v>27</v>
      </c>
      <c r="D1425" t="s">
        <v>31</v>
      </c>
      <c r="E1425" t="s">
        <v>29</v>
      </c>
      <c r="F1425" t="s">
        <v>37</v>
      </c>
      <c r="G1425">
        <v>20</v>
      </c>
      <c r="H1425">
        <v>9</v>
      </c>
      <c r="I1425">
        <v>13</v>
      </c>
      <c r="J1425">
        <v>39.869999999999997</v>
      </c>
      <c r="K1425">
        <v>253.32</v>
      </c>
      <c r="L1425">
        <v>0.88</v>
      </c>
      <c r="M1425">
        <v>47.14</v>
      </c>
      <c r="N1425">
        <v>1</v>
      </c>
      <c r="O1425" t="s">
        <v>20</v>
      </c>
      <c r="P1425" t="s">
        <v>21</v>
      </c>
      <c r="Q1425">
        <f t="shared" si="110"/>
        <v>16</v>
      </c>
      <c r="R1425" s="4">
        <f>RANK(N1425,$N$2:N$2800,0)</f>
        <v>1</v>
      </c>
      <c r="S1425">
        <f t="shared" si="111"/>
        <v>1.5384615384615385</v>
      </c>
      <c r="T1425" t="str">
        <f t="shared" si="112"/>
        <v>Good</v>
      </c>
      <c r="U1425" t="str" cm="1">
        <f t="array" ref="U1425">_xlfn.LET(_xlpm.roles,_xlfn.UNIQUE(D1425:D4223),_xlpm.kills, SUMIF(D1425:D4223,_xlpm.roles,G1425:G4223),INDEX(_xlpm.roles,MATCH(MAX(_xlpm.kills),_xlpm.kills,0)))</f>
        <v>Entry Fragger</v>
      </c>
      <c r="V1425" t="str">
        <f t="shared" si="113"/>
        <v>Medium Accuracy</v>
      </c>
      <c r="W1425" t="str" cm="1">
        <f t="array" ref="W1425">_xlfn.LET(_xlpm.roles,_xlfn.UNIQUE(D1425:D4223), _xlpm.counts,COUNTIF(D1425:D4223,_xlpm.roles), INDEX(_xlpm.roles,MATCH(MAX(_xlpm.counts),_xlpm.counts,0)))</f>
        <v>Sniper</v>
      </c>
      <c r="X1425" s="2">
        <f t="shared" si="114"/>
        <v>13.057077625570777</v>
      </c>
    </row>
    <row r="1426" spans="1:24" x14ac:dyDescent="0.3">
      <c r="A1426">
        <v>1365</v>
      </c>
      <c r="B1426">
        <v>252</v>
      </c>
      <c r="C1426" t="s">
        <v>25</v>
      </c>
      <c r="D1426" t="s">
        <v>31</v>
      </c>
      <c r="E1426" t="s">
        <v>23</v>
      </c>
      <c r="F1426" t="s">
        <v>34</v>
      </c>
      <c r="G1426">
        <v>11</v>
      </c>
      <c r="H1426">
        <v>8</v>
      </c>
      <c r="I1426">
        <v>15</v>
      </c>
      <c r="J1426">
        <v>58.09</v>
      </c>
      <c r="K1426">
        <v>211.27</v>
      </c>
      <c r="L1426">
        <v>0.57999999999999996</v>
      </c>
      <c r="M1426">
        <v>38.25</v>
      </c>
      <c r="N1426">
        <v>0.83</v>
      </c>
      <c r="O1426" t="s">
        <v>20</v>
      </c>
      <c r="P1426" t="s">
        <v>21</v>
      </c>
      <c r="Q1426">
        <f t="shared" si="110"/>
        <v>4</v>
      </c>
      <c r="R1426" s="4">
        <f>RANK(N1426,$N$2:N$2800,0)</f>
        <v>2218</v>
      </c>
      <c r="S1426">
        <f t="shared" si="111"/>
        <v>0.73333333333333328</v>
      </c>
      <c r="T1426" t="str">
        <f t="shared" si="112"/>
        <v>Low</v>
      </c>
      <c r="U1426" t="str" cm="1">
        <f t="array" ref="U1426">_xlfn.LET(_xlpm.roles,_xlfn.UNIQUE(D1426:D4224),_xlpm.kills, SUMIF(D1426:D4224,_xlpm.roles,G1426:G4224),INDEX(_xlpm.roles,MATCH(MAX(_xlpm.kills),_xlpm.kills,0)))</f>
        <v>Entry Fragger</v>
      </c>
      <c r="V1426" t="str">
        <f t="shared" si="113"/>
        <v>High Accuracy</v>
      </c>
      <c r="W1426" t="str" cm="1">
        <f t="array" ref="W1426">_xlfn.LET(_xlpm.roles,_xlfn.UNIQUE(D1426:D4224), _xlpm.counts,COUNTIF(D1426:D4224,_xlpm.roles), INDEX(_xlpm.roles,MATCH(MAX(_xlpm.counts),_xlpm.counts,0)))</f>
        <v>Entry Fragger</v>
      </c>
      <c r="X1426" s="2">
        <f t="shared" si="114"/>
        <v>12.809421841541756</v>
      </c>
    </row>
    <row r="1427" spans="1:24" x14ac:dyDescent="0.3">
      <c r="A1427">
        <v>2185</v>
      </c>
      <c r="B1427">
        <v>252</v>
      </c>
      <c r="C1427" t="s">
        <v>16</v>
      </c>
      <c r="D1427" t="s">
        <v>28</v>
      </c>
      <c r="E1427" t="s">
        <v>32</v>
      </c>
      <c r="F1427" t="s">
        <v>26</v>
      </c>
      <c r="G1427">
        <v>19</v>
      </c>
      <c r="H1427">
        <v>7</v>
      </c>
      <c r="I1427">
        <v>12</v>
      </c>
      <c r="J1427">
        <v>46.33</v>
      </c>
      <c r="K1427">
        <v>186.05</v>
      </c>
      <c r="L1427">
        <v>0.63</v>
      </c>
      <c r="M1427">
        <v>49.87</v>
      </c>
      <c r="N1427">
        <v>0.99</v>
      </c>
      <c r="O1427" t="s">
        <v>20</v>
      </c>
      <c r="P1427" t="s">
        <v>21</v>
      </c>
      <c r="Q1427">
        <f t="shared" si="110"/>
        <v>14</v>
      </c>
      <c r="R1427" s="4">
        <f>RANK(N1427,$N$2:N$2800,0)</f>
        <v>1080</v>
      </c>
      <c r="S1427">
        <f t="shared" si="111"/>
        <v>1.5833333333333333</v>
      </c>
      <c r="T1427" t="str">
        <f t="shared" si="112"/>
        <v>Low</v>
      </c>
      <c r="U1427" t="str" cm="1">
        <f t="array" ref="U1427">_xlfn.LET(_xlpm.roles,_xlfn.UNIQUE(D1427:D4225),_xlpm.kills, SUMIF(D1427:D4225,_xlpm.roles,G1427:G4225),INDEX(_xlpm.roles,MATCH(MAX(_xlpm.kills),_xlpm.kills,0)))</f>
        <v>Entry Fragger</v>
      </c>
      <c r="V1427" t="str">
        <f t="shared" si="113"/>
        <v>Medium Accuracy</v>
      </c>
      <c r="W1427" t="str" cm="1">
        <f t="array" ref="W1427">_xlfn.LET(_xlpm.roles,_xlfn.UNIQUE(D1427:D4225), _xlpm.counts,COUNTIF(D1427:D4225,_xlpm.roles), INDEX(_xlpm.roles,MATCH(MAX(_xlpm.counts),_xlpm.counts,0)))</f>
        <v>Entry Fragger</v>
      </c>
      <c r="X1427" s="2">
        <f t="shared" si="114"/>
        <v>12.520971302428256</v>
      </c>
    </row>
    <row r="1428" spans="1:24" x14ac:dyDescent="0.3">
      <c r="A1428">
        <v>2718</v>
      </c>
      <c r="B1428">
        <v>252</v>
      </c>
      <c r="C1428" t="s">
        <v>39</v>
      </c>
      <c r="D1428" t="s">
        <v>28</v>
      </c>
      <c r="E1428" t="s">
        <v>23</v>
      </c>
      <c r="F1428" t="s">
        <v>26</v>
      </c>
      <c r="G1428">
        <v>12</v>
      </c>
      <c r="H1428">
        <v>3</v>
      </c>
      <c r="I1428">
        <v>2</v>
      </c>
      <c r="J1428">
        <v>55.7</v>
      </c>
      <c r="K1428">
        <v>165.97</v>
      </c>
      <c r="L1428">
        <v>0.18</v>
      </c>
      <c r="M1428">
        <v>51.05</v>
      </c>
      <c r="N1428">
        <v>0.92</v>
      </c>
      <c r="O1428" t="s">
        <v>20</v>
      </c>
      <c r="P1428" t="s">
        <v>21</v>
      </c>
      <c r="Q1428">
        <f t="shared" si="110"/>
        <v>13</v>
      </c>
      <c r="R1428" s="4">
        <f>RANK(N1428,$N$2:N$2800,0)</f>
        <v>1585</v>
      </c>
      <c r="S1428">
        <f t="shared" si="111"/>
        <v>6</v>
      </c>
      <c r="T1428" t="str">
        <f t="shared" si="112"/>
        <v>Low</v>
      </c>
      <c r="U1428" t="str" cm="1">
        <f t="array" ref="U1428">_xlfn.LET(_xlpm.roles,_xlfn.UNIQUE(D1428:D4226),_xlpm.kills, SUMIF(D1428:D4226,_xlpm.roles,G1428:G4226),INDEX(_xlpm.roles,MATCH(MAX(_xlpm.kills),_xlpm.kills,0)))</f>
        <v>Entry Fragger</v>
      </c>
      <c r="V1428" t="str">
        <f t="shared" si="113"/>
        <v>High Accuracy</v>
      </c>
      <c r="W1428" t="str" cm="1">
        <f t="array" ref="W1428">_xlfn.LET(_xlpm.roles,_xlfn.UNIQUE(D1428:D4226), _xlpm.counts,COUNTIF(D1428:D4226,_xlpm.roles), INDEX(_xlpm.roles,MATCH(MAX(_xlpm.counts),_xlpm.counts,0)))</f>
        <v>Entry Fragger</v>
      </c>
      <c r="X1428" s="2">
        <f t="shared" si="114"/>
        <v>13.103594080338267</v>
      </c>
    </row>
    <row r="1429" spans="1:24" x14ac:dyDescent="0.3">
      <c r="A1429">
        <v>497</v>
      </c>
      <c r="B1429">
        <v>253</v>
      </c>
      <c r="C1429" t="s">
        <v>39</v>
      </c>
      <c r="D1429" t="s">
        <v>22</v>
      </c>
      <c r="E1429" t="s">
        <v>18</v>
      </c>
      <c r="F1429" t="s">
        <v>24</v>
      </c>
      <c r="G1429">
        <v>13</v>
      </c>
      <c r="H1429">
        <v>9</v>
      </c>
      <c r="I1429">
        <v>9</v>
      </c>
      <c r="J1429">
        <v>40.06</v>
      </c>
      <c r="K1429">
        <v>186.69</v>
      </c>
      <c r="L1429">
        <v>0.81</v>
      </c>
      <c r="M1429">
        <v>37.93</v>
      </c>
      <c r="N1429">
        <v>0.98</v>
      </c>
      <c r="O1429" t="s">
        <v>20</v>
      </c>
      <c r="P1429" t="s">
        <v>21</v>
      </c>
      <c r="Q1429">
        <f t="shared" si="110"/>
        <v>13</v>
      </c>
      <c r="R1429" s="4">
        <f>RANK(N1429,$N$2:N$2800,0)</f>
        <v>1157</v>
      </c>
      <c r="S1429">
        <f t="shared" si="111"/>
        <v>1.4444444444444444</v>
      </c>
      <c r="T1429" t="str">
        <f t="shared" si="112"/>
        <v>Low</v>
      </c>
      <c r="U1429" t="str" cm="1">
        <f t="array" ref="U1429">_xlfn.LET(_xlpm.roles,_xlfn.UNIQUE(D1429:D4227),_xlpm.kills, SUMIF(D1429:D4227,_xlpm.roles,G1429:G4227),INDEX(_xlpm.roles,MATCH(MAX(_xlpm.kills),_xlpm.kills,0)))</f>
        <v>Entry Fragger</v>
      </c>
      <c r="V1429" t="str">
        <f t="shared" si="113"/>
        <v>Medium Accuracy</v>
      </c>
      <c r="W1429" t="str" cm="1">
        <f t="array" ref="W1429">_xlfn.LET(_xlpm.roles,_xlfn.UNIQUE(D1429:D4227), _xlpm.counts,COUNTIF(D1429:D4227,_xlpm.roles), INDEX(_xlpm.roles,MATCH(MAX(_xlpm.counts),_xlpm.counts,0)))</f>
        <v>Entry Fragger</v>
      </c>
      <c r="X1429" s="2">
        <f t="shared" si="114"/>
        <v>13.103594080338267</v>
      </c>
    </row>
    <row r="1430" spans="1:24" x14ac:dyDescent="0.3">
      <c r="A1430">
        <v>576</v>
      </c>
      <c r="B1430">
        <v>253</v>
      </c>
      <c r="C1430" t="s">
        <v>16</v>
      </c>
      <c r="D1430" t="s">
        <v>28</v>
      </c>
      <c r="E1430" t="s">
        <v>23</v>
      </c>
      <c r="F1430" t="s">
        <v>19</v>
      </c>
      <c r="G1430">
        <v>17</v>
      </c>
      <c r="H1430">
        <v>7</v>
      </c>
      <c r="I1430">
        <v>12</v>
      </c>
      <c r="J1430">
        <v>50.68</v>
      </c>
      <c r="K1430">
        <v>222.44</v>
      </c>
      <c r="L1430">
        <v>0.23</v>
      </c>
      <c r="M1430">
        <v>52.04</v>
      </c>
      <c r="N1430">
        <v>1</v>
      </c>
      <c r="O1430" t="s">
        <v>20</v>
      </c>
      <c r="P1430" t="s">
        <v>21</v>
      </c>
      <c r="Q1430">
        <f t="shared" si="110"/>
        <v>12</v>
      </c>
      <c r="R1430" s="4">
        <f>RANK(N1430,$N$2:N$2800,0)</f>
        <v>1</v>
      </c>
      <c r="S1430">
        <f t="shared" si="111"/>
        <v>1.4166666666666667</v>
      </c>
      <c r="T1430" t="str">
        <f t="shared" si="112"/>
        <v>Low</v>
      </c>
      <c r="U1430" t="str" cm="1">
        <f t="array" ref="U1430">_xlfn.LET(_xlpm.roles,_xlfn.UNIQUE(D1430:D4228),_xlpm.kills, SUMIF(D1430:D4228,_xlpm.roles,G1430:G4228),INDEX(_xlpm.roles,MATCH(MAX(_xlpm.kills),_xlpm.kills,0)))</f>
        <v>Entry Fragger</v>
      </c>
      <c r="V1430" t="str">
        <f t="shared" si="113"/>
        <v>High Accuracy</v>
      </c>
      <c r="W1430" t="str" cm="1">
        <f t="array" ref="W1430">_xlfn.LET(_xlpm.roles,_xlfn.UNIQUE(D1430:D4228), _xlpm.counts,COUNTIF(D1430:D4228,_xlpm.roles), INDEX(_xlpm.roles,MATCH(MAX(_xlpm.counts),_xlpm.counts,0)))</f>
        <v>Entry Fragger</v>
      </c>
      <c r="X1430" s="2">
        <f t="shared" si="114"/>
        <v>12.520971302428256</v>
      </c>
    </row>
    <row r="1431" spans="1:24" x14ac:dyDescent="0.3">
      <c r="A1431">
        <v>645</v>
      </c>
      <c r="B1431">
        <v>253</v>
      </c>
      <c r="C1431" t="s">
        <v>30</v>
      </c>
      <c r="D1431" t="s">
        <v>22</v>
      </c>
      <c r="E1431" t="s">
        <v>33</v>
      </c>
      <c r="F1431" t="s">
        <v>24</v>
      </c>
      <c r="G1431">
        <v>15</v>
      </c>
      <c r="H1431">
        <v>2</v>
      </c>
      <c r="I1431">
        <v>7</v>
      </c>
      <c r="J1431">
        <v>35.92</v>
      </c>
      <c r="K1431">
        <v>218.82</v>
      </c>
      <c r="L1431">
        <v>0.67</v>
      </c>
      <c r="M1431">
        <v>36.26</v>
      </c>
      <c r="N1431">
        <v>0.7</v>
      </c>
      <c r="O1431" t="s">
        <v>20</v>
      </c>
      <c r="P1431" t="s">
        <v>21</v>
      </c>
      <c r="Q1431">
        <f t="shared" si="110"/>
        <v>10</v>
      </c>
      <c r="R1431" s="4">
        <f>RANK(N1431,$N$2:N$2800,0)</f>
        <v>2702</v>
      </c>
      <c r="S1431">
        <f t="shared" si="111"/>
        <v>2.1428571428571428</v>
      </c>
      <c r="T1431" t="str">
        <f t="shared" si="112"/>
        <v>Low</v>
      </c>
      <c r="U1431" t="str" cm="1">
        <f t="array" ref="U1431">_xlfn.LET(_xlpm.roles,_xlfn.UNIQUE(D1431:D4229),_xlpm.kills, SUMIF(D1431:D4229,_xlpm.roles,G1431:G4229),INDEX(_xlpm.roles,MATCH(MAX(_xlpm.kills),_xlpm.kills,0)))</f>
        <v>Entry Fragger</v>
      </c>
      <c r="V1431" t="str">
        <f t="shared" si="113"/>
        <v>Medium Accuracy</v>
      </c>
      <c r="W1431" t="str" cm="1">
        <f t="array" ref="W1431">_xlfn.LET(_xlpm.roles,_xlfn.UNIQUE(D1431:D4229), _xlpm.counts,COUNTIF(D1431:D4229,_xlpm.roles), INDEX(_xlpm.roles,MATCH(MAX(_xlpm.counts),_xlpm.counts,0)))</f>
        <v>Entry Fragger</v>
      </c>
      <c r="X1431" s="2">
        <f t="shared" si="114"/>
        <v>13.135802469135802</v>
      </c>
    </row>
    <row r="1432" spans="1:24" x14ac:dyDescent="0.3">
      <c r="A1432">
        <v>699</v>
      </c>
      <c r="B1432">
        <v>253</v>
      </c>
      <c r="C1432" t="s">
        <v>39</v>
      </c>
      <c r="D1432" t="s">
        <v>22</v>
      </c>
      <c r="E1432" t="s">
        <v>29</v>
      </c>
      <c r="F1432" t="s">
        <v>37</v>
      </c>
      <c r="G1432">
        <v>15</v>
      </c>
      <c r="H1432">
        <v>6</v>
      </c>
      <c r="I1432">
        <v>9</v>
      </c>
      <c r="J1432">
        <v>41.44</v>
      </c>
      <c r="K1432">
        <v>236.26</v>
      </c>
      <c r="L1432">
        <v>0.73</v>
      </c>
      <c r="M1432">
        <v>40.42</v>
      </c>
      <c r="N1432">
        <v>0.86</v>
      </c>
      <c r="O1432" t="s">
        <v>20</v>
      </c>
      <c r="P1432" t="s">
        <v>21</v>
      </c>
      <c r="Q1432">
        <f t="shared" si="110"/>
        <v>12</v>
      </c>
      <c r="R1432" s="4">
        <f>RANK(N1432,$N$2:N$2800,0)</f>
        <v>2040</v>
      </c>
      <c r="S1432">
        <f t="shared" si="111"/>
        <v>1.6666666666666667</v>
      </c>
      <c r="T1432" t="str">
        <f t="shared" si="112"/>
        <v>Low</v>
      </c>
      <c r="U1432" t="str" cm="1">
        <f t="array" ref="U1432">_xlfn.LET(_xlpm.roles,_xlfn.UNIQUE(D1432:D4230),_xlpm.kills, SUMIF(D1432:D4230,_xlpm.roles,G1432:G4230),INDEX(_xlpm.roles,MATCH(MAX(_xlpm.kills),_xlpm.kills,0)))</f>
        <v>Entry Fragger</v>
      </c>
      <c r="V1432" t="str">
        <f t="shared" si="113"/>
        <v>Medium Accuracy</v>
      </c>
      <c r="W1432" t="str" cm="1">
        <f t="array" ref="W1432">_xlfn.LET(_xlpm.roles,_xlfn.UNIQUE(D1432:D4230), _xlpm.counts,COUNTIF(D1432:D4230,_xlpm.roles), INDEX(_xlpm.roles,MATCH(MAX(_xlpm.counts),_xlpm.counts,0)))</f>
        <v>Entry Fragger</v>
      </c>
      <c r="X1432" s="2">
        <f t="shared" si="114"/>
        <v>13.103594080338267</v>
      </c>
    </row>
    <row r="1433" spans="1:24" x14ac:dyDescent="0.3">
      <c r="A1433">
        <v>800</v>
      </c>
      <c r="B1433">
        <v>253</v>
      </c>
      <c r="C1433" t="s">
        <v>39</v>
      </c>
      <c r="D1433" t="s">
        <v>22</v>
      </c>
      <c r="E1433" t="s">
        <v>23</v>
      </c>
      <c r="F1433" t="s">
        <v>34</v>
      </c>
      <c r="G1433">
        <v>11</v>
      </c>
      <c r="H1433">
        <v>4</v>
      </c>
      <c r="I1433">
        <v>4</v>
      </c>
      <c r="J1433">
        <v>47.63</v>
      </c>
      <c r="K1433">
        <v>209.2</v>
      </c>
      <c r="L1433">
        <v>0.38</v>
      </c>
      <c r="M1433">
        <v>42.02</v>
      </c>
      <c r="N1433">
        <v>1</v>
      </c>
      <c r="O1433" t="s">
        <v>20</v>
      </c>
      <c r="P1433" t="s">
        <v>21</v>
      </c>
      <c r="Q1433">
        <f t="shared" si="110"/>
        <v>11</v>
      </c>
      <c r="R1433" s="4">
        <f>RANK(N1433,$N$2:N$2800,0)</f>
        <v>1</v>
      </c>
      <c r="S1433">
        <f t="shared" si="111"/>
        <v>2.75</v>
      </c>
      <c r="T1433" t="str">
        <f t="shared" si="112"/>
        <v>Low</v>
      </c>
      <c r="U1433" t="str" cm="1">
        <f t="array" ref="U1433">_xlfn.LET(_xlpm.roles,_xlfn.UNIQUE(D1433:D4231),_xlpm.kills, SUMIF(D1433:D4231,_xlpm.roles,G1433:G4231),INDEX(_xlpm.roles,MATCH(MAX(_xlpm.kills),_xlpm.kills,0)))</f>
        <v>Entry Fragger</v>
      </c>
      <c r="V1433" t="str">
        <f t="shared" si="113"/>
        <v>Medium Accuracy</v>
      </c>
      <c r="W1433" t="str" cm="1">
        <f t="array" ref="W1433">_xlfn.LET(_xlpm.roles,_xlfn.UNIQUE(D1433:D4231), _xlpm.counts,COUNTIF(D1433:D4231,_xlpm.roles), INDEX(_xlpm.roles,MATCH(MAX(_xlpm.counts),_xlpm.counts,0)))</f>
        <v>Entry Fragger</v>
      </c>
      <c r="X1433" s="2">
        <f t="shared" si="114"/>
        <v>13.103594080338267</v>
      </c>
    </row>
    <row r="1434" spans="1:24" x14ac:dyDescent="0.3">
      <c r="A1434">
        <v>1122</v>
      </c>
      <c r="B1434">
        <v>253</v>
      </c>
      <c r="C1434" t="s">
        <v>39</v>
      </c>
      <c r="D1434" t="s">
        <v>22</v>
      </c>
      <c r="E1434" t="s">
        <v>32</v>
      </c>
      <c r="F1434" t="s">
        <v>37</v>
      </c>
      <c r="G1434">
        <v>13</v>
      </c>
      <c r="H1434">
        <v>9</v>
      </c>
      <c r="I1434">
        <v>10</v>
      </c>
      <c r="J1434">
        <v>51.76</v>
      </c>
      <c r="K1434">
        <v>261.97000000000003</v>
      </c>
      <c r="L1434">
        <v>0.23</v>
      </c>
      <c r="M1434">
        <v>48.58</v>
      </c>
      <c r="N1434">
        <v>1</v>
      </c>
      <c r="O1434" t="s">
        <v>20</v>
      </c>
      <c r="P1434" t="s">
        <v>21</v>
      </c>
      <c r="Q1434">
        <f t="shared" si="110"/>
        <v>12</v>
      </c>
      <c r="R1434" s="4">
        <f>RANK(N1434,$N$2:N$2800,0)</f>
        <v>1</v>
      </c>
      <c r="S1434">
        <f t="shared" si="111"/>
        <v>1.3</v>
      </c>
      <c r="T1434" t="str">
        <f t="shared" si="112"/>
        <v>Low</v>
      </c>
      <c r="U1434" t="str" cm="1">
        <f t="array" ref="U1434">_xlfn.LET(_xlpm.roles,_xlfn.UNIQUE(D1434:D4232),_xlpm.kills, SUMIF(D1434:D4232,_xlpm.roles,G1434:G4232),INDEX(_xlpm.roles,MATCH(MAX(_xlpm.kills),_xlpm.kills,0)))</f>
        <v>Entry Fragger</v>
      </c>
      <c r="V1434" t="str">
        <f t="shared" si="113"/>
        <v>High Accuracy</v>
      </c>
      <c r="W1434" t="str" cm="1">
        <f t="array" ref="W1434">_xlfn.LET(_xlpm.roles,_xlfn.UNIQUE(D1434:D4232), _xlpm.counts,COUNTIF(D1434:D4232,_xlpm.roles), INDEX(_xlpm.roles,MATCH(MAX(_xlpm.counts),_xlpm.counts,0)))</f>
        <v>Entry Fragger</v>
      </c>
      <c r="X1434" s="2">
        <f t="shared" si="114"/>
        <v>13.103594080338267</v>
      </c>
    </row>
    <row r="1435" spans="1:24" x14ac:dyDescent="0.3">
      <c r="A1435">
        <v>1439</v>
      </c>
      <c r="B1435">
        <v>253</v>
      </c>
      <c r="C1435" t="s">
        <v>25</v>
      </c>
      <c r="D1435" t="s">
        <v>17</v>
      </c>
      <c r="E1435" t="s">
        <v>32</v>
      </c>
      <c r="F1435" t="s">
        <v>24</v>
      </c>
      <c r="G1435">
        <v>23</v>
      </c>
      <c r="H1435">
        <v>9</v>
      </c>
      <c r="I1435">
        <v>8</v>
      </c>
      <c r="J1435">
        <v>45.92</v>
      </c>
      <c r="K1435">
        <v>205.58</v>
      </c>
      <c r="L1435">
        <v>0.52</v>
      </c>
      <c r="M1435">
        <v>64.760000000000005</v>
      </c>
      <c r="N1435">
        <v>1</v>
      </c>
      <c r="O1435" t="s">
        <v>20</v>
      </c>
      <c r="P1435" t="s">
        <v>38</v>
      </c>
      <c r="Q1435">
        <f t="shared" si="110"/>
        <v>24</v>
      </c>
      <c r="R1435" s="4">
        <f>RANK(N1435,$N$2:N$2800,0)</f>
        <v>1</v>
      </c>
      <c r="S1435">
        <f t="shared" si="111"/>
        <v>2.875</v>
      </c>
      <c r="T1435" t="str">
        <f t="shared" si="112"/>
        <v>Good</v>
      </c>
      <c r="U1435" t="str" cm="1">
        <f t="array" ref="U1435">_xlfn.LET(_xlpm.roles,_xlfn.UNIQUE(D1435:D4233),_xlpm.kills, SUMIF(D1435:D4233,_xlpm.roles,G1435:G4233),INDEX(_xlpm.roles,MATCH(MAX(_xlpm.kills),_xlpm.kills,0)))</f>
        <v>Entry Fragger</v>
      </c>
      <c r="V1435" t="str">
        <f t="shared" si="113"/>
        <v>Medium Accuracy</v>
      </c>
      <c r="W1435" t="str" cm="1">
        <f t="array" ref="W1435">_xlfn.LET(_xlpm.roles,_xlfn.UNIQUE(D1435:D4233), _xlpm.counts,COUNTIF(D1435:D4233,_xlpm.roles), INDEX(_xlpm.roles,MATCH(MAX(_xlpm.counts),_xlpm.counts,0)))</f>
        <v>Entry Fragger</v>
      </c>
      <c r="X1435" s="2">
        <f t="shared" si="114"/>
        <v>12.809421841541756</v>
      </c>
    </row>
    <row r="1436" spans="1:24" x14ac:dyDescent="0.3">
      <c r="A1436">
        <v>1511</v>
      </c>
      <c r="B1436">
        <v>253</v>
      </c>
      <c r="C1436" t="s">
        <v>39</v>
      </c>
      <c r="D1436" t="s">
        <v>22</v>
      </c>
      <c r="E1436" t="s">
        <v>32</v>
      </c>
      <c r="F1436" t="s">
        <v>24</v>
      </c>
      <c r="G1436">
        <v>18</v>
      </c>
      <c r="H1436">
        <v>8</v>
      </c>
      <c r="I1436">
        <v>5</v>
      </c>
      <c r="J1436">
        <v>31.26</v>
      </c>
      <c r="K1436">
        <v>202.9</v>
      </c>
      <c r="L1436">
        <v>0.81</v>
      </c>
      <c r="M1436">
        <v>46.53</v>
      </c>
      <c r="N1436">
        <v>0.8</v>
      </c>
      <c r="O1436" t="s">
        <v>20</v>
      </c>
      <c r="P1436" t="s">
        <v>21</v>
      </c>
      <c r="Q1436">
        <f t="shared" si="110"/>
        <v>21</v>
      </c>
      <c r="R1436" s="4">
        <f>RANK(N1436,$N$2:N$2800,0)</f>
        <v>2393</v>
      </c>
      <c r="S1436">
        <f t="shared" si="111"/>
        <v>3.6</v>
      </c>
      <c r="T1436" t="str">
        <f t="shared" si="112"/>
        <v>Good</v>
      </c>
      <c r="U1436" t="str" cm="1">
        <f t="array" ref="U1436">_xlfn.LET(_xlpm.roles,_xlfn.UNIQUE(D1436:D4234),_xlpm.kills, SUMIF(D1436:D4234,_xlpm.roles,G1436:G4234),INDEX(_xlpm.roles,MATCH(MAX(_xlpm.kills),_xlpm.kills,0)))</f>
        <v>Entry Fragger</v>
      </c>
      <c r="V1436" t="str">
        <f t="shared" si="113"/>
        <v>Medium Accuracy</v>
      </c>
      <c r="W1436" t="str" cm="1">
        <f t="array" ref="W1436">_xlfn.LET(_xlpm.roles,_xlfn.UNIQUE(D1436:D4234), _xlpm.counts,COUNTIF(D1436:D4234,_xlpm.roles), INDEX(_xlpm.roles,MATCH(MAX(_xlpm.counts),_xlpm.counts,0)))</f>
        <v>Entry Fragger</v>
      </c>
      <c r="X1436" s="2">
        <f t="shared" si="114"/>
        <v>13.103594080338267</v>
      </c>
    </row>
    <row r="1437" spans="1:24" x14ac:dyDescent="0.3">
      <c r="A1437">
        <v>2598</v>
      </c>
      <c r="B1437">
        <v>253</v>
      </c>
      <c r="C1437" t="s">
        <v>35</v>
      </c>
      <c r="D1437" t="s">
        <v>22</v>
      </c>
      <c r="E1437" t="s">
        <v>33</v>
      </c>
      <c r="F1437" t="s">
        <v>37</v>
      </c>
      <c r="G1437">
        <v>12</v>
      </c>
      <c r="H1437">
        <v>5</v>
      </c>
      <c r="I1437">
        <v>7</v>
      </c>
      <c r="J1437">
        <v>59.14</v>
      </c>
      <c r="K1437">
        <v>266.11</v>
      </c>
      <c r="L1437">
        <v>0.56999999999999995</v>
      </c>
      <c r="M1437">
        <v>45.87</v>
      </c>
      <c r="N1437">
        <v>0.69</v>
      </c>
      <c r="O1437" t="s">
        <v>20</v>
      </c>
      <c r="P1437" t="s">
        <v>21</v>
      </c>
      <c r="Q1437">
        <f t="shared" si="110"/>
        <v>10</v>
      </c>
      <c r="R1437" s="4">
        <f>RANK(N1437,$N$2:N$2800,0)</f>
        <v>2713</v>
      </c>
      <c r="S1437">
        <f t="shared" si="111"/>
        <v>1.7142857142857142</v>
      </c>
      <c r="T1437" t="str">
        <f t="shared" si="112"/>
        <v>Low</v>
      </c>
      <c r="U1437" t="str" cm="1">
        <f t="array" ref="U1437">_xlfn.LET(_xlpm.roles,_xlfn.UNIQUE(D1437:D4235),_xlpm.kills, SUMIF(D1437:D4235,_xlpm.roles,G1437:G4235),INDEX(_xlpm.roles,MATCH(MAX(_xlpm.kills),_xlpm.kills,0)))</f>
        <v>Entry Fragger</v>
      </c>
      <c r="V1437" t="str">
        <f t="shared" si="113"/>
        <v>High Accuracy</v>
      </c>
      <c r="W1437" t="str" cm="1">
        <f t="array" ref="W1437">_xlfn.LET(_xlpm.roles,_xlfn.UNIQUE(D1437:D4235), _xlpm.counts,COUNTIF(D1437:D4235,_xlpm.roles), INDEX(_xlpm.roles,MATCH(MAX(_xlpm.counts),_xlpm.counts,0)))</f>
        <v>Entry Fragger</v>
      </c>
      <c r="X1437" s="2">
        <f t="shared" si="114"/>
        <v>12.599585062240664</v>
      </c>
    </row>
    <row r="1438" spans="1:24" x14ac:dyDescent="0.3">
      <c r="A1438">
        <v>2788</v>
      </c>
      <c r="B1438">
        <v>253</v>
      </c>
      <c r="C1438" t="s">
        <v>35</v>
      </c>
      <c r="D1438" t="s">
        <v>22</v>
      </c>
      <c r="E1438" t="s">
        <v>18</v>
      </c>
      <c r="F1438" t="s">
        <v>34</v>
      </c>
      <c r="G1438">
        <v>21</v>
      </c>
      <c r="H1438">
        <v>12</v>
      </c>
      <c r="I1438">
        <v>12</v>
      </c>
      <c r="J1438">
        <v>57.4</v>
      </c>
      <c r="K1438">
        <v>217.12</v>
      </c>
      <c r="L1438">
        <v>0.98</v>
      </c>
      <c r="M1438">
        <v>60.9</v>
      </c>
      <c r="N1438">
        <v>1</v>
      </c>
      <c r="O1438" t="s">
        <v>20</v>
      </c>
      <c r="P1438" t="s">
        <v>38</v>
      </c>
      <c r="Q1438">
        <f t="shared" si="110"/>
        <v>21</v>
      </c>
      <c r="R1438" s="4">
        <f>RANK(N1438,$N$2:N$2800,0)</f>
        <v>1</v>
      </c>
      <c r="S1438">
        <f t="shared" si="111"/>
        <v>1.75</v>
      </c>
      <c r="T1438" t="str">
        <f t="shared" si="112"/>
        <v>Good</v>
      </c>
      <c r="U1438" t="str" cm="1">
        <f t="array" ref="U1438">_xlfn.LET(_xlpm.roles,_xlfn.UNIQUE(D1438:D4236),_xlpm.kills, SUMIF(D1438:D4236,_xlpm.roles,G1438:G4236),INDEX(_xlpm.roles,MATCH(MAX(_xlpm.kills),_xlpm.kills,0)))</f>
        <v>Entry Fragger</v>
      </c>
      <c r="V1438" t="str">
        <f t="shared" si="113"/>
        <v>High Accuracy</v>
      </c>
      <c r="W1438" t="str" cm="1">
        <f t="array" ref="W1438">_xlfn.LET(_xlpm.roles,_xlfn.UNIQUE(D1438:D4236), _xlpm.counts,COUNTIF(D1438:D4236,_xlpm.roles), INDEX(_xlpm.roles,MATCH(MAX(_xlpm.counts),_xlpm.counts,0)))</f>
        <v>Entry Fragger</v>
      </c>
      <c r="X1438" s="2">
        <f t="shared" si="114"/>
        <v>12.599585062240664</v>
      </c>
    </row>
    <row r="1439" spans="1:24" x14ac:dyDescent="0.3">
      <c r="A1439">
        <v>64</v>
      </c>
      <c r="B1439">
        <v>254</v>
      </c>
      <c r="C1439" t="s">
        <v>35</v>
      </c>
      <c r="D1439" t="s">
        <v>28</v>
      </c>
      <c r="E1439" t="s">
        <v>33</v>
      </c>
      <c r="F1439" t="s">
        <v>19</v>
      </c>
      <c r="G1439">
        <v>11</v>
      </c>
      <c r="H1439">
        <v>10</v>
      </c>
      <c r="I1439">
        <v>15</v>
      </c>
      <c r="J1439">
        <v>43.58</v>
      </c>
      <c r="K1439">
        <v>182.45</v>
      </c>
      <c r="L1439">
        <v>0.86</v>
      </c>
      <c r="M1439">
        <v>30.19</v>
      </c>
      <c r="N1439">
        <v>0.95</v>
      </c>
      <c r="O1439" t="s">
        <v>20</v>
      </c>
      <c r="P1439" t="s">
        <v>21</v>
      </c>
      <c r="Q1439">
        <f t="shared" si="110"/>
        <v>6</v>
      </c>
      <c r="R1439" s="4">
        <f>RANK(N1439,$N$2:N$2800,0)</f>
        <v>1367</v>
      </c>
      <c r="S1439">
        <f t="shared" si="111"/>
        <v>0.73333333333333328</v>
      </c>
      <c r="T1439" t="str">
        <f t="shared" si="112"/>
        <v>Low</v>
      </c>
      <c r="U1439" t="str" cm="1">
        <f t="array" ref="U1439">_xlfn.LET(_xlpm.roles,_xlfn.UNIQUE(D1439:D4237),_xlpm.kills, SUMIF(D1439:D4237,_xlpm.roles,G1439:G4237),INDEX(_xlpm.roles,MATCH(MAX(_xlpm.kills),_xlpm.kills,0)))</f>
        <v>Entry Fragger</v>
      </c>
      <c r="V1439" t="str">
        <f t="shared" si="113"/>
        <v>Medium Accuracy</v>
      </c>
      <c r="W1439" t="str" cm="1">
        <f t="array" ref="W1439">_xlfn.LET(_xlpm.roles,_xlfn.UNIQUE(D1439:D4237), _xlpm.counts,COUNTIF(D1439:D4237,_xlpm.roles), INDEX(_xlpm.roles,MATCH(MAX(_xlpm.counts),_xlpm.counts,0)))</f>
        <v>Entry Fragger</v>
      </c>
      <c r="X1439" s="2">
        <f t="shared" si="114"/>
        <v>12.599585062240664</v>
      </c>
    </row>
    <row r="1440" spans="1:24" x14ac:dyDescent="0.3">
      <c r="A1440">
        <v>133</v>
      </c>
      <c r="B1440">
        <v>254</v>
      </c>
      <c r="C1440" t="s">
        <v>16</v>
      </c>
      <c r="D1440" t="s">
        <v>17</v>
      </c>
      <c r="E1440" t="s">
        <v>32</v>
      </c>
      <c r="F1440" t="s">
        <v>19</v>
      </c>
      <c r="G1440">
        <v>14</v>
      </c>
      <c r="H1440">
        <v>9</v>
      </c>
      <c r="I1440">
        <v>14</v>
      </c>
      <c r="J1440">
        <v>63.67</v>
      </c>
      <c r="K1440">
        <v>225.77</v>
      </c>
      <c r="L1440">
        <v>0.93</v>
      </c>
      <c r="M1440">
        <v>45.53</v>
      </c>
      <c r="N1440">
        <v>0.95</v>
      </c>
      <c r="O1440" t="s">
        <v>20</v>
      </c>
      <c r="P1440" t="s">
        <v>21</v>
      </c>
      <c r="Q1440">
        <f t="shared" si="110"/>
        <v>9</v>
      </c>
      <c r="R1440" s="4">
        <f>RANK(N1440,$N$2:N$2800,0)</f>
        <v>1367</v>
      </c>
      <c r="S1440">
        <f t="shared" si="111"/>
        <v>1</v>
      </c>
      <c r="T1440" t="str">
        <f t="shared" si="112"/>
        <v>Low</v>
      </c>
      <c r="U1440" t="str" cm="1">
        <f t="array" ref="U1440">_xlfn.LET(_xlpm.roles,_xlfn.UNIQUE(D1440:D4238),_xlpm.kills, SUMIF(D1440:D4238,_xlpm.roles,G1440:G4238),INDEX(_xlpm.roles,MATCH(MAX(_xlpm.kills),_xlpm.kills,0)))</f>
        <v>Entry Fragger</v>
      </c>
      <c r="V1440" t="str">
        <f t="shared" si="113"/>
        <v>High Accuracy</v>
      </c>
      <c r="W1440" t="str" cm="1">
        <f t="array" ref="W1440">_xlfn.LET(_xlpm.roles,_xlfn.UNIQUE(D1440:D4238), _xlpm.counts,COUNTIF(D1440:D4238,_xlpm.roles), INDEX(_xlpm.roles,MATCH(MAX(_xlpm.counts),_xlpm.counts,0)))</f>
        <v>Entry Fragger</v>
      </c>
      <c r="X1440" s="2">
        <f t="shared" si="114"/>
        <v>12.520971302428256</v>
      </c>
    </row>
    <row r="1441" spans="1:24" x14ac:dyDescent="0.3">
      <c r="A1441">
        <v>400</v>
      </c>
      <c r="B1441">
        <v>254</v>
      </c>
      <c r="C1441" t="s">
        <v>39</v>
      </c>
      <c r="D1441" t="s">
        <v>22</v>
      </c>
      <c r="E1441" t="s">
        <v>18</v>
      </c>
      <c r="F1441" t="s">
        <v>37</v>
      </c>
      <c r="G1441">
        <v>23</v>
      </c>
      <c r="H1441">
        <v>7</v>
      </c>
      <c r="I1441">
        <v>13</v>
      </c>
      <c r="J1441">
        <v>36.5</v>
      </c>
      <c r="K1441">
        <v>242.39</v>
      </c>
      <c r="L1441">
        <v>0.06</v>
      </c>
      <c r="M1441">
        <v>57.65</v>
      </c>
      <c r="N1441">
        <v>1</v>
      </c>
      <c r="O1441" t="s">
        <v>20</v>
      </c>
      <c r="P1441" t="s">
        <v>21</v>
      </c>
      <c r="Q1441">
        <f t="shared" si="110"/>
        <v>17</v>
      </c>
      <c r="R1441" s="4">
        <f>RANK(N1441,$N$2:N$2800,0)</f>
        <v>1</v>
      </c>
      <c r="S1441">
        <f t="shared" si="111"/>
        <v>1.7692307692307692</v>
      </c>
      <c r="T1441" t="str">
        <f t="shared" si="112"/>
        <v>Good</v>
      </c>
      <c r="U1441" t="str" cm="1">
        <f t="array" ref="U1441">_xlfn.LET(_xlpm.roles,_xlfn.UNIQUE(D1441:D4239),_xlpm.kills, SUMIF(D1441:D4239,_xlpm.roles,G1441:G4239),INDEX(_xlpm.roles,MATCH(MAX(_xlpm.kills),_xlpm.kills,0)))</f>
        <v>Entry Fragger</v>
      </c>
      <c r="V1441" t="str">
        <f t="shared" si="113"/>
        <v>Medium Accuracy</v>
      </c>
      <c r="W1441" t="str" cm="1">
        <f t="array" ref="W1441">_xlfn.LET(_xlpm.roles,_xlfn.UNIQUE(D1441:D4239), _xlpm.counts,COUNTIF(D1441:D4239,_xlpm.roles), INDEX(_xlpm.roles,MATCH(MAX(_xlpm.counts),_xlpm.counts,0)))</f>
        <v>Entry Fragger</v>
      </c>
      <c r="X1441" s="2">
        <f t="shared" si="114"/>
        <v>13.103594080338267</v>
      </c>
    </row>
    <row r="1442" spans="1:24" x14ac:dyDescent="0.3">
      <c r="A1442">
        <v>618</v>
      </c>
      <c r="B1442">
        <v>254</v>
      </c>
      <c r="C1442" t="s">
        <v>25</v>
      </c>
      <c r="D1442" t="s">
        <v>28</v>
      </c>
      <c r="E1442" t="s">
        <v>29</v>
      </c>
      <c r="F1442" t="s">
        <v>26</v>
      </c>
      <c r="G1442">
        <v>22</v>
      </c>
      <c r="H1442">
        <v>4</v>
      </c>
      <c r="I1442">
        <v>10</v>
      </c>
      <c r="J1442">
        <v>44.47</v>
      </c>
      <c r="K1442">
        <v>241.7</v>
      </c>
      <c r="L1442">
        <v>0.91</v>
      </c>
      <c r="M1442">
        <v>51.13</v>
      </c>
      <c r="N1442">
        <v>1</v>
      </c>
      <c r="O1442" t="s">
        <v>20</v>
      </c>
      <c r="P1442" t="s">
        <v>21</v>
      </c>
      <c r="Q1442">
        <f t="shared" si="110"/>
        <v>16</v>
      </c>
      <c r="R1442" s="4">
        <f>RANK(N1442,$N$2:N$2800,0)</f>
        <v>1</v>
      </c>
      <c r="S1442">
        <f t="shared" si="111"/>
        <v>2.2000000000000002</v>
      </c>
      <c r="T1442" t="str">
        <f t="shared" si="112"/>
        <v>Good</v>
      </c>
      <c r="U1442" t="str" cm="1">
        <f t="array" ref="U1442">_xlfn.LET(_xlpm.roles,_xlfn.UNIQUE(D1442:D4240),_xlpm.kills, SUMIF(D1442:D4240,_xlpm.roles,G1442:G4240),INDEX(_xlpm.roles,MATCH(MAX(_xlpm.kills),_xlpm.kills,0)))</f>
        <v>Entry Fragger</v>
      </c>
      <c r="V1442" t="str">
        <f t="shared" si="113"/>
        <v>Medium Accuracy</v>
      </c>
      <c r="W1442" t="str" cm="1">
        <f t="array" ref="W1442">_xlfn.LET(_xlpm.roles,_xlfn.UNIQUE(D1442:D4240), _xlpm.counts,COUNTIF(D1442:D4240,_xlpm.roles), INDEX(_xlpm.roles,MATCH(MAX(_xlpm.counts),_xlpm.counts,0)))</f>
        <v>Entry Fragger</v>
      </c>
      <c r="X1442" s="2">
        <f t="shared" si="114"/>
        <v>12.809421841541756</v>
      </c>
    </row>
    <row r="1443" spans="1:24" x14ac:dyDescent="0.3">
      <c r="A1443">
        <v>836</v>
      </c>
      <c r="B1443">
        <v>254</v>
      </c>
      <c r="C1443" t="s">
        <v>30</v>
      </c>
      <c r="D1443" t="s">
        <v>28</v>
      </c>
      <c r="E1443" t="s">
        <v>29</v>
      </c>
      <c r="F1443" t="s">
        <v>19</v>
      </c>
      <c r="G1443">
        <v>16</v>
      </c>
      <c r="H1443">
        <v>9</v>
      </c>
      <c r="I1443">
        <v>12</v>
      </c>
      <c r="J1443">
        <v>36</v>
      </c>
      <c r="K1443">
        <v>268.54000000000002</v>
      </c>
      <c r="L1443">
        <v>0.44</v>
      </c>
      <c r="M1443">
        <v>42.6</v>
      </c>
      <c r="N1443">
        <v>0.81</v>
      </c>
      <c r="O1443" t="s">
        <v>20</v>
      </c>
      <c r="P1443" t="s">
        <v>21</v>
      </c>
      <c r="Q1443">
        <f t="shared" si="110"/>
        <v>13</v>
      </c>
      <c r="R1443" s="4">
        <f>RANK(N1443,$N$2:N$2800,0)</f>
        <v>2341</v>
      </c>
      <c r="S1443">
        <f t="shared" si="111"/>
        <v>1.3333333333333333</v>
      </c>
      <c r="T1443" t="str">
        <f t="shared" si="112"/>
        <v>Low</v>
      </c>
      <c r="U1443" t="str" cm="1">
        <f t="array" ref="U1443">_xlfn.LET(_xlpm.roles,_xlfn.UNIQUE(D1443:D4241),_xlpm.kills, SUMIF(D1443:D4241,_xlpm.roles,G1443:G4241),INDEX(_xlpm.roles,MATCH(MAX(_xlpm.kills),_xlpm.kills,0)))</f>
        <v>Entry Fragger</v>
      </c>
      <c r="V1443" t="str">
        <f t="shared" si="113"/>
        <v>Medium Accuracy</v>
      </c>
      <c r="W1443" t="str" cm="1">
        <f t="array" ref="W1443">_xlfn.LET(_xlpm.roles,_xlfn.UNIQUE(D1443:D4241), _xlpm.counts,COUNTIF(D1443:D4241,_xlpm.roles), INDEX(_xlpm.roles,MATCH(MAX(_xlpm.counts),_xlpm.counts,0)))</f>
        <v>Entry Fragger</v>
      </c>
      <c r="X1443" s="2">
        <f t="shared" si="114"/>
        <v>13.135802469135802</v>
      </c>
    </row>
    <row r="1444" spans="1:24" x14ac:dyDescent="0.3">
      <c r="A1444">
        <v>1040</v>
      </c>
      <c r="B1444">
        <v>254</v>
      </c>
      <c r="C1444" t="s">
        <v>27</v>
      </c>
      <c r="D1444" t="s">
        <v>22</v>
      </c>
      <c r="E1444" t="s">
        <v>23</v>
      </c>
      <c r="F1444" t="s">
        <v>26</v>
      </c>
      <c r="G1444">
        <v>12</v>
      </c>
      <c r="H1444">
        <v>6</v>
      </c>
      <c r="I1444">
        <v>10</v>
      </c>
      <c r="J1444">
        <v>33.479999999999997</v>
      </c>
      <c r="K1444">
        <v>133.72999999999999</v>
      </c>
      <c r="L1444">
        <v>0.39</v>
      </c>
      <c r="M1444">
        <v>32.840000000000003</v>
      </c>
      <c r="N1444">
        <v>0.82</v>
      </c>
      <c r="O1444" t="s">
        <v>20</v>
      </c>
      <c r="P1444" t="s">
        <v>21</v>
      </c>
      <c r="Q1444">
        <f t="shared" si="110"/>
        <v>8</v>
      </c>
      <c r="R1444" s="4">
        <f>RANK(N1444,$N$2:N$2800,0)</f>
        <v>2275</v>
      </c>
      <c r="S1444">
        <f t="shared" si="111"/>
        <v>1.2</v>
      </c>
      <c r="T1444" t="str">
        <f t="shared" si="112"/>
        <v>Low</v>
      </c>
      <c r="U1444" t="str" cm="1">
        <f t="array" ref="U1444">_xlfn.LET(_xlpm.roles,_xlfn.UNIQUE(D1444:D4242),_xlpm.kills, SUMIF(D1444:D4242,_xlpm.roles,G1444:G4242),INDEX(_xlpm.roles,MATCH(MAX(_xlpm.kills),_xlpm.kills,0)))</f>
        <v>Entry Fragger</v>
      </c>
      <c r="V1444" t="str">
        <f t="shared" si="113"/>
        <v>Medium Accuracy</v>
      </c>
      <c r="W1444" t="str" cm="1">
        <f t="array" ref="W1444">_xlfn.LET(_xlpm.roles,_xlfn.UNIQUE(D1444:D4242), _xlpm.counts,COUNTIF(D1444:D4242,_xlpm.roles), INDEX(_xlpm.roles,MATCH(MAX(_xlpm.counts),_xlpm.counts,0)))</f>
        <v>Entry Fragger</v>
      </c>
      <c r="X1444" s="2">
        <f t="shared" si="114"/>
        <v>13.057077625570777</v>
      </c>
    </row>
    <row r="1445" spans="1:24" x14ac:dyDescent="0.3">
      <c r="A1445">
        <v>1081</v>
      </c>
      <c r="B1445">
        <v>254</v>
      </c>
      <c r="C1445" t="s">
        <v>27</v>
      </c>
      <c r="D1445" t="s">
        <v>36</v>
      </c>
      <c r="E1445" t="s">
        <v>29</v>
      </c>
      <c r="F1445" t="s">
        <v>34</v>
      </c>
      <c r="G1445">
        <v>8</v>
      </c>
      <c r="H1445">
        <v>7</v>
      </c>
      <c r="I1445">
        <v>10</v>
      </c>
      <c r="J1445">
        <v>23.35</v>
      </c>
      <c r="K1445">
        <v>204.55</v>
      </c>
      <c r="L1445">
        <v>0.71</v>
      </c>
      <c r="M1445">
        <v>17.579999999999998</v>
      </c>
      <c r="N1445">
        <v>0.56999999999999995</v>
      </c>
      <c r="O1445" t="s">
        <v>20</v>
      </c>
      <c r="P1445" t="s">
        <v>21</v>
      </c>
      <c r="Q1445">
        <f t="shared" si="110"/>
        <v>5</v>
      </c>
      <c r="R1445" s="4">
        <f>RANK(N1445,$N$2:N$2800,0)</f>
        <v>2787</v>
      </c>
      <c r="S1445">
        <f t="shared" si="111"/>
        <v>0.8</v>
      </c>
      <c r="T1445" t="str">
        <f t="shared" si="112"/>
        <v>Low</v>
      </c>
      <c r="U1445" t="str" cm="1">
        <f t="array" ref="U1445">_xlfn.LET(_xlpm.roles,_xlfn.UNIQUE(D1445:D4243),_xlpm.kills, SUMIF(D1445:D4243,_xlpm.roles,G1445:G4243),INDEX(_xlpm.roles,MATCH(MAX(_xlpm.kills),_xlpm.kills,0)))</f>
        <v>Entry Fragger</v>
      </c>
      <c r="V1445" t="str">
        <f t="shared" si="113"/>
        <v>Low Accuracy</v>
      </c>
      <c r="W1445" t="str" cm="1">
        <f t="array" ref="W1445">_xlfn.LET(_xlpm.roles,_xlfn.UNIQUE(D1445:D4243), _xlpm.counts,COUNTIF(D1445:D4243,_xlpm.roles), INDEX(_xlpm.roles,MATCH(MAX(_xlpm.counts),_xlpm.counts,0)))</f>
        <v>Entry Fragger</v>
      </c>
      <c r="X1445" s="2">
        <f t="shared" si="114"/>
        <v>13.057077625570777</v>
      </c>
    </row>
    <row r="1446" spans="1:24" x14ac:dyDescent="0.3">
      <c r="A1446">
        <v>1922</v>
      </c>
      <c r="B1446">
        <v>254</v>
      </c>
      <c r="C1446" t="s">
        <v>30</v>
      </c>
      <c r="D1446" t="s">
        <v>17</v>
      </c>
      <c r="E1446" t="s">
        <v>23</v>
      </c>
      <c r="F1446" t="s">
        <v>26</v>
      </c>
      <c r="G1446">
        <v>16</v>
      </c>
      <c r="H1446">
        <v>3</v>
      </c>
      <c r="I1446">
        <v>9</v>
      </c>
      <c r="J1446">
        <v>47.78</v>
      </c>
      <c r="K1446">
        <v>232.9</v>
      </c>
      <c r="L1446">
        <v>0.56999999999999995</v>
      </c>
      <c r="M1446">
        <v>44.19</v>
      </c>
      <c r="N1446">
        <v>1</v>
      </c>
      <c r="O1446" t="s">
        <v>20</v>
      </c>
      <c r="P1446" t="s">
        <v>21</v>
      </c>
      <c r="Q1446">
        <f t="shared" si="110"/>
        <v>10</v>
      </c>
      <c r="R1446" s="4">
        <f>RANK(N1446,$N$2:N$2800,0)</f>
        <v>1</v>
      </c>
      <c r="S1446">
        <f t="shared" si="111"/>
        <v>1.7777777777777777</v>
      </c>
      <c r="T1446" t="str">
        <f t="shared" si="112"/>
        <v>Low</v>
      </c>
      <c r="U1446" t="str" cm="1">
        <f t="array" ref="U1446">_xlfn.LET(_xlpm.roles,_xlfn.UNIQUE(D1446:D4244),_xlpm.kills, SUMIF(D1446:D4244,_xlpm.roles,G1446:G4244),INDEX(_xlpm.roles,MATCH(MAX(_xlpm.kills),_xlpm.kills,0)))</f>
        <v>Entry Fragger</v>
      </c>
      <c r="V1446" t="str">
        <f t="shared" si="113"/>
        <v>Medium Accuracy</v>
      </c>
      <c r="W1446" t="str" cm="1">
        <f t="array" ref="W1446">_xlfn.LET(_xlpm.roles,_xlfn.UNIQUE(D1446:D4244), _xlpm.counts,COUNTIF(D1446:D4244,_xlpm.roles), INDEX(_xlpm.roles,MATCH(MAX(_xlpm.counts),_xlpm.counts,0)))</f>
        <v>Entry Fragger</v>
      </c>
      <c r="X1446" s="2">
        <f t="shared" si="114"/>
        <v>13.135802469135802</v>
      </c>
    </row>
    <row r="1447" spans="1:24" x14ac:dyDescent="0.3">
      <c r="A1447">
        <v>2473</v>
      </c>
      <c r="B1447">
        <v>254</v>
      </c>
      <c r="C1447" t="s">
        <v>27</v>
      </c>
      <c r="D1447" t="s">
        <v>31</v>
      </c>
      <c r="E1447" t="s">
        <v>29</v>
      </c>
      <c r="F1447" t="s">
        <v>19</v>
      </c>
      <c r="G1447">
        <v>15</v>
      </c>
      <c r="H1447">
        <v>10</v>
      </c>
      <c r="I1447">
        <v>12</v>
      </c>
      <c r="J1447">
        <v>49.33</v>
      </c>
      <c r="K1447">
        <v>204.46</v>
      </c>
      <c r="L1447">
        <v>0.49</v>
      </c>
      <c r="M1447">
        <v>47.77</v>
      </c>
      <c r="N1447">
        <v>0.86</v>
      </c>
      <c r="O1447" t="s">
        <v>20</v>
      </c>
      <c r="P1447" t="s">
        <v>21</v>
      </c>
      <c r="Q1447">
        <f t="shared" si="110"/>
        <v>13</v>
      </c>
      <c r="R1447" s="4">
        <f>RANK(N1447,$N$2:N$2800,0)</f>
        <v>2040</v>
      </c>
      <c r="S1447">
        <f t="shared" si="111"/>
        <v>1.25</v>
      </c>
      <c r="T1447" t="str">
        <f t="shared" si="112"/>
        <v>Low</v>
      </c>
      <c r="U1447" t="str" cm="1">
        <f t="array" ref="U1447">_xlfn.LET(_xlpm.roles,_xlfn.UNIQUE(D1447:D4245),_xlpm.kills, SUMIF(D1447:D4245,_xlpm.roles,G1447:G4245),INDEX(_xlpm.roles,MATCH(MAX(_xlpm.kills),_xlpm.kills,0)))</f>
        <v>Entry Fragger</v>
      </c>
      <c r="V1447" t="str">
        <f t="shared" si="113"/>
        <v>Medium Accuracy</v>
      </c>
      <c r="W1447" t="str" cm="1">
        <f t="array" ref="W1447">_xlfn.LET(_xlpm.roles,_xlfn.UNIQUE(D1447:D4245), _xlpm.counts,COUNTIF(D1447:D4245,_xlpm.roles), INDEX(_xlpm.roles,MATCH(MAX(_xlpm.counts),_xlpm.counts,0)))</f>
        <v>Entry Fragger</v>
      </c>
      <c r="X1447" s="2">
        <f t="shared" si="114"/>
        <v>13.057077625570777</v>
      </c>
    </row>
    <row r="1448" spans="1:24" x14ac:dyDescent="0.3">
      <c r="A1448">
        <v>1027</v>
      </c>
      <c r="B1448">
        <v>255</v>
      </c>
      <c r="C1448" t="s">
        <v>39</v>
      </c>
      <c r="D1448" t="s">
        <v>36</v>
      </c>
      <c r="E1448" t="s">
        <v>23</v>
      </c>
      <c r="F1448" t="s">
        <v>24</v>
      </c>
      <c r="G1448">
        <v>16</v>
      </c>
      <c r="H1448">
        <v>7</v>
      </c>
      <c r="I1448">
        <v>8</v>
      </c>
      <c r="J1448">
        <v>41.97</v>
      </c>
      <c r="K1448">
        <v>245.92</v>
      </c>
      <c r="L1448">
        <v>0.12</v>
      </c>
      <c r="M1448">
        <v>50.78</v>
      </c>
      <c r="N1448">
        <v>0.93</v>
      </c>
      <c r="O1448" t="s">
        <v>20</v>
      </c>
      <c r="P1448" t="s">
        <v>21</v>
      </c>
      <c r="Q1448">
        <f t="shared" si="110"/>
        <v>15</v>
      </c>
      <c r="R1448" s="4">
        <f>RANK(N1448,$N$2:N$2800,0)</f>
        <v>1505</v>
      </c>
      <c r="S1448">
        <f t="shared" si="111"/>
        <v>2</v>
      </c>
      <c r="T1448" t="str">
        <f t="shared" si="112"/>
        <v>Good</v>
      </c>
      <c r="U1448" t="str" cm="1">
        <f t="array" ref="U1448">_xlfn.LET(_xlpm.roles,_xlfn.UNIQUE(D1448:D4246),_xlpm.kills, SUMIF(D1448:D4246,_xlpm.roles,G1448:G4246),INDEX(_xlpm.roles,MATCH(MAX(_xlpm.kills),_xlpm.kills,0)))</f>
        <v>Entry Fragger</v>
      </c>
      <c r="V1448" t="str">
        <f t="shared" si="113"/>
        <v>Medium Accuracy</v>
      </c>
      <c r="W1448" t="str" cm="1">
        <f t="array" ref="W1448">_xlfn.LET(_xlpm.roles,_xlfn.UNIQUE(D1448:D4246), _xlpm.counts,COUNTIF(D1448:D4246,_xlpm.roles), INDEX(_xlpm.roles,MATCH(MAX(_xlpm.counts),_xlpm.counts,0)))</f>
        <v>Entry Fragger</v>
      </c>
      <c r="X1448" s="2">
        <f t="shared" si="114"/>
        <v>13.103594080338267</v>
      </c>
    </row>
    <row r="1449" spans="1:24" x14ac:dyDescent="0.3">
      <c r="A1449">
        <v>1091</v>
      </c>
      <c r="B1449">
        <v>255</v>
      </c>
      <c r="C1449" t="s">
        <v>25</v>
      </c>
      <c r="D1449" t="s">
        <v>28</v>
      </c>
      <c r="E1449" t="s">
        <v>29</v>
      </c>
      <c r="F1449" t="s">
        <v>37</v>
      </c>
      <c r="G1449">
        <v>15</v>
      </c>
      <c r="H1449">
        <v>16</v>
      </c>
      <c r="I1449">
        <v>9</v>
      </c>
      <c r="J1449">
        <v>45.95</v>
      </c>
      <c r="K1449">
        <v>247.5</v>
      </c>
      <c r="L1449">
        <v>0.26</v>
      </c>
      <c r="M1449">
        <v>57.38</v>
      </c>
      <c r="N1449">
        <v>1</v>
      </c>
      <c r="O1449" t="s">
        <v>20</v>
      </c>
      <c r="P1449" t="s">
        <v>21</v>
      </c>
      <c r="Q1449">
        <f t="shared" si="110"/>
        <v>22</v>
      </c>
      <c r="R1449" s="4">
        <f>RANK(N1449,$N$2:N$2800,0)</f>
        <v>1</v>
      </c>
      <c r="S1449">
        <f t="shared" si="111"/>
        <v>1.6666666666666667</v>
      </c>
      <c r="T1449" t="str">
        <f t="shared" si="112"/>
        <v>Good</v>
      </c>
      <c r="U1449" t="str" cm="1">
        <f t="array" ref="U1449">_xlfn.LET(_xlpm.roles,_xlfn.UNIQUE(D1449:D4247),_xlpm.kills, SUMIF(D1449:D4247,_xlpm.roles,G1449:G4247),INDEX(_xlpm.roles,MATCH(MAX(_xlpm.kills),_xlpm.kills,0)))</f>
        <v>Entry Fragger</v>
      </c>
      <c r="V1449" t="str">
        <f t="shared" si="113"/>
        <v>Medium Accuracy</v>
      </c>
      <c r="W1449" t="str" cm="1">
        <f t="array" ref="W1449">_xlfn.LET(_xlpm.roles,_xlfn.UNIQUE(D1449:D4247), _xlpm.counts,COUNTIF(D1449:D4247,_xlpm.roles), INDEX(_xlpm.roles,MATCH(MAX(_xlpm.counts),_xlpm.counts,0)))</f>
        <v>Entry Fragger</v>
      </c>
      <c r="X1449" s="2">
        <f t="shared" si="114"/>
        <v>12.809421841541756</v>
      </c>
    </row>
    <row r="1450" spans="1:24" x14ac:dyDescent="0.3">
      <c r="A1450">
        <v>1221</v>
      </c>
      <c r="B1450">
        <v>255</v>
      </c>
      <c r="C1450" t="s">
        <v>30</v>
      </c>
      <c r="D1450" t="s">
        <v>31</v>
      </c>
      <c r="E1450" t="s">
        <v>18</v>
      </c>
      <c r="F1450" t="s">
        <v>26</v>
      </c>
      <c r="G1450">
        <v>15</v>
      </c>
      <c r="H1450">
        <v>7</v>
      </c>
      <c r="I1450">
        <v>2</v>
      </c>
      <c r="J1450">
        <v>46.28</v>
      </c>
      <c r="K1450">
        <v>197.24</v>
      </c>
      <c r="L1450">
        <v>0.19</v>
      </c>
      <c r="M1450">
        <v>56.24</v>
      </c>
      <c r="N1450">
        <v>0.83</v>
      </c>
      <c r="O1450" t="s">
        <v>20</v>
      </c>
      <c r="P1450" t="s">
        <v>21</v>
      </c>
      <c r="Q1450">
        <f t="shared" si="110"/>
        <v>20</v>
      </c>
      <c r="R1450" s="4">
        <f>RANK(N1450,$N$2:N$2800,0)</f>
        <v>2218</v>
      </c>
      <c r="S1450">
        <f t="shared" si="111"/>
        <v>7.5</v>
      </c>
      <c r="T1450" t="str">
        <f t="shared" si="112"/>
        <v>Good</v>
      </c>
      <c r="U1450" t="str" cm="1">
        <f t="array" ref="U1450">_xlfn.LET(_xlpm.roles,_xlfn.UNIQUE(D1450:D4248),_xlpm.kills, SUMIF(D1450:D4248,_xlpm.roles,G1450:G4248),INDEX(_xlpm.roles,MATCH(MAX(_xlpm.kills),_xlpm.kills,0)))</f>
        <v>Entry Fragger</v>
      </c>
      <c r="V1450" t="str">
        <f t="shared" si="113"/>
        <v>Medium Accuracy</v>
      </c>
      <c r="W1450" t="str" cm="1">
        <f t="array" ref="W1450">_xlfn.LET(_xlpm.roles,_xlfn.UNIQUE(D1450:D4248), _xlpm.counts,COUNTIF(D1450:D4248,_xlpm.roles), INDEX(_xlpm.roles,MATCH(MAX(_xlpm.counts),_xlpm.counts,0)))</f>
        <v>Entry Fragger</v>
      </c>
      <c r="X1450" s="2">
        <f t="shared" si="114"/>
        <v>13.135802469135802</v>
      </c>
    </row>
    <row r="1451" spans="1:24" x14ac:dyDescent="0.3">
      <c r="A1451">
        <v>2478</v>
      </c>
      <c r="B1451">
        <v>255</v>
      </c>
      <c r="C1451" t="s">
        <v>27</v>
      </c>
      <c r="D1451" t="s">
        <v>36</v>
      </c>
      <c r="E1451" t="s">
        <v>33</v>
      </c>
      <c r="F1451" t="s">
        <v>24</v>
      </c>
      <c r="G1451">
        <v>18</v>
      </c>
      <c r="H1451">
        <v>10</v>
      </c>
      <c r="I1451">
        <v>13</v>
      </c>
      <c r="J1451">
        <v>52.4</v>
      </c>
      <c r="K1451">
        <v>217.96</v>
      </c>
      <c r="L1451">
        <v>0.51</v>
      </c>
      <c r="M1451">
        <v>54.1</v>
      </c>
      <c r="N1451">
        <v>1</v>
      </c>
      <c r="O1451" t="s">
        <v>20</v>
      </c>
      <c r="P1451" t="s">
        <v>21</v>
      </c>
      <c r="Q1451">
        <f t="shared" si="110"/>
        <v>15</v>
      </c>
      <c r="R1451" s="4">
        <f>RANK(N1451,$N$2:N$2800,0)</f>
        <v>1</v>
      </c>
      <c r="S1451">
        <f t="shared" si="111"/>
        <v>1.3846153846153846</v>
      </c>
      <c r="T1451" t="str">
        <f t="shared" si="112"/>
        <v>Good</v>
      </c>
      <c r="U1451" t="str" cm="1">
        <f t="array" ref="U1451">_xlfn.LET(_xlpm.roles,_xlfn.UNIQUE(D1451:D4249),_xlpm.kills, SUMIF(D1451:D4249,_xlpm.roles,G1451:G4249),INDEX(_xlpm.roles,MATCH(MAX(_xlpm.kills),_xlpm.kills,0)))</f>
        <v>Entry Fragger</v>
      </c>
      <c r="V1451" t="str">
        <f t="shared" si="113"/>
        <v>High Accuracy</v>
      </c>
      <c r="W1451" t="str" cm="1">
        <f t="array" ref="W1451">_xlfn.LET(_xlpm.roles,_xlfn.UNIQUE(D1451:D4249), _xlpm.counts,COUNTIF(D1451:D4249,_xlpm.roles), INDEX(_xlpm.roles,MATCH(MAX(_xlpm.counts),_xlpm.counts,0)))</f>
        <v>Entry Fragger</v>
      </c>
      <c r="X1451" s="2">
        <f t="shared" si="114"/>
        <v>13.057077625570777</v>
      </c>
    </row>
    <row r="1452" spans="1:24" x14ac:dyDescent="0.3">
      <c r="A1452">
        <v>2487</v>
      </c>
      <c r="B1452">
        <v>255</v>
      </c>
      <c r="C1452" t="s">
        <v>25</v>
      </c>
      <c r="D1452" t="s">
        <v>28</v>
      </c>
      <c r="E1452" t="s">
        <v>33</v>
      </c>
      <c r="F1452" t="s">
        <v>19</v>
      </c>
      <c r="G1452">
        <v>12</v>
      </c>
      <c r="H1452">
        <v>7</v>
      </c>
      <c r="I1452">
        <v>12</v>
      </c>
      <c r="J1452">
        <v>62.72</v>
      </c>
      <c r="K1452">
        <v>234.91</v>
      </c>
      <c r="L1452">
        <v>0.73</v>
      </c>
      <c r="M1452">
        <v>43.06</v>
      </c>
      <c r="N1452">
        <v>0.91</v>
      </c>
      <c r="O1452" t="s">
        <v>20</v>
      </c>
      <c r="P1452" t="s">
        <v>21</v>
      </c>
      <c r="Q1452">
        <f t="shared" si="110"/>
        <v>7</v>
      </c>
      <c r="R1452" s="4">
        <f>RANK(N1452,$N$2:N$2800,0)</f>
        <v>1665</v>
      </c>
      <c r="S1452">
        <f t="shared" si="111"/>
        <v>1</v>
      </c>
      <c r="T1452" t="str">
        <f t="shared" si="112"/>
        <v>Low</v>
      </c>
      <c r="U1452" t="str" cm="1">
        <f t="array" ref="U1452">_xlfn.LET(_xlpm.roles,_xlfn.UNIQUE(D1452:D4250),_xlpm.kills, SUMIF(D1452:D4250,_xlpm.roles,G1452:G4250),INDEX(_xlpm.roles,MATCH(MAX(_xlpm.kills),_xlpm.kills,0)))</f>
        <v>Entry Fragger</v>
      </c>
      <c r="V1452" t="str">
        <f t="shared" si="113"/>
        <v>High Accuracy</v>
      </c>
      <c r="W1452" t="str" cm="1">
        <f t="array" ref="W1452">_xlfn.LET(_xlpm.roles,_xlfn.UNIQUE(D1452:D4250), _xlpm.counts,COUNTIF(D1452:D4250,_xlpm.roles), INDEX(_xlpm.roles,MATCH(MAX(_xlpm.counts),_xlpm.counts,0)))</f>
        <v>Entry Fragger</v>
      </c>
      <c r="X1452" s="2">
        <f t="shared" si="114"/>
        <v>12.809421841541756</v>
      </c>
    </row>
    <row r="1453" spans="1:24" x14ac:dyDescent="0.3">
      <c r="A1453">
        <v>262</v>
      </c>
      <c r="B1453">
        <v>256</v>
      </c>
      <c r="C1453" t="s">
        <v>35</v>
      </c>
      <c r="D1453" t="s">
        <v>36</v>
      </c>
      <c r="E1453" t="s">
        <v>29</v>
      </c>
      <c r="F1453" t="s">
        <v>37</v>
      </c>
      <c r="G1453">
        <v>20</v>
      </c>
      <c r="H1453">
        <v>10</v>
      </c>
      <c r="I1453">
        <v>14</v>
      </c>
      <c r="J1453">
        <v>58.23</v>
      </c>
      <c r="K1453">
        <v>212.79</v>
      </c>
      <c r="L1453">
        <v>0.23</v>
      </c>
      <c r="M1453">
        <v>62.81</v>
      </c>
      <c r="N1453">
        <v>0.96</v>
      </c>
      <c r="O1453" t="s">
        <v>20</v>
      </c>
      <c r="P1453" t="s">
        <v>38</v>
      </c>
      <c r="Q1453">
        <f t="shared" si="110"/>
        <v>16</v>
      </c>
      <c r="R1453" s="4">
        <f>RANK(N1453,$N$2:N$2800,0)</f>
        <v>1301</v>
      </c>
      <c r="S1453">
        <f t="shared" si="111"/>
        <v>1.4285714285714286</v>
      </c>
      <c r="T1453" t="str">
        <f t="shared" si="112"/>
        <v>Good</v>
      </c>
      <c r="U1453" t="str" cm="1">
        <f t="array" ref="U1453">_xlfn.LET(_xlpm.roles,_xlfn.UNIQUE(D1453:D4251),_xlpm.kills, SUMIF(D1453:D4251,_xlpm.roles,G1453:G4251),INDEX(_xlpm.roles,MATCH(MAX(_xlpm.kills),_xlpm.kills,0)))</f>
        <v>Entry Fragger</v>
      </c>
      <c r="V1453" t="str">
        <f t="shared" si="113"/>
        <v>High Accuracy</v>
      </c>
      <c r="W1453" t="str" cm="1">
        <f t="array" ref="W1453">_xlfn.LET(_xlpm.roles,_xlfn.UNIQUE(D1453:D4251), _xlpm.counts,COUNTIF(D1453:D4251,_xlpm.roles), INDEX(_xlpm.roles,MATCH(MAX(_xlpm.counts),_xlpm.counts,0)))</f>
        <v>Entry Fragger</v>
      </c>
      <c r="X1453" s="2">
        <f t="shared" si="114"/>
        <v>12.599585062240664</v>
      </c>
    </row>
    <row r="1454" spans="1:24" x14ac:dyDescent="0.3">
      <c r="A1454">
        <v>1083</v>
      </c>
      <c r="B1454">
        <v>256</v>
      </c>
      <c r="C1454" t="s">
        <v>25</v>
      </c>
      <c r="D1454" t="s">
        <v>28</v>
      </c>
      <c r="E1454" t="s">
        <v>23</v>
      </c>
      <c r="F1454" t="s">
        <v>19</v>
      </c>
      <c r="G1454">
        <v>14</v>
      </c>
      <c r="H1454">
        <v>3</v>
      </c>
      <c r="I1454">
        <v>11</v>
      </c>
      <c r="J1454">
        <v>56.21</v>
      </c>
      <c r="K1454">
        <v>233.68</v>
      </c>
      <c r="L1454">
        <v>0.79</v>
      </c>
      <c r="M1454">
        <v>40.21</v>
      </c>
      <c r="N1454">
        <v>0.91</v>
      </c>
      <c r="O1454" t="s">
        <v>20</v>
      </c>
      <c r="P1454" t="s">
        <v>21</v>
      </c>
      <c r="Q1454">
        <f t="shared" si="110"/>
        <v>6</v>
      </c>
      <c r="R1454" s="4">
        <f>RANK(N1454,$N$2:N$2800,0)</f>
        <v>1665</v>
      </c>
      <c r="S1454">
        <f t="shared" si="111"/>
        <v>1.2727272727272727</v>
      </c>
      <c r="T1454" t="str">
        <f t="shared" si="112"/>
        <v>Low</v>
      </c>
      <c r="U1454" t="str" cm="1">
        <f t="array" ref="U1454">_xlfn.LET(_xlpm.roles,_xlfn.UNIQUE(D1454:D4252),_xlpm.kills, SUMIF(D1454:D4252,_xlpm.roles,G1454:G4252),INDEX(_xlpm.roles,MATCH(MAX(_xlpm.kills),_xlpm.kills,0)))</f>
        <v>Entry Fragger</v>
      </c>
      <c r="V1454" t="str">
        <f t="shared" si="113"/>
        <v>High Accuracy</v>
      </c>
      <c r="W1454" t="str" cm="1">
        <f t="array" ref="W1454">_xlfn.LET(_xlpm.roles,_xlfn.UNIQUE(D1454:D4252), _xlpm.counts,COUNTIF(D1454:D4252,_xlpm.roles), INDEX(_xlpm.roles,MATCH(MAX(_xlpm.counts),_xlpm.counts,0)))</f>
        <v>Sniper</v>
      </c>
      <c r="X1454" s="2">
        <f t="shared" si="114"/>
        <v>12.809421841541756</v>
      </c>
    </row>
    <row r="1455" spans="1:24" x14ac:dyDescent="0.3">
      <c r="A1455">
        <v>1276</v>
      </c>
      <c r="B1455">
        <v>256</v>
      </c>
      <c r="C1455" t="s">
        <v>16</v>
      </c>
      <c r="D1455" t="s">
        <v>31</v>
      </c>
      <c r="E1455" t="s">
        <v>33</v>
      </c>
      <c r="F1455" t="s">
        <v>37</v>
      </c>
      <c r="G1455">
        <v>13</v>
      </c>
      <c r="H1455">
        <v>8</v>
      </c>
      <c r="I1455">
        <v>10</v>
      </c>
      <c r="J1455">
        <v>37.46</v>
      </c>
      <c r="K1455">
        <v>267.06</v>
      </c>
      <c r="L1455">
        <v>0.46</v>
      </c>
      <c r="M1455">
        <v>38.130000000000003</v>
      </c>
      <c r="N1455">
        <v>0.84</v>
      </c>
      <c r="O1455" t="s">
        <v>20</v>
      </c>
      <c r="P1455" t="s">
        <v>21</v>
      </c>
      <c r="Q1455">
        <f t="shared" si="110"/>
        <v>11</v>
      </c>
      <c r="R1455" s="4">
        <f>RANK(N1455,$N$2:N$2800,0)</f>
        <v>2156</v>
      </c>
      <c r="S1455">
        <f t="shared" si="111"/>
        <v>1.3</v>
      </c>
      <c r="T1455" t="str">
        <f t="shared" si="112"/>
        <v>Low</v>
      </c>
      <c r="U1455" t="str" cm="1">
        <f t="array" ref="U1455">_xlfn.LET(_xlpm.roles,_xlfn.UNIQUE(D1455:D4253),_xlpm.kills, SUMIF(D1455:D4253,_xlpm.roles,G1455:G4253),INDEX(_xlpm.roles,MATCH(MAX(_xlpm.kills),_xlpm.kills,0)))</f>
        <v>Entry Fragger</v>
      </c>
      <c r="V1455" t="str">
        <f t="shared" si="113"/>
        <v>Medium Accuracy</v>
      </c>
      <c r="W1455" t="str" cm="1">
        <f t="array" ref="W1455">_xlfn.LET(_xlpm.roles,_xlfn.UNIQUE(D1455:D4253), _xlpm.counts,COUNTIF(D1455:D4253,_xlpm.roles), INDEX(_xlpm.roles,MATCH(MAX(_xlpm.counts),_xlpm.counts,0)))</f>
        <v>Sniper</v>
      </c>
      <c r="X1455" s="2">
        <f t="shared" si="114"/>
        <v>12.520971302428256</v>
      </c>
    </row>
    <row r="1456" spans="1:24" x14ac:dyDescent="0.3">
      <c r="A1456">
        <v>1658</v>
      </c>
      <c r="B1456">
        <v>256</v>
      </c>
      <c r="C1456" t="s">
        <v>25</v>
      </c>
      <c r="D1456" t="s">
        <v>28</v>
      </c>
      <c r="E1456" t="s">
        <v>29</v>
      </c>
      <c r="F1456" t="s">
        <v>26</v>
      </c>
      <c r="G1456">
        <v>12</v>
      </c>
      <c r="H1456">
        <v>9</v>
      </c>
      <c r="I1456">
        <v>10</v>
      </c>
      <c r="J1456">
        <v>35.71</v>
      </c>
      <c r="K1456">
        <v>207.34</v>
      </c>
      <c r="L1456">
        <v>0.02</v>
      </c>
      <c r="M1456">
        <v>40.659999999999997</v>
      </c>
      <c r="N1456">
        <v>1</v>
      </c>
      <c r="O1456" t="s">
        <v>20</v>
      </c>
      <c r="P1456" t="s">
        <v>21</v>
      </c>
      <c r="Q1456">
        <f t="shared" si="110"/>
        <v>11</v>
      </c>
      <c r="R1456" s="4">
        <f>RANK(N1456,$N$2:N$2800,0)</f>
        <v>1</v>
      </c>
      <c r="S1456">
        <f t="shared" si="111"/>
        <v>1.2</v>
      </c>
      <c r="T1456" t="str">
        <f t="shared" si="112"/>
        <v>Low</v>
      </c>
      <c r="U1456" t="str" cm="1">
        <f t="array" ref="U1456">_xlfn.LET(_xlpm.roles,_xlfn.UNIQUE(D1456:D4254),_xlpm.kills, SUMIF(D1456:D4254,_xlpm.roles,G1456:G4254),INDEX(_xlpm.roles,MATCH(MAX(_xlpm.kills),_xlpm.kills,0)))</f>
        <v>Entry Fragger</v>
      </c>
      <c r="V1456" t="str">
        <f t="shared" si="113"/>
        <v>Medium Accuracy</v>
      </c>
      <c r="W1456" t="str" cm="1">
        <f t="array" ref="W1456">_xlfn.LET(_xlpm.roles,_xlfn.UNIQUE(D1456:D4254), _xlpm.counts,COUNTIF(D1456:D4254,_xlpm.roles), INDEX(_xlpm.roles,MATCH(MAX(_xlpm.counts),_xlpm.counts,0)))</f>
        <v>Entry Fragger</v>
      </c>
      <c r="X1456" s="2">
        <f t="shared" si="114"/>
        <v>12.809421841541756</v>
      </c>
    </row>
    <row r="1457" spans="1:24" x14ac:dyDescent="0.3">
      <c r="A1457">
        <v>1792</v>
      </c>
      <c r="B1457">
        <v>256</v>
      </c>
      <c r="C1457" t="s">
        <v>35</v>
      </c>
      <c r="D1457" t="s">
        <v>17</v>
      </c>
      <c r="E1457" t="s">
        <v>29</v>
      </c>
      <c r="F1457" t="s">
        <v>26</v>
      </c>
      <c r="G1457">
        <v>9</v>
      </c>
      <c r="H1457">
        <v>15</v>
      </c>
      <c r="I1457">
        <v>13</v>
      </c>
      <c r="J1457">
        <v>45.22</v>
      </c>
      <c r="K1457">
        <v>194.31</v>
      </c>
      <c r="L1457">
        <v>0.09</v>
      </c>
      <c r="M1457">
        <v>41.71</v>
      </c>
      <c r="N1457">
        <v>0.98</v>
      </c>
      <c r="O1457" t="s">
        <v>20</v>
      </c>
      <c r="P1457" t="s">
        <v>21</v>
      </c>
      <c r="Q1457">
        <f t="shared" si="110"/>
        <v>11</v>
      </c>
      <c r="R1457" s="4">
        <f>RANK(N1457,$N$2:N$2800,0)</f>
        <v>1157</v>
      </c>
      <c r="S1457">
        <f t="shared" si="111"/>
        <v>0.69230769230769229</v>
      </c>
      <c r="T1457" t="str">
        <f t="shared" si="112"/>
        <v>Low</v>
      </c>
      <c r="U1457" t="str" cm="1">
        <f t="array" ref="U1457">_xlfn.LET(_xlpm.roles,_xlfn.UNIQUE(D1457:D4255),_xlpm.kills, SUMIF(D1457:D4255,_xlpm.roles,G1457:G4255),INDEX(_xlpm.roles,MATCH(MAX(_xlpm.kills),_xlpm.kills,0)))</f>
        <v>Entry Fragger</v>
      </c>
      <c r="V1457" t="str">
        <f t="shared" si="113"/>
        <v>Medium Accuracy</v>
      </c>
      <c r="W1457" t="str" cm="1">
        <f t="array" ref="W1457">_xlfn.LET(_xlpm.roles,_xlfn.UNIQUE(D1457:D4255), _xlpm.counts,COUNTIF(D1457:D4255,_xlpm.roles), INDEX(_xlpm.roles,MATCH(MAX(_xlpm.counts),_xlpm.counts,0)))</f>
        <v>Entry Fragger</v>
      </c>
      <c r="X1457" s="2">
        <f t="shared" si="114"/>
        <v>12.599585062240664</v>
      </c>
    </row>
    <row r="1458" spans="1:24" x14ac:dyDescent="0.3">
      <c r="A1458">
        <v>1793</v>
      </c>
      <c r="B1458">
        <v>256</v>
      </c>
      <c r="C1458" t="s">
        <v>27</v>
      </c>
      <c r="D1458" t="s">
        <v>28</v>
      </c>
      <c r="E1458" t="s">
        <v>32</v>
      </c>
      <c r="F1458" t="s">
        <v>37</v>
      </c>
      <c r="G1458">
        <v>15</v>
      </c>
      <c r="H1458">
        <v>9</v>
      </c>
      <c r="I1458">
        <v>14</v>
      </c>
      <c r="J1458">
        <v>32.549999999999997</v>
      </c>
      <c r="K1458">
        <v>198.25</v>
      </c>
      <c r="L1458">
        <v>0.01</v>
      </c>
      <c r="M1458">
        <v>41.17</v>
      </c>
      <c r="N1458">
        <v>0.83</v>
      </c>
      <c r="O1458" t="s">
        <v>20</v>
      </c>
      <c r="P1458" t="s">
        <v>21</v>
      </c>
      <c r="Q1458">
        <f t="shared" si="110"/>
        <v>10</v>
      </c>
      <c r="R1458" s="4">
        <f>RANK(N1458,$N$2:N$2800,0)</f>
        <v>2218</v>
      </c>
      <c r="S1458">
        <f t="shared" si="111"/>
        <v>1.0714285714285714</v>
      </c>
      <c r="T1458" t="str">
        <f t="shared" si="112"/>
        <v>Low</v>
      </c>
      <c r="U1458" t="str" cm="1">
        <f t="array" ref="U1458">_xlfn.LET(_xlpm.roles,_xlfn.UNIQUE(D1458:D4256),_xlpm.kills, SUMIF(D1458:D4256,_xlpm.roles,G1458:G4256),INDEX(_xlpm.roles,MATCH(MAX(_xlpm.kills),_xlpm.kills,0)))</f>
        <v>Entry Fragger</v>
      </c>
      <c r="V1458" t="str">
        <f t="shared" si="113"/>
        <v>Medium Accuracy</v>
      </c>
      <c r="W1458" t="str" cm="1">
        <f t="array" ref="W1458">_xlfn.LET(_xlpm.roles,_xlfn.UNIQUE(D1458:D4256), _xlpm.counts,COUNTIF(D1458:D4256,_xlpm.roles), INDEX(_xlpm.roles,MATCH(MAX(_xlpm.counts),_xlpm.counts,0)))</f>
        <v>Entry Fragger</v>
      </c>
      <c r="X1458" s="2">
        <f t="shared" si="114"/>
        <v>13.057077625570777</v>
      </c>
    </row>
    <row r="1459" spans="1:24" x14ac:dyDescent="0.3">
      <c r="A1459">
        <v>1830</v>
      </c>
      <c r="B1459">
        <v>256</v>
      </c>
      <c r="C1459" t="s">
        <v>27</v>
      </c>
      <c r="D1459" t="s">
        <v>36</v>
      </c>
      <c r="E1459" t="s">
        <v>33</v>
      </c>
      <c r="F1459" t="s">
        <v>19</v>
      </c>
      <c r="G1459">
        <v>18</v>
      </c>
      <c r="H1459">
        <v>3</v>
      </c>
      <c r="I1459">
        <v>6</v>
      </c>
      <c r="J1459">
        <v>45.14</v>
      </c>
      <c r="K1459">
        <v>249.68</v>
      </c>
      <c r="L1459">
        <v>0.84</v>
      </c>
      <c r="M1459">
        <v>47.17</v>
      </c>
      <c r="N1459">
        <v>0.91</v>
      </c>
      <c r="O1459" t="s">
        <v>20</v>
      </c>
      <c r="P1459" t="s">
        <v>21</v>
      </c>
      <c r="Q1459">
        <f t="shared" si="110"/>
        <v>15</v>
      </c>
      <c r="R1459" s="4">
        <f>RANK(N1459,$N$2:N$2800,0)</f>
        <v>1665</v>
      </c>
      <c r="S1459">
        <f t="shared" si="111"/>
        <v>3</v>
      </c>
      <c r="T1459" t="str">
        <f t="shared" si="112"/>
        <v>Good</v>
      </c>
      <c r="U1459" t="str" cm="1">
        <f t="array" ref="U1459">_xlfn.LET(_xlpm.roles,_xlfn.UNIQUE(D1459:D4257),_xlpm.kills, SUMIF(D1459:D4257,_xlpm.roles,G1459:G4257),INDEX(_xlpm.roles,MATCH(MAX(_xlpm.kills),_xlpm.kills,0)))</f>
        <v>Entry Fragger</v>
      </c>
      <c r="V1459" t="str">
        <f t="shared" si="113"/>
        <v>Medium Accuracy</v>
      </c>
      <c r="W1459" t="str" cm="1">
        <f t="array" ref="W1459">_xlfn.LET(_xlpm.roles,_xlfn.UNIQUE(D1459:D4257), _xlpm.counts,COUNTIF(D1459:D4257,_xlpm.roles), INDEX(_xlpm.roles,MATCH(MAX(_xlpm.counts),_xlpm.counts,0)))</f>
        <v>Entry Fragger</v>
      </c>
      <c r="X1459" s="2">
        <f t="shared" si="114"/>
        <v>13.057077625570777</v>
      </c>
    </row>
    <row r="1460" spans="1:24" x14ac:dyDescent="0.3">
      <c r="A1460">
        <v>1952</v>
      </c>
      <c r="B1460">
        <v>256</v>
      </c>
      <c r="C1460" t="s">
        <v>39</v>
      </c>
      <c r="D1460" t="s">
        <v>22</v>
      </c>
      <c r="E1460" t="s">
        <v>29</v>
      </c>
      <c r="F1460" t="s">
        <v>26</v>
      </c>
      <c r="G1460">
        <v>20</v>
      </c>
      <c r="H1460">
        <v>10</v>
      </c>
      <c r="I1460">
        <v>13</v>
      </c>
      <c r="J1460">
        <v>56.26</v>
      </c>
      <c r="K1460">
        <v>219.74</v>
      </c>
      <c r="L1460">
        <v>0.99</v>
      </c>
      <c r="M1460">
        <v>55.23</v>
      </c>
      <c r="N1460">
        <v>1</v>
      </c>
      <c r="O1460" t="s">
        <v>20</v>
      </c>
      <c r="P1460" t="s">
        <v>21</v>
      </c>
      <c r="Q1460">
        <f t="shared" si="110"/>
        <v>17</v>
      </c>
      <c r="R1460" s="4">
        <f>RANK(N1460,$N$2:N$2800,0)</f>
        <v>1</v>
      </c>
      <c r="S1460">
        <f t="shared" si="111"/>
        <v>1.5384615384615385</v>
      </c>
      <c r="T1460" t="str">
        <f t="shared" si="112"/>
        <v>Good</v>
      </c>
      <c r="U1460" t="str" cm="1">
        <f t="array" ref="U1460">_xlfn.LET(_xlpm.roles,_xlfn.UNIQUE(D1460:D4258),_xlpm.kills, SUMIF(D1460:D4258,_xlpm.roles,G1460:G4258),INDEX(_xlpm.roles,MATCH(MAX(_xlpm.kills),_xlpm.kills,0)))</f>
        <v>Entry Fragger</v>
      </c>
      <c r="V1460" t="str">
        <f t="shared" si="113"/>
        <v>High Accuracy</v>
      </c>
      <c r="W1460" t="str" cm="1">
        <f t="array" ref="W1460">_xlfn.LET(_xlpm.roles,_xlfn.UNIQUE(D1460:D4258), _xlpm.counts,COUNTIF(D1460:D4258,_xlpm.roles), INDEX(_xlpm.roles,MATCH(MAX(_xlpm.counts),_xlpm.counts,0)))</f>
        <v>Sniper</v>
      </c>
      <c r="X1460" s="2">
        <f t="shared" si="114"/>
        <v>13.103594080338267</v>
      </c>
    </row>
    <row r="1461" spans="1:24" x14ac:dyDescent="0.3">
      <c r="A1461">
        <v>2500</v>
      </c>
      <c r="B1461">
        <v>256</v>
      </c>
      <c r="C1461" t="s">
        <v>27</v>
      </c>
      <c r="D1461" t="s">
        <v>31</v>
      </c>
      <c r="E1461" t="s">
        <v>29</v>
      </c>
      <c r="F1461" t="s">
        <v>37</v>
      </c>
      <c r="G1461">
        <v>20</v>
      </c>
      <c r="H1461">
        <v>8</v>
      </c>
      <c r="I1461">
        <v>11</v>
      </c>
      <c r="J1461">
        <v>57.34</v>
      </c>
      <c r="K1461">
        <v>170.37</v>
      </c>
      <c r="L1461">
        <v>0.96</v>
      </c>
      <c r="M1461">
        <v>56.07</v>
      </c>
      <c r="N1461">
        <v>1</v>
      </c>
      <c r="O1461" t="s">
        <v>20</v>
      </c>
      <c r="P1461" t="s">
        <v>21</v>
      </c>
      <c r="Q1461">
        <f t="shared" si="110"/>
        <v>17</v>
      </c>
      <c r="R1461" s="4">
        <f>RANK(N1461,$N$2:N$2800,0)</f>
        <v>1</v>
      </c>
      <c r="S1461">
        <f t="shared" si="111"/>
        <v>1.8181818181818181</v>
      </c>
      <c r="T1461" t="str">
        <f t="shared" si="112"/>
        <v>Good</v>
      </c>
      <c r="U1461" t="str" cm="1">
        <f t="array" ref="U1461">_xlfn.LET(_xlpm.roles,_xlfn.UNIQUE(D1461:D4259),_xlpm.kills, SUMIF(D1461:D4259,_xlpm.roles,G1461:G4259),INDEX(_xlpm.roles,MATCH(MAX(_xlpm.kills),_xlpm.kills,0)))</f>
        <v>Entry Fragger</v>
      </c>
      <c r="V1461" t="str">
        <f t="shared" si="113"/>
        <v>High Accuracy</v>
      </c>
      <c r="W1461" t="str" cm="1">
        <f t="array" ref="W1461">_xlfn.LET(_xlpm.roles,_xlfn.UNIQUE(D1461:D4259), _xlpm.counts,COUNTIF(D1461:D4259,_xlpm.roles), INDEX(_xlpm.roles,MATCH(MAX(_xlpm.counts),_xlpm.counts,0)))</f>
        <v>Sniper</v>
      </c>
      <c r="X1461" s="2">
        <f t="shared" si="114"/>
        <v>13.057077625570777</v>
      </c>
    </row>
    <row r="1462" spans="1:24" x14ac:dyDescent="0.3">
      <c r="A1462">
        <v>2748</v>
      </c>
      <c r="B1462">
        <v>256</v>
      </c>
      <c r="C1462" t="s">
        <v>27</v>
      </c>
      <c r="D1462" t="s">
        <v>36</v>
      </c>
      <c r="E1462" t="s">
        <v>32</v>
      </c>
      <c r="F1462" t="s">
        <v>24</v>
      </c>
      <c r="G1462">
        <v>18</v>
      </c>
      <c r="H1462">
        <v>9</v>
      </c>
      <c r="I1462">
        <v>11</v>
      </c>
      <c r="J1462">
        <v>45.49</v>
      </c>
      <c r="K1462">
        <v>244.32</v>
      </c>
      <c r="L1462">
        <v>0.68</v>
      </c>
      <c r="M1462">
        <v>49.95</v>
      </c>
      <c r="N1462">
        <v>0.95</v>
      </c>
      <c r="O1462" t="s">
        <v>20</v>
      </c>
      <c r="P1462" t="s">
        <v>21</v>
      </c>
      <c r="Q1462">
        <f t="shared" si="110"/>
        <v>16</v>
      </c>
      <c r="R1462" s="4">
        <f>RANK(N1462,$N$2:N$2800,0)</f>
        <v>1367</v>
      </c>
      <c r="S1462">
        <f t="shared" si="111"/>
        <v>1.6363636363636365</v>
      </c>
      <c r="T1462" t="str">
        <f t="shared" si="112"/>
        <v>Good</v>
      </c>
      <c r="U1462" t="str" cm="1">
        <f t="array" ref="U1462">_xlfn.LET(_xlpm.roles,_xlfn.UNIQUE(D1462:D4260),_xlpm.kills, SUMIF(D1462:D4260,_xlpm.roles,G1462:G4260),INDEX(_xlpm.roles,MATCH(MAX(_xlpm.kills),_xlpm.kills,0)))</f>
        <v>Entry Fragger</v>
      </c>
      <c r="V1462" t="str">
        <f t="shared" si="113"/>
        <v>Medium Accuracy</v>
      </c>
      <c r="W1462" t="str" cm="1">
        <f t="array" ref="W1462">_xlfn.LET(_xlpm.roles,_xlfn.UNIQUE(D1462:D4260), _xlpm.counts,COUNTIF(D1462:D4260,_xlpm.roles), INDEX(_xlpm.roles,MATCH(MAX(_xlpm.counts),_xlpm.counts,0)))</f>
        <v>Entry Fragger</v>
      </c>
      <c r="X1462" s="2">
        <f t="shared" si="114"/>
        <v>13.057077625570777</v>
      </c>
    </row>
    <row r="1463" spans="1:24" x14ac:dyDescent="0.3">
      <c r="A1463">
        <v>1114</v>
      </c>
      <c r="B1463">
        <v>257</v>
      </c>
      <c r="C1463" t="s">
        <v>27</v>
      </c>
      <c r="D1463" t="s">
        <v>36</v>
      </c>
      <c r="E1463" t="s">
        <v>18</v>
      </c>
      <c r="F1463" t="s">
        <v>26</v>
      </c>
      <c r="G1463">
        <v>17</v>
      </c>
      <c r="H1463">
        <v>6</v>
      </c>
      <c r="I1463">
        <v>6</v>
      </c>
      <c r="J1463">
        <v>46.58</v>
      </c>
      <c r="K1463">
        <v>205.67</v>
      </c>
      <c r="L1463">
        <v>0.22</v>
      </c>
      <c r="M1463">
        <v>55.09</v>
      </c>
      <c r="N1463">
        <v>0.85</v>
      </c>
      <c r="O1463" t="s">
        <v>20</v>
      </c>
      <c r="P1463" t="s">
        <v>21</v>
      </c>
      <c r="Q1463">
        <f t="shared" si="110"/>
        <v>17</v>
      </c>
      <c r="R1463" s="4">
        <f>RANK(N1463,$N$2:N$2800,0)</f>
        <v>2105</v>
      </c>
      <c r="S1463">
        <f t="shared" si="111"/>
        <v>2.8333333333333335</v>
      </c>
      <c r="T1463" t="str">
        <f t="shared" si="112"/>
        <v>Good</v>
      </c>
      <c r="U1463" t="str" cm="1">
        <f t="array" ref="U1463">_xlfn.LET(_xlpm.roles,_xlfn.UNIQUE(D1463:D4261),_xlpm.kills, SUMIF(D1463:D4261,_xlpm.roles,G1463:G4261),INDEX(_xlpm.roles,MATCH(MAX(_xlpm.kills),_xlpm.kills,0)))</f>
        <v>Entry Fragger</v>
      </c>
      <c r="V1463" t="str">
        <f t="shared" si="113"/>
        <v>Medium Accuracy</v>
      </c>
      <c r="W1463" t="str" cm="1">
        <f t="array" ref="W1463">_xlfn.LET(_xlpm.roles,_xlfn.UNIQUE(D1463:D4261), _xlpm.counts,COUNTIF(D1463:D4261,_xlpm.roles), INDEX(_xlpm.roles,MATCH(MAX(_xlpm.counts),_xlpm.counts,0)))</f>
        <v>Entry Fragger</v>
      </c>
      <c r="X1463" s="2">
        <f t="shared" si="114"/>
        <v>13.057077625570777</v>
      </c>
    </row>
    <row r="1464" spans="1:24" x14ac:dyDescent="0.3">
      <c r="A1464">
        <v>1614</v>
      </c>
      <c r="B1464">
        <v>257</v>
      </c>
      <c r="C1464" t="s">
        <v>27</v>
      </c>
      <c r="D1464" t="s">
        <v>28</v>
      </c>
      <c r="E1464" t="s">
        <v>23</v>
      </c>
      <c r="F1464" t="s">
        <v>26</v>
      </c>
      <c r="G1464">
        <v>14</v>
      </c>
      <c r="H1464">
        <v>7</v>
      </c>
      <c r="I1464">
        <v>16</v>
      </c>
      <c r="J1464">
        <v>38.33</v>
      </c>
      <c r="K1464">
        <v>237.81</v>
      </c>
      <c r="L1464">
        <v>0.14000000000000001</v>
      </c>
      <c r="M1464">
        <v>36.770000000000003</v>
      </c>
      <c r="N1464">
        <v>0.89</v>
      </c>
      <c r="O1464" t="s">
        <v>20</v>
      </c>
      <c r="P1464" t="s">
        <v>21</v>
      </c>
      <c r="Q1464">
        <f t="shared" si="110"/>
        <v>5</v>
      </c>
      <c r="R1464" s="4">
        <f>RANK(N1464,$N$2:N$2800,0)</f>
        <v>1815</v>
      </c>
      <c r="S1464">
        <f t="shared" si="111"/>
        <v>0.875</v>
      </c>
      <c r="T1464" t="str">
        <f t="shared" si="112"/>
        <v>Low</v>
      </c>
      <c r="U1464" t="str" cm="1">
        <f t="array" ref="U1464">_xlfn.LET(_xlpm.roles,_xlfn.UNIQUE(D1464:D4262),_xlpm.kills, SUMIF(D1464:D4262,_xlpm.roles,G1464:G4262),INDEX(_xlpm.roles,MATCH(MAX(_xlpm.kills),_xlpm.kills,0)))</f>
        <v>Entry Fragger</v>
      </c>
      <c r="V1464" t="str">
        <f t="shared" si="113"/>
        <v>Medium Accuracy</v>
      </c>
      <c r="W1464" t="str" cm="1">
        <f t="array" ref="W1464">_xlfn.LET(_xlpm.roles,_xlfn.UNIQUE(D1464:D4262), _xlpm.counts,COUNTIF(D1464:D4262,_xlpm.roles), INDEX(_xlpm.roles,MATCH(MAX(_xlpm.counts),_xlpm.counts,0)))</f>
        <v>Sniper</v>
      </c>
      <c r="X1464" s="2">
        <f t="shared" si="114"/>
        <v>13.057077625570777</v>
      </c>
    </row>
    <row r="1465" spans="1:24" x14ac:dyDescent="0.3">
      <c r="A1465">
        <v>2071</v>
      </c>
      <c r="B1465">
        <v>257</v>
      </c>
      <c r="C1465" t="s">
        <v>27</v>
      </c>
      <c r="D1465" t="s">
        <v>36</v>
      </c>
      <c r="E1465" t="s">
        <v>32</v>
      </c>
      <c r="F1465" t="s">
        <v>19</v>
      </c>
      <c r="G1465">
        <v>19</v>
      </c>
      <c r="H1465">
        <v>13</v>
      </c>
      <c r="I1465">
        <v>7</v>
      </c>
      <c r="J1465">
        <v>51.48</v>
      </c>
      <c r="K1465">
        <v>225.37</v>
      </c>
      <c r="L1465">
        <v>0.79</v>
      </c>
      <c r="M1465">
        <v>61.84</v>
      </c>
      <c r="N1465">
        <v>1</v>
      </c>
      <c r="O1465" t="s">
        <v>20</v>
      </c>
      <c r="P1465" t="s">
        <v>38</v>
      </c>
      <c r="Q1465">
        <f t="shared" si="110"/>
        <v>25</v>
      </c>
      <c r="R1465" s="4">
        <f>RANK(N1465,$N$2:N$2800,0)</f>
        <v>1</v>
      </c>
      <c r="S1465">
        <f t="shared" si="111"/>
        <v>2.7142857142857144</v>
      </c>
      <c r="T1465" t="str">
        <f t="shared" si="112"/>
        <v>Excellent</v>
      </c>
      <c r="U1465" t="str" cm="1">
        <f t="array" ref="U1465">_xlfn.LET(_xlpm.roles,_xlfn.UNIQUE(D1465:D4263),_xlpm.kills, SUMIF(D1465:D4263,_xlpm.roles,G1465:G4263),INDEX(_xlpm.roles,MATCH(MAX(_xlpm.kills),_xlpm.kills,0)))</f>
        <v>Entry Fragger</v>
      </c>
      <c r="V1465" t="str">
        <f t="shared" si="113"/>
        <v>High Accuracy</v>
      </c>
      <c r="W1465" t="str" cm="1">
        <f t="array" ref="W1465">_xlfn.LET(_xlpm.roles,_xlfn.UNIQUE(D1465:D4263), _xlpm.counts,COUNTIF(D1465:D4263,_xlpm.roles), INDEX(_xlpm.roles,MATCH(MAX(_xlpm.counts),_xlpm.counts,0)))</f>
        <v>Sniper</v>
      </c>
      <c r="X1465" s="2">
        <f t="shared" si="114"/>
        <v>13.057077625570777</v>
      </c>
    </row>
    <row r="1466" spans="1:24" x14ac:dyDescent="0.3">
      <c r="A1466">
        <v>477</v>
      </c>
      <c r="B1466">
        <v>258</v>
      </c>
      <c r="C1466" t="s">
        <v>27</v>
      </c>
      <c r="D1466" t="s">
        <v>22</v>
      </c>
      <c r="E1466" t="s">
        <v>23</v>
      </c>
      <c r="F1466" t="s">
        <v>37</v>
      </c>
      <c r="G1466">
        <v>15</v>
      </c>
      <c r="H1466">
        <v>8</v>
      </c>
      <c r="I1466">
        <v>7</v>
      </c>
      <c r="J1466">
        <v>53.37</v>
      </c>
      <c r="K1466">
        <v>268.07</v>
      </c>
      <c r="L1466">
        <v>0.64</v>
      </c>
      <c r="M1466">
        <v>51.29</v>
      </c>
      <c r="N1466">
        <v>0.86</v>
      </c>
      <c r="O1466" t="s">
        <v>20</v>
      </c>
      <c r="P1466" t="s">
        <v>21</v>
      </c>
      <c r="Q1466">
        <f t="shared" si="110"/>
        <v>16</v>
      </c>
      <c r="R1466" s="4">
        <f>RANK(N1466,$N$2:N$2800,0)</f>
        <v>2040</v>
      </c>
      <c r="S1466">
        <f t="shared" si="111"/>
        <v>2.1428571428571428</v>
      </c>
      <c r="T1466" t="str">
        <f t="shared" si="112"/>
        <v>Good</v>
      </c>
      <c r="U1466" t="str" cm="1">
        <f t="array" ref="U1466">_xlfn.LET(_xlpm.roles,_xlfn.UNIQUE(D1466:D4264),_xlpm.kills, SUMIF(D1466:D4264,_xlpm.roles,G1466:G4264),INDEX(_xlpm.roles,MATCH(MAX(_xlpm.kills),_xlpm.kills,0)))</f>
        <v>Sniper</v>
      </c>
      <c r="V1466" t="str">
        <f t="shared" si="113"/>
        <v>High Accuracy</v>
      </c>
      <c r="W1466" t="str" cm="1">
        <f t="array" ref="W1466">_xlfn.LET(_xlpm.roles,_xlfn.UNIQUE(D1466:D4264), _xlpm.counts,COUNTIF(D1466:D4264,_xlpm.roles), INDEX(_xlpm.roles,MATCH(MAX(_xlpm.counts),_xlpm.counts,0)))</f>
        <v>Sniper</v>
      </c>
      <c r="X1466" s="2">
        <f t="shared" si="114"/>
        <v>13.057077625570777</v>
      </c>
    </row>
    <row r="1467" spans="1:24" x14ac:dyDescent="0.3">
      <c r="A1467">
        <v>1037</v>
      </c>
      <c r="B1467">
        <v>258</v>
      </c>
      <c r="C1467" t="s">
        <v>27</v>
      </c>
      <c r="D1467" t="s">
        <v>36</v>
      </c>
      <c r="E1467" t="s">
        <v>18</v>
      </c>
      <c r="F1467" t="s">
        <v>19</v>
      </c>
      <c r="G1467">
        <v>8</v>
      </c>
      <c r="H1467">
        <v>10</v>
      </c>
      <c r="I1467">
        <v>7</v>
      </c>
      <c r="J1467">
        <v>47.87</v>
      </c>
      <c r="K1467">
        <v>276.51</v>
      </c>
      <c r="L1467">
        <v>0.02</v>
      </c>
      <c r="M1467">
        <v>42.73</v>
      </c>
      <c r="N1467">
        <v>1</v>
      </c>
      <c r="O1467" t="s">
        <v>20</v>
      </c>
      <c r="P1467" t="s">
        <v>21</v>
      </c>
      <c r="Q1467">
        <f t="shared" si="110"/>
        <v>11</v>
      </c>
      <c r="R1467" s="4">
        <f>RANK(N1467,$N$2:N$2800,0)</f>
        <v>1</v>
      </c>
      <c r="S1467">
        <f t="shared" si="111"/>
        <v>1.1428571428571428</v>
      </c>
      <c r="T1467" t="str">
        <f t="shared" si="112"/>
        <v>Low</v>
      </c>
      <c r="U1467" t="str" cm="1">
        <f t="array" ref="U1467">_xlfn.LET(_xlpm.roles,_xlfn.UNIQUE(D1467:D4265),_xlpm.kills, SUMIF(D1467:D4265,_xlpm.roles,G1467:G4265),INDEX(_xlpm.roles,MATCH(MAX(_xlpm.kills),_xlpm.kills,0)))</f>
        <v>Sniper</v>
      </c>
      <c r="V1467" t="str">
        <f t="shared" si="113"/>
        <v>Medium Accuracy</v>
      </c>
      <c r="W1467" t="str" cm="1">
        <f t="array" ref="W1467">_xlfn.LET(_xlpm.roles,_xlfn.UNIQUE(D1467:D4265), _xlpm.counts,COUNTIF(D1467:D4265,_xlpm.roles), INDEX(_xlpm.roles,MATCH(MAX(_xlpm.counts),_xlpm.counts,0)))</f>
        <v>Sniper</v>
      </c>
      <c r="X1467" s="2">
        <f t="shared" si="114"/>
        <v>13.057077625570777</v>
      </c>
    </row>
    <row r="1468" spans="1:24" x14ac:dyDescent="0.3">
      <c r="A1468">
        <v>1604</v>
      </c>
      <c r="B1468">
        <v>258</v>
      </c>
      <c r="C1468" t="s">
        <v>27</v>
      </c>
      <c r="D1468" t="s">
        <v>36</v>
      </c>
      <c r="E1468" t="s">
        <v>29</v>
      </c>
      <c r="F1468" t="s">
        <v>37</v>
      </c>
      <c r="G1468">
        <v>18</v>
      </c>
      <c r="H1468">
        <v>6</v>
      </c>
      <c r="I1468">
        <v>9</v>
      </c>
      <c r="J1468">
        <v>45.26</v>
      </c>
      <c r="K1468">
        <v>162.07</v>
      </c>
      <c r="L1468">
        <v>0.32</v>
      </c>
      <c r="M1468">
        <v>52.43</v>
      </c>
      <c r="N1468">
        <v>1</v>
      </c>
      <c r="O1468" t="s">
        <v>20</v>
      </c>
      <c r="P1468" t="s">
        <v>21</v>
      </c>
      <c r="Q1468">
        <f t="shared" si="110"/>
        <v>15</v>
      </c>
      <c r="R1468" s="4">
        <f>RANK(N1468,$N$2:N$2800,0)</f>
        <v>1</v>
      </c>
      <c r="S1468">
        <f t="shared" si="111"/>
        <v>2</v>
      </c>
      <c r="T1468" t="str">
        <f t="shared" si="112"/>
        <v>Good</v>
      </c>
      <c r="U1468" t="str" cm="1">
        <f t="array" ref="U1468">_xlfn.LET(_xlpm.roles,_xlfn.UNIQUE(D1468:D4266),_xlpm.kills, SUMIF(D1468:D4266,_xlpm.roles,G1468:G4266),INDEX(_xlpm.roles,MATCH(MAX(_xlpm.kills),_xlpm.kills,0)))</f>
        <v>Sniper</v>
      </c>
      <c r="V1468" t="str">
        <f t="shared" si="113"/>
        <v>Medium Accuracy</v>
      </c>
      <c r="W1468" t="str" cm="1">
        <f t="array" ref="W1468">_xlfn.LET(_xlpm.roles,_xlfn.UNIQUE(D1468:D4266), _xlpm.counts,COUNTIF(D1468:D4266,_xlpm.roles), INDEX(_xlpm.roles,MATCH(MAX(_xlpm.counts),_xlpm.counts,0)))</f>
        <v>Sniper</v>
      </c>
      <c r="X1468" s="2">
        <f t="shared" si="114"/>
        <v>13.057077625570777</v>
      </c>
    </row>
    <row r="1469" spans="1:24" x14ac:dyDescent="0.3">
      <c r="A1469">
        <v>2572</v>
      </c>
      <c r="B1469">
        <v>258</v>
      </c>
      <c r="C1469" t="s">
        <v>35</v>
      </c>
      <c r="D1469" t="s">
        <v>28</v>
      </c>
      <c r="E1469" t="s">
        <v>33</v>
      </c>
      <c r="F1469" t="s">
        <v>26</v>
      </c>
      <c r="G1469">
        <v>11</v>
      </c>
      <c r="H1469">
        <v>3</v>
      </c>
      <c r="I1469">
        <v>10</v>
      </c>
      <c r="J1469">
        <v>43.21</v>
      </c>
      <c r="K1469">
        <v>161.13</v>
      </c>
      <c r="L1469">
        <v>0.67</v>
      </c>
      <c r="M1469">
        <v>29.91</v>
      </c>
      <c r="N1469">
        <v>0.92</v>
      </c>
      <c r="O1469" t="s">
        <v>20</v>
      </c>
      <c r="P1469" t="s">
        <v>21</v>
      </c>
      <c r="Q1469">
        <f t="shared" si="110"/>
        <v>4</v>
      </c>
      <c r="R1469" s="4">
        <f>RANK(N1469,$N$2:N$2800,0)</f>
        <v>1585</v>
      </c>
      <c r="S1469">
        <f t="shared" si="111"/>
        <v>1.1000000000000001</v>
      </c>
      <c r="T1469" t="str">
        <f t="shared" si="112"/>
        <v>Low</v>
      </c>
      <c r="U1469" t="str" cm="1">
        <f t="array" ref="U1469">_xlfn.LET(_xlpm.roles,_xlfn.UNIQUE(D1469:D4267),_xlpm.kills, SUMIF(D1469:D4267,_xlpm.roles,G1469:G4267),INDEX(_xlpm.roles,MATCH(MAX(_xlpm.kills),_xlpm.kills,0)))</f>
        <v>Sniper</v>
      </c>
      <c r="V1469" t="str">
        <f t="shared" si="113"/>
        <v>Medium Accuracy</v>
      </c>
      <c r="W1469" t="str" cm="1">
        <f t="array" ref="W1469">_xlfn.LET(_xlpm.roles,_xlfn.UNIQUE(D1469:D4267), _xlpm.counts,COUNTIF(D1469:D4267,_xlpm.roles), INDEX(_xlpm.roles,MATCH(MAX(_xlpm.counts),_xlpm.counts,0)))</f>
        <v>Sniper</v>
      </c>
      <c r="X1469" s="2">
        <f t="shared" si="114"/>
        <v>12.599585062240664</v>
      </c>
    </row>
    <row r="1470" spans="1:24" x14ac:dyDescent="0.3">
      <c r="A1470">
        <v>244</v>
      </c>
      <c r="B1470">
        <v>259</v>
      </c>
      <c r="C1470" t="s">
        <v>35</v>
      </c>
      <c r="D1470" t="s">
        <v>22</v>
      </c>
      <c r="E1470" t="s">
        <v>33</v>
      </c>
      <c r="F1470" t="s">
        <v>19</v>
      </c>
      <c r="G1470">
        <v>14</v>
      </c>
      <c r="H1470">
        <v>10</v>
      </c>
      <c r="I1470">
        <v>8</v>
      </c>
      <c r="J1470">
        <v>50.88</v>
      </c>
      <c r="K1470">
        <v>223.28</v>
      </c>
      <c r="L1470">
        <v>0.37</v>
      </c>
      <c r="M1470">
        <v>51.74</v>
      </c>
      <c r="N1470">
        <v>1</v>
      </c>
      <c r="O1470" t="s">
        <v>20</v>
      </c>
      <c r="P1470" t="s">
        <v>21</v>
      </c>
      <c r="Q1470">
        <f t="shared" si="110"/>
        <v>16</v>
      </c>
      <c r="R1470" s="4">
        <f>RANK(N1470,$N$2:N$2800,0)</f>
        <v>1</v>
      </c>
      <c r="S1470">
        <f t="shared" si="111"/>
        <v>1.75</v>
      </c>
      <c r="T1470" t="str">
        <f t="shared" si="112"/>
        <v>Good</v>
      </c>
      <c r="U1470" t="str" cm="1">
        <f t="array" ref="U1470">_xlfn.LET(_xlpm.roles,_xlfn.UNIQUE(D1470:D4268),_xlpm.kills, SUMIF(D1470:D4268,_xlpm.roles,G1470:G4268),INDEX(_xlpm.roles,MATCH(MAX(_xlpm.kills),_xlpm.kills,0)))</f>
        <v>Sniper</v>
      </c>
      <c r="V1470" t="str">
        <f t="shared" si="113"/>
        <v>High Accuracy</v>
      </c>
      <c r="W1470" t="str" cm="1">
        <f t="array" ref="W1470">_xlfn.LET(_xlpm.roles,_xlfn.UNIQUE(D1470:D4268), _xlpm.counts,COUNTIF(D1470:D4268,_xlpm.roles), INDEX(_xlpm.roles,MATCH(MAX(_xlpm.counts),_xlpm.counts,0)))</f>
        <v>Sniper</v>
      </c>
      <c r="X1470" s="2">
        <f t="shared" si="114"/>
        <v>12.599585062240664</v>
      </c>
    </row>
    <row r="1471" spans="1:24" x14ac:dyDescent="0.3">
      <c r="A1471">
        <v>325</v>
      </c>
      <c r="B1471">
        <v>259</v>
      </c>
      <c r="C1471" t="s">
        <v>35</v>
      </c>
      <c r="D1471" t="s">
        <v>28</v>
      </c>
      <c r="E1471" t="s">
        <v>23</v>
      </c>
      <c r="F1471" t="s">
        <v>37</v>
      </c>
      <c r="G1471">
        <v>18</v>
      </c>
      <c r="H1471">
        <v>8</v>
      </c>
      <c r="I1471">
        <v>10</v>
      </c>
      <c r="J1471">
        <v>44.5</v>
      </c>
      <c r="K1471">
        <v>227.24</v>
      </c>
      <c r="L1471">
        <v>0.92</v>
      </c>
      <c r="M1471">
        <v>47.05</v>
      </c>
      <c r="N1471">
        <v>0.8</v>
      </c>
      <c r="O1471" t="s">
        <v>20</v>
      </c>
      <c r="P1471" t="s">
        <v>21</v>
      </c>
      <c r="Q1471">
        <f t="shared" si="110"/>
        <v>16</v>
      </c>
      <c r="R1471" s="4">
        <f>RANK(N1471,$N$2:N$2800,0)</f>
        <v>2393</v>
      </c>
      <c r="S1471">
        <f t="shared" si="111"/>
        <v>1.8</v>
      </c>
      <c r="T1471" t="str">
        <f t="shared" si="112"/>
        <v>Good</v>
      </c>
      <c r="U1471" t="str" cm="1">
        <f t="array" ref="U1471">_xlfn.LET(_xlpm.roles,_xlfn.UNIQUE(D1471:D4269),_xlpm.kills, SUMIF(D1471:D4269,_xlpm.roles,G1471:G4269),INDEX(_xlpm.roles,MATCH(MAX(_xlpm.kills),_xlpm.kills,0)))</f>
        <v>Sniper</v>
      </c>
      <c r="V1471" t="str">
        <f t="shared" si="113"/>
        <v>Medium Accuracy</v>
      </c>
      <c r="W1471" t="str" cm="1">
        <f t="array" ref="W1471">_xlfn.LET(_xlpm.roles,_xlfn.UNIQUE(D1471:D4269), _xlpm.counts,COUNTIF(D1471:D4269,_xlpm.roles), INDEX(_xlpm.roles,MATCH(MAX(_xlpm.counts),_xlpm.counts,0)))</f>
        <v>Sniper</v>
      </c>
      <c r="X1471" s="2">
        <f t="shared" si="114"/>
        <v>12.599585062240664</v>
      </c>
    </row>
    <row r="1472" spans="1:24" x14ac:dyDescent="0.3">
      <c r="A1472">
        <v>1119</v>
      </c>
      <c r="B1472">
        <v>259</v>
      </c>
      <c r="C1472" t="s">
        <v>30</v>
      </c>
      <c r="D1472" t="s">
        <v>28</v>
      </c>
      <c r="E1472" t="s">
        <v>29</v>
      </c>
      <c r="F1472" t="s">
        <v>37</v>
      </c>
      <c r="G1472">
        <v>18</v>
      </c>
      <c r="H1472">
        <v>5</v>
      </c>
      <c r="I1472">
        <v>16</v>
      </c>
      <c r="J1472">
        <v>41.67</v>
      </c>
      <c r="K1472">
        <v>208.31</v>
      </c>
      <c r="L1472">
        <v>0.79</v>
      </c>
      <c r="M1472">
        <v>37.94</v>
      </c>
      <c r="N1472">
        <v>0.72</v>
      </c>
      <c r="O1472" t="s">
        <v>20</v>
      </c>
      <c r="P1472" t="s">
        <v>21</v>
      </c>
      <c r="Q1472">
        <f t="shared" si="110"/>
        <v>7</v>
      </c>
      <c r="R1472" s="4">
        <f>RANK(N1472,$N$2:N$2800,0)</f>
        <v>2663</v>
      </c>
      <c r="S1472">
        <f t="shared" si="111"/>
        <v>1.125</v>
      </c>
      <c r="T1472" t="str">
        <f t="shared" si="112"/>
        <v>Low</v>
      </c>
      <c r="U1472" t="str" cm="1">
        <f t="array" ref="U1472">_xlfn.LET(_xlpm.roles,_xlfn.UNIQUE(D1472:D4270),_xlpm.kills, SUMIF(D1472:D4270,_xlpm.roles,G1472:G4270),INDEX(_xlpm.roles,MATCH(MAX(_xlpm.kills),_xlpm.kills,0)))</f>
        <v>Sniper</v>
      </c>
      <c r="V1472" t="str">
        <f t="shared" si="113"/>
        <v>Medium Accuracy</v>
      </c>
      <c r="W1472" t="str" cm="1">
        <f t="array" ref="W1472">_xlfn.LET(_xlpm.roles,_xlfn.UNIQUE(D1472:D4270), _xlpm.counts,COUNTIF(D1472:D4270,_xlpm.roles), INDEX(_xlpm.roles,MATCH(MAX(_xlpm.counts),_xlpm.counts,0)))</f>
        <v>Sniper</v>
      </c>
      <c r="X1472" s="2">
        <f t="shared" si="114"/>
        <v>13.135802469135802</v>
      </c>
    </row>
    <row r="1473" spans="1:24" x14ac:dyDescent="0.3">
      <c r="A1473">
        <v>2780</v>
      </c>
      <c r="B1473">
        <v>259</v>
      </c>
      <c r="C1473" t="s">
        <v>16</v>
      </c>
      <c r="D1473" t="s">
        <v>36</v>
      </c>
      <c r="E1473" t="s">
        <v>18</v>
      </c>
      <c r="F1473" t="s">
        <v>34</v>
      </c>
      <c r="G1473">
        <v>16</v>
      </c>
      <c r="H1473">
        <v>7</v>
      </c>
      <c r="I1473">
        <v>10</v>
      </c>
      <c r="J1473">
        <v>48.72</v>
      </c>
      <c r="K1473">
        <v>231.91</v>
      </c>
      <c r="L1473">
        <v>0.02</v>
      </c>
      <c r="M1473">
        <v>53.16</v>
      </c>
      <c r="N1473">
        <v>1</v>
      </c>
      <c r="O1473" t="s">
        <v>20</v>
      </c>
      <c r="P1473" t="s">
        <v>21</v>
      </c>
      <c r="Q1473">
        <f t="shared" si="110"/>
        <v>13</v>
      </c>
      <c r="R1473" s="4">
        <f>RANK(N1473,$N$2:N$2800,0)</f>
        <v>1</v>
      </c>
      <c r="S1473">
        <f t="shared" si="111"/>
        <v>1.6</v>
      </c>
      <c r="T1473" t="str">
        <f t="shared" si="112"/>
        <v>Low</v>
      </c>
      <c r="U1473" t="str" cm="1">
        <f t="array" ref="U1473">_xlfn.LET(_xlpm.roles,_xlfn.UNIQUE(D1473:D4271),_xlpm.kills, SUMIF(D1473:D4271,_xlpm.roles,G1473:G4271),INDEX(_xlpm.roles,MATCH(MAX(_xlpm.kills),_xlpm.kills,0)))</f>
        <v>Sniper</v>
      </c>
      <c r="V1473" t="str">
        <f t="shared" si="113"/>
        <v>Medium Accuracy</v>
      </c>
      <c r="W1473" t="str" cm="1">
        <f t="array" ref="W1473">_xlfn.LET(_xlpm.roles,_xlfn.UNIQUE(D1473:D4271), _xlpm.counts,COUNTIF(D1473:D4271,_xlpm.roles), INDEX(_xlpm.roles,MATCH(MAX(_xlpm.counts),_xlpm.counts,0)))</f>
        <v>Sniper</v>
      </c>
      <c r="X1473" s="2">
        <f t="shared" si="114"/>
        <v>12.520971302428256</v>
      </c>
    </row>
    <row r="1474" spans="1:24" x14ac:dyDescent="0.3">
      <c r="A1474">
        <v>839</v>
      </c>
      <c r="B1474">
        <v>260</v>
      </c>
      <c r="C1474" t="s">
        <v>16</v>
      </c>
      <c r="D1474" t="s">
        <v>22</v>
      </c>
      <c r="E1474" t="s">
        <v>29</v>
      </c>
      <c r="F1474" t="s">
        <v>24</v>
      </c>
      <c r="G1474">
        <v>22</v>
      </c>
      <c r="H1474">
        <v>6</v>
      </c>
      <c r="I1474">
        <v>8</v>
      </c>
      <c r="J1474">
        <v>43.11</v>
      </c>
      <c r="K1474">
        <v>215.97</v>
      </c>
      <c r="L1474">
        <v>0.73</v>
      </c>
      <c r="M1474">
        <v>56.26</v>
      </c>
      <c r="N1474">
        <v>1</v>
      </c>
      <c r="O1474" t="s">
        <v>20</v>
      </c>
      <c r="P1474" t="s">
        <v>21</v>
      </c>
      <c r="Q1474">
        <f t="shared" si="110"/>
        <v>20</v>
      </c>
      <c r="R1474" s="4">
        <f>RANK(N1474,$N$2:N$2800,0)</f>
        <v>1</v>
      </c>
      <c r="S1474">
        <f t="shared" si="111"/>
        <v>2.75</v>
      </c>
      <c r="T1474" t="str">
        <f t="shared" si="112"/>
        <v>Good</v>
      </c>
      <c r="U1474" t="str" cm="1">
        <f t="array" ref="U1474">_xlfn.LET(_xlpm.roles,_xlfn.UNIQUE(D1474:D4272),_xlpm.kills, SUMIF(D1474:D4272,_xlpm.roles,G1474:G4272),INDEX(_xlpm.roles,MATCH(MAX(_xlpm.kills),_xlpm.kills,0)))</f>
        <v>Sniper</v>
      </c>
      <c r="V1474" t="str">
        <f t="shared" si="113"/>
        <v>Medium Accuracy</v>
      </c>
      <c r="W1474" t="str" cm="1">
        <f t="array" ref="W1474">_xlfn.LET(_xlpm.roles,_xlfn.UNIQUE(D1474:D4272), _xlpm.counts,COUNTIF(D1474:D4272,_xlpm.roles), INDEX(_xlpm.roles,MATCH(MAX(_xlpm.counts),_xlpm.counts,0)))</f>
        <v>Sniper</v>
      </c>
      <c r="X1474" s="2">
        <f t="shared" si="114"/>
        <v>12.520971302428256</v>
      </c>
    </row>
    <row r="1475" spans="1:24" x14ac:dyDescent="0.3">
      <c r="A1475">
        <v>972</v>
      </c>
      <c r="B1475">
        <v>260</v>
      </c>
      <c r="C1475" t="s">
        <v>27</v>
      </c>
      <c r="D1475" t="s">
        <v>22</v>
      </c>
      <c r="E1475" t="s">
        <v>33</v>
      </c>
      <c r="F1475" t="s">
        <v>19</v>
      </c>
      <c r="G1475">
        <v>11</v>
      </c>
      <c r="H1475">
        <v>5</v>
      </c>
      <c r="I1475">
        <v>13</v>
      </c>
      <c r="J1475">
        <v>52.32</v>
      </c>
      <c r="K1475">
        <v>221.17</v>
      </c>
      <c r="L1475">
        <v>0.06</v>
      </c>
      <c r="M1475">
        <v>39.56</v>
      </c>
      <c r="N1475">
        <v>0.92</v>
      </c>
      <c r="O1475" t="s">
        <v>20</v>
      </c>
      <c r="P1475" t="s">
        <v>21</v>
      </c>
      <c r="Q1475">
        <f t="shared" ref="Q1475:Q1538" si="115">G1475+H1475-I1475</f>
        <v>3</v>
      </c>
      <c r="R1475" s="4">
        <f>RANK(N1475,$N$2:N$2800,0)</f>
        <v>1585</v>
      </c>
      <c r="S1475">
        <f t="shared" ref="S1475:S1538" si="116">G1475/I1475</f>
        <v>0.84615384615384615</v>
      </c>
      <c r="T1475" t="str">
        <f t="shared" ref="T1475:T1538" si="117">IF(Q1475&lt;15,"Low",IF(Q1475&lt;25,"Good","Excellent"))</f>
        <v>Low</v>
      </c>
      <c r="U1475" t="str" cm="1">
        <f t="array" ref="U1475">_xlfn.LET(_xlpm.roles,_xlfn.UNIQUE(D1475:D4273),_xlpm.kills, SUMIF(D1475:D4273,_xlpm.roles,G1475:G4273),INDEX(_xlpm.roles,MATCH(MAX(_xlpm.kills),_xlpm.kills,0)))</f>
        <v>Sniper</v>
      </c>
      <c r="V1475" t="str">
        <f t="shared" ref="V1475:V1538" si="118">IF(J1475&gt;=50,"High Accuracy",IF(J1475&gt;=30,"Medium Accuracy","Low Accuracy"))</f>
        <v>High Accuracy</v>
      </c>
      <c r="W1475" t="str" cm="1">
        <f t="array" ref="W1475">_xlfn.LET(_xlpm.roles,_xlfn.UNIQUE(D1475:D4273), _xlpm.counts,COUNTIF(D1475:D4273,_xlpm.roles), INDEX(_xlpm.roles,MATCH(MAX(_xlpm.counts),_xlpm.counts,0)))</f>
        <v>Sniper</v>
      </c>
      <c r="X1475" s="2">
        <f t="shared" ref="X1475:X1538" si="119">AVERAGEIF($C$2:$C$2800,C1475,$Q$2:$Q$2800)</f>
        <v>13.057077625570777</v>
      </c>
    </row>
    <row r="1476" spans="1:24" x14ac:dyDescent="0.3">
      <c r="A1476">
        <v>1012</v>
      </c>
      <c r="B1476">
        <v>260</v>
      </c>
      <c r="C1476" t="s">
        <v>16</v>
      </c>
      <c r="D1476" t="s">
        <v>36</v>
      </c>
      <c r="E1476" t="s">
        <v>18</v>
      </c>
      <c r="F1476" t="s">
        <v>26</v>
      </c>
      <c r="G1476">
        <v>12</v>
      </c>
      <c r="H1476">
        <v>7</v>
      </c>
      <c r="I1476">
        <v>15</v>
      </c>
      <c r="J1476">
        <v>47.13</v>
      </c>
      <c r="K1476">
        <v>229.18</v>
      </c>
      <c r="L1476">
        <v>0.19</v>
      </c>
      <c r="M1476">
        <v>37.659999999999997</v>
      </c>
      <c r="N1476">
        <v>1</v>
      </c>
      <c r="O1476" t="s">
        <v>20</v>
      </c>
      <c r="P1476" t="s">
        <v>21</v>
      </c>
      <c r="Q1476">
        <f t="shared" si="115"/>
        <v>4</v>
      </c>
      <c r="R1476" s="4">
        <f>RANK(N1476,$N$2:N$2800,0)</f>
        <v>1</v>
      </c>
      <c r="S1476">
        <f t="shared" si="116"/>
        <v>0.8</v>
      </c>
      <c r="T1476" t="str">
        <f t="shared" si="117"/>
        <v>Low</v>
      </c>
      <c r="U1476" t="str" cm="1">
        <f t="array" ref="U1476">_xlfn.LET(_xlpm.roles,_xlfn.UNIQUE(D1476:D4274),_xlpm.kills, SUMIF(D1476:D4274,_xlpm.roles,G1476:G4274),INDEX(_xlpm.roles,MATCH(MAX(_xlpm.kills),_xlpm.kills,0)))</f>
        <v>Sniper</v>
      </c>
      <c r="V1476" t="str">
        <f t="shared" si="118"/>
        <v>Medium Accuracy</v>
      </c>
      <c r="W1476" t="str" cm="1">
        <f t="array" ref="W1476">_xlfn.LET(_xlpm.roles,_xlfn.UNIQUE(D1476:D4274), _xlpm.counts,COUNTIF(D1476:D4274,_xlpm.roles), INDEX(_xlpm.roles,MATCH(MAX(_xlpm.counts),_xlpm.counts,0)))</f>
        <v>Sniper</v>
      </c>
      <c r="X1476" s="2">
        <f t="shared" si="119"/>
        <v>12.520971302428256</v>
      </c>
    </row>
    <row r="1477" spans="1:24" x14ac:dyDescent="0.3">
      <c r="A1477">
        <v>1563</v>
      </c>
      <c r="B1477">
        <v>260</v>
      </c>
      <c r="C1477" t="s">
        <v>39</v>
      </c>
      <c r="D1477" t="s">
        <v>17</v>
      </c>
      <c r="E1477" t="s">
        <v>29</v>
      </c>
      <c r="F1477" t="s">
        <v>37</v>
      </c>
      <c r="G1477">
        <v>19</v>
      </c>
      <c r="H1477">
        <v>11</v>
      </c>
      <c r="I1477">
        <v>10</v>
      </c>
      <c r="J1477">
        <v>36.549999999999997</v>
      </c>
      <c r="K1477">
        <v>222.36</v>
      </c>
      <c r="L1477">
        <v>0.25</v>
      </c>
      <c r="M1477">
        <v>54.77</v>
      </c>
      <c r="N1477">
        <v>1</v>
      </c>
      <c r="O1477" t="s">
        <v>20</v>
      </c>
      <c r="P1477" t="s">
        <v>21</v>
      </c>
      <c r="Q1477">
        <f t="shared" si="115"/>
        <v>20</v>
      </c>
      <c r="R1477" s="4">
        <f>RANK(N1477,$N$2:N$2800,0)</f>
        <v>1</v>
      </c>
      <c r="S1477">
        <f t="shared" si="116"/>
        <v>1.9</v>
      </c>
      <c r="T1477" t="str">
        <f t="shared" si="117"/>
        <v>Good</v>
      </c>
      <c r="U1477" t="str" cm="1">
        <f t="array" ref="U1477">_xlfn.LET(_xlpm.roles,_xlfn.UNIQUE(D1477:D4275),_xlpm.kills, SUMIF(D1477:D4275,_xlpm.roles,G1477:G4275),INDEX(_xlpm.roles,MATCH(MAX(_xlpm.kills),_xlpm.kills,0)))</f>
        <v>Sniper</v>
      </c>
      <c r="V1477" t="str">
        <f t="shared" si="118"/>
        <v>Medium Accuracy</v>
      </c>
      <c r="W1477" t="str" cm="1">
        <f t="array" ref="W1477">_xlfn.LET(_xlpm.roles,_xlfn.UNIQUE(D1477:D4275), _xlpm.counts,COUNTIF(D1477:D4275,_xlpm.roles), INDEX(_xlpm.roles,MATCH(MAX(_xlpm.counts),_xlpm.counts,0)))</f>
        <v>Sniper</v>
      </c>
      <c r="X1477" s="2">
        <f t="shared" si="119"/>
        <v>13.103594080338267</v>
      </c>
    </row>
    <row r="1478" spans="1:24" x14ac:dyDescent="0.3">
      <c r="A1478">
        <v>2278</v>
      </c>
      <c r="B1478">
        <v>260</v>
      </c>
      <c r="C1478" t="s">
        <v>16</v>
      </c>
      <c r="D1478" t="s">
        <v>22</v>
      </c>
      <c r="E1478" t="s">
        <v>18</v>
      </c>
      <c r="F1478" t="s">
        <v>26</v>
      </c>
      <c r="G1478">
        <v>15</v>
      </c>
      <c r="H1478">
        <v>7</v>
      </c>
      <c r="I1478">
        <v>6</v>
      </c>
      <c r="J1478">
        <v>44.65</v>
      </c>
      <c r="K1478">
        <v>182.75</v>
      </c>
      <c r="L1478">
        <v>0.15</v>
      </c>
      <c r="M1478">
        <v>51.83</v>
      </c>
      <c r="N1478">
        <v>1</v>
      </c>
      <c r="O1478" t="s">
        <v>20</v>
      </c>
      <c r="P1478" t="s">
        <v>21</v>
      </c>
      <c r="Q1478">
        <f t="shared" si="115"/>
        <v>16</v>
      </c>
      <c r="R1478" s="4">
        <f>RANK(N1478,$N$2:N$2800,0)</f>
        <v>1</v>
      </c>
      <c r="S1478">
        <f t="shared" si="116"/>
        <v>2.5</v>
      </c>
      <c r="T1478" t="str">
        <f t="shared" si="117"/>
        <v>Good</v>
      </c>
      <c r="U1478" t="str" cm="1">
        <f t="array" ref="U1478">_xlfn.LET(_xlpm.roles,_xlfn.UNIQUE(D1478:D4276),_xlpm.kills, SUMIF(D1478:D4276,_xlpm.roles,G1478:G4276),INDEX(_xlpm.roles,MATCH(MAX(_xlpm.kills),_xlpm.kills,0)))</f>
        <v>Sniper</v>
      </c>
      <c r="V1478" t="str">
        <f t="shared" si="118"/>
        <v>Medium Accuracy</v>
      </c>
      <c r="W1478" t="str" cm="1">
        <f t="array" ref="W1478">_xlfn.LET(_xlpm.roles,_xlfn.UNIQUE(D1478:D4276), _xlpm.counts,COUNTIF(D1478:D4276,_xlpm.roles), INDEX(_xlpm.roles,MATCH(MAX(_xlpm.counts),_xlpm.counts,0)))</f>
        <v>Sniper</v>
      </c>
      <c r="X1478" s="2">
        <f t="shared" si="119"/>
        <v>12.520971302428256</v>
      </c>
    </row>
    <row r="1479" spans="1:24" x14ac:dyDescent="0.3">
      <c r="A1479">
        <v>590</v>
      </c>
      <c r="B1479">
        <v>261</v>
      </c>
      <c r="C1479" t="s">
        <v>30</v>
      </c>
      <c r="D1479" t="s">
        <v>28</v>
      </c>
      <c r="E1479" t="s">
        <v>32</v>
      </c>
      <c r="F1479" t="s">
        <v>24</v>
      </c>
      <c r="G1479">
        <v>6</v>
      </c>
      <c r="H1479">
        <v>10</v>
      </c>
      <c r="I1479">
        <v>15</v>
      </c>
      <c r="J1479">
        <v>50.82</v>
      </c>
      <c r="K1479">
        <v>281.54000000000002</v>
      </c>
      <c r="L1479">
        <v>0.95</v>
      </c>
      <c r="M1479">
        <v>22.91</v>
      </c>
      <c r="N1479">
        <v>0.66</v>
      </c>
      <c r="O1479" t="s">
        <v>20</v>
      </c>
      <c r="P1479" t="s">
        <v>21</v>
      </c>
      <c r="Q1479">
        <f t="shared" si="115"/>
        <v>1</v>
      </c>
      <c r="R1479" s="4">
        <f>RANK(N1479,$N$2:N$2800,0)</f>
        <v>2746</v>
      </c>
      <c r="S1479">
        <f t="shared" si="116"/>
        <v>0.4</v>
      </c>
      <c r="T1479" t="str">
        <f t="shared" si="117"/>
        <v>Low</v>
      </c>
      <c r="U1479" t="str" cm="1">
        <f t="array" ref="U1479">_xlfn.LET(_xlpm.roles,_xlfn.UNIQUE(D1479:D4277),_xlpm.kills, SUMIF(D1479:D4277,_xlpm.roles,G1479:G4277),INDEX(_xlpm.roles,MATCH(MAX(_xlpm.kills),_xlpm.kills,0)))</f>
        <v>Sniper</v>
      </c>
      <c r="V1479" t="str">
        <f t="shared" si="118"/>
        <v>High Accuracy</v>
      </c>
      <c r="W1479" t="str" cm="1">
        <f t="array" ref="W1479">_xlfn.LET(_xlpm.roles,_xlfn.UNIQUE(D1479:D4277), _xlpm.counts,COUNTIF(D1479:D4277,_xlpm.roles), INDEX(_xlpm.roles,MATCH(MAX(_xlpm.counts),_xlpm.counts,0)))</f>
        <v>Sniper</v>
      </c>
      <c r="X1479" s="2">
        <f t="shared" si="119"/>
        <v>13.135802469135802</v>
      </c>
    </row>
    <row r="1480" spans="1:24" x14ac:dyDescent="0.3">
      <c r="A1480">
        <v>643</v>
      </c>
      <c r="B1480">
        <v>261</v>
      </c>
      <c r="C1480" t="s">
        <v>16</v>
      </c>
      <c r="D1480" t="s">
        <v>22</v>
      </c>
      <c r="E1480" t="s">
        <v>18</v>
      </c>
      <c r="F1480" t="s">
        <v>24</v>
      </c>
      <c r="G1480">
        <v>11</v>
      </c>
      <c r="H1480">
        <v>11</v>
      </c>
      <c r="I1480">
        <v>20</v>
      </c>
      <c r="J1480">
        <v>43.53</v>
      </c>
      <c r="K1480">
        <v>230.11</v>
      </c>
      <c r="L1480">
        <v>0.99</v>
      </c>
      <c r="M1480">
        <v>24.87</v>
      </c>
      <c r="N1480">
        <v>0.71</v>
      </c>
      <c r="O1480" t="s">
        <v>20</v>
      </c>
      <c r="P1480" t="s">
        <v>21</v>
      </c>
      <c r="Q1480">
        <f t="shared" si="115"/>
        <v>2</v>
      </c>
      <c r="R1480" s="4">
        <f>RANK(N1480,$N$2:N$2800,0)</f>
        <v>2688</v>
      </c>
      <c r="S1480">
        <f t="shared" si="116"/>
        <v>0.55000000000000004</v>
      </c>
      <c r="T1480" t="str">
        <f t="shared" si="117"/>
        <v>Low</v>
      </c>
      <c r="U1480" t="str" cm="1">
        <f t="array" ref="U1480">_xlfn.LET(_xlpm.roles,_xlfn.UNIQUE(D1480:D4278),_xlpm.kills, SUMIF(D1480:D4278,_xlpm.roles,G1480:G4278),INDEX(_xlpm.roles,MATCH(MAX(_xlpm.kills),_xlpm.kills,0)))</f>
        <v>Sniper</v>
      </c>
      <c r="V1480" t="str">
        <f t="shared" si="118"/>
        <v>Medium Accuracy</v>
      </c>
      <c r="W1480" t="str" cm="1">
        <f t="array" ref="W1480">_xlfn.LET(_xlpm.roles,_xlfn.UNIQUE(D1480:D4278), _xlpm.counts,COUNTIF(D1480:D4278,_xlpm.roles), INDEX(_xlpm.roles,MATCH(MAX(_xlpm.counts),_xlpm.counts,0)))</f>
        <v>Sniper</v>
      </c>
      <c r="X1480" s="2">
        <f t="shared" si="119"/>
        <v>12.520971302428256</v>
      </c>
    </row>
    <row r="1481" spans="1:24" x14ac:dyDescent="0.3">
      <c r="A1481">
        <v>1519</v>
      </c>
      <c r="B1481">
        <v>261</v>
      </c>
      <c r="C1481" t="s">
        <v>30</v>
      </c>
      <c r="D1481" t="s">
        <v>28</v>
      </c>
      <c r="E1481" t="s">
        <v>33</v>
      </c>
      <c r="F1481" t="s">
        <v>26</v>
      </c>
      <c r="G1481">
        <v>17</v>
      </c>
      <c r="H1481">
        <v>5</v>
      </c>
      <c r="I1481">
        <v>10</v>
      </c>
      <c r="J1481">
        <v>49.68</v>
      </c>
      <c r="K1481">
        <v>215.88</v>
      </c>
      <c r="L1481">
        <v>0.83</v>
      </c>
      <c r="M1481">
        <v>45.54</v>
      </c>
      <c r="N1481">
        <v>1</v>
      </c>
      <c r="O1481" t="s">
        <v>20</v>
      </c>
      <c r="P1481" t="s">
        <v>21</v>
      </c>
      <c r="Q1481">
        <f t="shared" si="115"/>
        <v>12</v>
      </c>
      <c r="R1481" s="4">
        <f>RANK(N1481,$N$2:N$2800,0)</f>
        <v>1</v>
      </c>
      <c r="S1481">
        <f t="shared" si="116"/>
        <v>1.7</v>
      </c>
      <c r="T1481" t="str">
        <f t="shared" si="117"/>
        <v>Low</v>
      </c>
      <c r="U1481" t="str" cm="1">
        <f t="array" ref="U1481">_xlfn.LET(_xlpm.roles,_xlfn.UNIQUE(D1481:D4279),_xlpm.kills, SUMIF(D1481:D4279,_xlpm.roles,G1481:G4279),INDEX(_xlpm.roles,MATCH(MAX(_xlpm.kills),_xlpm.kills,0)))</f>
        <v>Sniper</v>
      </c>
      <c r="V1481" t="str">
        <f t="shared" si="118"/>
        <v>Medium Accuracy</v>
      </c>
      <c r="W1481" t="str" cm="1">
        <f t="array" ref="W1481">_xlfn.LET(_xlpm.roles,_xlfn.UNIQUE(D1481:D4279), _xlpm.counts,COUNTIF(D1481:D4279,_xlpm.roles), INDEX(_xlpm.roles,MATCH(MAX(_xlpm.counts),_xlpm.counts,0)))</f>
        <v>Sniper</v>
      </c>
      <c r="X1481" s="2">
        <f t="shared" si="119"/>
        <v>13.135802469135802</v>
      </c>
    </row>
    <row r="1482" spans="1:24" x14ac:dyDescent="0.3">
      <c r="A1482">
        <v>2010</v>
      </c>
      <c r="B1482">
        <v>261</v>
      </c>
      <c r="C1482" t="s">
        <v>27</v>
      </c>
      <c r="D1482" t="s">
        <v>31</v>
      </c>
      <c r="E1482" t="s">
        <v>18</v>
      </c>
      <c r="F1482" t="s">
        <v>37</v>
      </c>
      <c r="G1482">
        <v>16</v>
      </c>
      <c r="H1482">
        <v>5</v>
      </c>
      <c r="I1482">
        <v>6</v>
      </c>
      <c r="J1482">
        <v>42</v>
      </c>
      <c r="K1482">
        <v>224.95</v>
      </c>
      <c r="L1482">
        <v>0.59</v>
      </c>
      <c r="M1482">
        <v>46.1</v>
      </c>
      <c r="N1482">
        <v>0.87</v>
      </c>
      <c r="O1482" t="s">
        <v>20</v>
      </c>
      <c r="P1482" t="s">
        <v>21</v>
      </c>
      <c r="Q1482">
        <f t="shared" si="115"/>
        <v>15</v>
      </c>
      <c r="R1482" s="4">
        <f>RANK(N1482,$N$2:N$2800,0)</f>
        <v>1965</v>
      </c>
      <c r="S1482">
        <f t="shared" si="116"/>
        <v>2.6666666666666665</v>
      </c>
      <c r="T1482" t="str">
        <f t="shared" si="117"/>
        <v>Good</v>
      </c>
      <c r="U1482" t="str" cm="1">
        <f t="array" ref="U1482">_xlfn.LET(_xlpm.roles,_xlfn.UNIQUE(D1482:D4280),_xlpm.kills, SUMIF(D1482:D4280,_xlpm.roles,G1482:G4280),INDEX(_xlpm.roles,MATCH(MAX(_xlpm.kills),_xlpm.kills,0)))</f>
        <v>Sniper</v>
      </c>
      <c r="V1482" t="str">
        <f t="shared" si="118"/>
        <v>Medium Accuracy</v>
      </c>
      <c r="W1482" t="str" cm="1">
        <f t="array" ref="W1482">_xlfn.LET(_xlpm.roles,_xlfn.UNIQUE(D1482:D4280), _xlpm.counts,COUNTIF(D1482:D4280,_xlpm.roles), INDEX(_xlpm.roles,MATCH(MAX(_xlpm.counts),_xlpm.counts,0)))</f>
        <v>Sniper</v>
      </c>
      <c r="X1482" s="2">
        <f t="shared" si="119"/>
        <v>13.057077625570777</v>
      </c>
    </row>
    <row r="1483" spans="1:24" x14ac:dyDescent="0.3">
      <c r="A1483">
        <v>2140</v>
      </c>
      <c r="B1483">
        <v>261</v>
      </c>
      <c r="C1483" t="s">
        <v>16</v>
      </c>
      <c r="D1483" t="s">
        <v>31</v>
      </c>
      <c r="E1483" t="s">
        <v>33</v>
      </c>
      <c r="F1483" t="s">
        <v>24</v>
      </c>
      <c r="G1483">
        <v>17</v>
      </c>
      <c r="H1483">
        <v>11</v>
      </c>
      <c r="I1483">
        <v>5</v>
      </c>
      <c r="J1483">
        <v>38.520000000000003</v>
      </c>
      <c r="K1483">
        <v>227.26</v>
      </c>
      <c r="L1483">
        <v>0.42</v>
      </c>
      <c r="M1483">
        <v>55.06</v>
      </c>
      <c r="N1483">
        <v>1</v>
      </c>
      <c r="O1483" t="s">
        <v>20</v>
      </c>
      <c r="P1483" t="s">
        <v>21</v>
      </c>
      <c r="Q1483">
        <f t="shared" si="115"/>
        <v>23</v>
      </c>
      <c r="R1483" s="4">
        <f>RANK(N1483,$N$2:N$2800,0)</f>
        <v>1</v>
      </c>
      <c r="S1483">
        <f t="shared" si="116"/>
        <v>3.4</v>
      </c>
      <c r="T1483" t="str">
        <f t="shared" si="117"/>
        <v>Good</v>
      </c>
      <c r="U1483" t="str" cm="1">
        <f t="array" ref="U1483">_xlfn.LET(_xlpm.roles,_xlfn.UNIQUE(D1483:D4281),_xlpm.kills, SUMIF(D1483:D4281,_xlpm.roles,G1483:G4281),INDEX(_xlpm.roles,MATCH(MAX(_xlpm.kills),_xlpm.kills,0)))</f>
        <v>Sniper</v>
      </c>
      <c r="V1483" t="str">
        <f t="shared" si="118"/>
        <v>Medium Accuracy</v>
      </c>
      <c r="W1483" t="str" cm="1">
        <f t="array" ref="W1483">_xlfn.LET(_xlpm.roles,_xlfn.UNIQUE(D1483:D4281), _xlpm.counts,COUNTIF(D1483:D4281,_xlpm.roles), INDEX(_xlpm.roles,MATCH(MAX(_xlpm.counts),_xlpm.counts,0)))</f>
        <v>Sniper</v>
      </c>
      <c r="X1483" s="2">
        <f t="shared" si="119"/>
        <v>12.520971302428256</v>
      </c>
    </row>
    <row r="1484" spans="1:24" x14ac:dyDescent="0.3">
      <c r="A1484">
        <v>2731</v>
      </c>
      <c r="B1484">
        <v>261</v>
      </c>
      <c r="C1484" t="s">
        <v>35</v>
      </c>
      <c r="D1484" t="s">
        <v>17</v>
      </c>
      <c r="E1484" t="s">
        <v>23</v>
      </c>
      <c r="F1484" t="s">
        <v>26</v>
      </c>
      <c r="G1484">
        <v>17</v>
      </c>
      <c r="H1484">
        <v>8</v>
      </c>
      <c r="I1484">
        <v>15</v>
      </c>
      <c r="J1484">
        <v>40</v>
      </c>
      <c r="K1484">
        <v>216.32</v>
      </c>
      <c r="L1484">
        <v>0.95</v>
      </c>
      <c r="M1484">
        <v>37.5</v>
      </c>
      <c r="N1484">
        <v>0.75</v>
      </c>
      <c r="O1484" t="s">
        <v>20</v>
      </c>
      <c r="P1484" t="s">
        <v>21</v>
      </c>
      <c r="Q1484">
        <f t="shared" si="115"/>
        <v>10</v>
      </c>
      <c r="R1484" s="4">
        <f>RANK(N1484,$N$2:N$2800,0)</f>
        <v>2586</v>
      </c>
      <c r="S1484">
        <f t="shared" si="116"/>
        <v>1.1333333333333333</v>
      </c>
      <c r="T1484" t="str">
        <f t="shared" si="117"/>
        <v>Low</v>
      </c>
      <c r="U1484" t="str" cm="1">
        <f t="array" ref="U1484">_xlfn.LET(_xlpm.roles,_xlfn.UNIQUE(D1484:D4282),_xlpm.kills, SUMIF(D1484:D4282,_xlpm.roles,G1484:G4282),INDEX(_xlpm.roles,MATCH(MAX(_xlpm.kills),_xlpm.kills,0)))</f>
        <v>Sniper</v>
      </c>
      <c r="V1484" t="str">
        <f t="shared" si="118"/>
        <v>Medium Accuracy</v>
      </c>
      <c r="W1484" t="str" cm="1">
        <f t="array" ref="W1484">_xlfn.LET(_xlpm.roles,_xlfn.UNIQUE(D1484:D4282), _xlpm.counts,COUNTIF(D1484:D4282,_xlpm.roles), INDEX(_xlpm.roles,MATCH(MAX(_xlpm.counts),_xlpm.counts,0)))</f>
        <v>Sniper</v>
      </c>
      <c r="X1484" s="2">
        <f t="shared" si="119"/>
        <v>12.599585062240664</v>
      </c>
    </row>
    <row r="1485" spans="1:24" x14ac:dyDescent="0.3">
      <c r="A1485">
        <v>108</v>
      </c>
      <c r="B1485">
        <v>262</v>
      </c>
      <c r="C1485" t="s">
        <v>27</v>
      </c>
      <c r="D1485" t="s">
        <v>36</v>
      </c>
      <c r="E1485" t="s">
        <v>32</v>
      </c>
      <c r="F1485" t="s">
        <v>24</v>
      </c>
      <c r="G1485">
        <v>7</v>
      </c>
      <c r="H1485">
        <v>11</v>
      </c>
      <c r="I1485">
        <v>6</v>
      </c>
      <c r="J1485">
        <v>45.7</v>
      </c>
      <c r="K1485">
        <v>238.99</v>
      </c>
      <c r="L1485">
        <v>0.56000000000000005</v>
      </c>
      <c r="M1485">
        <v>36.25</v>
      </c>
      <c r="N1485">
        <v>0.82</v>
      </c>
      <c r="O1485" t="s">
        <v>20</v>
      </c>
      <c r="P1485" t="s">
        <v>21</v>
      </c>
      <c r="Q1485">
        <f t="shared" si="115"/>
        <v>12</v>
      </c>
      <c r="R1485" s="4">
        <f>RANK(N1485,$N$2:N$2800,0)</f>
        <v>2275</v>
      </c>
      <c r="S1485">
        <f t="shared" si="116"/>
        <v>1.1666666666666667</v>
      </c>
      <c r="T1485" t="str">
        <f t="shared" si="117"/>
        <v>Low</v>
      </c>
      <c r="U1485" t="str" cm="1">
        <f t="array" ref="U1485">_xlfn.LET(_xlpm.roles,_xlfn.UNIQUE(D1485:D4283),_xlpm.kills, SUMIF(D1485:D4283,_xlpm.roles,G1485:G4283),INDEX(_xlpm.roles,MATCH(MAX(_xlpm.kills),_xlpm.kills,0)))</f>
        <v>Sniper</v>
      </c>
      <c r="V1485" t="str">
        <f t="shared" si="118"/>
        <v>Medium Accuracy</v>
      </c>
      <c r="W1485" t="str" cm="1">
        <f t="array" ref="W1485">_xlfn.LET(_xlpm.roles,_xlfn.UNIQUE(D1485:D4283), _xlpm.counts,COUNTIF(D1485:D4283,_xlpm.roles), INDEX(_xlpm.roles,MATCH(MAX(_xlpm.counts),_xlpm.counts,0)))</f>
        <v>Sniper</v>
      </c>
      <c r="X1485" s="2">
        <f t="shared" si="119"/>
        <v>13.057077625570777</v>
      </c>
    </row>
    <row r="1486" spans="1:24" x14ac:dyDescent="0.3">
      <c r="A1486">
        <v>281</v>
      </c>
      <c r="B1486">
        <v>262</v>
      </c>
      <c r="C1486" t="s">
        <v>25</v>
      </c>
      <c r="D1486" t="s">
        <v>17</v>
      </c>
      <c r="E1486" t="s">
        <v>23</v>
      </c>
      <c r="F1486" t="s">
        <v>34</v>
      </c>
      <c r="G1486">
        <v>11</v>
      </c>
      <c r="H1486">
        <v>10</v>
      </c>
      <c r="I1486">
        <v>12</v>
      </c>
      <c r="J1486">
        <v>44.22</v>
      </c>
      <c r="K1486">
        <v>186.76</v>
      </c>
      <c r="L1486">
        <v>0.61</v>
      </c>
      <c r="M1486">
        <v>36.01</v>
      </c>
      <c r="N1486">
        <v>0.82</v>
      </c>
      <c r="O1486" t="s">
        <v>20</v>
      </c>
      <c r="P1486" t="s">
        <v>21</v>
      </c>
      <c r="Q1486">
        <f t="shared" si="115"/>
        <v>9</v>
      </c>
      <c r="R1486" s="4">
        <f>RANK(N1486,$N$2:N$2800,0)</f>
        <v>2275</v>
      </c>
      <c r="S1486">
        <f t="shared" si="116"/>
        <v>0.91666666666666663</v>
      </c>
      <c r="T1486" t="str">
        <f t="shared" si="117"/>
        <v>Low</v>
      </c>
      <c r="U1486" t="str" cm="1">
        <f t="array" ref="U1486">_xlfn.LET(_xlpm.roles,_xlfn.UNIQUE(D1486:D4284),_xlpm.kills, SUMIF(D1486:D4284,_xlpm.roles,G1486:G4284),INDEX(_xlpm.roles,MATCH(MAX(_xlpm.kills),_xlpm.kills,0)))</f>
        <v>Sniper</v>
      </c>
      <c r="V1486" t="str">
        <f t="shared" si="118"/>
        <v>Medium Accuracy</v>
      </c>
      <c r="W1486" t="str" cm="1">
        <f t="array" ref="W1486">_xlfn.LET(_xlpm.roles,_xlfn.UNIQUE(D1486:D4284), _xlpm.counts,COUNTIF(D1486:D4284,_xlpm.roles), INDEX(_xlpm.roles,MATCH(MAX(_xlpm.counts),_xlpm.counts,0)))</f>
        <v>Sniper</v>
      </c>
      <c r="X1486" s="2">
        <f t="shared" si="119"/>
        <v>12.809421841541756</v>
      </c>
    </row>
    <row r="1487" spans="1:24" x14ac:dyDescent="0.3">
      <c r="A1487">
        <v>1808</v>
      </c>
      <c r="B1487">
        <v>262</v>
      </c>
      <c r="C1487" t="s">
        <v>16</v>
      </c>
      <c r="D1487" t="s">
        <v>17</v>
      </c>
      <c r="E1487" t="s">
        <v>32</v>
      </c>
      <c r="F1487" t="s">
        <v>24</v>
      </c>
      <c r="G1487">
        <v>12</v>
      </c>
      <c r="H1487">
        <v>10</v>
      </c>
      <c r="I1487">
        <v>10</v>
      </c>
      <c r="J1487">
        <v>47.29</v>
      </c>
      <c r="K1487">
        <v>205.92</v>
      </c>
      <c r="L1487">
        <v>0.04</v>
      </c>
      <c r="M1487">
        <v>47.24</v>
      </c>
      <c r="N1487">
        <v>1</v>
      </c>
      <c r="O1487" t="s">
        <v>20</v>
      </c>
      <c r="P1487" t="s">
        <v>21</v>
      </c>
      <c r="Q1487">
        <f t="shared" si="115"/>
        <v>12</v>
      </c>
      <c r="R1487" s="4">
        <f>RANK(N1487,$N$2:N$2800,0)</f>
        <v>1</v>
      </c>
      <c r="S1487">
        <f t="shared" si="116"/>
        <v>1.2</v>
      </c>
      <c r="T1487" t="str">
        <f t="shared" si="117"/>
        <v>Low</v>
      </c>
      <c r="U1487" t="str" cm="1">
        <f t="array" ref="U1487">_xlfn.LET(_xlpm.roles,_xlfn.UNIQUE(D1487:D4285),_xlpm.kills, SUMIF(D1487:D4285,_xlpm.roles,G1487:G4285),INDEX(_xlpm.roles,MATCH(MAX(_xlpm.kills),_xlpm.kills,0)))</f>
        <v>Sniper</v>
      </c>
      <c r="V1487" t="str">
        <f t="shared" si="118"/>
        <v>Medium Accuracy</v>
      </c>
      <c r="W1487" t="str" cm="1">
        <f t="array" ref="W1487">_xlfn.LET(_xlpm.roles,_xlfn.UNIQUE(D1487:D4285), _xlpm.counts,COUNTIF(D1487:D4285,_xlpm.roles), INDEX(_xlpm.roles,MATCH(MAX(_xlpm.counts),_xlpm.counts,0)))</f>
        <v>Sniper</v>
      </c>
      <c r="X1487" s="2">
        <f t="shared" si="119"/>
        <v>12.520971302428256</v>
      </c>
    </row>
    <row r="1488" spans="1:24" x14ac:dyDescent="0.3">
      <c r="A1488">
        <v>505</v>
      </c>
      <c r="B1488">
        <v>263</v>
      </c>
      <c r="C1488" t="s">
        <v>25</v>
      </c>
      <c r="D1488" t="s">
        <v>36</v>
      </c>
      <c r="E1488" t="s">
        <v>29</v>
      </c>
      <c r="F1488" t="s">
        <v>34</v>
      </c>
      <c r="G1488">
        <v>16</v>
      </c>
      <c r="H1488">
        <v>4</v>
      </c>
      <c r="I1488">
        <v>8</v>
      </c>
      <c r="J1488">
        <v>40.869999999999997</v>
      </c>
      <c r="K1488">
        <v>283.74</v>
      </c>
      <c r="L1488">
        <v>0.5</v>
      </c>
      <c r="M1488">
        <v>43.44</v>
      </c>
      <c r="N1488">
        <v>0.99</v>
      </c>
      <c r="O1488" t="s">
        <v>20</v>
      </c>
      <c r="P1488" t="s">
        <v>21</v>
      </c>
      <c r="Q1488">
        <f t="shared" si="115"/>
        <v>12</v>
      </c>
      <c r="R1488" s="4">
        <f>RANK(N1488,$N$2:N$2800,0)</f>
        <v>1080</v>
      </c>
      <c r="S1488">
        <f t="shared" si="116"/>
        <v>2</v>
      </c>
      <c r="T1488" t="str">
        <f t="shared" si="117"/>
        <v>Low</v>
      </c>
      <c r="U1488" t="str" cm="1">
        <f t="array" ref="U1488">_xlfn.LET(_xlpm.roles,_xlfn.UNIQUE(D1488:D4286),_xlpm.kills, SUMIF(D1488:D4286,_xlpm.roles,G1488:G4286),INDEX(_xlpm.roles,MATCH(MAX(_xlpm.kills),_xlpm.kills,0)))</f>
        <v>Sniper</v>
      </c>
      <c r="V1488" t="str">
        <f t="shared" si="118"/>
        <v>Medium Accuracy</v>
      </c>
      <c r="W1488" t="str" cm="1">
        <f t="array" ref="W1488">_xlfn.LET(_xlpm.roles,_xlfn.UNIQUE(D1488:D4286), _xlpm.counts,COUNTIF(D1488:D4286,_xlpm.roles), INDEX(_xlpm.roles,MATCH(MAX(_xlpm.counts),_xlpm.counts,0)))</f>
        <v>Sniper</v>
      </c>
      <c r="X1488" s="2">
        <f t="shared" si="119"/>
        <v>12.809421841541756</v>
      </c>
    </row>
    <row r="1489" spans="1:24" x14ac:dyDescent="0.3">
      <c r="A1489">
        <v>1289</v>
      </c>
      <c r="B1489">
        <v>263</v>
      </c>
      <c r="C1489" t="s">
        <v>27</v>
      </c>
      <c r="D1489" t="s">
        <v>17</v>
      </c>
      <c r="E1489" t="s">
        <v>33</v>
      </c>
      <c r="F1489" t="s">
        <v>37</v>
      </c>
      <c r="G1489">
        <v>16</v>
      </c>
      <c r="H1489">
        <v>4</v>
      </c>
      <c r="I1489">
        <v>12</v>
      </c>
      <c r="J1489">
        <v>47.5</v>
      </c>
      <c r="K1489">
        <v>241.91</v>
      </c>
      <c r="L1489">
        <v>0.86</v>
      </c>
      <c r="M1489">
        <v>39.15</v>
      </c>
      <c r="N1489">
        <v>0.92</v>
      </c>
      <c r="O1489" t="s">
        <v>20</v>
      </c>
      <c r="P1489" t="s">
        <v>21</v>
      </c>
      <c r="Q1489">
        <f t="shared" si="115"/>
        <v>8</v>
      </c>
      <c r="R1489" s="4">
        <f>RANK(N1489,$N$2:N$2800,0)</f>
        <v>1585</v>
      </c>
      <c r="S1489">
        <f t="shared" si="116"/>
        <v>1.3333333333333333</v>
      </c>
      <c r="T1489" t="str">
        <f t="shared" si="117"/>
        <v>Low</v>
      </c>
      <c r="U1489" t="str" cm="1">
        <f t="array" ref="U1489">_xlfn.LET(_xlpm.roles,_xlfn.UNIQUE(D1489:D4287),_xlpm.kills, SUMIF(D1489:D4287,_xlpm.roles,G1489:G4287),INDEX(_xlpm.roles,MATCH(MAX(_xlpm.kills),_xlpm.kills,0)))</f>
        <v>Sniper</v>
      </c>
      <c r="V1489" t="str">
        <f t="shared" si="118"/>
        <v>Medium Accuracy</v>
      </c>
      <c r="W1489" t="str" cm="1">
        <f t="array" ref="W1489">_xlfn.LET(_xlpm.roles,_xlfn.UNIQUE(D1489:D4287), _xlpm.counts,COUNTIF(D1489:D4287,_xlpm.roles), INDEX(_xlpm.roles,MATCH(MAX(_xlpm.counts),_xlpm.counts,0)))</f>
        <v>Sniper</v>
      </c>
      <c r="X1489" s="2">
        <f t="shared" si="119"/>
        <v>13.057077625570777</v>
      </c>
    </row>
    <row r="1490" spans="1:24" x14ac:dyDescent="0.3">
      <c r="A1490">
        <v>1849</v>
      </c>
      <c r="B1490">
        <v>263</v>
      </c>
      <c r="C1490" t="s">
        <v>35</v>
      </c>
      <c r="D1490" t="s">
        <v>17</v>
      </c>
      <c r="E1490" t="s">
        <v>29</v>
      </c>
      <c r="F1490" t="s">
        <v>34</v>
      </c>
      <c r="G1490">
        <v>15</v>
      </c>
      <c r="H1490">
        <v>8</v>
      </c>
      <c r="I1490">
        <v>13</v>
      </c>
      <c r="J1490">
        <v>44.6</v>
      </c>
      <c r="K1490">
        <v>177.57</v>
      </c>
      <c r="L1490">
        <v>0.16</v>
      </c>
      <c r="M1490">
        <v>45.7</v>
      </c>
      <c r="N1490">
        <v>1</v>
      </c>
      <c r="O1490" t="s">
        <v>20</v>
      </c>
      <c r="P1490" t="s">
        <v>21</v>
      </c>
      <c r="Q1490">
        <f t="shared" si="115"/>
        <v>10</v>
      </c>
      <c r="R1490" s="4">
        <f>RANK(N1490,$N$2:N$2800,0)</f>
        <v>1</v>
      </c>
      <c r="S1490">
        <f t="shared" si="116"/>
        <v>1.1538461538461537</v>
      </c>
      <c r="T1490" t="str">
        <f t="shared" si="117"/>
        <v>Low</v>
      </c>
      <c r="U1490" t="str" cm="1">
        <f t="array" ref="U1490">_xlfn.LET(_xlpm.roles,_xlfn.UNIQUE(D1490:D4288),_xlpm.kills, SUMIF(D1490:D4288,_xlpm.roles,G1490:G4288),INDEX(_xlpm.roles,MATCH(MAX(_xlpm.kills),_xlpm.kills,0)))</f>
        <v>Sniper</v>
      </c>
      <c r="V1490" t="str">
        <f t="shared" si="118"/>
        <v>Medium Accuracy</v>
      </c>
      <c r="W1490" t="str" cm="1">
        <f t="array" ref="W1490">_xlfn.LET(_xlpm.roles,_xlfn.UNIQUE(D1490:D4288), _xlpm.counts,COUNTIF(D1490:D4288,_xlpm.roles), INDEX(_xlpm.roles,MATCH(MAX(_xlpm.counts),_xlpm.counts,0)))</f>
        <v>Sniper</v>
      </c>
      <c r="X1490" s="2">
        <f t="shared" si="119"/>
        <v>12.599585062240664</v>
      </c>
    </row>
    <row r="1491" spans="1:24" x14ac:dyDescent="0.3">
      <c r="A1491">
        <v>1882</v>
      </c>
      <c r="B1491">
        <v>263</v>
      </c>
      <c r="C1491" t="s">
        <v>25</v>
      </c>
      <c r="D1491" t="s">
        <v>22</v>
      </c>
      <c r="E1491" t="s">
        <v>23</v>
      </c>
      <c r="F1491" t="s">
        <v>26</v>
      </c>
      <c r="G1491">
        <v>13</v>
      </c>
      <c r="H1491">
        <v>6</v>
      </c>
      <c r="I1491">
        <v>13</v>
      </c>
      <c r="J1491">
        <v>45.06</v>
      </c>
      <c r="K1491">
        <v>283.60000000000002</v>
      </c>
      <c r="L1491">
        <v>0.77</v>
      </c>
      <c r="M1491">
        <v>33.83</v>
      </c>
      <c r="N1491">
        <v>0.69</v>
      </c>
      <c r="O1491" t="s">
        <v>20</v>
      </c>
      <c r="P1491" t="s">
        <v>21</v>
      </c>
      <c r="Q1491">
        <f t="shared" si="115"/>
        <v>6</v>
      </c>
      <c r="R1491" s="4">
        <f>RANK(N1491,$N$2:N$2800,0)</f>
        <v>2713</v>
      </c>
      <c r="S1491">
        <f t="shared" si="116"/>
        <v>1</v>
      </c>
      <c r="T1491" t="str">
        <f t="shared" si="117"/>
        <v>Low</v>
      </c>
      <c r="U1491" t="str" cm="1">
        <f t="array" ref="U1491">_xlfn.LET(_xlpm.roles,_xlfn.UNIQUE(D1491:D4289),_xlpm.kills, SUMIF(D1491:D4289,_xlpm.roles,G1491:G4289),INDEX(_xlpm.roles,MATCH(MAX(_xlpm.kills),_xlpm.kills,0)))</f>
        <v>Sniper</v>
      </c>
      <c r="V1491" t="str">
        <f t="shared" si="118"/>
        <v>Medium Accuracy</v>
      </c>
      <c r="W1491" t="str" cm="1">
        <f t="array" ref="W1491">_xlfn.LET(_xlpm.roles,_xlfn.UNIQUE(D1491:D4289), _xlpm.counts,COUNTIF(D1491:D4289,_xlpm.roles), INDEX(_xlpm.roles,MATCH(MAX(_xlpm.counts),_xlpm.counts,0)))</f>
        <v>Sniper</v>
      </c>
      <c r="X1491" s="2">
        <f t="shared" si="119"/>
        <v>12.809421841541756</v>
      </c>
    </row>
    <row r="1492" spans="1:24" x14ac:dyDescent="0.3">
      <c r="A1492">
        <v>2052</v>
      </c>
      <c r="B1492">
        <v>263</v>
      </c>
      <c r="C1492" t="s">
        <v>30</v>
      </c>
      <c r="D1492" t="s">
        <v>22</v>
      </c>
      <c r="E1492" t="s">
        <v>18</v>
      </c>
      <c r="F1492" t="s">
        <v>24</v>
      </c>
      <c r="G1492">
        <v>14</v>
      </c>
      <c r="H1492">
        <v>8</v>
      </c>
      <c r="I1492">
        <v>8</v>
      </c>
      <c r="J1492">
        <v>49.32</v>
      </c>
      <c r="K1492">
        <v>247.56</v>
      </c>
      <c r="L1492">
        <v>0.47</v>
      </c>
      <c r="M1492">
        <v>47.96</v>
      </c>
      <c r="N1492">
        <v>1</v>
      </c>
      <c r="O1492" t="s">
        <v>20</v>
      </c>
      <c r="P1492" t="s">
        <v>21</v>
      </c>
      <c r="Q1492">
        <f t="shared" si="115"/>
        <v>14</v>
      </c>
      <c r="R1492" s="4">
        <f>RANK(N1492,$N$2:N$2800,0)</f>
        <v>1</v>
      </c>
      <c r="S1492">
        <f t="shared" si="116"/>
        <v>1.75</v>
      </c>
      <c r="T1492" t="str">
        <f t="shared" si="117"/>
        <v>Low</v>
      </c>
      <c r="U1492" t="str" cm="1">
        <f t="array" ref="U1492">_xlfn.LET(_xlpm.roles,_xlfn.UNIQUE(D1492:D4290),_xlpm.kills, SUMIF(D1492:D4290,_xlpm.roles,G1492:G4290),INDEX(_xlpm.roles,MATCH(MAX(_xlpm.kills),_xlpm.kills,0)))</f>
        <v>Sniper</v>
      </c>
      <c r="V1492" t="str">
        <f t="shared" si="118"/>
        <v>Medium Accuracy</v>
      </c>
      <c r="W1492" t="str" cm="1">
        <f t="array" ref="W1492">_xlfn.LET(_xlpm.roles,_xlfn.UNIQUE(D1492:D4290), _xlpm.counts,COUNTIF(D1492:D4290,_xlpm.roles), INDEX(_xlpm.roles,MATCH(MAX(_xlpm.counts),_xlpm.counts,0)))</f>
        <v>Sniper</v>
      </c>
      <c r="X1492" s="2">
        <f t="shared" si="119"/>
        <v>13.135802469135802</v>
      </c>
    </row>
    <row r="1493" spans="1:24" x14ac:dyDescent="0.3">
      <c r="A1493">
        <v>23</v>
      </c>
      <c r="B1493">
        <v>264</v>
      </c>
      <c r="C1493" t="s">
        <v>25</v>
      </c>
      <c r="D1493" t="s">
        <v>22</v>
      </c>
      <c r="E1493" t="s">
        <v>32</v>
      </c>
      <c r="F1493" t="s">
        <v>37</v>
      </c>
      <c r="G1493">
        <v>13</v>
      </c>
      <c r="H1493">
        <v>7</v>
      </c>
      <c r="I1493">
        <v>15</v>
      </c>
      <c r="J1493">
        <v>49.91</v>
      </c>
      <c r="K1493">
        <v>260.74</v>
      </c>
      <c r="L1493">
        <v>0.1</v>
      </c>
      <c r="M1493">
        <v>41.95</v>
      </c>
      <c r="N1493">
        <v>0.94</v>
      </c>
      <c r="O1493" t="s">
        <v>20</v>
      </c>
      <c r="P1493" t="s">
        <v>21</v>
      </c>
      <c r="Q1493">
        <f t="shared" si="115"/>
        <v>5</v>
      </c>
      <c r="R1493" s="4">
        <f>RANK(N1493,$N$2:N$2800,0)</f>
        <v>1431</v>
      </c>
      <c r="S1493">
        <f t="shared" si="116"/>
        <v>0.8666666666666667</v>
      </c>
      <c r="T1493" t="str">
        <f t="shared" si="117"/>
        <v>Low</v>
      </c>
      <c r="U1493" t="str" cm="1">
        <f t="array" ref="U1493">_xlfn.LET(_xlpm.roles,_xlfn.UNIQUE(D1493:D4291),_xlpm.kills, SUMIF(D1493:D4291,_xlpm.roles,G1493:G4291),INDEX(_xlpm.roles,MATCH(MAX(_xlpm.kills),_xlpm.kills,0)))</f>
        <v>Sniper</v>
      </c>
      <c r="V1493" t="str">
        <f t="shared" si="118"/>
        <v>Medium Accuracy</v>
      </c>
      <c r="W1493" t="str" cm="1">
        <f t="array" ref="W1493">_xlfn.LET(_xlpm.roles,_xlfn.UNIQUE(D1493:D4291), _xlpm.counts,COUNTIF(D1493:D4291,_xlpm.roles), INDEX(_xlpm.roles,MATCH(MAX(_xlpm.counts),_xlpm.counts,0)))</f>
        <v>Sniper</v>
      </c>
      <c r="X1493" s="2">
        <f t="shared" si="119"/>
        <v>12.809421841541756</v>
      </c>
    </row>
    <row r="1494" spans="1:24" x14ac:dyDescent="0.3">
      <c r="A1494">
        <v>501</v>
      </c>
      <c r="B1494">
        <v>264</v>
      </c>
      <c r="C1494" t="s">
        <v>30</v>
      </c>
      <c r="D1494" t="s">
        <v>28</v>
      </c>
      <c r="E1494" t="s">
        <v>33</v>
      </c>
      <c r="F1494" t="s">
        <v>24</v>
      </c>
      <c r="G1494">
        <v>13</v>
      </c>
      <c r="H1494">
        <v>8</v>
      </c>
      <c r="I1494">
        <v>10</v>
      </c>
      <c r="J1494">
        <v>32.89</v>
      </c>
      <c r="K1494">
        <v>238.93</v>
      </c>
      <c r="L1494">
        <v>0.53</v>
      </c>
      <c r="M1494">
        <v>35.14</v>
      </c>
      <c r="N1494">
        <v>0.93</v>
      </c>
      <c r="O1494" t="s">
        <v>20</v>
      </c>
      <c r="P1494" t="s">
        <v>21</v>
      </c>
      <c r="Q1494">
        <f t="shared" si="115"/>
        <v>11</v>
      </c>
      <c r="R1494" s="4">
        <f>RANK(N1494,$N$2:N$2800,0)</f>
        <v>1505</v>
      </c>
      <c r="S1494">
        <f t="shared" si="116"/>
        <v>1.3</v>
      </c>
      <c r="T1494" t="str">
        <f t="shared" si="117"/>
        <v>Low</v>
      </c>
      <c r="U1494" t="str" cm="1">
        <f t="array" ref="U1494">_xlfn.LET(_xlpm.roles,_xlfn.UNIQUE(D1494:D4292),_xlpm.kills, SUMIF(D1494:D4292,_xlpm.roles,G1494:G4292),INDEX(_xlpm.roles,MATCH(MAX(_xlpm.kills),_xlpm.kills,0)))</f>
        <v>Sniper</v>
      </c>
      <c r="V1494" t="str">
        <f t="shared" si="118"/>
        <v>Medium Accuracy</v>
      </c>
      <c r="W1494" t="str" cm="1">
        <f t="array" ref="W1494">_xlfn.LET(_xlpm.roles,_xlfn.UNIQUE(D1494:D4292), _xlpm.counts,COUNTIF(D1494:D4292,_xlpm.roles), INDEX(_xlpm.roles,MATCH(MAX(_xlpm.counts),_xlpm.counts,0)))</f>
        <v>Sniper</v>
      </c>
      <c r="X1494" s="2">
        <f t="shared" si="119"/>
        <v>13.135802469135802</v>
      </c>
    </row>
    <row r="1495" spans="1:24" x14ac:dyDescent="0.3">
      <c r="A1495">
        <v>582</v>
      </c>
      <c r="B1495">
        <v>264</v>
      </c>
      <c r="C1495" t="s">
        <v>39</v>
      </c>
      <c r="D1495" t="s">
        <v>31</v>
      </c>
      <c r="E1495" t="s">
        <v>33</v>
      </c>
      <c r="F1495" t="s">
        <v>37</v>
      </c>
      <c r="G1495">
        <v>13</v>
      </c>
      <c r="H1495">
        <v>11</v>
      </c>
      <c r="I1495">
        <v>15</v>
      </c>
      <c r="J1495">
        <v>57.68</v>
      </c>
      <c r="K1495">
        <v>265.45999999999998</v>
      </c>
      <c r="L1495">
        <v>0.31</v>
      </c>
      <c r="M1495">
        <v>47.74</v>
      </c>
      <c r="N1495">
        <v>1</v>
      </c>
      <c r="O1495" t="s">
        <v>20</v>
      </c>
      <c r="P1495" t="s">
        <v>21</v>
      </c>
      <c r="Q1495">
        <f t="shared" si="115"/>
        <v>9</v>
      </c>
      <c r="R1495" s="4">
        <f>RANK(N1495,$N$2:N$2800,0)</f>
        <v>1</v>
      </c>
      <c r="S1495">
        <f t="shared" si="116"/>
        <v>0.8666666666666667</v>
      </c>
      <c r="T1495" t="str">
        <f t="shared" si="117"/>
        <v>Low</v>
      </c>
      <c r="U1495" t="str" cm="1">
        <f t="array" ref="U1495">_xlfn.LET(_xlpm.roles,_xlfn.UNIQUE(D1495:D4293),_xlpm.kills, SUMIF(D1495:D4293,_xlpm.roles,G1495:G4293),INDEX(_xlpm.roles,MATCH(MAX(_xlpm.kills),_xlpm.kills,0)))</f>
        <v>Sniper</v>
      </c>
      <c r="V1495" t="str">
        <f t="shared" si="118"/>
        <v>High Accuracy</v>
      </c>
      <c r="W1495" t="str" cm="1">
        <f t="array" ref="W1495">_xlfn.LET(_xlpm.roles,_xlfn.UNIQUE(D1495:D4293), _xlpm.counts,COUNTIF(D1495:D4293,_xlpm.roles), INDEX(_xlpm.roles,MATCH(MAX(_xlpm.counts),_xlpm.counts,0)))</f>
        <v>Sniper</v>
      </c>
      <c r="X1495" s="2">
        <f t="shared" si="119"/>
        <v>13.103594080338267</v>
      </c>
    </row>
    <row r="1496" spans="1:24" x14ac:dyDescent="0.3">
      <c r="A1496">
        <v>734</v>
      </c>
      <c r="B1496">
        <v>264</v>
      </c>
      <c r="C1496" t="s">
        <v>30</v>
      </c>
      <c r="D1496" t="s">
        <v>22</v>
      </c>
      <c r="E1496" t="s">
        <v>33</v>
      </c>
      <c r="F1496" t="s">
        <v>34</v>
      </c>
      <c r="G1496">
        <v>11</v>
      </c>
      <c r="H1496">
        <v>6</v>
      </c>
      <c r="I1496">
        <v>11</v>
      </c>
      <c r="J1496">
        <v>42.85</v>
      </c>
      <c r="K1496">
        <v>195.99</v>
      </c>
      <c r="L1496">
        <v>0.03</v>
      </c>
      <c r="M1496">
        <v>38.119999999999997</v>
      </c>
      <c r="N1496">
        <v>0.88</v>
      </c>
      <c r="O1496" t="s">
        <v>20</v>
      </c>
      <c r="P1496" t="s">
        <v>21</v>
      </c>
      <c r="Q1496">
        <f t="shared" si="115"/>
        <v>6</v>
      </c>
      <c r="R1496" s="4">
        <f>RANK(N1496,$N$2:N$2800,0)</f>
        <v>1894</v>
      </c>
      <c r="S1496">
        <f t="shared" si="116"/>
        <v>1</v>
      </c>
      <c r="T1496" t="str">
        <f t="shared" si="117"/>
        <v>Low</v>
      </c>
      <c r="U1496" t="str" cm="1">
        <f t="array" ref="U1496">_xlfn.LET(_xlpm.roles,_xlfn.UNIQUE(D1496:D4294),_xlpm.kills, SUMIF(D1496:D4294,_xlpm.roles,G1496:G4294),INDEX(_xlpm.roles,MATCH(MAX(_xlpm.kills),_xlpm.kills,0)))</f>
        <v>Sniper</v>
      </c>
      <c r="V1496" t="str">
        <f t="shared" si="118"/>
        <v>Medium Accuracy</v>
      </c>
      <c r="W1496" t="str" cm="1">
        <f t="array" ref="W1496">_xlfn.LET(_xlpm.roles,_xlfn.UNIQUE(D1496:D4294), _xlpm.counts,COUNTIF(D1496:D4294,_xlpm.roles), INDEX(_xlpm.roles,MATCH(MAX(_xlpm.counts),_xlpm.counts,0)))</f>
        <v>Sniper</v>
      </c>
      <c r="X1496" s="2">
        <f t="shared" si="119"/>
        <v>13.135802469135802</v>
      </c>
    </row>
    <row r="1497" spans="1:24" x14ac:dyDescent="0.3">
      <c r="A1497">
        <v>871</v>
      </c>
      <c r="B1497">
        <v>264</v>
      </c>
      <c r="C1497" t="s">
        <v>16</v>
      </c>
      <c r="D1497" t="s">
        <v>36</v>
      </c>
      <c r="E1497" t="s">
        <v>32</v>
      </c>
      <c r="F1497" t="s">
        <v>24</v>
      </c>
      <c r="G1497">
        <v>13</v>
      </c>
      <c r="H1497">
        <v>9</v>
      </c>
      <c r="I1497">
        <v>7</v>
      </c>
      <c r="J1497">
        <v>55.18</v>
      </c>
      <c r="K1497">
        <v>251.45</v>
      </c>
      <c r="L1497">
        <v>0.7</v>
      </c>
      <c r="M1497">
        <v>48.59</v>
      </c>
      <c r="N1497">
        <v>0.89</v>
      </c>
      <c r="O1497" t="s">
        <v>20</v>
      </c>
      <c r="P1497" t="s">
        <v>21</v>
      </c>
      <c r="Q1497">
        <f t="shared" si="115"/>
        <v>15</v>
      </c>
      <c r="R1497" s="4">
        <f>RANK(N1497,$N$2:N$2800,0)</f>
        <v>1815</v>
      </c>
      <c r="S1497">
        <f t="shared" si="116"/>
        <v>1.8571428571428572</v>
      </c>
      <c r="T1497" t="str">
        <f t="shared" si="117"/>
        <v>Good</v>
      </c>
      <c r="U1497" t="str" cm="1">
        <f t="array" ref="U1497">_xlfn.LET(_xlpm.roles,_xlfn.UNIQUE(D1497:D4295),_xlpm.kills, SUMIF(D1497:D4295,_xlpm.roles,G1497:G4295),INDEX(_xlpm.roles,MATCH(MAX(_xlpm.kills),_xlpm.kills,0)))</f>
        <v>Sniper</v>
      </c>
      <c r="V1497" t="str">
        <f t="shared" si="118"/>
        <v>High Accuracy</v>
      </c>
      <c r="W1497" t="str" cm="1">
        <f t="array" ref="W1497">_xlfn.LET(_xlpm.roles,_xlfn.UNIQUE(D1497:D4295), _xlpm.counts,COUNTIF(D1497:D4295,_xlpm.roles), INDEX(_xlpm.roles,MATCH(MAX(_xlpm.counts),_xlpm.counts,0)))</f>
        <v>Sniper</v>
      </c>
      <c r="X1497" s="2">
        <f t="shared" si="119"/>
        <v>12.520971302428256</v>
      </c>
    </row>
    <row r="1498" spans="1:24" x14ac:dyDescent="0.3">
      <c r="A1498">
        <v>907</v>
      </c>
      <c r="B1498">
        <v>264</v>
      </c>
      <c r="C1498" t="s">
        <v>16</v>
      </c>
      <c r="D1498" t="s">
        <v>28</v>
      </c>
      <c r="E1498" t="s">
        <v>33</v>
      </c>
      <c r="F1498" t="s">
        <v>34</v>
      </c>
      <c r="G1498">
        <v>16</v>
      </c>
      <c r="H1498">
        <v>15</v>
      </c>
      <c r="I1498">
        <v>11</v>
      </c>
      <c r="J1498">
        <v>54.59</v>
      </c>
      <c r="K1498">
        <v>246.23</v>
      </c>
      <c r="L1498">
        <v>0.23</v>
      </c>
      <c r="M1498">
        <v>61</v>
      </c>
      <c r="N1498">
        <v>1</v>
      </c>
      <c r="O1498" t="s">
        <v>20</v>
      </c>
      <c r="P1498" t="s">
        <v>38</v>
      </c>
      <c r="Q1498">
        <f t="shared" si="115"/>
        <v>20</v>
      </c>
      <c r="R1498" s="4">
        <f>RANK(N1498,$N$2:N$2800,0)</f>
        <v>1</v>
      </c>
      <c r="S1498">
        <f t="shared" si="116"/>
        <v>1.4545454545454546</v>
      </c>
      <c r="T1498" t="str">
        <f t="shared" si="117"/>
        <v>Good</v>
      </c>
      <c r="U1498" t="str" cm="1">
        <f t="array" ref="U1498">_xlfn.LET(_xlpm.roles,_xlfn.UNIQUE(D1498:D4296),_xlpm.kills, SUMIF(D1498:D4296,_xlpm.roles,G1498:G4296),INDEX(_xlpm.roles,MATCH(MAX(_xlpm.kills),_xlpm.kills,0)))</f>
        <v>Sniper</v>
      </c>
      <c r="V1498" t="str">
        <f t="shared" si="118"/>
        <v>High Accuracy</v>
      </c>
      <c r="W1498" t="str" cm="1">
        <f t="array" ref="W1498">_xlfn.LET(_xlpm.roles,_xlfn.UNIQUE(D1498:D4296), _xlpm.counts,COUNTIF(D1498:D4296,_xlpm.roles), INDEX(_xlpm.roles,MATCH(MAX(_xlpm.counts),_xlpm.counts,0)))</f>
        <v>Sniper</v>
      </c>
      <c r="X1498" s="2">
        <f t="shared" si="119"/>
        <v>12.520971302428256</v>
      </c>
    </row>
    <row r="1499" spans="1:24" x14ac:dyDescent="0.3">
      <c r="A1499">
        <v>2239</v>
      </c>
      <c r="B1499">
        <v>264</v>
      </c>
      <c r="C1499" t="s">
        <v>25</v>
      </c>
      <c r="D1499" t="s">
        <v>17</v>
      </c>
      <c r="E1499" t="s">
        <v>18</v>
      </c>
      <c r="F1499" t="s">
        <v>34</v>
      </c>
      <c r="G1499">
        <v>15</v>
      </c>
      <c r="H1499">
        <v>9</v>
      </c>
      <c r="I1499">
        <v>9</v>
      </c>
      <c r="J1499">
        <v>26.33</v>
      </c>
      <c r="K1499">
        <v>229.52</v>
      </c>
      <c r="L1499">
        <v>0.56000000000000005</v>
      </c>
      <c r="M1499">
        <v>37.56</v>
      </c>
      <c r="N1499">
        <v>0.9</v>
      </c>
      <c r="O1499" t="s">
        <v>20</v>
      </c>
      <c r="P1499" t="s">
        <v>21</v>
      </c>
      <c r="Q1499">
        <f t="shared" si="115"/>
        <v>15</v>
      </c>
      <c r="R1499" s="4">
        <f>RANK(N1499,$N$2:N$2800,0)</f>
        <v>1738</v>
      </c>
      <c r="S1499">
        <f t="shared" si="116"/>
        <v>1.6666666666666667</v>
      </c>
      <c r="T1499" t="str">
        <f t="shared" si="117"/>
        <v>Good</v>
      </c>
      <c r="U1499" t="str" cm="1">
        <f t="array" ref="U1499">_xlfn.LET(_xlpm.roles,_xlfn.UNIQUE(D1499:D4297),_xlpm.kills, SUMIF(D1499:D4297,_xlpm.roles,G1499:G4297),INDEX(_xlpm.roles,MATCH(MAX(_xlpm.kills),_xlpm.kills,0)))</f>
        <v>Sniper</v>
      </c>
      <c r="V1499" t="str">
        <f t="shared" si="118"/>
        <v>Low Accuracy</v>
      </c>
      <c r="W1499" t="str" cm="1">
        <f t="array" ref="W1499">_xlfn.LET(_xlpm.roles,_xlfn.UNIQUE(D1499:D4297), _xlpm.counts,COUNTIF(D1499:D4297,_xlpm.roles), INDEX(_xlpm.roles,MATCH(MAX(_xlpm.counts),_xlpm.counts,0)))</f>
        <v>Sniper</v>
      </c>
      <c r="X1499" s="2">
        <f t="shared" si="119"/>
        <v>12.809421841541756</v>
      </c>
    </row>
    <row r="1500" spans="1:24" x14ac:dyDescent="0.3">
      <c r="A1500">
        <v>2477</v>
      </c>
      <c r="B1500">
        <v>264</v>
      </c>
      <c r="C1500" t="s">
        <v>35</v>
      </c>
      <c r="D1500" t="s">
        <v>22</v>
      </c>
      <c r="E1500" t="s">
        <v>18</v>
      </c>
      <c r="F1500" t="s">
        <v>37</v>
      </c>
      <c r="G1500">
        <v>18</v>
      </c>
      <c r="H1500">
        <v>9</v>
      </c>
      <c r="I1500">
        <v>12</v>
      </c>
      <c r="J1500">
        <v>31.16</v>
      </c>
      <c r="K1500">
        <v>199.91</v>
      </c>
      <c r="L1500">
        <v>0.32</v>
      </c>
      <c r="M1500">
        <v>45.38</v>
      </c>
      <c r="N1500">
        <v>1</v>
      </c>
      <c r="O1500" t="s">
        <v>20</v>
      </c>
      <c r="P1500" t="s">
        <v>21</v>
      </c>
      <c r="Q1500">
        <f t="shared" si="115"/>
        <v>15</v>
      </c>
      <c r="R1500" s="4">
        <f>RANK(N1500,$N$2:N$2800,0)</f>
        <v>1</v>
      </c>
      <c r="S1500">
        <f t="shared" si="116"/>
        <v>1.5</v>
      </c>
      <c r="T1500" t="str">
        <f t="shared" si="117"/>
        <v>Good</v>
      </c>
      <c r="U1500" t="str" cm="1">
        <f t="array" ref="U1500">_xlfn.LET(_xlpm.roles,_xlfn.UNIQUE(D1500:D4298),_xlpm.kills, SUMIF(D1500:D4298,_xlpm.roles,G1500:G4298),INDEX(_xlpm.roles,MATCH(MAX(_xlpm.kills),_xlpm.kills,0)))</f>
        <v>Sniper</v>
      </c>
      <c r="V1500" t="str">
        <f t="shared" si="118"/>
        <v>Medium Accuracy</v>
      </c>
      <c r="W1500" t="str" cm="1">
        <f t="array" ref="W1500">_xlfn.LET(_xlpm.roles,_xlfn.UNIQUE(D1500:D4298), _xlpm.counts,COUNTIF(D1500:D4298,_xlpm.roles), INDEX(_xlpm.roles,MATCH(MAX(_xlpm.counts),_xlpm.counts,0)))</f>
        <v>Sniper</v>
      </c>
      <c r="X1500" s="2">
        <f t="shared" si="119"/>
        <v>12.599585062240664</v>
      </c>
    </row>
    <row r="1501" spans="1:24" x14ac:dyDescent="0.3">
      <c r="A1501">
        <v>2754</v>
      </c>
      <c r="B1501">
        <v>264</v>
      </c>
      <c r="C1501" t="s">
        <v>30</v>
      </c>
      <c r="D1501" t="s">
        <v>28</v>
      </c>
      <c r="E1501" t="s">
        <v>23</v>
      </c>
      <c r="F1501" t="s">
        <v>37</v>
      </c>
      <c r="G1501">
        <v>18</v>
      </c>
      <c r="H1501">
        <v>6</v>
      </c>
      <c r="I1501">
        <v>12</v>
      </c>
      <c r="J1501">
        <v>52.23</v>
      </c>
      <c r="K1501">
        <v>187.55</v>
      </c>
      <c r="L1501">
        <v>0.21</v>
      </c>
      <c r="M1501">
        <v>54.01</v>
      </c>
      <c r="N1501">
        <v>0.91</v>
      </c>
      <c r="O1501" t="s">
        <v>20</v>
      </c>
      <c r="P1501" t="s">
        <v>21</v>
      </c>
      <c r="Q1501">
        <f t="shared" si="115"/>
        <v>12</v>
      </c>
      <c r="R1501" s="4">
        <f>RANK(N1501,$N$2:N$2800,0)</f>
        <v>1665</v>
      </c>
      <c r="S1501">
        <f t="shared" si="116"/>
        <v>1.5</v>
      </c>
      <c r="T1501" t="str">
        <f t="shared" si="117"/>
        <v>Low</v>
      </c>
      <c r="U1501" t="str" cm="1">
        <f t="array" ref="U1501">_xlfn.LET(_xlpm.roles,_xlfn.UNIQUE(D1501:D4299),_xlpm.kills, SUMIF(D1501:D4299,_xlpm.roles,G1501:G4299),INDEX(_xlpm.roles,MATCH(MAX(_xlpm.kills),_xlpm.kills,0)))</f>
        <v>Sniper</v>
      </c>
      <c r="V1501" t="str">
        <f t="shared" si="118"/>
        <v>High Accuracy</v>
      </c>
      <c r="W1501" t="str" cm="1">
        <f t="array" ref="W1501">_xlfn.LET(_xlpm.roles,_xlfn.UNIQUE(D1501:D4299), _xlpm.counts,COUNTIF(D1501:D4299,_xlpm.roles), INDEX(_xlpm.roles,MATCH(MAX(_xlpm.counts),_xlpm.counts,0)))</f>
        <v>Sniper</v>
      </c>
      <c r="X1501" s="2">
        <f t="shared" si="119"/>
        <v>13.135802469135802</v>
      </c>
    </row>
    <row r="1502" spans="1:24" x14ac:dyDescent="0.3">
      <c r="A1502">
        <v>263</v>
      </c>
      <c r="B1502">
        <v>265</v>
      </c>
      <c r="C1502" t="s">
        <v>30</v>
      </c>
      <c r="D1502" t="s">
        <v>28</v>
      </c>
      <c r="E1502" t="s">
        <v>23</v>
      </c>
      <c r="F1502" t="s">
        <v>34</v>
      </c>
      <c r="G1502">
        <v>14</v>
      </c>
      <c r="H1502">
        <v>16</v>
      </c>
      <c r="I1502">
        <v>14</v>
      </c>
      <c r="J1502">
        <v>44</v>
      </c>
      <c r="K1502">
        <v>202.93</v>
      </c>
      <c r="L1502">
        <v>0.67</v>
      </c>
      <c r="M1502">
        <v>45.3</v>
      </c>
      <c r="N1502">
        <v>1</v>
      </c>
      <c r="O1502" t="s">
        <v>20</v>
      </c>
      <c r="P1502" t="s">
        <v>21</v>
      </c>
      <c r="Q1502">
        <f t="shared" si="115"/>
        <v>16</v>
      </c>
      <c r="R1502" s="4">
        <f>RANK(N1502,$N$2:N$2800,0)</f>
        <v>1</v>
      </c>
      <c r="S1502">
        <f t="shared" si="116"/>
        <v>1</v>
      </c>
      <c r="T1502" t="str">
        <f t="shared" si="117"/>
        <v>Good</v>
      </c>
      <c r="U1502" t="str" cm="1">
        <f t="array" ref="U1502">_xlfn.LET(_xlpm.roles,_xlfn.UNIQUE(D1502:D4300),_xlpm.kills, SUMIF(D1502:D4300,_xlpm.roles,G1502:G4300),INDEX(_xlpm.roles,MATCH(MAX(_xlpm.kills),_xlpm.kills,0)))</f>
        <v>Sniper</v>
      </c>
      <c r="V1502" t="str">
        <f t="shared" si="118"/>
        <v>Medium Accuracy</v>
      </c>
      <c r="W1502" t="str" cm="1">
        <f t="array" ref="W1502">_xlfn.LET(_xlpm.roles,_xlfn.UNIQUE(D1502:D4300), _xlpm.counts,COUNTIF(D1502:D4300,_xlpm.roles), INDEX(_xlpm.roles,MATCH(MAX(_xlpm.counts),_xlpm.counts,0)))</f>
        <v>Sniper</v>
      </c>
      <c r="X1502" s="2">
        <f t="shared" si="119"/>
        <v>13.135802469135802</v>
      </c>
    </row>
    <row r="1503" spans="1:24" x14ac:dyDescent="0.3">
      <c r="A1503">
        <v>306</v>
      </c>
      <c r="B1503">
        <v>265</v>
      </c>
      <c r="C1503" t="s">
        <v>39</v>
      </c>
      <c r="D1503" t="s">
        <v>22</v>
      </c>
      <c r="E1503" t="s">
        <v>18</v>
      </c>
      <c r="F1503" t="s">
        <v>26</v>
      </c>
      <c r="G1503">
        <v>16</v>
      </c>
      <c r="H1503">
        <v>12</v>
      </c>
      <c r="I1503">
        <v>11</v>
      </c>
      <c r="J1503">
        <v>44.12</v>
      </c>
      <c r="K1503">
        <v>165.37</v>
      </c>
      <c r="L1503">
        <v>0.76</v>
      </c>
      <c r="M1503">
        <v>47.46</v>
      </c>
      <c r="N1503">
        <v>0.91</v>
      </c>
      <c r="O1503" t="s">
        <v>20</v>
      </c>
      <c r="P1503" t="s">
        <v>21</v>
      </c>
      <c r="Q1503">
        <f t="shared" si="115"/>
        <v>17</v>
      </c>
      <c r="R1503" s="4">
        <f>RANK(N1503,$N$2:N$2800,0)</f>
        <v>1665</v>
      </c>
      <c r="S1503">
        <f t="shared" si="116"/>
        <v>1.4545454545454546</v>
      </c>
      <c r="T1503" t="str">
        <f t="shared" si="117"/>
        <v>Good</v>
      </c>
      <c r="U1503" t="str" cm="1">
        <f t="array" ref="U1503">_xlfn.LET(_xlpm.roles,_xlfn.UNIQUE(D1503:D4301),_xlpm.kills, SUMIF(D1503:D4301,_xlpm.roles,G1503:G4301),INDEX(_xlpm.roles,MATCH(MAX(_xlpm.kills),_xlpm.kills,0)))</f>
        <v>Sniper</v>
      </c>
      <c r="V1503" t="str">
        <f t="shared" si="118"/>
        <v>Medium Accuracy</v>
      </c>
      <c r="W1503" t="str" cm="1">
        <f t="array" ref="W1503">_xlfn.LET(_xlpm.roles,_xlfn.UNIQUE(D1503:D4301), _xlpm.counts,COUNTIF(D1503:D4301,_xlpm.roles), INDEX(_xlpm.roles,MATCH(MAX(_xlpm.counts),_xlpm.counts,0)))</f>
        <v>Sniper</v>
      </c>
      <c r="X1503" s="2">
        <f t="shared" si="119"/>
        <v>13.103594080338267</v>
      </c>
    </row>
    <row r="1504" spans="1:24" x14ac:dyDescent="0.3">
      <c r="A1504">
        <v>1099</v>
      </c>
      <c r="B1504">
        <v>265</v>
      </c>
      <c r="C1504" t="s">
        <v>35</v>
      </c>
      <c r="D1504" t="s">
        <v>28</v>
      </c>
      <c r="E1504" t="s">
        <v>29</v>
      </c>
      <c r="F1504" t="s">
        <v>34</v>
      </c>
      <c r="G1504">
        <v>16</v>
      </c>
      <c r="H1504">
        <v>12</v>
      </c>
      <c r="I1504">
        <v>14</v>
      </c>
      <c r="J1504">
        <v>51.1</v>
      </c>
      <c r="K1504">
        <v>277.64</v>
      </c>
      <c r="L1504">
        <v>7.0000000000000007E-2</v>
      </c>
      <c r="M1504">
        <v>54.85</v>
      </c>
      <c r="N1504">
        <v>1</v>
      </c>
      <c r="O1504" t="s">
        <v>20</v>
      </c>
      <c r="P1504" t="s">
        <v>21</v>
      </c>
      <c r="Q1504">
        <f t="shared" si="115"/>
        <v>14</v>
      </c>
      <c r="R1504" s="4">
        <f>RANK(N1504,$N$2:N$2800,0)</f>
        <v>1</v>
      </c>
      <c r="S1504">
        <f t="shared" si="116"/>
        <v>1.1428571428571428</v>
      </c>
      <c r="T1504" t="str">
        <f t="shared" si="117"/>
        <v>Low</v>
      </c>
      <c r="U1504" t="str" cm="1">
        <f t="array" ref="U1504">_xlfn.LET(_xlpm.roles,_xlfn.UNIQUE(D1504:D4302),_xlpm.kills, SUMIF(D1504:D4302,_xlpm.roles,G1504:G4302),INDEX(_xlpm.roles,MATCH(MAX(_xlpm.kills),_xlpm.kills,0)))</f>
        <v>Sniper</v>
      </c>
      <c r="V1504" t="str">
        <f t="shared" si="118"/>
        <v>High Accuracy</v>
      </c>
      <c r="W1504" t="str" cm="1">
        <f t="array" ref="W1504">_xlfn.LET(_xlpm.roles,_xlfn.UNIQUE(D1504:D4302), _xlpm.counts,COUNTIF(D1504:D4302,_xlpm.roles), INDEX(_xlpm.roles,MATCH(MAX(_xlpm.counts),_xlpm.counts,0)))</f>
        <v>Sniper</v>
      </c>
      <c r="X1504" s="2">
        <f t="shared" si="119"/>
        <v>12.599585062240664</v>
      </c>
    </row>
    <row r="1505" spans="1:24" x14ac:dyDescent="0.3">
      <c r="A1505">
        <v>1343</v>
      </c>
      <c r="B1505">
        <v>265</v>
      </c>
      <c r="C1505" t="s">
        <v>16</v>
      </c>
      <c r="D1505" t="s">
        <v>17</v>
      </c>
      <c r="E1505" t="s">
        <v>23</v>
      </c>
      <c r="F1505" t="s">
        <v>37</v>
      </c>
      <c r="G1505">
        <v>11</v>
      </c>
      <c r="H1505">
        <v>9</v>
      </c>
      <c r="I1505">
        <v>6</v>
      </c>
      <c r="J1505">
        <v>48.89</v>
      </c>
      <c r="K1505">
        <v>180.49</v>
      </c>
      <c r="L1505">
        <v>0.38</v>
      </c>
      <c r="M1505">
        <v>45.65</v>
      </c>
      <c r="N1505">
        <v>0.97</v>
      </c>
      <c r="O1505" t="s">
        <v>20</v>
      </c>
      <c r="P1505" t="s">
        <v>21</v>
      </c>
      <c r="Q1505">
        <f t="shared" si="115"/>
        <v>14</v>
      </c>
      <c r="R1505" s="4">
        <f>RANK(N1505,$N$2:N$2800,0)</f>
        <v>1243</v>
      </c>
      <c r="S1505">
        <f t="shared" si="116"/>
        <v>1.8333333333333333</v>
      </c>
      <c r="T1505" t="str">
        <f t="shared" si="117"/>
        <v>Low</v>
      </c>
      <c r="U1505" t="str" cm="1">
        <f t="array" ref="U1505">_xlfn.LET(_xlpm.roles,_xlfn.UNIQUE(D1505:D4303),_xlpm.kills, SUMIF(D1505:D4303,_xlpm.roles,G1505:G4303),INDEX(_xlpm.roles,MATCH(MAX(_xlpm.kills),_xlpm.kills,0)))</f>
        <v>Sniper</v>
      </c>
      <c r="V1505" t="str">
        <f t="shared" si="118"/>
        <v>Medium Accuracy</v>
      </c>
      <c r="W1505" t="str" cm="1">
        <f t="array" ref="W1505">_xlfn.LET(_xlpm.roles,_xlfn.UNIQUE(D1505:D4303), _xlpm.counts,COUNTIF(D1505:D4303,_xlpm.roles), INDEX(_xlpm.roles,MATCH(MAX(_xlpm.counts),_xlpm.counts,0)))</f>
        <v>Sniper</v>
      </c>
      <c r="X1505" s="2">
        <f t="shared" si="119"/>
        <v>12.520971302428256</v>
      </c>
    </row>
    <row r="1506" spans="1:24" x14ac:dyDescent="0.3">
      <c r="A1506">
        <v>352</v>
      </c>
      <c r="B1506">
        <v>266</v>
      </c>
      <c r="C1506" t="s">
        <v>39</v>
      </c>
      <c r="D1506" t="s">
        <v>36</v>
      </c>
      <c r="E1506" t="s">
        <v>23</v>
      </c>
      <c r="F1506" t="s">
        <v>26</v>
      </c>
      <c r="G1506">
        <v>18</v>
      </c>
      <c r="H1506">
        <v>7</v>
      </c>
      <c r="I1506">
        <v>9</v>
      </c>
      <c r="J1506">
        <v>29.36</v>
      </c>
      <c r="K1506">
        <v>194.61</v>
      </c>
      <c r="L1506">
        <v>0.12</v>
      </c>
      <c r="M1506">
        <v>47.48</v>
      </c>
      <c r="N1506">
        <v>1</v>
      </c>
      <c r="O1506" t="s">
        <v>20</v>
      </c>
      <c r="P1506" t="s">
        <v>21</v>
      </c>
      <c r="Q1506">
        <f t="shared" si="115"/>
        <v>16</v>
      </c>
      <c r="R1506" s="4">
        <f>RANK(N1506,$N$2:N$2800,0)</f>
        <v>1</v>
      </c>
      <c r="S1506">
        <f t="shared" si="116"/>
        <v>2</v>
      </c>
      <c r="T1506" t="str">
        <f t="shared" si="117"/>
        <v>Good</v>
      </c>
      <c r="U1506" t="str" cm="1">
        <f t="array" ref="U1506">_xlfn.LET(_xlpm.roles,_xlfn.UNIQUE(D1506:D4304),_xlpm.kills, SUMIF(D1506:D4304,_xlpm.roles,G1506:G4304),INDEX(_xlpm.roles,MATCH(MAX(_xlpm.kills),_xlpm.kills,0)))</f>
        <v>Sniper</v>
      </c>
      <c r="V1506" t="str">
        <f t="shared" si="118"/>
        <v>Low Accuracy</v>
      </c>
      <c r="W1506" t="str" cm="1">
        <f t="array" ref="W1506">_xlfn.LET(_xlpm.roles,_xlfn.UNIQUE(D1506:D4304), _xlpm.counts,COUNTIF(D1506:D4304,_xlpm.roles), INDEX(_xlpm.roles,MATCH(MAX(_xlpm.counts),_xlpm.counts,0)))</f>
        <v>Sniper</v>
      </c>
      <c r="X1506" s="2">
        <f t="shared" si="119"/>
        <v>13.103594080338267</v>
      </c>
    </row>
    <row r="1507" spans="1:24" x14ac:dyDescent="0.3">
      <c r="A1507">
        <v>2238</v>
      </c>
      <c r="B1507">
        <v>266</v>
      </c>
      <c r="C1507" t="s">
        <v>35</v>
      </c>
      <c r="D1507" t="s">
        <v>36</v>
      </c>
      <c r="E1507" t="s">
        <v>32</v>
      </c>
      <c r="F1507" t="s">
        <v>24</v>
      </c>
      <c r="G1507">
        <v>27</v>
      </c>
      <c r="H1507">
        <v>17</v>
      </c>
      <c r="I1507">
        <v>7</v>
      </c>
      <c r="J1507">
        <v>52.92</v>
      </c>
      <c r="K1507">
        <v>168.45</v>
      </c>
      <c r="L1507">
        <v>0.31</v>
      </c>
      <c r="M1507">
        <v>87.36</v>
      </c>
      <c r="N1507">
        <v>1</v>
      </c>
      <c r="O1507" t="s">
        <v>20</v>
      </c>
      <c r="P1507" t="s">
        <v>38</v>
      </c>
      <c r="Q1507">
        <f t="shared" si="115"/>
        <v>37</v>
      </c>
      <c r="R1507" s="4">
        <f>RANK(N1507,$N$2:N$2800,0)</f>
        <v>1</v>
      </c>
      <c r="S1507">
        <f t="shared" si="116"/>
        <v>3.8571428571428572</v>
      </c>
      <c r="T1507" t="str">
        <f t="shared" si="117"/>
        <v>Excellent</v>
      </c>
      <c r="U1507" t="str" cm="1">
        <f t="array" ref="U1507">_xlfn.LET(_xlpm.roles,_xlfn.UNIQUE(D1507:D4305),_xlpm.kills, SUMIF(D1507:D4305,_xlpm.roles,G1507:G4305),INDEX(_xlpm.roles,MATCH(MAX(_xlpm.kills),_xlpm.kills,0)))</f>
        <v>Sniper</v>
      </c>
      <c r="V1507" t="str">
        <f t="shared" si="118"/>
        <v>High Accuracy</v>
      </c>
      <c r="W1507" t="str" cm="1">
        <f t="array" ref="W1507">_xlfn.LET(_xlpm.roles,_xlfn.UNIQUE(D1507:D4305), _xlpm.counts,COUNTIF(D1507:D4305,_xlpm.roles), INDEX(_xlpm.roles,MATCH(MAX(_xlpm.counts),_xlpm.counts,0)))</f>
        <v>Sniper</v>
      </c>
      <c r="X1507" s="2">
        <f t="shared" si="119"/>
        <v>12.599585062240664</v>
      </c>
    </row>
    <row r="1508" spans="1:24" x14ac:dyDescent="0.3">
      <c r="A1508">
        <v>2413</v>
      </c>
      <c r="B1508">
        <v>266</v>
      </c>
      <c r="C1508" t="s">
        <v>39</v>
      </c>
      <c r="D1508" t="s">
        <v>28</v>
      </c>
      <c r="E1508" t="s">
        <v>18</v>
      </c>
      <c r="F1508" t="s">
        <v>26</v>
      </c>
      <c r="G1508">
        <v>17</v>
      </c>
      <c r="H1508">
        <v>8</v>
      </c>
      <c r="I1508">
        <v>11</v>
      </c>
      <c r="J1508">
        <v>61.4</v>
      </c>
      <c r="K1508">
        <v>228.64</v>
      </c>
      <c r="L1508">
        <v>0.85</v>
      </c>
      <c r="M1508">
        <v>53.2</v>
      </c>
      <c r="N1508">
        <v>0.94</v>
      </c>
      <c r="O1508" t="s">
        <v>20</v>
      </c>
      <c r="P1508" t="s">
        <v>21</v>
      </c>
      <c r="Q1508">
        <f t="shared" si="115"/>
        <v>14</v>
      </c>
      <c r="R1508" s="4">
        <f>RANK(N1508,$N$2:N$2800,0)</f>
        <v>1431</v>
      </c>
      <c r="S1508">
        <f t="shared" si="116"/>
        <v>1.5454545454545454</v>
      </c>
      <c r="T1508" t="str">
        <f t="shared" si="117"/>
        <v>Low</v>
      </c>
      <c r="U1508" t="str" cm="1">
        <f t="array" ref="U1508">_xlfn.LET(_xlpm.roles,_xlfn.UNIQUE(D1508:D4306),_xlpm.kills, SUMIF(D1508:D4306,_xlpm.roles,G1508:G4306),INDEX(_xlpm.roles,MATCH(MAX(_xlpm.kills),_xlpm.kills,0)))</f>
        <v>Sniper</v>
      </c>
      <c r="V1508" t="str">
        <f t="shared" si="118"/>
        <v>High Accuracy</v>
      </c>
      <c r="W1508" t="str" cm="1">
        <f t="array" ref="W1508">_xlfn.LET(_xlpm.roles,_xlfn.UNIQUE(D1508:D4306), _xlpm.counts,COUNTIF(D1508:D4306,_xlpm.roles), INDEX(_xlpm.roles,MATCH(MAX(_xlpm.counts),_xlpm.counts,0)))</f>
        <v>Sniper</v>
      </c>
      <c r="X1508" s="2">
        <f t="shared" si="119"/>
        <v>13.103594080338267</v>
      </c>
    </row>
    <row r="1509" spans="1:24" x14ac:dyDescent="0.3">
      <c r="A1509">
        <v>2578</v>
      </c>
      <c r="B1509">
        <v>266</v>
      </c>
      <c r="C1509" t="s">
        <v>30</v>
      </c>
      <c r="D1509" t="s">
        <v>36</v>
      </c>
      <c r="E1509" t="s">
        <v>23</v>
      </c>
      <c r="F1509" t="s">
        <v>34</v>
      </c>
      <c r="G1509">
        <v>20</v>
      </c>
      <c r="H1509">
        <v>7</v>
      </c>
      <c r="I1509">
        <v>13</v>
      </c>
      <c r="J1509">
        <v>32.380000000000003</v>
      </c>
      <c r="K1509">
        <v>271.33999999999997</v>
      </c>
      <c r="L1509">
        <v>0.56000000000000005</v>
      </c>
      <c r="M1509">
        <v>44.59</v>
      </c>
      <c r="N1509">
        <v>0.88</v>
      </c>
      <c r="O1509" t="s">
        <v>20</v>
      </c>
      <c r="P1509" t="s">
        <v>21</v>
      </c>
      <c r="Q1509">
        <f t="shared" si="115"/>
        <v>14</v>
      </c>
      <c r="R1509" s="4">
        <f>RANK(N1509,$N$2:N$2800,0)</f>
        <v>1894</v>
      </c>
      <c r="S1509">
        <f t="shared" si="116"/>
        <v>1.5384615384615385</v>
      </c>
      <c r="T1509" t="str">
        <f t="shared" si="117"/>
        <v>Low</v>
      </c>
      <c r="U1509" t="str" cm="1">
        <f t="array" ref="U1509">_xlfn.LET(_xlpm.roles,_xlfn.UNIQUE(D1509:D4307),_xlpm.kills, SUMIF(D1509:D4307,_xlpm.roles,G1509:G4307),INDEX(_xlpm.roles,MATCH(MAX(_xlpm.kills),_xlpm.kills,0)))</f>
        <v>Sniper</v>
      </c>
      <c r="V1509" t="str">
        <f t="shared" si="118"/>
        <v>Medium Accuracy</v>
      </c>
      <c r="W1509" t="str" cm="1">
        <f t="array" ref="W1509">_xlfn.LET(_xlpm.roles,_xlfn.UNIQUE(D1509:D4307), _xlpm.counts,COUNTIF(D1509:D4307,_xlpm.roles), INDEX(_xlpm.roles,MATCH(MAX(_xlpm.counts),_xlpm.counts,0)))</f>
        <v>Sniper</v>
      </c>
      <c r="X1509" s="2">
        <f t="shared" si="119"/>
        <v>13.135802469135802</v>
      </c>
    </row>
    <row r="1510" spans="1:24" x14ac:dyDescent="0.3">
      <c r="A1510">
        <v>2721</v>
      </c>
      <c r="B1510">
        <v>266</v>
      </c>
      <c r="C1510" t="s">
        <v>35</v>
      </c>
      <c r="D1510" t="s">
        <v>28</v>
      </c>
      <c r="E1510" t="s">
        <v>18</v>
      </c>
      <c r="F1510" t="s">
        <v>26</v>
      </c>
      <c r="G1510">
        <v>21</v>
      </c>
      <c r="H1510">
        <v>9</v>
      </c>
      <c r="I1510">
        <v>12</v>
      </c>
      <c r="J1510">
        <v>52.23</v>
      </c>
      <c r="K1510">
        <v>204.77</v>
      </c>
      <c r="L1510">
        <v>0.06</v>
      </c>
      <c r="M1510">
        <v>64.52</v>
      </c>
      <c r="N1510">
        <v>1</v>
      </c>
      <c r="O1510" t="s">
        <v>20</v>
      </c>
      <c r="P1510" t="s">
        <v>38</v>
      </c>
      <c r="Q1510">
        <f t="shared" si="115"/>
        <v>18</v>
      </c>
      <c r="R1510" s="4">
        <f>RANK(N1510,$N$2:N$2800,0)</f>
        <v>1</v>
      </c>
      <c r="S1510">
        <f t="shared" si="116"/>
        <v>1.75</v>
      </c>
      <c r="T1510" t="str">
        <f t="shared" si="117"/>
        <v>Good</v>
      </c>
      <c r="U1510" t="str" cm="1">
        <f t="array" ref="U1510">_xlfn.LET(_xlpm.roles,_xlfn.UNIQUE(D1510:D4308),_xlpm.kills, SUMIF(D1510:D4308,_xlpm.roles,G1510:G4308),INDEX(_xlpm.roles,MATCH(MAX(_xlpm.kills),_xlpm.kills,0)))</f>
        <v>Sniper</v>
      </c>
      <c r="V1510" t="str">
        <f t="shared" si="118"/>
        <v>High Accuracy</v>
      </c>
      <c r="W1510" t="str" cm="1">
        <f t="array" ref="W1510">_xlfn.LET(_xlpm.roles,_xlfn.UNIQUE(D1510:D4308), _xlpm.counts,COUNTIF(D1510:D4308,_xlpm.roles), INDEX(_xlpm.roles,MATCH(MAX(_xlpm.counts),_xlpm.counts,0)))</f>
        <v>Sniper</v>
      </c>
      <c r="X1510" s="2">
        <f t="shared" si="119"/>
        <v>12.599585062240664</v>
      </c>
    </row>
    <row r="1511" spans="1:24" x14ac:dyDescent="0.3">
      <c r="A1511">
        <v>184</v>
      </c>
      <c r="B1511">
        <v>267</v>
      </c>
      <c r="C1511" t="s">
        <v>16</v>
      </c>
      <c r="D1511" t="s">
        <v>31</v>
      </c>
      <c r="E1511" t="s">
        <v>23</v>
      </c>
      <c r="F1511" t="s">
        <v>37</v>
      </c>
      <c r="G1511">
        <v>14</v>
      </c>
      <c r="H1511">
        <v>7</v>
      </c>
      <c r="I1511">
        <v>9</v>
      </c>
      <c r="J1511">
        <v>69.5</v>
      </c>
      <c r="K1511">
        <v>247.95</v>
      </c>
      <c r="L1511">
        <v>0.88</v>
      </c>
      <c r="M1511">
        <v>51.95</v>
      </c>
      <c r="N1511">
        <v>1</v>
      </c>
      <c r="O1511" t="s">
        <v>20</v>
      </c>
      <c r="P1511" t="s">
        <v>21</v>
      </c>
      <c r="Q1511">
        <f t="shared" si="115"/>
        <v>12</v>
      </c>
      <c r="R1511" s="4">
        <f>RANK(N1511,$N$2:N$2800,0)</f>
        <v>1</v>
      </c>
      <c r="S1511">
        <f t="shared" si="116"/>
        <v>1.5555555555555556</v>
      </c>
      <c r="T1511" t="str">
        <f t="shared" si="117"/>
        <v>Low</v>
      </c>
      <c r="U1511" t="str" cm="1">
        <f t="array" ref="U1511">_xlfn.LET(_xlpm.roles,_xlfn.UNIQUE(D1511:D4309),_xlpm.kills, SUMIF(D1511:D4309,_xlpm.roles,G1511:G4309),INDEX(_xlpm.roles,MATCH(MAX(_xlpm.kills),_xlpm.kills,0)))</f>
        <v>Sniper</v>
      </c>
      <c r="V1511" t="str">
        <f t="shared" si="118"/>
        <v>High Accuracy</v>
      </c>
      <c r="W1511" t="str" cm="1">
        <f t="array" ref="W1511">_xlfn.LET(_xlpm.roles,_xlfn.UNIQUE(D1511:D4309), _xlpm.counts,COUNTIF(D1511:D4309,_xlpm.roles), INDEX(_xlpm.roles,MATCH(MAX(_xlpm.counts),_xlpm.counts,0)))</f>
        <v>Sniper</v>
      </c>
      <c r="X1511" s="2">
        <f t="shared" si="119"/>
        <v>12.520971302428256</v>
      </c>
    </row>
    <row r="1512" spans="1:24" x14ac:dyDescent="0.3">
      <c r="A1512">
        <v>283</v>
      </c>
      <c r="B1512">
        <v>267</v>
      </c>
      <c r="C1512" t="s">
        <v>39</v>
      </c>
      <c r="D1512" t="s">
        <v>22</v>
      </c>
      <c r="E1512" t="s">
        <v>23</v>
      </c>
      <c r="F1512" t="s">
        <v>19</v>
      </c>
      <c r="G1512">
        <v>7</v>
      </c>
      <c r="H1512">
        <v>5</v>
      </c>
      <c r="I1512">
        <v>5</v>
      </c>
      <c r="J1512">
        <v>51.38</v>
      </c>
      <c r="K1512">
        <v>164.22</v>
      </c>
      <c r="L1512">
        <v>0.91</v>
      </c>
      <c r="M1512">
        <v>30.59</v>
      </c>
      <c r="N1512">
        <v>0.77</v>
      </c>
      <c r="O1512" t="s">
        <v>20</v>
      </c>
      <c r="P1512" t="s">
        <v>21</v>
      </c>
      <c r="Q1512">
        <f t="shared" si="115"/>
        <v>7</v>
      </c>
      <c r="R1512" s="4">
        <f>RANK(N1512,$N$2:N$2800,0)</f>
        <v>2511</v>
      </c>
      <c r="S1512">
        <f t="shared" si="116"/>
        <v>1.4</v>
      </c>
      <c r="T1512" t="str">
        <f t="shared" si="117"/>
        <v>Low</v>
      </c>
      <c r="U1512" t="str" cm="1">
        <f t="array" ref="U1512">_xlfn.LET(_xlpm.roles,_xlfn.UNIQUE(D1512:D4310),_xlpm.kills, SUMIF(D1512:D4310,_xlpm.roles,G1512:G4310),INDEX(_xlpm.roles,MATCH(MAX(_xlpm.kills),_xlpm.kills,0)))</f>
        <v>Sniper</v>
      </c>
      <c r="V1512" t="str">
        <f t="shared" si="118"/>
        <v>High Accuracy</v>
      </c>
      <c r="W1512" t="str" cm="1">
        <f t="array" ref="W1512">_xlfn.LET(_xlpm.roles,_xlfn.UNIQUE(D1512:D4310), _xlpm.counts,COUNTIF(D1512:D4310,_xlpm.roles), INDEX(_xlpm.roles,MATCH(MAX(_xlpm.counts),_xlpm.counts,0)))</f>
        <v>Sniper</v>
      </c>
      <c r="X1512" s="2">
        <f t="shared" si="119"/>
        <v>13.103594080338267</v>
      </c>
    </row>
    <row r="1513" spans="1:24" x14ac:dyDescent="0.3">
      <c r="A1513">
        <v>297</v>
      </c>
      <c r="B1513">
        <v>267</v>
      </c>
      <c r="C1513" t="s">
        <v>25</v>
      </c>
      <c r="D1513" t="s">
        <v>36</v>
      </c>
      <c r="E1513" t="s">
        <v>23</v>
      </c>
      <c r="F1513" t="s">
        <v>34</v>
      </c>
      <c r="G1513">
        <v>10</v>
      </c>
      <c r="H1513">
        <v>8</v>
      </c>
      <c r="I1513">
        <v>9</v>
      </c>
      <c r="J1513">
        <v>46.6</v>
      </c>
      <c r="K1513">
        <v>238.27</v>
      </c>
      <c r="L1513">
        <v>0.31</v>
      </c>
      <c r="M1513">
        <v>39.200000000000003</v>
      </c>
      <c r="N1513">
        <v>0.82</v>
      </c>
      <c r="O1513" t="s">
        <v>20</v>
      </c>
      <c r="P1513" t="s">
        <v>21</v>
      </c>
      <c r="Q1513">
        <f t="shared" si="115"/>
        <v>9</v>
      </c>
      <c r="R1513" s="4">
        <f>RANK(N1513,$N$2:N$2800,0)</f>
        <v>2275</v>
      </c>
      <c r="S1513">
        <f t="shared" si="116"/>
        <v>1.1111111111111112</v>
      </c>
      <c r="T1513" t="str">
        <f t="shared" si="117"/>
        <v>Low</v>
      </c>
      <c r="U1513" t="str" cm="1">
        <f t="array" ref="U1513">_xlfn.LET(_xlpm.roles,_xlfn.UNIQUE(D1513:D4311),_xlpm.kills, SUMIF(D1513:D4311,_xlpm.roles,G1513:G4311),INDEX(_xlpm.roles,MATCH(MAX(_xlpm.kills),_xlpm.kills,0)))</f>
        <v>Sniper</v>
      </c>
      <c r="V1513" t="str">
        <f t="shared" si="118"/>
        <v>Medium Accuracy</v>
      </c>
      <c r="W1513" t="str" cm="1">
        <f t="array" ref="W1513">_xlfn.LET(_xlpm.roles,_xlfn.UNIQUE(D1513:D4311), _xlpm.counts,COUNTIF(D1513:D4311,_xlpm.roles), INDEX(_xlpm.roles,MATCH(MAX(_xlpm.counts),_xlpm.counts,0)))</f>
        <v>Sniper</v>
      </c>
      <c r="X1513" s="2">
        <f t="shared" si="119"/>
        <v>12.809421841541756</v>
      </c>
    </row>
    <row r="1514" spans="1:24" x14ac:dyDescent="0.3">
      <c r="A1514">
        <v>481</v>
      </c>
      <c r="B1514">
        <v>267</v>
      </c>
      <c r="C1514" t="s">
        <v>16</v>
      </c>
      <c r="D1514" t="s">
        <v>28</v>
      </c>
      <c r="E1514" t="s">
        <v>32</v>
      </c>
      <c r="F1514" t="s">
        <v>24</v>
      </c>
      <c r="G1514">
        <v>13</v>
      </c>
      <c r="H1514">
        <v>10</v>
      </c>
      <c r="I1514">
        <v>8</v>
      </c>
      <c r="J1514">
        <v>44.48</v>
      </c>
      <c r="K1514">
        <v>301.69</v>
      </c>
      <c r="L1514">
        <v>0.57999999999999996</v>
      </c>
      <c r="M1514">
        <v>44.44</v>
      </c>
      <c r="N1514">
        <v>0.86</v>
      </c>
      <c r="O1514" t="s">
        <v>20</v>
      </c>
      <c r="P1514" t="s">
        <v>21</v>
      </c>
      <c r="Q1514">
        <f t="shared" si="115"/>
        <v>15</v>
      </c>
      <c r="R1514" s="4">
        <f>RANK(N1514,$N$2:N$2800,0)</f>
        <v>2040</v>
      </c>
      <c r="S1514">
        <f t="shared" si="116"/>
        <v>1.625</v>
      </c>
      <c r="T1514" t="str">
        <f t="shared" si="117"/>
        <v>Good</v>
      </c>
      <c r="U1514" t="str" cm="1">
        <f t="array" ref="U1514">_xlfn.LET(_xlpm.roles,_xlfn.UNIQUE(D1514:D4312),_xlpm.kills, SUMIF(D1514:D4312,_xlpm.roles,G1514:G4312),INDEX(_xlpm.roles,MATCH(MAX(_xlpm.kills),_xlpm.kills,0)))</f>
        <v>Sniper</v>
      </c>
      <c r="V1514" t="str">
        <f t="shared" si="118"/>
        <v>Medium Accuracy</v>
      </c>
      <c r="W1514" t="str" cm="1">
        <f t="array" ref="W1514">_xlfn.LET(_xlpm.roles,_xlfn.UNIQUE(D1514:D4312), _xlpm.counts,COUNTIF(D1514:D4312,_xlpm.roles), INDEX(_xlpm.roles,MATCH(MAX(_xlpm.counts),_xlpm.counts,0)))</f>
        <v>Sniper</v>
      </c>
      <c r="X1514" s="2">
        <f t="shared" si="119"/>
        <v>12.520971302428256</v>
      </c>
    </row>
    <row r="1515" spans="1:24" x14ac:dyDescent="0.3">
      <c r="A1515">
        <v>1254</v>
      </c>
      <c r="B1515">
        <v>267</v>
      </c>
      <c r="C1515" t="s">
        <v>27</v>
      </c>
      <c r="D1515" t="s">
        <v>36</v>
      </c>
      <c r="E1515" t="s">
        <v>33</v>
      </c>
      <c r="F1515" t="s">
        <v>26</v>
      </c>
      <c r="G1515">
        <v>14</v>
      </c>
      <c r="H1515">
        <v>9</v>
      </c>
      <c r="I1515">
        <v>6</v>
      </c>
      <c r="J1515">
        <v>49.35</v>
      </c>
      <c r="K1515">
        <v>245.66</v>
      </c>
      <c r="L1515">
        <v>0.18</v>
      </c>
      <c r="M1515">
        <v>53.88</v>
      </c>
      <c r="N1515">
        <v>1</v>
      </c>
      <c r="O1515" t="s">
        <v>20</v>
      </c>
      <c r="P1515" t="s">
        <v>21</v>
      </c>
      <c r="Q1515">
        <f t="shared" si="115"/>
        <v>17</v>
      </c>
      <c r="R1515" s="4">
        <f>RANK(N1515,$N$2:N$2800,0)</f>
        <v>1</v>
      </c>
      <c r="S1515">
        <f t="shared" si="116"/>
        <v>2.3333333333333335</v>
      </c>
      <c r="T1515" t="str">
        <f t="shared" si="117"/>
        <v>Good</v>
      </c>
      <c r="U1515" t="str" cm="1">
        <f t="array" ref="U1515">_xlfn.LET(_xlpm.roles,_xlfn.UNIQUE(D1515:D4313),_xlpm.kills, SUMIF(D1515:D4313,_xlpm.roles,G1515:G4313),INDEX(_xlpm.roles,MATCH(MAX(_xlpm.kills),_xlpm.kills,0)))</f>
        <v>Sniper</v>
      </c>
      <c r="V1515" t="str">
        <f t="shared" si="118"/>
        <v>Medium Accuracy</v>
      </c>
      <c r="W1515" t="str" cm="1">
        <f t="array" ref="W1515">_xlfn.LET(_xlpm.roles,_xlfn.UNIQUE(D1515:D4313), _xlpm.counts,COUNTIF(D1515:D4313,_xlpm.roles), INDEX(_xlpm.roles,MATCH(MAX(_xlpm.counts),_xlpm.counts,0)))</f>
        <v>Sniper</v>
      </c>
      <c r="X1515" s="2">
        <f t="shared" si="119"/>
        <v>13.057077625570777</v>
      </c>
    </row>
    <row r="1516" spans="1:24" x14ac:dyDescent="0.3">
      <c r="A1516">
        <v>1285</v>
      </c>
      <c r="B1516">
        <v>267</v>
      </c>
      <c r="C1516" t="s">
        <v>30</v>
      </c>
      <c r="D1516" t="s">
        <v>28</v>
      </c>
      <c r="E1516" t="s">
        <v>29</v>
      </c>
      <c r="F1516" t="s">
        <v>26</v>
      </c>
      <c r="G1516">
        <v>12</v>
      </c>
      <c r="H1516">
        <v>14</v>
      </c>
      <c r="I1516">
        <v>7</v>
      </c>
      <c r="J1516">
        <v>37.93</v>
      </c>
      <c r="K1516">
        <v>240.82</v>
      </c>
      <c r="L1516">
        <v>0.62</v>
      </c>
      <c r="M1516">
        <v>43.77</v>
      </c>
      <c r="N1516">
        <v>0.82</v>
      </c>
      <c r="O1516" t="s">
        <v>20</v>
      </c>
      <c r="P1516" t="s">
        <v>21</v>
      </c>
      <c r="Q1516">
        <f t="shared" si="115"/>
        <v>19</v>
      </c>
      <c r="R1516" s="4">
        <f>RANK(N1516,$N$2:N$2800,0)</f>
        <v>2275</v>
      </c>
      <c r="S1516">
        <f t="shared" si="116"/>
        <v>1.7142857142857142</v>
      </c>
      <c r="T1516" t="str">
        <f t="shared" si="117"/>
        <v>Good</v>
      </c>
      <c r="U1516" t="str" cm="1">
        <f t="array" ref="U1516">_xlfn.LET(_xlpm.roles,_xlfn.UNIQUE(D1516:D4314),_xlpm.kills, SUMIF(D1516:D4314,_xlpm.roles,G1516:G4314),INDEX(_xlpm.roles,MATCH(MAX(_xlpm.kills),_xlpm.kills,0)))</f>
        <v>Sniper</v>
      </c>
      <c r="V1516" t="str">
        <f t="shared" si="118"/>
        <v>Medium Accuracy</v>
      </c>
      <c r="W1516" t="str" cm="1">
        <f t="array" ref="W1516">_xlfn.LET(_xlpm.roles,_xlfn.UNIQUE(D1516:D4314), _xlpm.counts,COUNTIF(D1516:D4314,_xlpm.roles), INDEX(_xlpm.roles,MATCH(MAX(_xlpm.counts),_xlpm.counts,0)))</f>
        <v>Sniper</v>
      </c>
      <c r="X1516" s="2">
        <f t="shared" si="119"/>
        <v>13.135802469135802</v>
      </c>
    </row>
    <row r="1517" spans="1:24" x14ac:dyDescent="0.3">
      <c r="A1517">
        <v>1321</v>
      </c>
      <c r="B1517">
        <v>267</v>
      </c>
      <c r="C1517" t="s">
        <v>35</v>
      </c>
      <c r="D1517" t="s">
        <v>17</v>
      </c>
      <c r="E1517" t="s">
        <v>33</v>
      </c>
      <c r="F1517" t="s">
        <v>24</v>
      </c>
      <c r="G1517">
        <v>16</v>
      </c>
      <c r="H1517">
        <v>5</v>
      </c>
      <c r="I1517">
        <v>11</v>
      </c>
      <c r="J1517">
        <v>54.83</v>
      </c>
      <c r="K1517">
        <v>175.78</v>
      </c>
      <c r="L1517">
        <v>0.05</v>
      </c>
      <c r="M1517">
        <v>52.91</v>
      </c>
      <c r="N1517">
        <v>1</v>
      </c>
      <c r="O1517" t="s">
        <v>20</v>
      </c>
      <c r="P1517" t="s">
        <v>21</v>
      </c>
      <c r="Q1517">
        <f t="shared" si="115"/>
        <v>10</v>
      </c>
      <c r="R1517" s="4">
        <f>RANK(N1517,$N$2:N$2800,0)</f>
        <v>1</v>
      </c>
      <c r="S1517">
        <f t="shared" si="116"/>
        <v>1.4545454545454546</v>
      </c>
      <c r="T1517" t="str">
        <f t="shared" si="117"/>
        <v>Low</v>
      </c>
      <c r="U1517" t="str" cm="1">
        <f t="array" ref="U1517">_xlfn.LET(_xlpm.roles,_xlfn.UNIQUE(D1517:D4315),_xlpm.kills, SUMIF(D1517:D4315,_xlpm.roles,G1517:G4315),INDEX(_xlpm.roles,MATCH(MAX(_xlpm.kills),_xlpm.kills,0)))</f>
        <v>Sniper</v>
      </c>
      <c r="V1517" t="str">
        <f t="shared" si="118"/>
        <v>High Accuracy</v>
      </c>
      <c r="W1517" t="str" cm="1">
        <f t="array" ref="W1517">_xlfn.LET(_xlpm.roles,_xlfn.UNIQUE(D1517:D4315), _xlpm.counts,COUNTIF(D1517:D4315,_xlpm.roles), INDEX(_xlpm.roles,MATCH(MAX(_xlpm.counts),_xlpm.counts,0)))</f>
        <v>Sniper</v>
      </c>
      <c r="X1517" s="2">
        <f t="shared" si="119"/>
        <v>12.599585062240664</v>
      </c>
    </row>
    <row r="1518" spans="1:24" x14ac:dyDescent="0.3">
      <c r="A1518">
        <v>2321</v>
      </c>
      <c r="B1518">
        <v>267</v>
      </c>
      <c r="C1518" t="s">
        <v>35</v>
      </c>
      <c r="D1518" t="s">
        <v>17</v>
      </c>
      <c r="E1518" t="s">
        <v>18</v>
      </c>
      <c r="F1518" t="s">
        <v>37</v>
      </c>
      <c r="G1518">
        <v>16</v>
      </c>
      <c r="H1518">
        <v>12</v>
      </c>
      <c r="I1518">
        <v>6</v>
      </c>
      <c r="J1518">
        <v>39.49</v>
      </c>
      <c r="K1518">
        <v>209.89</v>
      </c>
      <c r="L1518">
        <v>0.82</v>
      </c>
      <c r="M1518">
        <v>49.55</v>
      </c>
      <c r="N1518">
        <v>0.78</v>
      </c>
      <c r="O1518" t="s">
        <v>20</v>
      </c>
      <c r="P1518" t="s">
        <v>21</v>
      </c>
      <c r="Q1518">
        <f t="shared" si="115"/>
        <v>22</v>
      </c>
      <c r="R1518" s="4">
        <f>RANK(N1518,$N$2:N$2800,0)</f>
        <v>2469</v>
      </c>
      <c r="S1518">
        <f t="shared" si="116"/>
        <v>2.6666666666666665</v>
      </c>
      <c r="T1518" t="str">
        <f t="shared" si="117"/>
        <v>Good</v>
      </c>
      <c r="U1518" t="str" cm="1">
        <f t="array" ref="U1518">_xlfn.LET(_xlpm.roles,_xlfn.UNIQUE(D1518:D4316),_xlpm.kills, SUMIF(D1518:D4316,_xlpm.roles,G1518:G4316),INDEX(_xlpm.roles,MATCH(MAX(_xlpm.kills),_xlpm.kills,0)))</f>
        <v>Sniper</v>
      </c>
      <c r="V1518" t="str">
        <f t="shared" si="118"/>
        <v>Medium Accuracy</v>
      </c>
      <c r="W1518" t="str" cm="1">
        <f t="array" ref="W1518">_xlfn.LET(_xlpm.roles,_xlfn.UNIQUE(D1518:D4316), _xlpm.counts,COUNTIF(D1518:D4316,_xlpm.roles), INDEX(_xlpm.roles,MATCH(MAX(_xlpm.counts),_xlpm.counts,0)))</f>
        <v>Sniper</v>
      </c>
      <c r="X1518" s="2">
        <f t="shared" si="119"/>
        <v>12.599585062240664</v>
      </c>
    </row>
    <row r="1519" spans="1:24" x14ac:dyDescent="0.3">
      <c r="A1519">
        <v>2569</v>
      </c>
      <c r="B1519">
        <v>267</v>
      </c>
      <c r="C1519" t="s">
        <v>27</v>
      </c>
      <c r="D1519" t="s">
        <v>31</v>
      </c>
      <c r="E1519" t="s">
        <v>18</v>
      </c>
      <c r="F1519" t="s">
        <v>26</v>
      </c>
      <c r="G1519">
        <v>18</v>
      </c>
      <c r="H1519">
        <v>2</v>
      </c>
      <c r="I1519">
        <v>9</v>
      </c>
      <c r="J1519">
        <v>52.73</v>
      </c>
      <c r="K1519">
        <v>267.04000000000002</v>
      </c>
      <c r="L1519">
        <v>0.64</v>
      </c>
      <c r="M1519">
        <v>48.96</v>
      </c>
      <c r="N1519">
        <v>0.93</v>
      </c>
      <c r="O1519" t="s">
        <v>20</v>
      </c>
      <c r="P1519" t="s">
        <v>21</v>
      </c>
      <c r="Q1519">
        <f t="shared" si="115"/>
        <v>11</v>
      </c>
      <c r="R1519" s="4">
        <f>RANK(N1519,$N$2:N$2800,0)</f>
        <v>1505</v>
      </c>
      <c r="S1519">
        <f t="shared" si="116"/>
        <v>2</v>
      </c>
      <c r="T1519" t="str">
        <f t="shared" si="117"/>
        <v>Low</v>
      </c>
      <c r="U1519" t="str" cm="1">
        <f t="array" ref="U1519">_xlfn.LET(_xlpm.roles,_xlfn.UNIQUE(D1519:D4317),_xlpm.kills, SUMIF(D1519:D4317,_xlpm.roles,G1519:G4317),INDEX(_xlpm.roles,MATCH(MAX(_xlpm.kills),_xlpm.kills,0)))</f>
        <v>Sniper</v>
      </c>
      <c r="V1519" t="str">
        <f t="shared" si="118"/>
        <v>High Accuracy</v>
      </c>
      <c r="W1519" t="str" cm="1">
        <f t="array" ref="W1519">_xlfn.LET(_xlpm.roles,_xlfn.UNIQUE(D1519:D4317), _xlpm.counts,COUNTIF(D1519:D4317,_xlpm.roles), INDEX(_xlpm.roles,MATCH(MAX(_xlpm.counts),_xlpm.counts,0)))</f>
        <v>Sniper</v>
      </c>
      <c r="X1519" s="2">
        <f t="shared" si="119"/>
        <v>13.057077625570777</v>
      </c>
    </row>
    <row r="1520" spans="1:24" x14ac:dyDescent="0.3">
      <c r="A1520">
        <v>2720</v>
      </c>
      <c r="B1520">
        <v>267</v>
      </c>
      <c r="C1520" t="s">
        <v>35</v>
      </c>
      <c r="D1520" t="s">
        <v>31</v>
      </c>
      <c r="E1520" t="s">
        <v>18</v>
      </c>
      <c r="F1520" t="s">
        <v>26</v>
      </c>
      <c r="G1520">
        <v>19</v>
      </c>
      <c r="H1520">
        <v>8</v>
      </c>
      <c r="I1520">
        <v>9</v>
      </c>
      <c r="J1520">
        <v>58.39</v>
      </c>
      <c r="K1520">
        <v>201.67</v>
      </c>
      <c r="L1520">
        <v>0.78</v>
      </c>
      <c r="M1520">
        <v>58.39</v>
      </c>
      <c r="N1520">
        <v>1</v>
      </c>
      <c r="O1520" t="s">
        <v>20</v>
      </c>
      <c r="P1520" t="s">
        <v>21</v>
      </c>
      <c r="Q1520">
        <f t="shared" si="115"/>
        <v>18</v>
      </c>
      <c r="R1520" s="4">
        <f>RANK(N1520,$N$2:N$2800,0)</f>
        <v>1</v>
      </c>
      <c r="S1520">
        <f t="shared" si="116"/>
        <v>2.1111111111111112</v>
      </c>
      <c r="T1520" t="str">
        <f t="shared" si="117"/>
        <v>Good</v>
      </c>
      <c r="U1520" t="str" cm="1">
        <f t="array" ref="U1520">_xlfn.LET(_xlpm.roles,_xlfn.UNIQUE(D1520:D4318),_xlpm.kills, SUMIF(D1520:D4318,_xlpm.roles,G1520:G4318),INDEX(_xlpm.roles,MATCH(MAX(_xlpm.kills),_xlpm.kills,0)))</f>
        <v>Sniper</v>
      </c>
      <c r="V1520" t="str">
        <f t="shared" si="118"/>
        <v>High Accuracy</v>
      </c>
      <c r="W1520" t="str" cm="1">
        <f t="array" ref="W1520">_xlfn.LET(_xlpm.roles,_xlfn.UNIQUE(D1520:D4318), _xlpm.counts,COUNTIF(D1520:D4318,_xlpm.roles), INDEX(_xlpm.roles,MATCH(MAX(_xlpm.counts),_xlpm.counts,0)))</f>
        <v>Sniper</v>
      </c>
      <c r="X1520" s="2">
        <f t="shared" si="119"/>
        <v>12.599585062240664</v>
      </c>
    </row>
    <row r="1521" spans="1:24" x14ac:dyDescent="0.3">
      <c r="A1521">
        <v>657</v>
      </c>
      <c r="B1521">
        <v>268</v>
      </c>
      <c r="C1521" t="s">
        <v>25</v>
      </c>
      <c r="D1521" t="s">
        <v>22</v>
      </c>
      <c r="E1521" t="s">
        <v>23</v>
      </c>
      <c r="F1521" t="s">
        <v>37</v>
      </c>
      <c r="G1521">
        <v>18</v>
      </c>
      <c r="H1521">
        <v>12</v>
      </c>
      <c r="I1521">
        <v>13</v>
      </c>
      <c r="J1521">
        <v>36.119999999999997</v>
      </c>
      <c r="K1521">
        <v>229.7</v>
      </c>
      <c r="L1521">
        <v>0.54</v>
      </c>
      <c r="M1521">
        <v>47.66</v>
      </c>
      <c r="N1521">
        <v>1</v>
      </c>
      <c r="O1521" t="s">
        <v>20</v>
      </c>
      <c r="P1521" t="s">
        <v>21</v>
      </c>
      <c r="Q1521">
        <f t="shared" si="115"/>
        <v>17</v>
      </c>
      <c r="R1521" s="4">
        <f>RANK(N1521,$N$2:N$2800,0)</f>
        <v>1</v>
      </c>
      <c r="S1521">
        <f t="shared" si="116"/>
        <v>1.3846153846153846</v>
      </c>
      <c r="T1521" t="str">
        <f t="shared" si="117"/>
        <v>Good</v>
      </c>
      <c r="U1521" t="str" cm="1">
        <f t="array" ref="U1521">_xlfn.LET(_xlpm.roles,_xlfn.UNIQUE(D1521:D4319),_xlpm.kills, SUMIF(D1521:D4319,_xlpm.roles,G1521:G4319),INDEX(_xlpm.roles,MATCH(MAX(_xlpm.kills),_xlpm.kills,0)))</f>
        <v>Sniper</v>
      </c>
      <c r="V1521" t="str">
        <f t="shared" si="118"/>
        <v>Medium Accuracy</v>
      </c>
      <c r="W1521" t="str" cm="1">
        <f t="array" ref="W1521">_xlfn.LET(_xlpm.roles,_xlfn.UNIQUE(D1521:D4319), _xlpm.counts,COUNTIF(D1521:D4319,_xlpm.roles), INDEX(_xlpm.roles,MATCH(MAX(_xlpm.counts),_xlpm.counts,0)))</f>
        <v>Sniper</v>
      </c>
      <c r="X1521" s="2">
        <f t="shared" si="119"/>
        <v>12.809421841541756</v>
      </c>
    </row>
    <row r="1522" spans="1:24" x14ac:dyDescent="0.3">
      <c r="A1522">
        <v>1104</v>
      </c>
      <c r="B1522">
        <v>268</v>
      </c>
      <c r="C1522" t="s">
        <v>27</v>
      </c>
      <c r="D1522" t="s">
        <v>22</v>
      </c>
      <c r="E1522" t="s">
        <v>33</v>
      </c>
      <c r="F1522" t="s">
        <v>24</v>
      </c>
      <c r="G1522">
        <v>16</v>
      </c>
      <c r="H1522">
        <v>13</v>
      </c>
      <c r="I1522">
        <v>12</v>
      </c>
      <c r="J1522">
        <v>40.26</v>
      </c>
      <c r="K1522">
        <v>212.07</v>
      </c>
      <c r="L1522">
        <v>0.37</v>
      </c>
      <c r="M1522">
        <v>49.43</v>
      </c>
      <c r="N1522">
        <v>1</v>
      </c>
      <c r="O1522" t="s">
        <v>20</v>
      </c>
      <c r="P1522" t="s">
        <v>21</v>
      </c>
      <c r="Q1522">
        <f t="shared" si="115"/>
        <v>17</v>
      </c>
      <c r="R1522" s="4">
        <f>RANK(N1522,$N$2:N$2800,0)</f>
        <v>1</v>
      </c>
      <c r="S1522">
        <f t="shared" si="116"/>
        <v>1.3333333333333333</v>
      </c>
      <c r="T1522" t="str">
        <f t="shared" si="117"/>
        <v>Good</v>
      </c>
      <c r="U1522" t="str" cm="1">
        <f t="array" ref="U1522">_xlfn.LET(_xlpm.roles,_xlfn.UNIQUE(D1522:D4320),_xlpm.kills, SUMIF(D1522:D4320,_xlpm.roles,G1522:G4320),INDEX(_xlpm.roles,MATCH(MAX(_xlpm.kills),_xlpm.kills,0)))</f>
        <v>Sniper</v>
      </c>
      <c r="V1522" t="str">
        <f t="shared" si="118"/>
        <v>Medium Accuracy</v>
      </c>
      <c r="W1522" t="str" cm="1">
        <f t="array" ref="W1522">_xlfn.LET(_xlpm.roles,_xlfn.UNIQUE(D1522:D4320), _xlpm.counts,COUNTIF(D1522:D4320,_xlpm.roles), INDEX(_xlpm.roles,MATCH(MAX(_xlpm.counts),_xlpm.counts,0)))</f>
        <v>Sniper</v>
      </c>
      <c r="X1522" s="2">
        <f t="shared" si="119"/>
        <v>13.057077625570777</v>
      </c>
    </row>
    <row r="1523" spans="1:24" x14ac:dyDescent="0.3">
      <c r="A1523">
        <v>1302</v>
      </c>
      <c r="B1523">
        <v>268</v>
      </c>
      <c r="C1523" t="s">
        <v>16</v>
      </c>
      <c r="D1523" t="s">
        <v>17</v>
      </c>
      <c r="E1523" t="s">
        <v>33</v>
      </c>
      <c r="F1523" t="s">
        <v>37</v>
      </c>
      <c r="G1523">
        <v>10</v>
      </c>
      <c r="H1523">
        <v>7</v>
      </c>
      <c r="I1523">
        <v>11</v>
      </c>
      <c r="J1523">
        <v>34.51</v>
      </c>
      <c r="K1523">
        <v>240.46</v>
      </c>
      <c r="L1523">
        <v>0.96</v>
      </c>
      <c r="M1523">
        <v>23.65</v>
      </c>
      <c r="N1523">
        <v>0.86</v>
      </c>
      <c r="O1523" t="s">
        <v>20</v>
      </c>
      <c r="P1523" t="s">
        <v>21</v>
      </c>
      <c r="Q1523">
        <f t="shared" si="115"/>
        <v>6</v>
      </c>
      <c r="R1523" s="4">
        <f>RANK(N1523,$N$2:N$2800,0)</f>
        <v>2040</v>
      </c>
      <c r="S1523">
        <f t="shared" si="116"/>
        <v>0.90909090909090906</v>
      </c>
      <c r="T1523" t="str">
        <f t="shared" si="117"/>
        <v>Low</v>
      </c>
      <c r="U1523" t="str" cm="1">
        <f t="array" ref="U1523">_xlfn.LET(_xlpm.roles,_xlfn.UNIQUE(D1523:D4321),_xlpm.kills, SUMIF(D1523:D4321,_xlpm.roles,G1523:G4321),INDEX(_xlpm.roles,MATCH(MAX(_xlpm.kills),_xlpm.kills,0)))</f>
        <v>Sniper</v>
      </c>
      <c r="V1523" t="str">
        <f t="shared" si="118"/>
        <v>Medium Accuracy</v>
      </c>
      <c r="W1523" t="str" cm="1">
        <f t="array" ref="W1523">_xlfn.LET(_xlpm.roles,_xlfn.UNIQUE(D1523:D4321), _xlpm.counts,COUNTIF(D1523:D4321,_xlpm.roles), INDEX(_xlpm.roles,MATCH(MAX(_xlpm.counts),_xlpm.counts,0)))</f>
        <v>Sniper</v>
      </c>
      <c r="X1523" s="2">
        <f t="shared" si="119"/>
        <v>12.520971302428256</v>
      </c>
    </row>
    <row r="1524" spans="1:24" x14ac:dyDescent="0.3">
      <c r="A1524">
        <v>1565</v>
      </c>
      <c r="B1524">
        <v>268</v>
      </c>
      <c r="C1524" t="s">
        <v>35</v>
      </c>
      <c r="D1524" t="s">
        <v>36</v>
      </c>
      <c r="E1524" t="s">
        <v>32</v>
      </c>
      <c r="F1524" t="s">
        <v>34</v>
      </c>
      <c r="G1524">
        <v>18</v>
      </c>
      <c r="H1524">
        <v>8</v>
      </c>
      <c r="I1524">
        <v>6</v>
      </c>
      <c r="J1524">
        <v>49.57</v>
      </c>
      <c r="K1524">
        <v>238.45</v>
      </c>
      <c r="L1524">
        <v>0.02</v>
      </c>
      <c r="M1524">
        <v>62.58</v>
      </c>
      <c r="N1524">
        <v>1</v>
      </c>
      <c r="O1524" t="s">
        <v>20</v>
      </c>
      <c r="P1524" t="s">
        <v>38</v>
      </c>
      <c r="Q1524">
        <f t="shared" si="115"/>
        <v>20</v>
      </c>
      <c r="R1524" s="4">
        <f>RANK(N1524,$N$2:N$2800,0)</f>
        <v>1</v>
      </c>
      <c r="S1524">
        <f t="shared" si="116"/>
        <v>3</v>
      </c>
      <c r="T1524" t="str">
        <f t="shared" si="117"/>
        <v>Good</v>
      </c>
      <c r="U1524" t="str" cm="1">
        <f t="array" ref="U1524">_xlfn.LET(_xlpm.roles,_xlfn.UNIQUE(D1524:D4322),_xlpm.kills, SUMIF(D1524:D4322,_xlpm.roles,G1524:G4322),INDEX(_xlpm.roles,MATCH(MAX(_xlpm.kills),_xlpm.kills,0)))</f>
        <v>Sniper</v>
      </c>
      <c r="V1524" t="str">
        <f t="shared" si="118"/>
        <v>Medium Accuracy</v>
      </c>
      <c r="W1524" t="str" cm="1">
        <f t="array" ref="W1524">_xlfn.LET(_xlpm.roles,_xlfn.UNIQUE(D1524:D4322), _xlpm.counts,COUNTIF(D1524:D4322,_xlpm.roles), INDEX(_xlpm.roles,MATCH(MAX(_xlpm.counts),_xlpm.counts,0)))</f>
        <v>Sniper</v>
      </c>
      <c r="X1524" s="2">
        <f t="shared" si="119"/>
        <v>12.599585062240664</v>
      </c>
    </row>
    <row r="1525" spans="1:24" x14ac:dyDescent="0.3">
      <c r="A1525">
        <v>2437</v>
      </c>
      <c r="B1525">
        <v>268</v>
      </c>
      <c r="C1525" t="s">
        <v>25</v>
      </c>
      <c r="D1525" t="s">
        <v>17</v>
      </c>
      <c r="E1525" t="s">
        <v>23</v>
      </c>
      <c r="F1525" t="s">
        <v>37</v>
      </c>
      <c r="G1525">
        <v>13</v>
      </c>
      <c r="H1525">
        <v>7</v>
      </c>
      <c r="I1525">
        <v>13</v>
      </c>
      <c r="J1525">
        <v>48.52</v>
      </c>
      <c r="K1525">
        <v>197.95</v>
      </c>
      <c r="L1525">
        <v>0.81</v>
      </c>
      <c r="M1525">
        <v>36.159999999999997</v>
      </c>
      <c r="N1525">
        <v>0.88</v>
      </c>
      <c r="O1525" t="s">
        <v>20</v>
      </c>
      <c r="P1525" t="s">
        <v>21</v>
      </c>
      <c r="Q1525">
        <f t="shared" si="115"/>
        <v>7</v>
      </c>
      <c r="R1525" s="4">
        <f>RANK(N1525,$N$2:N$2800,0)</f>
        <v>1894</v>
      </c>
      <c r="S1525">
        <f t="shared" si="116"/>
        <v>1</v>
      </c>
      <c r="T1525" t="str">
        <f t="shared" si="117"/>
        <v>Low</v>
      </c>
      <c r="U1525" t="str" cm="1">
        <f t="array" ref="U1525">_xlfn.LET(_xlpm.roles,_xlfn.UNIQUE(D1525:D4323),_xlpm.kills, SUMIF(D1525:D4323,_xlpm.roles,G1525:G4323),INDEX(_xlpm.roles,MATCH(MAX(_xlpm.kills),_xlpm.kills,0)))</f>
        <v>Sniper</v>
      </c>
      <c r="V1525" t="str">
        <f t="shared" si="118"/>
        <v>Medium Accuracy</v>
      </c>
      <c r="W1525" t="str" cm="1">
        <f t="array" ref="W1525">_xlfn.LET(_xlpm.roles,_xlfn.UNIQUE(D1525:D4323), _xlpm.counts,COUNTIF(D1525:D4323,_xlpm.roles), INDEX(_xlpm.roles,MATCH(MAX(_xlpm.counts),_xlpm.counts,0)))</f>
        <v>Sniper</v>
      </c>
      <c r="X1525" s="2">
        <f t="shared" si="119"/>
        <v>12.809421841541756</v>
      </c>
    </row>
    <row r="1526" spans="1:24" x14ac:dyDescent="0.3">
      <c r="A1526">
        <v>1143</v>
      </c>
      <c r="B1526">
        <v>269</v>
      </c>
      <c r="C1526" t="s">
        <v>39</v>
      </c>
      <c r="D1526" t="s">
        <v>22</v>
      </c>
      <c r="E1526" t="s">
        <v>32</v>
      </c>
      <c r="F1526" t="s">
        <v>37</v>
      </c>
      <c r="G1526">
        <v>13</v>
      </c>
      <c r="H1526">
        <v>13</v>
      </c>
      <c r="I1526">
        <v>9</v>
      </c>
      <c r="J1526">
        <v>48.13</v>
      </c>
      <c r="K1526">
        <v>227.39</v>
      </c>
      <c r="L1526">
        <v>0.31</v>
      </c>
      <c r="M1526">
        <v>50.96</v>
      </c>
      <c r="N1526">
        <v>1</v>
      </c>
      <c r="O1526" t="s">
        <v>20</v>
      </c>
      <c r="P1526" t="s">
        <v>21</v>
      </c>
      <c r="Q1526">
        <f t="shared" si="115"/>
        <v>17</v>
      </c>
      <c r="R1526" s="4">
        <f>RANK(N1526,$N$2:N$2800,0)</f>
        <v>1</v>
      </c>
      <c r="S1526">
        <f t="shared" si="116"/>
        <v>1.4444444444444444</v>
      </c>
      <c r="T1526" t="str">
        <f t="shared" si="117"/>
        <v>Good</v>
      </c>
      <c r="U1526" t="str" cm="1">
        <f t="array" ref="U1526">_xlfn.LET(_xlpm.roles,_xlfn.UNIQUE(D1526:D4324),_xlpm.kills, SUMIF(D1526:D4324,_xlpm.roles,G1526:G4324),INDEX(_xlpm.roles,MATCH(MAX(_xlpm.kills),_xlpm.kills,0)))</f>
        <v>Sniper</v>
      </c>
      <c r="V1526" t="str">
        <f t="shared" si="118"/>
        <v>Medium Accuracy</v>
      </c>
      <c r="W1526" t="str" cm="1">
        <f t="array" ref="W1526">_xlfn.LET(_xlpm.roles,_xlfn.UNIQUE(D1526:D4324), _xlpm.counts,COUNTIF(D1526:D4324,_xlpm.roles), INDEX(_xlpm.roles,MATCH(MAX(_xlpm.counts),_xlpm.counts,0)))</f>
        <v>Sniper</v>
      </c>
      <c r="X1526" s="2">
        <f t="shared" si="119"/>
        <v>13.103594080338267</v>
      </c>
    </row>
    <row r="1527" spans="1:24" x14ac:dyDescent="0.3">
      <c r="A1527">
        <v>1449</v>
      </c>
      <c r="B1527">
        <v>269</v>
      </c>
      <c r="C1527" t="s">
        <v>30</v>
      </c>
      <c r="D1527" t="s">
        <v>36</v>
      </c>
      <c r="E1527" t="s">
        <v>18</v>
      </c>
      <c r="F1527" t="s">
        <v>34</v>
      </c>
      <c r="G1527">
        <v>20</v>
      </c>
      <c r="H1527">
        <v>13</v>
      </c>
      <c r="I1527">
        <v>18</v>
      </c>
      <c r="J1527">
        <v>51.24</v>
      </c>
      <c r="K1527">
        <v>189.24</v>
      </c>
      <c r="L1527">
        <v>0.91</v>
      </c>
      <c r="M1527">
        <v>51.52</v>
      </c>
      <c r="N1527">
        <v>1</v>
      </c>
      <c r="O1527" t="s">
        <v>20</v>
      </c>
      <c r="P1527" t="s">
        <v>21</v>
      </c>
      <c r="Q1527">
        <f t="shared" si="115"/>
        <v>15</v>
      </c>
      <c r="R1527" s="4">
        <f>RANK(N1527,$N$2:N$2800,0)</f>
        <v>1</v>
      </c>
      <c r="S1527">
        <f t="shared" si="116"/>
        <v>1.1111111111111112</v>
      </c>
      <c r="T1527" t="str">
        <f t="shared" si="117"/>
        <v>Good</v>
      </c>
      <c r="U1527" t="str" cm="1">
        <f t="array" ref="U1527">_xlfn.LET(_xlpm.roles,_xlfn.UNIQUE(D1527:D4325),_xlpm.kills, SUMIF(D1527:D4325,_xlpm.roles,G1527:G4325),INDEX(_xlpm.roles,MATCH(MAX(_xlpm.kills),_xlpm.kills,0)))</f>
        <v>Sniper</v>
      </c>
      <c r="V1527" t="str">
        <f t="shared" si="118"/>
        <v>High Accuracy</v>
      </c>
      <c r="W1527" t="str" cm="1">
        <f t="array" ref="W1527">_xlfn.LET(_xlpm.roles,_xlfn.UNIQUE(D1527:D4325), _xlpm.counts,COUNTIF(D1527:D4325,_xlpm.roles), INDEX(_xlpm.roles,MATCH(MAX(_xlpm.counts),_xlpm.counts,0)))</f>
        <v>Sniper</v>
      </c>
      <c r="X1527" s="2">
        <f t="shared" si="119"/>
        <v>13.135802469135802</v>
      </c>
    </row>
    <row r="1528" spans="1:24" x14ac:dyDescent="0.3">
      <c r="A1528">
        <v>2712</v>
      </c>
      <c r="B1528">
        <v>269</v>
      </c>
      <c r="C1528" t="s">
        <v>39</v>
      </c>
      <c r="D1528" t="s">
        <v>36</v>
      </c>
      <c r="E1528" t="s">
        <v>32</v>
      </c>
      <c r="F1528" t="s">
        <v>34</v>
      </c>
      <c r="G1528">
        <v>8</v>
      </c>
      <c r="H1528">
        <v>6</v>
      </c>
      <c r="I1528">
        <v>8</v>
      </c>
      <c r="J1528">
        <v>55.69</v>
      </c>
      <c r="K1528">
        <v>203.83</v>
      </c>
      <c r="L1528">
        <v>0.24</v>
      </c>
      <c r="M1528">
        <v>39.450000000000003</v>
      </c>
      <c r="N1528">
        <v>0.85</v>
      </c>
      <c r="O1528" t="s">
        <v>20</v>
      </c>
      <c r="P1528" t="s">
        <v>21</v>
      </c>
      <c r="Q1528">
        <f t="shared" si="115"/>
        <v>6</v>
      </c>
      <c r="R1528" s="4">
        <f>RANK(N1528,$N$2:N$2800,0)</f>
        <v>2105</v>
      </c>
      <c r="S1528">
        <f t="shared" si="116"/>
        <v>1</v>
      </c>
      <c r="T1528" t="str">
        <f t="shared" si="117"/>
        <v>Low</v>
      </c>
      <c r="U1528" t="str" cm="1">
        <f t="array" ref="U1528">_xlfn.LET(_xlpm.roles,_xlfn.UNIQUE(D1528:D4326),_xlpm.kills, SUMIF(D1528:D4326,_xlpm.roles,G1528:G4326),INDEX(_xlpm.roles,MATCH(MAX(_xlpm.kills),_xlpm.kills,0)))</f>
        <v>Sniper</v>
      </c>
      <c r="V1528" t="str">
        <f t="shared" si="118"/>
        <v>High Accuracy</v>
      </c>
      <c r="W1528" t="str" cm="1">
        <f t="array" ref="W1528">_xlfn.LET(_xlpm.roles,_xlfn.UNIQUE(D1528:D4326), _xlpm.counts,COUNTIF(D1528:D4326,_xlpm.roles), INDEX(_xlpm.roles,MATCH(MAX(_xlpm.counts),_xlpm.counts,0)))</f>
        <v>Sniper</v>
      </c>
      <c r="X1528" s="2">
        <f t="shared" si="119"/>
        <v>13.103594080338267</v>
      </c>
    </row>
    <row r="1529" spans="1:24" x14ac:dyDescent="0.3">
      <c r="A1529">
        <v>299</v>
      </c>
      <c r="B1529">
        <v>270</v>
      </c>
      <c r="C1529" t="s">
        <v>35</v>
      </c>
      <c r="D1529" t="s">
        <v>36</v>
      </c>
      <c r="E1529" t="s">
        <v>32</v>
      </c>
      <c r="F1529" t="s">
        <v>34</v>
      </c>
      <c r="G1529">
        <v>19</v>
      </c>
      <c r="H1529">
        <v>10</v>
      </c>
      <c r="I1529">
        <v>14</v>
      </c>
      <c r="J1529">
        <v>49.77</v>
      </c>
      <c r="K1529">
        <v>159.29</v>
      </c>
      <c r="L1529">
        <v>0.09</v>
      </c>
      <c r="M1529">
        <v>57.99</v>
      </c>
      <c r="N1529">
        <v>1</v>
      </c>
      <c r="O1529" t="s">
        <v>20</v>
      </c>
      <c r="P1529" t="s">
        <v>21</v>
      </c>
      <c r="Q1529">
        <f t="shared" si="115"/>
        <v>15</v>
      </c>
      <c r="R1529" s="4">
        <f>RANK(N1529,$N$2:N$2800,0)</f>
        <v>1</v>
      </c>
      <c r="S1529">
        <f t="shared" si="116"/>
        <v>1.3571428571428572</v>
      </c>
      <c r="T1529" t="str">
        <f t="shared" si="117"/>
        <v>Good</v>
      </c>
      <c r="U1529" t="str" cm="1">
        <f t="array" ref="U1529">_xlfn.LET(_xlpm.roles,_xlfn.UNIQUE(D1529:D4327),_xlpm.kills, SUMIF(D1529:D4327,_xlpm.roles,G1529:G4327),INDEX(_xlpm.roles,MATCH(MAX(_xlpm.kills),_xlpm.kills,0)))</f>
        <v>Sniper</v>
      </c>
      <c r="V1529" t="str">
        <f t="shared" si="118"/>
        <v>Medium Accuracy</v>
      </c>
      <c r="W1529" t="str" cm="1">
        <f t="array" ref="W1529">_xlfn.LET(_xlpm.roles,_xlfn.UNIQUE(D1529:D4327), _xlpm.counts,COUNTIF(D1529:D4327,_xlpm.roles), INDEX(_xlpm.roles,MATCH(MAX(_xlpm.counts),_xlpm.counts,0)))</f>
        <v>Sniper</v>
      </c>
      <c r="X1529" s="2">
        <f t="shared" si="119"/>
        <v>12.599585062240664</v>
      </c>
    </row>
    <row r="1530" spans="1:24" x14ac:dyDescent="0.3">
      <c r="A1530">
        <v>328</v>
      </c>
      <c r="B1530">
        <v>270</v>
      </c>
      <c r="C1530" t="s">
        <v>35</v>
      </c>
      <c r="D1530" t="s">
        <v>36</v>
      </c>
      <c r="E1530" t="s">
        <v>33</v>
      </c>
      <c r="F1530" t="s">
        <v>26</v>
      </c>
      <c r="G1530">
        <v>11</v>
      </c>
      <c r="H1530">
        <v>6</v>
      </c>
      <c r="I1530">
        <v>7</v>
      </c>
      <c r="J1530">
        <v>48.14</v>
      </c>
      <c r="K1530">
        <v>246.12</v>
      </c>
      <c r="L1530">
        <v>0.14000000000000001</v>
      </c>
      <c r="M1530">
        <v>43.67</v>
      </c>
      <c r="N1530">
        <v>1</v>
      </c>
      <c r="O1530" t="s">
        <v>20</v>
      </c>
      <c r="P1530" t="s">
        <v>21</v>
      </c>
      <c r="Q1530">
        <f t="shared" si="115"/>
        <v>10</v>
      </c>
      <c r="R1530" s="4">
        <f>RANK(N1530,$N$2:N$2800,0)</f>
        <v>1</v>
      </c>
      <c r="S1530">
        <f t="shared" si="116"/>
        <v>1.5714285714285714</v>
      </c>
      <c r="T1530" t="str">
        <f t="shared" si="117"/>
        <v>Low</v>
      </c>
      <c r="U1530" t="str" cm="1">
        <f t="array" ref="U1530">_xlfn.LET(_xlpm.roles,_xlfn.UNIQUE(D1530:D4328),_xlpm.kills, SUMIF(D1530:D4328,_xlpm.roles,G1530:G4328),INDEX(_xlpm.roles,MATCH(MAX(_xlpm.kills),_xlpm.kills,0)))</f>
        <v>Sniper</v>
      </c>
      <c r="V1530" t="str">
        <f t="shared" si="118"/>
        <v>Medium Accuracy</v>
      </c>
      <c r="W1530" t="str" cm="1">
        <f t="array" ref="W1530">_xlfn.LET(_xlpm.roles,_xlfn.UNIQUE(D1530:D4328), _xlpm.counts,COUNTIF(D1530:D4328,_xlpm.roles), INDEX(_xlpm.roles,MATCH(MAX(_xlpm.counts),_xlpm.counts,0)))</f>
        <v>Sniper</v>
      </c>
      <c r="X1530" s="2">
        <f t="shared" si="119"/>
        <v>12.599585062240664</v>
      </c>
    </row>
    <row r="1531" spans="1:24" x14ac:dyDescent="0.3">
      <c r="A1531">
        <v>1159</v>
      </c>
      <c r="B1531">
        <v>270</v>
      </c>
      <c r="C1531" t="s">
        <v>27</v>
      </c>
      <c r="D1531" t="s">
        <v>17</v>
      </c>
      <c r="E1531" t="s">
        <v>29</v>
      </c>
      <c r="F1531" t="s">
        <v>26</v>
      </c>
      <c r="G1531">
        <v>14</v>
      </c>
      <c r="H1531">
        <v>11</v>
      </c>
      <c r="I1531">
        <v>13</v>
      </c>
      <c r="J1531">
        <v>62.43</v>
      </c>
      <c r="K1531">
        <v>208.28</v>
      </c>
      <c r="L1531">
        <v>0.91</v>
      </c>
      <c r="M1531">
        <v>48.12</v>
      </c>
      <c r="N1531">
        <v>1</v>
      </c>
      <c r="O1531" t="s">
        <v>20</v>
      </c>
      <c r="P1531" t="s">
        <v>21</v>
      </c>
      <c r="Q1531">
        <f t="shared" si="115"/>
        <v>12</v>
      </c>
      <c r="R1531" s="4">
        <f>RANK(N1531,$N$2:N$2800,0)</f>
        <v>1</v>
      </c>
      <c r="S1531">
        <f t="shared" si="116"/>
        <v>1.0769230769230769</v>
      </c>
      <c r="T1531" t="str">
        <f t="shared" si="117"/>
        <v>Low</v>
      </c>
      <c r="U1531" t="str" cm="1">
        <f t="array" ref="U1531">_xlfn.LET(_xlpm.roles,_xlfn.UNIQUE(D1531:D4329),_xlpm.kills, SUMIF(D1531:D4329,_xlpm.roles,G1531:G4329),INDEX(_xlpm.roles,MATCH(MAX(_xlpm.kills),_xlpm.kills,0)))</f>
        <v>Sniper</v>
      </c>
      <c r="V1531" t="str">
        <f t="shared" si="118"/>
        <v>High Accuracy</v>
      </c>
      <c r="W1531" t="str" cm="1">
        <f t="array" ref="W1531">_xlfn.LET(_xlpm.roles,_xlfn.UNIQUE(D1531:D4329), _xlpm.counts,COUNTIF(D1531:D4329,_xlpm.roles), INDEX(_xlpm.roles,MATCH(MAX(_xlpm.counts),_xlpm.counts,0)))</f>
        <v>Sniper</v>
      </c>
      <c r="X1531" s="2">
        <f t="shared" si="119"/>
        <v>13.057077625570777</v>
      </c>
    </row>
    <row r="1532" spans="1:24" x14ac:dyDescent="0.3">
      <c r="A1532">
        <v>1415</v>
      </c>
      <c r="B1532">
        <v>270</v>
      </c>
      <c r="C1532" t="s">
        <v>30</v>
      </c>
      <c r="D1532" t="s">
        <v>28</v>
      </c>
      <c r="E1532" t="s">
        <v>33</v>
      </c>
      <c r="F1532" t="s">
        <v>24</v>
      </c>
      <c r="G1532">
        <v>11</v>
      </c>
      <c r="H1532">
        <v>4</v>
      </c>
      <c r="I1532">
        <v>5</v>
      </c>
      <c r="J1532">
        <v>51.29</v>
      </c>
      <c r="K1532">
        <v>237.71</v>
      </c>
      <c r="L1532">
        <v>0.47</v>
      </c>
      <c r="M1532">
        <v>41.94</v>
      </c>
      <c r="N1532">
        <v>0.9</v>
      </c>
      <c r="O1532" t="s">
        <v>20</v>
      </c>
      <c r="P1532" t="s">
        <v>21</v>
      </c>
      <c r="Q1532">
        <f t="shared" si="115"/>
        <v>10</v>
      </c>
      <c r="R1532" s="4">
        <f>RANK(N1532,$N$2:N$2800,0)</f>
        <v>1738</v>
      </c>
      <c r="S1532">
        <f t="shared" si="116"/>
        <v>2.2000000000000002</v>
      </c>
      <c r="T1532" t="str">
        <f t="shared" si="117"/>
        <v>Low</v>
      </c>
      <c r="U1532" t="str" cm="1">
        <f t="array" ref="U1532">_xlfn.LET(_xlpm.roles,_xlfn.UNIQUE(D1532:D4330),_xlpm.kills, SUMIF(D1532:D4330,_xlpm.roles,G1532:G4330),INDEX(_xlpm.roles,MATCH(MAX(_xlpm.kills),_xlpm.kills,0)))</f>
        <v>Sniper</v>
      </c>
      <c r="V1532" t="str">
        <f t="shared" si="118"/>
        <v>High Accuracy</v>
      </c>
      <c r="W1532" t="str" cm="1">
        <f t="array" ref="W1532">_xlfn.LET(_xlpm.roles,_xlfn.UNIQUE(D1532:D4330), _xlpm.counts,COUNTIF(D1532:D4330,_xlpm.roles), INDEX(_xlpm.roles,MATCH(MAX(_xlpm.counts),_xlpm.counts,0)))</f>
        <v>Sniper</v>
      </c>
      <c r="X1532" s="2">
        <f t="shared" si="119"/>
        <v>13.135802469135802</v>
      </c>
    </row>
    <row r="1533" spans="1:24" x14ac:dyDescent="0.3">
      <c r="A1533">
        <v>86</v>
      </c>
      <c r="B1533">
        <v>271</v>
      </c>
      <c r="C1533" t="s">
        <v>16</v>
      </c>
      <c r="D1533" t="s">
        <v>28</v>
      </c>
      <c r="E1533" t="s">
        <v>32</v>
      </c>
      <c r="F1533" t="s">
        <v>19</v>
      </c>
      <c r="G1533">
        <v>13</v>
      </c>
      <c r="H1533">
        <v>10</v>
      </c>
      <c r="I1533">
        <v>10</v>
      </c>
      <c r="J1533">
        <v>47.99</v>
      </c>
      <c r="K1533">
        <v>267.5</v>
      </c>
      <c r="L1533">
        <v>0.35</v>
      </c>
      <c r="M1533">
        <v>46.5</v>
      </c>
      <c r="N1533">
        <v>0.93</v>
      </c>
      <c r="O1533" t="s">
        <v>20</v>
      </c>
      <c r="P1533" t="s">
        <v>21</v>
      </c>
      <c r="Q1533">
        <f t="shared" si="115"/>
        <v>13</v>
      </c>
      <c r="R1533" s="4">
        <f>RANK(N1533,$N$2:N$2800,0)</f>
        <v>1505</v>
      </c>
      <c r="S1533">
        <f t="shared" si="116"/>
        <v>1.3</v>
      </c>
      <c r="T1533" t="str">
        <f t="shared" si="117"/>
        <v>Low</v>
      </c>
      <c r="U1533" t="str" cm="1">
        <f t="array" ref="U1533">_xlfn.LET(_xlpm.roles,_xlfn.UNIQUE(D1533:D4331),_xlpm.kills, SUMIF(D1533:D4331,_xlpm.roles,G1533:G4331),INDEX(_xlpm.roles,MATCH(MAX(_xlpm.kills),_xlpm.kills,0)))</f>
        <v>Sniper</v>
      </c>
      <c r="V1533" t="str">
        <f t="shared" si="118"/>
        <v>Medium Accuracy</v>
      </c>
      <c r="W1533" t="str" cm="1">
        <f t="array" ref="W1533">_xlfn.LET(_xlpm.roles,_xlfn.UNIQUE(D1533:D4331), _xlpm.counts,COUNTIF(D1533:D4331,_xlpm.roles), INDEX(_xlpm.roles,MATCH(MAX(_xlpm.counts),_xlpm.counts,0)))</f>
        <v>Sniper</v>
      </c>
      <c r="X1533" s="2">
        <f t="shared" si="119"/>
        <v>12.520971302428256</v>
      </c>
    </row>
    <row r="1534" spans="1:24" x14ac:dyDescent="0.3">
      <c r="A1534">
        <v>220</v>
      </c>
      <c r="B1534">
        <v>271</v>
      </c>
      <c r="C1534" t="s">
        <v>30</v>
      </c>
      <c r="D1534" t="s">
        <v>17</v>
      </c>
      <c r="E1534" t="s">
        <v>23</v>
      </c>
      <c r="F1534" t="s">
        <v>24</v>
      </c>
      <c r="G1534">
        <v>16</v>
      </c>
      <c r="H1534">
        <v>6</v>
      </c>
      <c r="I1534">
        <v>12</v>
      </c>
      <c r="J1534">
        <v>35.04</v>
      </c>
      <c r="K1534">
        <v>192.51</v>
      </c>
      <c r="L1534">
        <v>0.25</v>
      </c>
      <c r="M1534">
        <v>41.02</v>
      </c>
      <c r="N1534">
        <v>1</v>
      </c>
      <c r="O1534" t="s">
        <v>20</v>
      </c>
      <c r="P1534" t="s">
        <v>21</v>
      </c>
      <c r="Q1534">
        <f t="shared" si="115"/>
        <v>10</v>
      </c>
      <c r="R1534" s="4">
        <f>RANK(N1534,$N$2:N$2800,0)</f>
        <v>1</v>
      </c>
      <c r="S1534">
        <f t="shared" si="116"/>
        <v>1.3333333333333333</v>
      </c>
      <c r="T1534" t="str">
        <f t="shared" si="117"/>
        <v>Low</v>
      </c>
      <c r="U1534" t="str" cm="1">
        <f t="array" ref="U1534">_xlfn.LET(_xlpm.roles,_xlfn.UNIQUE(D1534:D4332),_xlpm.kills, SUMIF(D1534:D4332,_xlpm.roles,G1534:G4332),INDEX(_xlpm.roles,MATCH(MAX(_xlpm.kills),_xlpm.kills,0)))</f>
        <v>Sniper</v>
      </c>
      <c r="V1534" t="str">
        <f t="shared" si="118"/>
        <v>Medium Accuracy</v>
      </c>
      <c r="W1534" t="str" cm="1">
        <f t="array" ref="W1534">_xlfn.LET(_xlpm.roles,_xlfn.UNIQUE(D1534:D4332), _xlpm.counts,COUNTIF(D1534:D4332,_xlpm.roles), INDEX(_xlpm.roles,MATCH(MAX(_xlpm.counts),_xlpm.counts,0)))</f>
        <v>Sniper</v>
      </c>
      <c r="X1534" s="2">
        <f t="shared" si="119"/>
        <v>13.135802469135802</v>
      </c>
    </row>
    <row r="1535" spans="1:24" x14ac:dyDescent="0.3">
      <c r="A1535">
        <v>1380</v>
      </c>
      <c r="B1535">
        <v>271</v>
      </c>
      <c r="C1535" t="s">
        <v>27</v>
      </c>
      <c r="D1535" t="s">
        <v>17</v>
      </c>
      <c r="E1535" t="s">
        <v>33</v>
      </c>
      <c r="F1535" t="s">
        <v>34</v>
      </c>
      <c r="G1535">
        <v>18</v>
      </c>
      <c r="H1535">
        <v>7</v>
      </c>
      <c r="I1535">
        <v>13</v>
      </c>
      <c r="J1535">
        <v>44.91</v>
      </c>
      <c r="K1535">
        <v>242.63</v>
      </c>
      <c r="L1535">
        <v>0.04</v>
      </c>
      <c r="M1535">
        <v>52.05</v>
      </c>
      <c r="N1535">
        <v>0.87</v>
      </c>
      <c r="O1535" t="s">
        <v>20</v>
      </c>
      <c r="P1535" t="s">
        <v>21</v>
      </c>
      <c r="Q1535">
        <f t="shared" si="115"/>
        <v>12</v>
      </c>
      <c r="R1535" s="4">
        <f>RANK(N1535,$N$2:N$2800,0)</f>
        <v>1965</v>
      </c>
      <c r="S1535">
        <f t="shared" si="116"/>
        <v>1.3846153846153846</v>
      </c>
      <c r="T1535" t="str">
        <f t="shared" si="117"/>
        <v>Low</v>
      </c>
      <c r="U1535" t="str" cm="1">
        <f t="array" ref="U1535">_xlfn.LET(_xlpm.roles,_xlfn.UNIQUE(D1535:D4333),_xlpm.kills, SUMIF(D1535:D4333,_xlpm.roles,G1535:G4333),INDEX(_xlpm.roles,MATCH(MAX(_xlpm.kills),_xlpm.kills,0)))</f>
        <v>Sniper</v>
      </c>
      <c r="V1535" t="str">
        <f t="shared" si="118"/>
        <v>Medium Accuracy</v>
      </c>
      <c r="W1535" t="str" cm="1">
        <f t="array" ref="W1535">_xlfn.LET(_xlpm.roles,_xlfn.UNIQUE(D1535:D4333), _xlpm.counts,COUNTIF(D1535:D4333,_xlpm.roles), INDEX(_xlpm.roles,MATCH(MAX(_xlpm.counts),_xlpm.counts,0)))</f>
        <v>Sniper</v>
      </c>
      <c r="X1535" s="2">
        <f t="shared" si="119"/>
        <v>13.057077625570777</v>
      </c>
    </row>
    <row r="1536" spans="1:24" x14ac:dyDescent="0.3">
      <c r="A1536">
        <v>1429</v>
      </c>
      <c r="B1536">
        <v>271</v>
      </c>
      <c r="C1536" t="s">
        <v>35</v>
      </c>
      <c r="D1536" t="s">
        <v>17</v>
      </c>
      <c r="E1536" t="s">
        <v>23</v>
      </c>
      <c r="F1536" t="s">
        <v>19</v>
      </c>
      <c r="G1536">
        <v>14</v>
      </c>
      <c r="H1536">
        <v>8</v>
      </c>
      <c r="I1536">
        <v>12</v>
      </c>
      <c r="J1536">
        <v>46.1</v>
      </c>
      <c r="K1536">
        <v>211.1</v>
      </c>
      <c r="L1536">
        <v>0.5</v>
      </c>
      <c r="M1536">
        <v>42.05</v>
      </c>
      <c r="N1536">
        <v>1</v>
      </c>
      <c r="O1536" t="s">
        <v>20</v>
      </c>
      <c r="P1536" t="s">
        <v>21</v>
      </c>
      <c r="Q1536">
        <f t="shared" si="115"/>
        <v>10</v>
      </c>
      <c r="R1536" s="4">
        <f>RANK(N1536,$N$2:N$2800,0)</f>
        <v>1</v>
      </c>
      <c r="S1536">
        <f t="shared" si="116"/>
        <v>1.1666666666666667</v>
      </c>
      <c r="T1536" t="str">
        <f t="shared" si="117"/>
        <v>Low</v>
      </c>
      <c r="U1536" t="str" cm="1">
        <f t="array" ref="U1536">_xlfn.LET(_xlpm.roles,_xlfn.UNIQUE(D1536:D4334),_xlpm.kills, SUMIF(D1536:D4334,_xlpm.roles,G1536:G4334),INDEX(_xlpm.roles,MATCH(MAX(_xlpm.kills),_xlpm.kills,0)))</f>
        <v>Sniper</v>
      </c>
      <c r="V1536" t="str">
        <f t="shared" si="118"/>
        <v>Medium Accuracy</v>
      </c>
      <c r="W1536" t="str" cm="1">
        <f t="array" ref="W1536">_xlfn.LET(_xlpm.roles,_xlfn.UNIQUE(D1536:D4334), _xlpm.counts,COUNTIF(D1536:D4334,_xlpm.roles), INDEX(_xlpm.roles,MATCH(MAX(_xlpm.counts),_xlpm.counts,0)))</f>
        <v>Sniper</v>
      </c>
      <c r="X1536" s="2">
        <f t="shared" si="119"/>
        <v>12.599585062240664</v>
      </c>
    </row>
    <row r="1537" spans="1:24" x14ac:dyDescent="0.3">
      <c r="A1537">
        <v>1467</v>
      </c>
      <c r="B1537">
        <v>272</v>
      </c>
      <c r="C1537" t="s">
        <v>30</v>
      </c>
      <c r="D1537" t="s">
        <v>31</v>
      </c>
      <c r="E1537" t="s">
        <v>23</v>
      </c>
      <c r="F1537" t="s">
        <v>24</v>
      </c>
      <c r="G1537">
        <v>14</v>
      </c>
      <c r="H1537">
        <v>12</v>
      </c>
      <c r="I1537">
        <v>9</v>
      </c>
      <c r="J1537">
        <v>43.59</v>
      </c>
      <c r="K1537">
        <v>230.61</v>
      </c>
      <c r="L1537">
        <v>0.47</v>
      </c>
      <c r="M1537">
        <v>48.09</v>
      </c>
      <c r="N1537">
        <v>0.99</v>
      </c>
      <c r="O1537" t="s">
        <v>20</v>
      </c>
      <c r="P1537" t="s">
        <v>21</v>
      </c>
      <c r="Q1537">
        <f t="shared" si="115"/>
        <v>17</v>
      </c>
      <c r="R1537" s="4">
        <f>RANK(N1537,$N$2:N$2800,0)</f>
        <v>1080</v>
      </c>
      <c r="S1537">
        <f t="shared" si="116"/>
        <v>1.5555555555555556</v>
      </c>
      <c r="T1537" t="str">
        <f t="shared" si="117"/>
        <v>Good</v>
      </c>
      <c r="U1537" t="str" cm="1">
        <f t="array" ref="U1537">_xlfn.LET(_xlpm.roles,_xlfn.UNIQUE(D1537:D4335),_xlpm.kills, SUMIF(D1537:D4335,_xlpm.roles,G1537:G4335),INDEX(_xlpm.roles,MATCH(MAX(_xlpm.kills),_xlpm.kills,0)))</f>
        <v>Sniper</v>
      </c>
      <c r="V1537" t="str">
        <f t="shared" si="118"/>
        <v>Medium Accuracy</v>
      </c>
      <c r="W1537" t="str" cm="1">
        <f t="array" ref="W1537">_xlfn.LET(_xlpm.roles,_xlfn.UNIQUE(D1537:D4335), _xlpm.counts,COUNTIF(D1537:D4335,_xlpm.roles), INDEX(_xlpm.roles,MATCH(MAX(_xlpm.counts),_xlpm.counts,0)))</f>
        <v>Sniper</v>
      </c>
      <c r="X1537" s="2">
        <f t="shared" si="119"/>
        <v>13.135802469135802</v>
      </c>
    </row>
    <row r="1538" spans="1:24" x14ac:dyDescent="0.3">
      <c r="A1538">
        <v>1494</v>
      </c>
      <c r="B1538">
        <v>272</v>
      </c>
      <c r="C1538" t="s">
        <v>30</v>
      </c>
      <c r="D1538" t="s">
        <v>22</v>
      </c>
      <c r="E1538" t="s">
        <v>29</v>
      </c>
      <c r="F1538" t="s">
        <v>37</v>
      </c>
      <c r="G1538">
        <v>9</v>
      </c>
      <c r="H1538">
        <v>6</v>
      </c>
      <c r="I1538">
        <v>9</v>
      </c>
      <c r="J1538">
        <v>42.99</v>
      </c>
      <c r="K1538">
        <v>240.63</v>
      </c>
      <c r="L1538">
        <v>0.83</v>
      </c>
      <c r="M1538">
        <v>28.2</v>
      </c>
      <c r="N1538">
        <v>0.72</v>
      </c>
      <c r="O1538" t="s">
        <v>20</v>
      </c>
      <c r="P1538" t="s">
        <v>21</v>
      </c>
      <c r="Q1538">
        <f t="shared" si="115"/>
        <v>6</v>
      </c>
      <c r="R1538" s="4">
        <f>RANK(N1538,$N$2:N$2800,0)</f>
        <v>2663</v>
      </c>
      <c r="S1538">
        <f t="shared" si="116"/>
        <v>1</v>
      </c>
      <c r="T1538" t="str">
        <f t="shared" si="117"/>
        <v>Low</v>
      </c>
      <c r="U1538" t="str" cm="1">
        <f t="array" ref="U1538">_xlfn.LET(_xlpm.roles,_xlfn.UNIQUE(D1538:D4336),_xlpm.kills, SUMIF(D1538:D4336,_xlpm.roles,G1538:G4336),INDEX(_xlpm.roles,MATCH(MAX(_xlpm.kills),_xlpm.kills,0)))</f>
        <v>Sniper</v>
      </c>
      <c r="V1538" t="str">
        <f t="shared" si="118"/>
        <v>Medium Accuracy</v>
      </c>
      <c r="W1538" t="str" cm="1">
        <f t="array" ref="W1538">_xlfn.LET(_xlpm.roles,_xlfn.UNIQUE(D1538:D4336), _xlpm.counts,COUNTIF(D1538:D4336,_xlpm.roles), INDEX(_xlpm.roles,MATCH(MAX(_xlpm.counts),_xlpm.counts,0)))</f>
        <v>Sniper</v>
      </c>
      <c r="X1538" s="2">
        <f t="shared" si="119"/>
        <v>13.135802469135802</v>
      </c>
    </row>
    <row r="1539" spans="1:24" x14ac:dyDescent="0.3">
      <c r="A1539">
        <v>1562</v>
      </c>
      <c r="B1539">
        <v>272</v>
      </c>
      <c r="C1539" t="s">
        <v>30</v>
      </c>
      <c r="D1539" t="s">
        <v>31</v>
      </c>
      <c r="E1539" t="s">
        <v>29</v>
      </c>
      <c r="F1539" t="s">
        <v>19</v>
      </c>
      <c r="G1539">
        <v>23</v>
      </c>
      <c r="H1539">
        <v>6</v>
      </c>
      <c r="I1539">
        <v>9</v>
      </c>
      <c r="J1539">
        <v>31.4</v>
      </c>
      <c r="K1539">
        <v>230.13</v>
      </c>
      <c r="L1539">
        <v>0.82</v>
      </c>
      <c r="M1539">
        <v>50.5</v>
      </c>
      <c r="N1539">
        <v>0.94</v>
      </c>
      <c r="O1539" t="s">
        <v>20</v>
      </c>
      <c r="P1539" t="s">
        <v>21</v>
      </c>
      <c r="Q1539">
        <f t="shared" ref="Q1539:Q1602" si="120">G1539+H1539-I1539</f>
        <v>20</v>
      </c>
      <c r="R1539" s="4">
        <f>RANK(N1539,$N$2:N$2800,0)</f>
        <v>1431</v>
      </c>
      <c r="S1539">
        <f t="shared" ref="S1539:S1602" si="121">G1539/I1539</f>
        <v>2.5555555555555554</v>
      </c>
      <c r="T1539" t="str">
        <f t="shared" ref="T1539:T1602" si="122">IF(Q1539&lt;15,"Low",IF(Q1539&lt;25,"Good","Excellent"))</f>
        <v>Good</v>
      </c>
      <c r="U1539" t="str" cm="1">
        <f t="array" ref="U1539">_xlfn.LET(_xlpm.roles,_xlfn.UNIQUE(D1539:D4337),_xlpm.kills, SUMIF(D1539:D4337,_xlpm.roles,G1539:G4337),INDEX(_xlpm.roles,MATCH(MAX(_xlpm.kills),_xlpm.kills,0)))</f>
        <v>Sniper</v>
      </c>
      <c r="V1539" t="str">
        <f t="shared" ref="V1539:V1602" si="123">IF(J1539&gt;=50,"High Accuracy",IF(J1539&gt;=30,"Medium Accuracy","Low Accuracy"))</f>
        <v>Medium Accuracy</v>
      </c>
      <c r="W1539" t="str" cm="1">
        <f t="array" ref="W1539">_xlfn.LET(_xlpm.roles,_xlfn.UNIQUE(D1539:D4337), _xlpm.counts,COUNTIF(D1539:D4337,_xlpm.roles), INDEX(_xlpm.roles,MATCH(MAX(_xlpm.counts),_xlpm.counts,0)))</f>
        <v>Sniper</v>
      </c>
      <c r="X1539" s="2">
        <f t="shared" ref="X1539:X1602" si="124">AVERAGEIF($C$2:$C$2800,C1539,$Q$2:$Q$2800)</f>
        <v>13.135802469135802</v>
      </c>
    </row>
    <row r="1540" spans="1:24" x14ac:dyDescent="0.3">
      <c r="A1540">
        <v>1623</v>
      </c>
      <c r="B1540">
        <v>272</v>
      </c>
      <c r="C1540" t="s">
        <v>30</v>
      </c>
      <c r="D1540" t="s">
        <v>22</v>
      </c>
      <c r="E1540" t="s">
        <v>23</v>
      </c>
      <c r="F1540" t="s">
        <v>24</v>
      </c>
      <c r="G1540">
        <v>21</v>
      </c>
      <c r="H1540">
        <v>9</v>
      </c>
      <c r="I1540">
        <v>12</v>
      </c>
      <c r="J1540">
        <v>32.729999999999997</v>
      </c>
      <c r="K1540">
        <v>193.88</v>
      </c>
      <c r="L1540">
        <v>0.95</v>
      </c>
      <c r="M1540">
        <v>45.86</v>
      </c>
      <c r="N1540">
        <v>1</v>
      </c>
      <c r="O1540" t="s">
        <v>20</v>
      </c>
      <c r="P1540" t="s">
        <v>21</v>
      </c>
      <c r="Q1540">
        <f t="shared" si="120"/>
        <v>18</v>
      </c>
      <c r="R1540" s="4">
        <f>RANK(N1540,$N$2:N$2800,0)</f>
        <v>1</v>
      </c>
      <c r="S1540">
        <f t="shared" si="121"/>
        <v>1.75</v>
      </c>
      <c r="T1540" t="str">
        <f t="shared" si="122"/>
        <v>Good</v>
      </c>
      <c r="U1540" t="str" cm="1">
        <f t="array" ref="U1540">_xlfn.LET(_xlpm.roles,_xlfn.UNIQUE(D1540:D4338),_xlpm.kills, SUMIF(D1540:D4338,_xlpm.roles,G1540:G4338),INDEX(_xlpm.roles,MATCH(MAX(_xlpm.kills),_xlpm.kills,0)))</f>
        <v>Sniper</v>
      </c>
      <c r="V1540" t="str">
        <f t="shared" si="123"/>
        <v>Medium Accuracy</v>
      </c>
      <c r="W1540" t="str" cm="1">
        <f t="array" ref="W1540">_xlfn.LET(_xlpm.roles,_xlfn.UNIQUE(D1540:D4338), _xlpm.counts,COUNTIF(D1540:D4338,_xlpm.roles), INDEX(_xlpm.roles,MATCH(MAX(_xlpm.counts),_xlpm.counts,0)))</f>
        <v>Sniper</v>
      </c>
      <c r="X1540" s="2">
        <f t="shared" si="124"/>
        <v>13.135802469135802</v>
      </c>
    </row>
    <row r="1541" spans="1:24" x14ac:dyDescent="0.3">
      <c r="A1541">
        <v>1874</v>
      </c>
      <c r="B1541">
        <v>272</v>
      </c>
      <c r="C1541" t="s">
        <v>27</v>
      </c>
      <c r="D1541" t="s">
        <v>17</v>
      </c>
      <c r="E1541" t="s">
        <v>23</v>
      </c>
      <c r="F1541" t="s">
        <v>19</v>
      </c>
      <c r="G1541">
        <v>19</v>
      </c>
      <c r="H1541">
        <v>12</v>
      </c>
      <c r="I1541">
        <v>15</v>
      </c>
      <c r="J1541">
        <v>61.93</v>
      </c>
      <c r="K1541">
        <v>199.22</v>
      </c>
      <c r="L1541">
        <v>0.67</v>
      </c>
      <c r="M1541">
        <v>59.27</v>
      </c>
      <c r="N1541">
        <v>0.97</v>
      </c>
      <c r="O1541" t="s">
        <v>20</v>
      </c>
      <c r="P1541" t="s">
        <v>21</v>
      </c>
      <c r="Q1541">
        <f t="shared" si="120"/>
        <v>16</v>
      </c>
      <c r="R1541" s="4">
        <f>RANK(N1541,$N$2:N$2800,0)</f>
        <v>1243</v>
      </c>
      <c r="S1541">
        <f t="shared" si="121"/>
        <v>1.2666666666666666</v>
      </c>
      <c r="T1541" t="str">
        <f t="shared" si="122"/>
        <v>Good</v>
      </c>
      <c r="U1541" t="str" cm="1">
        <f t="array" ref="U1541">_xlfn.LET(_xlpm.roles,_xlfn.UNIQUE(D1541:D4339),_xlpm.kills, SUMIF(D1541:D4339,_xlpm.roles,G1541:G4339),INDEX(_xlpm.roles,MATCH(MAX(_xlpm.kills),_xlpm.kills,0)))</f>
        <v>Sniper</v>
      </c>
      <c r="V1541" t="str">
        <f t="shared" si="123"/>
        <v>High Accuracy</v>
      </c>
      <c r="W1541" t="str" cm="1">
        <f t="array" ref="W1541">_xlfn.LET(_xlpm.roles,_xlfn.UNIQUE(D1541:D4339), _xlpm.counts,COUNTIF(D1541:D4339,_xlpm.roles), INDEX(_xlpm.roles,MATCH(MAX(_xlpm.counts),_xlpm.counts,0)))</f>
        <v>Sniper</v>
      </c>
      <c r="X1541" s="2">
        <f t="shared" si="124"/>
        <v>13.057077625570777</v>
      </c>
    </row>
    <row r="1542" spans="1:24" x14ac:dyDescent="0.3">
      <c r="A1542">
        <v>570</v>
      </c>
      <c r="B1542">
        <v>273</v>
      </c>
      <c r="C1542" t="s">
        <v>25</v>
      </c>
      <c r="D1542" t="s">
        <v>22</v>
      </c>
      <c r="E1542" t="s">
        <v>23</v>
      </c>
      <c r="F1542" t="s">
        <v>34</v>
      </c>
      <c r="G1542">
        <v>11</v>
      </c>
      <c r="H1542">
        <v>9</v>
      </c>
      <c r="I1542">
        <v>11</v>
      </c>
      <c r="J1542">
        <v>43.96</v>
      </c>
      <c r="K1542">
        <v>233.08</v>
      </c>
      <c r="L1542">
        <v>0.61</v>
      </c>
      <c r="M1542">
        <v>35.880000000000003</v>
      </c>
      <c r="N1542">
        <v>0.92</v>
      </c>
      <c r="O1542" t="s">
        <v>20</v>
      </c>
      <c r="P1542" t="s">
        <v>21</v>
      </c>
      <c r="Q1542">
        <f t="shared" si="120"/>
        <v>9</v>
      </c>
      <c r="R1542" s="4">
        <f>RANK(N1542,$N$2:N$2800,0)</f>
        <v>1585</v>
      </c>
      <c r="S1542">
        <f t="shared" si="121"/>
        <v>1</v>
      </c>
      <c r="T1542" t="str">
        <f t="shared" si="122"/>
        <v>Low</v>
      </c>
      <c r="U1542" t="str" cm="1">
        <f t="array" ref="U1542">_xlfn.LET(_xlpm.roles,_xlfn.UNIQUE(D1542:D4340),_xlpm.kills, SUMIF(D1542:D4340,_xlpm.roles,G1542:G4340),INDEX(_xlpm.roles,MATCH(MAX(_xlpm.kills),_xlpm.kills,0)))</f>
        <v>Sniper</v>
      </c>
      <c r="V1542" t="str">
        <f t="shared" si="123"/>
        <v>Medium Accuracy</v>
      </c>
      <c r="W1542" t="str" cm="1">
        <f t="array" ref="W1542">_xlfn.LET(_xlpm.roles,_xlfn.UNIQUE(D1542:D4340), _xlpm.counts,COUNTIF(D1542:D4340,_xlpm.roles), INDEX(_xlpm.roles,MATCH(MAX(_xlpm.counts),_xlpm.counts,0)))</f>
        <v>Sniper</v>
      </c>
      <c r="X1542" s="2">
        <f t="shared" si="124"/>
        <v>12.809421841541756</v>
      </c>
    </row>
    <row r="1543" spans="1:24" x14ac:dyDescent="0.3">
      <c r="A1543">
        <v>1067</v>
      </c>
      <c r="B1543">
        <v>273</v>
      </c>
      <c r="C1543" t="s">
        <v>27</v>
      </c>
      <c r="D1543" t="s">
        <v>28</v>
      </c>
      <c r="E1543" t="s">
        <v>29</v>
      </c>
      <c r="F1543" t="s">
        <v>19</v>
      </c>
      <c r="G1543">
        <v>18</v>
      </c>
      <c r="H1543">
        <v>10</v>
      </c>
      <c r="I1543">
        <v>8</v>
      </c>
      <c r="J1543">
        <v>38.89</v>
      </c>
      <c r="K1543">
        <v>248.21</v>
      </c>
      <c r="L1543">
        <v>0.01</v>
      </c>
      <c r="M1543">
        <v>57.34</v>
      </c>
      <c r="N1543">
        <v>1</v>
      </c>
      <c r="O1543" t="s">
        <v>20</v>
      </c>
      <c r="P1543" t="s">
        <v>21</v>
      </c>
      <c r="Q1543">
        <f t="shared" si="120"/>
        <v>20</v>
      </c>
      <c r="R1543" s="4">
        <f>RANK(N1543,$N$2:N$2800,0)</f>
        <v>1</v>
      </c>
      <c r="S1543">
        <f t="shared" si="121"/>
        <v>2.25</v>
      </c>
      <c r="T1543" t="str">
        <f t="shared" si="122"/>
        <v>Good</v>
      </c>
      <c r="U1543" t="str" cm="1">
        <f t="array" ref="U1543">_xlfn.LET(_xlpm.roles,_xlfn.UNIQUE(D1543:D4341),_xlpm.kills, SUMIF(D1543:D4341,_xlpm.roles,G1543:G4341),INDEX(_xlpm.roles,MATCH(MAX(_xlpm.kills),_xlpm.kills,0)))</f>
        <v>Sniper</v>
      </c>
      <c r="V1543" t="str">
        <f t="shared" si="123"/>
        <v>Medium Accuracy</v>
      </c>
      <c r="W1543" t="str" cm="1">
        <f t="array" ref="W1543">_xlfn.LET(_xlpm.roles,_xlfn.UNIQUE(D1543:D4341), _xlpm.counts,COUNTIF(D1543:D4341,_xlpm.roles), INDEX(_xlpm.roles,MATCH(MAX(_xlpm.counts),_xlpm.counts,0)))</f>
        <v>Sniper</v>
      </c>
      <c r="X1543" s="2">
        <f t="shared" si="124"/>
        <v>13.057077625570777</v>
      </c>
    </row>
    <row r="1544" spans="1:24" x14ac:dyDescent="0.3">
      <c r="A1544">
        <v>1774</v>
      </c>
      <c r="B1544">
        <v>273</v>
      </c>
      <c r="C1544" t="s">
        <v>27</v>
      </c>
      <c r="D1544" t="s">
        <v>28</v>
      </c>
      <c r="E1544" t="s">
        <v>33</v>
      </c>
      <c r="F1544" t="s">
        <v>24</v>
      </c>
      <c r="G1544">
        <v>14</v>
      </c>
      <c r="H1544">
        <v>13</v>
      </c>
      <c r="I1544">
        <v>9</v>
      </c>
      <c r="J1544">
        <v>51.1</v>
      </c>
      <c r="K1544">
        <v>236.48</v>
      </c>
      <c r="L1544">
        <v>0.13</v>
      </c>
      <c r="M1544">
        <v>56.25</v>
      </c>
      <c r="N1544">
        <v>1</v>
      </c>
      <c r="O1544" t="s">
        <v>20</v>
      </c>
      <c r="P1544" t="s">
        <v>21</v>
      </c>
      <c r="Q1544">
        <f t="shared" si="120"/>
        <v>18</v>
      </c>
      <c r="R1544" s="4">
        <f>RANK(N1544,$N$2:N$2800,0)</f>
        <v>1</v>
      </c>
      <c r="S1544">
        <f t="shared" si="121"/>
        <v>1.5555555555555556</v>
      </c>
      <c r="T1544" t="str">
        <f t="shared" si="122"/>
        <v>Good</v>
      </c>
      <c r="U1544" t="str" cm="1">
        <f t="array" ref="U1544">_xlfn.LET(_xlpm.roles,_xlfn.UNIQUE(D1544:D4342),_xlpm.kills, SUMIF(D1544:D4342,_xlpm.roles,G1544:G4342),INDEX(_xlpm.roles,MATCH(MAX(_xlpm.kills),_xlpm.kills,0)))</f>
        <v>Sniper</v>
      </c>
      <c r="V1544" t="str">
        <f t="shared" si="123"/>
        <v>High Accuracy</v>
      </c>
      <c r="W1544" t="str" cm="1">
        <f t="array" ref="W1544">_xlfn.LET(_xlpm.roles,_xlfn.UNIQUE(D1544:D4342), _xlpm.counts,COUNTIF(D1544:D4342,_xlpm.roles), INDEX(_xlpm.roles,MATCH(MAX(_xlpm.counts),_xlpm.counts,0)))</f>
        <v>Sniper</v>
      </c>
      <c r="X1544" s="2">
        <f t="shared" si="124"/>
        <v>13.057077625570777</v>
      </c>
    </row>
    <row r="1545" spans="1:24" x14ac:dyDescent="0.3">
      <c r="A1545">
        <v>1811</v>
      </c>
      <c r="B1545">
        <v>273</v>
      </c>
      <c r="C1545" t="s">
        <v>30</v>
      </c>
      <c r="D1545" t="s">
        <v>28</v>
      </c>
      <c r="E1545" t="s">
        <v>18</v>
      </c>
      <c r="F1545" t="s">
        <v>37</v>
      </c>
      <c r="G1545">
        <v>21</v>
      </c>
      <c r="H1545">
        <v>9</v>
      </c>
      <c r="I1545">
        <v>10</v>
      </c>
      <c r="J1545">
        <v>56.63</v>
      </c>
      <c r="K1545">
        <v>238.77</v>
      </c>
      <c r="L1545">
        <v>0.89</v>
      </c>
      <c r="M1545">
        <v>60.41</v>
      </c>
      <c r="N1545">
        <v>0.91</v>
      </c>
      <c r="O1545" t="s">
        <v>20</v>
      </c>
      <c r="P1545" t="s">
        <v>38</v>
      </c>
      <c r="Q1545">
        <f t="shared" si="120"/>
        <v>20</v>
      </c>
      <c r="R1545" s="4">
        <f>RANK(N1545,$N$2:N$2800,0)</f>
        <v>1665</v>
      </c>
      <c r="S1545">
        <f t="shared" si="121"/>
        <v>2.1</v>
      </c>
      <c r="T1545" t="str">
        <f t="shared" si="122"/>
        <v>Good</v>
      </c>
      <c r="U1545" t="str" cm="1">
        <f t="array" ref="U1545">_xlfn.LET(_xlpm.roles,_xlfn.UNIQUE(D1545:D4343),_xlpm.kills, SUMIF(D1545:D4343,_xlpm.roles,G1545:G4343),INDEX(_xlpm.roles,MATCH(MAX(_xlpm.kills),_xlpm.kills,0)))</f>
        <v>Sniper</v>
      </c>
      <c r="V1545" t="str">
        <f t="shared" si="123"/>
        <v>High Accuracy</v>
      </c>
      <c r="W1545" t="str" cm="1">
        <f t="array" ref="W1545">_xlfn.LET(_xlpm.roles,_xlfn.UNIQUE(D1545:D4343), _xlpm.counts,COUNTIF(D1545:D4343,_xlpm.roles), INDEX(_xlpm.roles,MATCH(MAX(_xlpm.counts),_xlpm.counts,0)))</f>
        <v>Sniper</v>
      </c>
      <c r="X1545" s="2">
        <f t="shared" si="124"/>
        <v>13.135802469135802</v>
      </c>
    </row>
    <row r="1546" spans="1:24" x14ac:dyDescent="0.3">
      <c r="A1546">
        <v>2542</v>
      </c>
      <c r="B1546">
        <v>273</v>
      </c>
      <c r="C1546" t="s">
        <v>39</v>
      </c>
      <c r="D1546" t="s">
        <v>36</v>
      </c>
      <c r="E1546" t="s">
        <v>32</v>
      </c>
      <c r="F1546" t="s">
        <v>19</v>
      </c>
      <c r="G1546">
        <v>16</v>
      </c>
      <c r="H1546">
        <v>12</v>
      </c>
      <c r="I1546">
        <v>8</v>
      </c>
      <c r="J1546">
        <v>50.84</v>
      </c>
      <c r="K1546">
        <v>190.62</v>
      </c>
      <c r="L1546">
        <v>0.4</v>
      </c>
      <c r="M1546">
        <v>57.42</v>
      </c>
      <c r="N1546">
        <v>1</v>
      </c>
      <c r="O1546" t="s">
        <v>20</v>
      </c>
      <c r="P1546" t="s">
        <v>21</v>
      </c>
      <c r="Q1546">
        <f t="shared" si="120"/>
        <v>20</v>
      </c>
      <c r="R1546" s="4">
        <f>RANK(N1546,$N$2:N$2800,0)</f>
        <v>1</v>
      </c>
      <c r="S1546">
        <f t="shared" si="121"/>
        <v>2</v>
      </c>
      <c r="T1546" t="str">
        <f t="shared" si="122"/>
        <v>Good</v>
      </c>
      <c r="U1546" t="str" cm="1">
        <f t="array" ref="U1546">_xlfn.LET(_xlpm.roles,_xlfn.UNIQUE(D1546:D4344),_xlpm.kills, SUMIF(D1546:D4344,_xlpm.roles,G1546:G4344),INDEX(_xlpm.roles,MATCH(MAX(_xlpm.kills),_xlpm.kills,0)))</f>
        <v>Sniper</v>
      </c>
      <c r="V1546" t="str">
        <f t="shared" si="123"/>
        <v>High Accuracy</v>
      </c>
      <c r="W1546" t="str" cm="1">
        <f t="array" ref="W1546">_xlfn.LET(_xlpm.roles,_xlfn.UNIQUE(D1546:D4344), _xlpm.counts,COUNTIF(D1546:D4344,_xlpm.roles), INDEX(_xlpm.roles,MATCH(MAX(_xlpm.counts),_xlpm.counts,0)))</f>
        <v>Sniper</v>
      </c>
      <c r="X1546" s="2">
        <f t="shared" si="124"/>
        <v>13.103594080338267</v>
      </c>
    </row>
    <row r="1547" spans="1:24" x14ac:dyDescent="0.3">
      <c r="A1547">
        <v>507</v>
      </c>
      <c r="B1547">
        <v>274</v>
      </c>
      <c r="C1547" t="s">
        <v>16</v>
      </c>
      <c r="D1547" t="s">
        <v>17</v>
      </c>
      <c r="E1547" t="s">
        <v>33</v>
      </c>
      <c r="F1547" t="s">
        <v>19</v>
      </c>
      <c r="G1547">
        <v>11</v>
      </c>
      <c r="H1547">
        <v>10</v>
      </c>
      <c r="I1547">
        <v>9</v>
      </c>
      <c r="J1547">
        <v>33.119999999999997</v>
      </c>
      <c r="K1547">
        <v>158.52000000000001</v>
      </c>
      <c r="L1547">
        <v>0.63</v>
      </c>
      <c r="M1547">
        <v>33.26</v>
      </c>
      <c r="N1547">
        <v>0.71</v>
      </c>
      <c r="O1547" t="s">
        <v>20</v>
      </c>
      <c r="P1547" t="s">
        <v>21</v>
      </c>
      <c r="Q1547">
        <f t="shared" si="120"/>
        <v>12</v>
      </c>
      <c r="R1547" s="4">
        <f>RANK(N1547,$N$2:N$2800,0)</f>
        <v>2688</v>
      </c>
      <c r="S1547">
        <f t="shared" si="121"/>
        <v>1.2222222222222223</v>
      </c>
      <c r="T1547" t="str">
        <f t="shared" si="122"/>
        <v>Low</v>
      </c>
      <c r="U1547" t="str" cm="1">
        <f t="array" ref="U1547">_xlfn.LET(_xlpm.roles,_xlfn.UNIQUE(D1547:D4345),_xlpm.kills, SUMIF(D1547:D4345,_xlpm.roles,G1547:G4345),INDEX(_xlpm.roles,MATCH(MAX(_xlpm.kills),_xlpm.kills,0)))</f>
        <v>Sniper</v>
      </c>
      <c r="V1547" t="str">
        <f t="shared" si="123"/>
        <v>Medium Accuracy</v>
      </c>
      <c r="W1547" t="str" cm="1">
        <f t="array" ref="W1547">_xlfn.LET(_xlpm.roles,_xlfn.UNIQUE(D1547:D4345), _xlpm.counts,COUNTIF(D1547:D4345,_xlpm.roles), INDEX(_xlpm.roles,MATCH(MAX(_xlpm.counts),_xlpm.counts,0)))</f>
        <v>Sniper</v>
      </c>
      <c r="X1547" s="2">
        <f t="shared" si="124"/>
        <v>12.520971302428256</v>
      </c>
    </row>
    <row r="1548" spans="1:24" x14ac:dyDescent="0.3">
      <c r="A1548">
        <v>1111</v>
      </c>
      <c r="B1548">
        <v>274</v>
      </c>
      <c r="C1548" t="s">
        <v>39</v>
      </c>
      <c r="D1548" t="s">
        <v>22</v>
      </c>
      <c r="E1548" t="s">
        <v>18</v>
      </c>
      <c r="F1548" t="s">
        <v>34</v>
      </c>
      <c r="G1548">
        <v>7</v>
      </c>
      <c r="H1548">
        <v>5</v>
      </c>
      <c r="I1548">
        <v>4</v>
      </c>
      <c r="J1548">
        <v>43.01</v>
      </c>
      <c r="K1548">
        <v>186.1</v>
      </c>
      <c r="L1548">
        <v>0.8</v>
      </c>
      <c r="M1548">
        <v>28.5</v>
      </c>
      <c r="N1548">
        <v>0.87</v>
      </c>
      <c r="O1548" t="s">
        <v>20</v>
      </c>
      <c r="P1548" t="s">
        <v>21</v>
      </c>
      <c r="Q1548">
        <f t="shared" si="120"/>
        <v>8</v>
      </c>
      <c r="R1548" s="4">
        <f>RANK(N1548,$N$2:N$2800,0)</f>
        <v>1965</v>
      </c>
      <c r="S1548">
        <f t="shared" si="121"/>
        <v>1.75</v>
      </c>
      <c r="T1548" t="str">
        <f t="shared" si="122"/>
        <v>Low</v>
      </c>
      <c r="U1548" t="str" cm="1">
        <f t="array" ref="U1548">_xlfn.LET(_xlpm.roles,_xlfn.UNIQUE(D1548:D4346),_xlpm.kills, SUMIF(D1548:D4346,_xlpm.roles,G1548:G4346),INDEX(_xlpm.roles,MATCH(MAX(_xlpm.kills),_xlpm.kills,0)))</f>
        <v>Sniper</v>
      </c>
      <c r="V1548" t="str">
        <f t="shared" si="123"/>
        <v>Medium Accuracy</v>
      </c>
      <c r="W1548" t="str" cm="1">
        <f t="array" ref="W1548">_xlfn.LET(_xlpm.roles,_xlfn.UNIQUE(D1548:D4346), _xlpm.counts,COUNTIF(D1548:D4346,_xlpm.roles), INDEX(_xlpm.roles,MATCH(MAX(_xlpm.counts),_xlpm.counts,0)))</f>
        <v>Sniper</v>
      </c>
      <c r="X1548" s="2">
        <f t="shared" si="124"/>
        <v>13.103594080338267</v>
      </c>
    </row>
    <row r="1549" spans="1:24" x14ac:dyDescent="0.3">
      <c r="A1549">
        <v>1418</v>
      </c>
      <c r="B1549">
        <v>274</v>
      </c>
      <c r="C1549" t="s">
        <v>30</v>
      </c>
      <c r="D1549" t="s">
        <v>36</v>
      </c>
      <c r="E1549" t="s">
        <v>33</v>
      </c>
      <c r="F1549" t="s">
        <v>24</v>
      </c>
      <c r="G1549">
        <v>17</v>
      </c>
      <c r="H1549">
        <v>5</v>
      </c>
      <c r="I1549">
        <v>11</v>
      </c>
      <c r="J1549">
        <v>55.48</v>
      </c>
      <c r="K1549">
        <v>232.53</v>
      </c>
      <c r="L1549">
        <v>0.03</v>
      </c>
      <c r="M1549">
        <v>55.44</v>
      </c>
      <c r="N1549">
        <v>1</v>
      </c>
      <c r="O1549" t="s">
        <v>20</v>
      </c>
      <c r="P1549" t="s">
        <v>21</v>
      </c>
      <c r="Q1549">
        <f t="shared" si="120"/>
        <v>11</v>
      </c>
      <c r="R1549" s="4">
        <f>RANK(N1549,$N$2:N$2800,0)</f>
        <v>1</v>
      </c>
      <c r="S1549">
        <f t="shared" si="121"/>
        <v>1.5454545454545454</v>
      </c>
      <c r="T1549" t="str">
        <f t="shared" si="122"/>
        <v>Low</v>
      </c>
      <c r="U1549" t="str" cm="1">
        <f t="array" ref="U1549">_xlfn.LET(_xlpm.roles,_xlfn.UNIQUE(D1549:D4347),_xlpm.kills, SUMIF(D1549:D4347,_xlpm.roles,G1549:G4347),INDEX(_xlpm.roles,MATCH(MAX(_xlpm.kills),_xlpm.kills,0)))</f>
        <v>Sniper</v>
      </c>
      <c r="V1549" t="str">
        <f t="shared" si="123"/>
        <v>High Accuracy</v>
      </c>
      <c r="W1549" t="str" cm="1">
        <f t="array" ref="W1549">_xlfn.LET(_xlpm.roles,_xlfn.UNIQUE(D1549:D4347), _xlpm.counts,COUNTIF(D1549:D4347,_xlpm.roles), INDEX(_xlpm.roles,MATCH(MAX(_xlpm.counts),_xlpm.counts,0)))</f>
        <v>Sniper</v>
      </c>
      <c r="X1549" s="2">
        <f t="shared" si="124"/>
        <v>13.135802469135802</v>
      </c>
    </row>
    <row r="1550" spans="1:24" x14ac:dyDescent="0.3">
      <c r="A1550">
        <v>1641</v>
      </c>
      <c r="B1550">
        <v>274</v>
      </c>
      <c r="C1550" t="s">
        <v>35</v>
      </c>
      <c r="D1550" t="s">
        <v>31</v>
      </c>
      <c r="E1550" t="s">
        <v>18</v>
      </c>
      <c r="F1550" t="s">
        <v>24</v>
      </c>
      <c r="G1550">
        <v>17</v>
      </c>
      <c r="H1550">
        <v>7</v>
      </c>
      <c r="I1550">
        <v>13</v>
      </c>
      <c r="J1550">
        <v>36.630000000000003</v>
      </c>
      <c r="K1550">
        <v>229.48</v>
      </c>
      <c r="L1550">
        <v>0.38</v>
      </c>
      <c r="M1550">
        <v>42.52</v>
      </c>
      <c r="N1550">
        <v>0.97</v>
      </c>
      <c r="O1550" t="s">
        <v>20</v>
      </c>
      <c r="P1550" t="s">
        <v>21</v>
      </c>
      <c r="Q1550">
        <f t="shared" si="120"/>
        <v>11</v>
      </c>
      <c r="R1550" s="4">
        <f>RANK(N1550,$N$2:N$2800,0)</f>
        <v>1243</v>
      </c>
      <c r="S1550">
        <f t="shared" si="121"/>
        <v>1.3076923076923077</v>
      </c>
      <c r="T1550" t="str">
        <f t="shared" si="122"/>
        <v>Low</v>
      </c>
      <c r="U1550" t="str" cm="1">
        <f t="array" ref="U1550">_xlfn.LET(_xlpm.roles,_xlfn.UNIQUE(D1550:D4348),_xlpm.kills, SUMIF(D1550:D4348,_xlpm.roles,G1550:G4348),INDEX(_xlpm.roles,MATCH(MAX(_xlpm.kills),_xlpm.kills,0)))</f>
        <v>Sniper</v>
      </c>
      <c r="V1550" t="str">
        <f t="shared" si="123"/>
        <v>Medium Accuracy</v>
      </c>
      <c r="W1550" t="str" cm="1">
        <f t="array" ref="W1550">_xlfn.LET(_xlpm.roles,_xlfn.UNIQUE(D1550:D4348), _xlpm.counts,COUNTIF(D1550:D4348,_xlpm.roles), INDEX(_xlpm.roles,MATCH(MAX(_xlpm.counts),_xlpm.counts,0)))</f>
        <v>Sniper</v>
      </c>
      <c r="X1550" s="2">
        <f t="shared" si="124"/>
        <v>12.599585062240664</v>
      </c>
    </row>
    <row r="1551" spans="1:24" x14ac:dyDescent="0.3">
      <c r="A1551">
        <v>2205</v>
      </c>
      <c r="B1551">
        <v>274</v>
      </c>
      <c r="C1551" t="s">
        <v>39</v>
      </c>
      <c r="D1551" t="s">
        <v>31</v>
      </c>
      <c r="E1551" t="s">
        <v>33</v>
      </c>
      <c r="F1551" t="s">
        <v>24</v>
      </c>
      <c r="G1551">
        <v>18</v>
      </c>
      <c r="H1551">
        <v>6</v>
      </c>
      <c r="I1551">
        <v>6</v>
      </c>
      <c r="J1551">
        <v>43.39</v>
      </c>
      <c r="K1551">
        <v>267.88</v>
      </c>
      <c r="L1551">
        <v>0.6</v>
      </c>
      <c r="M1551">
        <v>51.7</v>
      </c>
      <c r="N1551">
        <v>0.95</v>
      </c>
      <c r="O1551" t="s">
        <v>20</v>
      </c>
      <c r="P1551" t="s">
        <v>21</v>
      </c>
      <c r="Q1551">
        <f t="shared" si="120"/>
        <v>18</v>
      </c>
      <c r="R1551" s="4">
        <f>RANK(N1551,$N$2:N$2800,0)</f>
        <v>1367</v>
      </c>
      <c r="S1551">
        <f t="shared" si="121"/>
        <v>3</v>
      </c>
      <c r="T1551" t="str">
        <f t="shared" si="122"/>
        <v>Good</v>
      </c>
      <c r="U1551" t="str" cm="1">
        <f t="array" ref="U1551">_xlfn.LET(_xlpm.roles,_xlfn.UNIQUE(D1551:D4349),_xlpm.kills, SUMIF(D1551:D4349,_xlpm.roles,G1551:G4349),INDEX(_xlpm.roles,MATCH(MAX(_xlpm.kills),_xlpm.kills,0)))</f>
        <v>Sniper</v>
      </c>
      <c r="V1551" t="str">
        <f t="shared" si="123"/>
        <v>Medium Accuracy</v>
      </c>
      <c r="W1551" t="str" cm="1">
        <f t="array" ref="W1551">_xlfn.LET(_xlpm.roles,_xlfn.UNIQUE(D1551:D4349), _xlpm.counts,COUNTIF(D1551:D4349,_xlpm.roles), INDEX(_xlpm.roles,MATCH(MAX(_xlpm.counts),_xlpm.counts,0)))</f>
        <v>Sniper</v>
      </c>
      <c r="X1551" s="2">
        <f t="shared" si="124"/>
        <v>13.103594080338267</v>
      </c>
    </row>
    <row r="1552" spans="1:24" x14ac:dyDescent="0.3">
      <c r="A1552">
        <v>2381</v>
      </c>
      <c r="B1552">
        <v>274</v>
      </c>
      <c r="C1552" t="s">
        <v>39</v>
      </c>
      <c r="D1552" t="s">
        <v>28</v>
      </c>
      <c r="E1552" t="s">
        <v>29</v>
      </c>
      <c r="F1552" t="s">
        <v>34</v>
      </c>
      <c r="G1552">
        <v>19</v>
      </c>
      <c r="H1552">
        <v>12</v>
      </c>
      <c r="I1552">
        <v>8</v>
      </c>
      <c r="J1552">
        <v>44.13</v>
      </c>
      <c r="K1552">
        <v>247.92</v>
      </c>
      <c r="L1552">
        <v>0.3</v>
      </c>
      <c r="M1552">
        <v>61.06</v>
      </c>
      <c r="N1552">
        <v>1</v>
      </c>
      <c r="O1552" t="s">
        <v>20</v>
      </c>
      <c r="P1552" t="s">
        <v>38</v>
      </c>
      <c r="Q1552">
        <f t="shared" si="120"/>
        <v>23</v>
      </c>
      <c r="R1552" s="4">
        <f>RANK(N1552,$N$2:N$2800,0)</f>
        <v>1</v>
      </c>
      <c r="S1552">
        <f t="shared" si="121"/>
        <v>2.375</v>
      </c>
      <c r="T1552" t="str">
        <f t="shared" si="122"/>
        <v>Good</v>
      </c>
      <c r="U1552" t="str" cm="1">
        <f t="array" ref="U1552">_xlfn.LET(_xlpm.roles,_xlfn.UNIQUE(D1552:D4350),_xlpm.kills, SUMIF(D1552:D4350,_xlpm.roles,G1552:G4350),INDEX(_xlpm.roles,MATCH(MAX(_xlpm.kills),_xlpm.kills,0)))</f>
        <v>Sniper</v>
      </c>
      <c r="V1552" t="str">
        <f t="shared" si="123"/>
        <v>Medium Accuracy</v>
      </c>
      <c r="W1552" t="str" cm="1">
        <f t="array" ref="W1552">_xlfn.LET(_xlpm.roles,_xlfn.UNIQUE(D1552:D4350), _xlpm.counts,COUNTIF(D1552:D4350,_xlpm.roles), INDEX(_xlpm.roles,MATCH(MAX(_xlpm.counts),_xlpm.counts,0)))</f>
        <v>Sniper</v>
      </c>
      <c r="X1552" s="2">
        <f t="shared" si="124"/>
        <v>13.103594080338267</v>
      </c>
    </row>
    <row r="1553" spans="1:24" x14ac:dyDescent="0.3">
      <c r="A1553">
        <v>211</v>
      </c>
      <c r="B1553">
        <v>275</v>
      </c>
      <c r="C1553" t="s">
        <v>16</v>
      </c>
      <c r="D1553" t="s">
        <v>36</v>
      </c>
      <c r="E1553" t="s">
        <v>32</v>
      </c>
      <c r="F1553" t="s">
        <v>26</v>
      </c>
      <c r="G1553">
        <v>16</v>
      </c>
      <c r="H1553">
        <v>8</v>
      </c>
      <c r="I1553">
        <v>9</v>
      </c>
      <c r="J1553">
        <v>40.270000000000003</v>
      </c>
      <c r="K1553">
        <v>239.65</v>
      </c>
      <c r="L1553">
        <v>0.23</v>
      </c>
      <c r="M1553">
        <v>48.84</v>
      </c>
      <c r="N1553">
        <v>0.98</v>
      </c>
      <c r="O1553" t="s">
        <v>20</v>
      </c>
      <c r="P1553" t="s">
        <v>21</v>
      </c>
      <c r="Q1553">
        <f t="shared" si="120"/>
        <v>15</v>
      </c>
      <c r="R1553" s="4">
        <f>RANK(N1553,$N$2:N$2800,0)</f>
        <v>1157</v>
      </c>
      <c r="S1553">
        <f t="shared" si="121"/>
        <v>1.7777777777777777</v>
      </c>
      <c r="T1553" t="str">
        <f t="shared" si="122"/>
        <v>Good</v>
      </c>
      <c r="U1553" t="str" cm="1">
        <f t="array" ref="U1553">_xlfn.LET(_xlpm.roles,_xlfn.UNIQUE(D1553:D4351),_xlpm.kills, SUMIF(D1553:D4351,_xlpm.roles,G1553:G4351),INDEX(_xlpm.roles,MATCH(MAX(_xlpm.kills),_xlpm.kills,0)))</f>
        <v>Sniper</v>
      </c>
      <c r="V1553" t="str">
        <f t="shared" si="123"/>
        <v>Medium Accuracy</v>
      </c>
      <c r="W1553" t="str" cm="1">
        <f t="array" ref="W1553">_xlfn.LET(_xlpm.roles,_xlfn.UNIQUE(D1553:D4351), _xlpm.counts,COUNTIF(D1553:D4351,_xlpm.roles), INDEX(_xlpm.roles,MATCH(MAX(_xlpm.counts),_xlpm.counts,0)))</f>
        <v>Sniper</v>
      </c>
      <c r="X1553" s="2">
        <f t="shared" si="124"/>
        <v>12.520971302428256</v>
      </c>
    </row>
    <row r="1554" spans="1:24" x14ac:dyDescent="0.3">
      <c r="A1554">
        <v>341</v>
      </c>
      <c r="B1554">
        <v>275</v>
      </c>
      <c r="C1554" t="s">
        <v>25</v>
      </c>
      <c r="D1554" t="s">
        <v>22</v>
      </c>
      <c r="E1554" t="s">
        <v>23</v>
      </c>
      <c r="F1554" t="s">
        <v>24</v>
      </c>
      <c r="G1554">
        <v>22</v>
      </c>
      <c r="H1554">
        <v>8</v>
      </c>
      <c r="I1554">
        <v>7</v>
      </c>
      <c r="J1554">
        <v>52.33</v>
      </c>
      <c r="K1554">
        <v>281.72000000000003</v>
      </c>
      <c r="L1554">
        <v>0.74</v>
      </c>
      <c r="M1554">
        <v>63.76</v>
      </c>
      <c r="N1554">
        <v>1</v>
      </c>
      <c r="O1554" t="s">
        <v>20</v>
      </c>
      <c r="P1554" t="s">
        <v>38</v>
      </c>
      <c r="Q1554">
        <f t="shared" si="120"/>
        <v>23</v>
      </c>
      <c r="R1554" s="4">
        <f>RANK(N1554,$N$2:N$2800,0)</f>
        <v>1</v>
      </c>
      <c r="S1554">
        <f t="shared" si="121"/>
        <v>3.1428571428571428</v>
      </c>
      <c r="T1554" t="str">
        <f t="shared" si="122"/>
        <v>Good</v>
      </c>
      <c r="U1554" t="str" cm="1">
        <f t="array" ref="U1554">_xlfn.LET(_xlpm.roles,_xlfn.UNIQUE(D1554:D4352),_xlpm.kills, SUMIF(D1554:D4352,_xlpm.roles,G1554:G4352),INDEX(_xlpm.roles,MATCH(MAX(_xlpm.kills),_xlpm.kills,0)))</f>
        <v>Sniper</v>
      </c>
      <c r="V1554" t="str">
        <f t="shared" si="123"/>
        <v>High Accuracy</v>
      </c>
      <c r="W1554" t="str" cm="1">
        <f t="array" ref="W1554">_xlfn.LET(_xlpm.roles,_xlfn.UNIQUE(D1554:D4352), _xlpm.counts,COUNTIF(D1554:D4352,_xlpm.roles), INDEX(_xlpm.roles,MATCH(MAX(_xlpm.counts),_xlpm.counts,0)))</f>
        <v>Sniper</v>
      </c>
      <c r="X1554" s="2">
        <f t="shared" si="124"/>
        <v>12.809421841541756</v>
      </c>
    </row>
    <row r="1555" spans="1:24" x14ac:dyDescent="0.3">
      <c r="A1555">
        <v>446</v>
      </c>
      <c r="B1555">
        <v>275</v>
      </c>
      <c r="C1555" t="s">
        <v>16</v>
      </c>
      <c r="D1555" t="s">
        <v>28</v>
      </c>
      <c r="E1555" t="s">
        <v>29</v>
      </c>
      <c r="F1555" t="s">
        <v>37</v>
      </c>
      <c r="G1555">
        <v>19</v>
      </c>
      <c r="H1555">
        <v>6</v>
      </c>
      <c r="I1555">
        <v>6</v>
      </c>
      <c r="J1555">
        <v>41.24</v>
      </c>
      <c r="K1555">
        <v>251.43</v>
      </c>
      <c r="L1555">
        <v>0.76</v>
      </c>
      <c r="M1555">
        <v>51.02</v>
      </c>
      <c r="N1555">
        <v>0.72</v>
      </c>
      <c r="O1555" t="s">
        <v>20</v>
      </c>
      <c r="P1555" t="s">
        <v>21</v>
      </c>
      <c r="Q1555">
        <f t="shared" si="120"/>
        <v>19</v>
      </c>
      <c r="R1555" s="4">
        <f>RANK(N1555,$N$2:N$2800,0)</f>
        <v>2663</v>
      </c>
      <c r="S1555">
        <f t="shared" si="121"/>
        <v>3.1666666666666665</v>
      </c>
      <c r="T1555" t="str">
        <f t="shared" si="122"/>
        <v>Good</v>
      </c>
      <c r="U1555" t="str" cm="1">
        <f t="array" ref="U1555">_xlfn.LET(_xlpm.roles,_xlfn.UNIQUE(D1555:D4353),_xlpm.kills, SUMIF(D1555:D4353,_xlpm.roles,G1555:G4353),INDEX(_xlpm.roles,MATCH(MAX(_xlpm.kills),_xlpm.kills,0)))</f>
        <v>Sniper</v>
      </c>
      <c r="V1555" t="str">
        <f t="shared" si="123"/>
        <v>Medium Accuracy</v>
      </c>
      <c r="W1555" t="str" cm="1">
        <f t="array" ref="W1555">_xlfn.LET(_xlpm.roles,_xlfn.UNIQUE(D1555:D4353), _xlpm.counts,COUNTIF(D1555:D4353,_xlpm.roles), INDEX(_xlpm.roles,MATCH(MAX(_xlpm.counts),_xlpm.counts,0)))</f>
        <v>Sniper</v>
      </c>
      <c r="X1555" s="2">
        <f t="shared" si="124"/>
        <v>12.520971302428256</v>
      </c>
    </row>
    <row r="1556" spans="1:24" x14ac:dyDescent="0.3">
      <c r="A1556">
        <v>1009</v>
      </c>
      <c r="B1556">
        <v>275</v>
      </c>
      <c r="C1556" t="s">
        <v>35</v>
      </c>
      <c r="D1556" t="s">
        <v>36</v>
      </c>
      <c r="E1556" t="s">
        <v>29</v>
      </c>
      <c r="F1556" t="s">
        <v>19</v>
      </c>
      <c r="G1556">
        <v>15</v>
      </c>
      <c r="H1556">
        <v>5</v>
      </c>
      <c r="I1556">
        <v>8</v>
      </c>
      <c r="J1556">
        <v>34.42</v>
      </c>
      <c r="K1556">
        <v>264.95999999999998</v>
      </c>
      <c r="L1556">
        <v>0.63</v>
      </c>
      <c r="M1556">
        <v>37.909999999999997</v>
      </c>
      <c r="N1556">
        <v>0.97</v>
      </c>
      <c r="O1556" t="s">
        <v>20</v>
      </c>
      <c r="P1556" t="s">
        <v>21</v>
      </c>
      <c r="Q1556">
        <f t="shared" si="120"/>
        <v>12</v>
      </c>
      <c r="R1556" s="4">
        <f>RANK(N1556,$N$2:N$2800,0)</f>
        <v>1243</v>
      </c>
      <c r="S1556">
        <f t="shared" si="121"/>
        <v>1.875</v>
      </c>
      <c r="T1556" t="str">
        <f t="shared" si="122"/>
        <v>Low</v>
      </c>
      <c r="U1556" t="str" cm="1">
        <f t="array" ref="U1556">_xlfn.LET(_xlpm.roles,_xlfn.UNIQUE(D1556:D4354),_xlpm.kills, SUMIF(D1556:D4354,_xlpm.roles,G1556:G4354),INDEX(_xlpm.roles,MATCH(MAX(_xlpm.kills),_xlpm.kills,0)))</f>
        <v>Sniper</v>
      </c>
      <c r="V1556" t="str">
        <f t="shared" si="123"/>
        <v>Medium Accuracy</v>
      </c>
      <c r="W1556" t="str" cm="1">
        <f t="array" ref="W1556">_xlfn.LET(_xlpm.roles,_xlfn.UNIQUE(D1556:D4354), _xlpm.counts,COUNTIF(D1556:D4354,_xlpm.roles), INDEX(_xlpm.roles,MATCH(MAX(_xlpm.counts),_xlpm.counts,0)))</f>
        <v>Sniper</v>
      </c>
      <c r="X1556" s="2">
        <f t="shared" si="124"/>
        <v>12.599585062240664</v>
      </c>
    </row>
    <row r="1557" spans="1:24" x14ac:dyDescent="0.3">
      <c r="A1557">
        <v>1130</v>
      </c>
      <c r="B1557">
        <v>275</v>
      </c>
      <c r="C1557" t="s">
        <v>35</v>
      </c>
      <c r="D1557" t="s">
        <v>22</v>
      </c>
      <c r="E1557" t="s">
        <v>23</v>
      </c>
      <c r="F1557" t="s">
        <v>37</v>
      </c>
      <c r="G1557">
        <v>9</v>
      </c>
      <c r="H1557">
        <v>7</v>
      </c>
      <c r="I1557">
        <v>11</v>
      </c>
      <c r="J1557">
        <v>42.73</v>
      </c>
      <c r="K1557">
        <v>245.7</v>
      </c>
      <c r="L1557">
        <v>0.66</v>
      </c>
      <c r="M1557">
        <v>28.76</v>
      </c>
      <c r="N1557">
        <v>0.88</v>
      </c>
      <c r="O1557" t="s">
        <v>20</v>
      </c>
      <c r="P1557" t="s">
        <v>21</v>
      </c>
      <c r="Q1557">
        <f t="shared" si="120"/>
        <v>5</v>
      </c>
      <c r="R1557" s="4">
        <f>RANK(N1557,$N$2:N$2800,0)</f>
        <v>1894</v>
      </c>
      <c r="S1557">
        <f t="shared" si="121"/>
        <v>0.81818181818181823</v>
      </c>
      <c r="T1557" t="str">
        <f t="shared" si="122"/>
        <v>Low</v>
      </c>
      <c r="U1557" t="str" cm="1">
        <f t="array" ref="U1557">_xlfn.LET(_xlpm.roles,_xlfn.UNIQUE(D1557:D4355),_xlpm.kills, SUMIF(D1557:D4355,_xlpm.roles,G1557:G4355),INDEX(_xlpm.roles,MATCH(MAX(_xlpm.kills),_xlpm.kills,0)))</f>
        <v>Sniper</v>
      </c>
      <c r="V1557" t="str">
        <f t="shared" si="123"/>
        <v>Medium Accuracy</v>
      </c>
      <c r="W1557" t="str" cm="1">
        <f t="array" ref="W1557">_xlfn.LET(_xlpm.roles,_xlfn.UNIQUE(D1557:D4355), _xlpm.counts,COUNTIF(D1557:D4355,_xlpm.roles), INDEX(_xlpm.roles,MATCH(MAX(_xlpm.counts),_xlpm.counts,0)))</f>
        <v>Sniper</v>
      </c>
      <c r="X1557" s="2">
        <f t="shared" si="124"/>
        <v>12.599585062240664</v>
      </c>
    </row>
    <row r="1558" spans="1:24" x14ac:dyDescent="0.3">
      <c r="A1558">
        <v>1172</v>
      </c>
      <c r="B1558">
        <v>275</v>
      </c>
      <c r="C1558" t="s">
        <v>27</v>
      </c>
      <c r="D1558" t="s">
        <v>17</v>
      </c>
      <c r="E1558" t="s">
        <v>33</v>
      </c>
      <c r="F1558" t="s">
        <v>37</v>
      </c>
      <c r="G1558">
        <v>10</v>
      </c>
      <c r="H1558">
        <v>15</v>
      </c>
      <c r="I1558">
        <v>11</v>
      </c>
      <c r="J1558">
        <v>53.9</v>
      </c>
      <c r="K1558">
        <v>218.64</v>
      </c>
      <c r="L1558">
        <v>0.82</v>
      </c>
      <c r="M1558">
        <v>42.75</v>
      </c>
      <c r="N1558">
        <v>1</v>
      </c>
      <c r="O1558" t="s">
        <v>20</v>
      </c>
      <c r="P1558" t="s">
        <v>21</v>
      </c>
      <c r="Q1558">
        <f t="shared" si="120"/>
        <v>14</v>
      </c>
      <c r="R1558" s="4">
        <f>RANK(N1558,$N$2:N$2800,0)</f>
        <v>1</v>
      </c>
      <c r="S1558">
        <f t="shared" si="121"/>
        <v>0.90909090909090906</v>
      </c>
      <c r="T1558" t="str">
        <f t="shared" si="122"/>
        <v>Low</v>
      </c>
      <c r="U1558" t="str" cm="1">
        <f t="array" ref="U1558">_xlfn.LET(_xlpm.roles,_xlfn.UNIQUE(D1558:D4356),_xlpm.kills, SUMIF(D1558:D4356,_xlpm.roles,G1558:G4356),INDEX(_xlpm.roles,MATCH(MAX(_xlpm.kills),_xlpm.kills,0)))</f>
        <v>Sniper</v>
      </c>
      <c r="V1558" t="str">
        <f t="shared" si="123"/>
        <v>High Accuracy</v>
      </c>
      <c r="W1558" t="str" cm="1">
        <f t="array" ref="W1558">_xlfn.LET(_xlpm.roles,_xlfn.UNIQUE(D1558:D4356), _xlpm.counts,COUNTIF(D1558:D4356,_xlpm.roles), INDEX(_xlpm.roles,MATCH(MAX(_xlpm.counts),_xlpm.counts,0)))</f>
        <v>Sniper</v>
      </c>
      <c r="X1558" s="2">
        <f t="shared" si="124"/>
        <v>13.057077625570777</v>
      </c>
    </row>
    <row r="1559" spans="1:24" x14ac:dyDescent="0.3">
      <c r="A1559">
        <v>1675</v>
      </c>
      <c r="B1559">
        <v>275</v>
      </c>
      <c r="C1559" t="s">
        <v>35</v>
      </c>
      <c r="D1559" t="s">
        <v>31</v>
      </c>
      <c r="E1559" t="s">
        <v>32</v>
      </c>
      <c r="F1559" t="s">
        <v>34</v>
      </c>
      <c r="G1559">
        <v>15</v>
      </c>
      <c r="H1559">
        <v>11</v>
      </c>
      <c r="I1559">
        <v>11</v>
      </c>
      <c r="J1559">
        <v>56.59</v>
      </c>
      <c r="K1559">
        <v>219.01</v>
      </c>
      <c r="L1559">
        <v>0.48</v>
      </c>
      <c r="M1559">
        <v>53.5</v>
      </c>
      <c r="N1559">
        <v>1</v>
      </c>
      <c r="O1559" t="s">
        <v>20</v>
      </c>
      <c r="P1559" t="s">
        <v>21</v>
      </c>
      <c r="Q1559">
        <f t="shared" si="120"/>
        <v>15</v>
      </c>
      <c r="R1559" s="4">
        <f>RANK(N1559,$N$2:N$2800,0)</f>
        <v>1</v>
      </c>
      <c r="S1559">
        <f t="shared" si="121"/>
        <v>1.3636363636363635</v>
      </c>
      <c r="T1559" t="str">
        <f t="shared" si="122"/>
        <v>Good</v>
      </c>
      <c r="U1559" t="str" cm="1">
        <f t="array" ref="U1559">_xlfn.LET(_xlpm.roles,_xlfn.UNIQUE(D1559:D4357),_xlpm.kills, SUMIF(D1559:D4357,_xlpm.roles,G1559:G4357),INDEX(_xlpm.roles,MATCH(MAX(_xlpm.kills),_xlpm.kills,0)))</f>
        <v>Sniper</v>
      </c>
      <c r="V1559" t="str">
        <f t="shared" si="123"/>
        <v>High Accuracy</v>
      </c>
      <c r="W1559" t="str" cm="1">
        <f t="array" ref="W1559">_xlfn.LET(_xlpm.roles,_xlfn.UNIQUE(D1559:D4357), _xlpm.counts,COUNTIF(D1559:D4357,_xlpm.roles), INDEX(_xlpm.roles,MATCH(MAX(_xlpm.counts),_xlpm.counts,0)))</f>
        <v>Sniper</v>
      </c>
      <c r="X1559" s="2">
        <f t="shared" si="124"/>
        <v>12.599585062240664</v>
      </c>
    </row>
    <row r="1560" spans="1:24" x14ac:dyDescent="0.3">
      <c r="A1560">
        <v>188</v>
      </c>
      <c r="B1560">
        <v>276</v>
      </c>
      <c r="C1560" t="s">
        <v>27</v>
      </c>
      <c r="D1560" t="s">
        <v>28</v>
      </c>
      <c r="E1560" t="s">
        <v>18</v>
      </c>
      <c r="F1560" t="s">
        <v>37</v>
      </c>
      <c r="G1560">
        <v>16</v>
      </c>
      <c r="H1560">
        <v>7</v>
      </c>
      <c r="I1560">
        <v>10</v>
      </c>
      <c r="J1560">
        <v>43.8</v>
      </c>
      <c r="K1560">
        <v>184.42</v>
      </c>
      <c r="L1560">
        <v>0.73</v>
      </c>
      <c r="M1560">
        <v>43.6</v>
      </c>
      <c r="N1560">
        <v>0.7</v>
      </c>
      <c r="O1560" t="s">
        <v>20</v>
      </c>
      <c r="P1560" t="s">
        <v>21</v>
      </c>
      <c r="Q1560">
        <f t="shared" si="120"/>
        <v>13</v>
      </c>
      <c r="R1560" s="4">
        <f>RANK(N1560,$N$2:N$2800,0)</f>
        <v>2702</v>
      </c>
      <c r="S1560">
        <f t="shared" si="121"/>
        <v>1.6</v>
      </c>
      <c r="T1560" t="str">
        <f t="shared" si="122"/>
        <v>Low</v>
      </c>
      <c r="U1560" t="str" cm="1">
        <f t="array" ref="U1560">_xlfn.LET(_xlpm.roles,_xlfn.UNIQUE(D1560:D4358),_xlpm.kills, SUMIF(D1560:D4358,_xlpm.roles,G1560:G4358),INDEX(_xlpm.roles,MATCH(MAX(_xlpm.kills),_xlpm.kills,0)))</f>
        <v>Sniper</v>
      </c>
      <c r="V1560" t="str">
        <f t="shared" si="123"/>
        <v>Medium Accuracy</v>
      </c>
      <c r="W1560" t="str" cm="1">
        <f t="array" ref="W1560">_xlfn.LET(_xlpm.roles,_xlfn.UNIQUE(D1560:D4358), _xlpm.counts,COUNTIF(D1560:D4358,_xlpm.roles), INDEX(_xlpm.roles,MATCH(MAX(_xlpm.counts),_xlpm.counts,0)))</f>
        <v>Sniper</v>
      </c>
      <c r="X1560" s="2">
        <f t="shared" si="124"/>
        <v>13.057077625570777</v>
      </c>
    </row>
    <row r="1561" spans="1:24" x14ac:dyDescent="0.3">
      <c r="A1561">
        <v>939</v>
      </c>
      <c r="B1561">
        <v>276</v>
      </c>
      <c r="C1561" t="s">
        <v>30</v>
      </c>
      <c r="D1561" t="s">
        <v>22</v>
      </c>
      <c r="E1561" t="s">
        <v>23</v>
      </c>
      <c r="F1561" t="s">
        <v>26</v>
      </c>
      <c r="G1561">
        <v>12</v>
      </c>
      <c r="H1561">
        <v>6</v>
      </c>
      <c r="I1561">
        <v>11</v>
      </c>
      <c r="J1561">
        <v>53.69</v>
      </c>
      <c r="K1561">
        <v>168.51</v>
      </c>
      <c r="L1561">
        <v>0.17</v>
      </c>
      <c r="M1561">
        <v>44.14</v>
      </c>
      <c r="N1561">
        <v>0.89</v>
      </c>
      <c r="O1561" t="s">
        <v>20</v>
      </c>
      <c r="P1561" t="s">
        <v>21</v>
      </c>
      <c r="Q1561">
        <f t="shared" si="120"/>
        <v>7</v>
      </c>
      <c r="R1561" s="4">
        <f>RANK(N1561,$N$2:N$2800,0)</f>
        <v>1815</v>
      </c>
      <c r="S1561">
        <f t="shared" si="121"/>
        <v>1.0909090909090908</v>
      </c>
      <c r="T1561" t="str">
        <f t="shared" si="122"/>
        <v>Low</v>
      </c>
      <c r="U1561" t="str" cm="1">
        <f t="array" ref="U1561">_xlfn.LET(_xlpm.roles,_xlfn.UNIQUE(D1561:D4359),_xlpm.kills, SUMIF(D1561:D4359,_xlpm.roles,G1561:G4359),INDEX(_xlpm.roles,MATCH(MAX(_xlpm.kills),_xlpm.kills,0)))</f>
        <v>Sniper</v>
      </c>
      <c r="V1561" t="str">
        <f t="shared" si="123"/>
        <v>High Accuracy</v>
      </c>
      <c r="W1561" t="str" cm="1">
        <f t="array" ref="W1561">_xlfn.LET(_xlpm.roles,_xlfn.UNIQUE(D1561:D4359), _xlpm.counts,COUNTIF(D1561:D4359,_xlpm.roles), INDEX(_xlpm.roles,MATCH(MAX(_xlpm.counts),_xlpm.counts,0)))</f>
        <v>Sniper</v>
      </c>
      <c r="X1561" s="2">
        <f t="shared" si="124"/>
        <v>13.135802469135802</v>
      </c>
    </row>
    <row r="1562" spans="1:24" x14ac:dyDescent="0.3">
      <c r="A1562">
        <v>1550</v>
      </c>
      <c r="B1562">
        <v>276</v>
      </c>
      <c r="C1562" t="s">
        <v>16</v>
      </c>
      <c r="D1562" t="s">
        <v>22</v>
      </c>
      <c r="E1562" t="s">
        <v>33</v>
      </c>
      <c r="F1562" t="s">
        <v>37</v>
      </c>
      <c r="G1562">
        <v>21</v>
      </c>
      <c r="H1562">
        <v>6</v>
      </c>
      <c r="I1562">
        <v>11</v>
      </c>
      <c r="J1562">
        <v>34.840000000000003</v>
      </c>
      <c r="K1562">
        <v>167.53</v>
      </c>
      <c r="L1562">
        <v>0.38</v>
      </c>
      <c r="M1562">
        <v>50.62</v>
      </c>
      <c r="N1562">
        <v>1</v>
      </c>
      <c r="O1562" t="s">
        <v>20</v>
      </c>
      <c r="P1562" t="s">
        <v>21</v>
      </c>
      <c r="Q1562">
        <f t="shared" si="120"/>
        <v>16</v>
      </c>
      <c r="R1562" s="4">
        <f>RANK(N1562,$N$2:N$2800,0)</f>
        <v>1</v>
      </c>
      <c r="S1562">
        <f t="shared" si="121"/>
        <v>1.9090909090909092</v>
      </c>
      <c r="T1562" t="str">
        <f t="shared" si="122"/>
        <v>Good</v>
      </c>
      <c r="U1562" t="str" cm="1">
        <f t="array" ref="U1562">_xlfn.LET(_xlpm.roles,_xlfn.UNIQUE(D1562:D4360),_xlpm.kills, SUMIF(D1562:D4360,_xlpm.roles,G1562:G4360),INDEX(_xlpm.roles,MATCH(MAX(_xlpm.kills),_xlpm.kills,0)))</f>
        <v>Sniper</v>
      </c>
      <c r="V1562" t="str">
        <f t="shared" si="123"/>
        <v>Medium Accuracy</v>
      </c>
      <c r="W1562" t="str" cm="1">
        <f t="array" ref="W1562">_xlfn.LET(_xlpm.roles,_xlfn.UNIQUE(D1562:D4360), _xlpm.counts,COUNTIF(D1562:D4360,_xlpm.roles), INDEX(_xlpm.roles,MATCH(MAX(_xlpm.counts),_xlpm.counts,0)))</f>
        <v>Sniper</v>
      </c>
      <c r="X1562" s="2">
        <f t="shared" si="124"/>
        <v>12.520971302428256</v>
      </c>
    </row>
    <row r="1563" spans="1:24" x14ac:dyDescent="0.3">
      <c r="A1563">
        <v>1957</v>
      </c>
      <c r="B1563">
        <v>276</v>
      </c>
      <c r="C1563" t="s">
        <v>30</v>
      </c>
      <c r="D1563" t="s">
        <v>17</v>
      </c>
      <c r="E1563" t="s">
        <v>32</v>
      </c>
      <c r="F1563" t="s">
        <v>24</v>
      </c>
      <c r="G1563">
        <v>15</v>
      </c>
      <c r="H1563">
        <v>13</v>
      </c>
      <c r="I1563">
        <v>5</v>
      </c>
      <c r="J1563">
        <v>41.78</v>
      </c>
      <c r="K1563">
        <v>175.62</v>
      </c>
      <c r="L1563">
        <v>0.8</v>
      </c>
      <c r="M1563">
        <v>50.89</v>
      </c>
      <c r="N1563">
        <v>1</v>
      </c>
      <c r="O1563" t="s">
        <v>20</v>
      </c>
      <c r="P1563" t="s">
        <v>21</v>
      </c>
      <c r="Q1563">
        <f t="shared" si="120"/>
        <v>23</v>
      </c>
      <c r="R1563" s="4">
        <f>RANK(N1563,$N$2:N$2800,0)</f>
        <v>1</v>
      </c>
      <c r="S1563">
        <f t="shared" si="121"/>
        <v>3</v>
      </c>
      <c r="T1563" t="str">
        <f t="shared" si="122"/>
        <v>Good</v>
      </c>
      <c r="U1563" t="str" cm="1">
        <f t="array" ref="U1563">_xlfn.LET(_xlpm.roles,_xlfn.UNIQUE(D1563:D4361),_xlpm.kills, SUMIF(D1563:D4361,_xlpm.roles,G1563:G4361),INDEX(_xlpm.roles,MATCH(MAX(_xlpm.kills),_xlpm.kills,0)))</f>
        <v>Sniper</v>
      </c>
      <c r="V1563" t="str">
        <f t="shared" si="123"/>
        <v>Medium Accuracy</v>
      </c>
      <c r="W1563" t="str" cm="1">
        <f t="array" ref="W1563">_xlfn.LET(_xlpm.roles,_xlfn.UNIQUE(D1563:D4361), _xlpm.counts,COUNTIF(D1563:D4361,_xlpm.roles), INDEX(_xlpm.roles,MATCH(MAX(_xlpm.counts),_xlpm.counts,0)))</f>
        <v>Sniper</v>
      </c>
      <c r="X1563" s="2">
        <f t="shared" si="124"/>
        <v>13.135802469135802</v>
      </c>
    </row>
    <row r="1564" spans="1:24" x14ac:dyDescent="0.3">
      <c r="A1564">
        <v>2385</v>
      </c>
      <c r="B1564">
        <v>276</v>
      </c>
      <c r="C1564" t="s">
        <v>30</v>
      </c>
      <c r="D1564" t="s">
        <v>22</v>
      </c>
      <c r="E1564" t="s">
        <v>23</v>
      </c>
      <c r="F1564" t="s">
        <v>19</v>
      </c>
      <c r="G1564">
        <v>16</v>
      </c>
      <c r="H1564">
        <v>10</v>
      </c>
      <c r="I1564">
        <v>5</v>
      </c>
      <c r="J1564">
        <v>47.92</v>
      </c>
      <c r="K1564">
        <v>186.67</v>
      </c>
      <c r="L1564">
        <v>0.79</v>
      </c>
      <c r="M1564">
        <v>53.06</v>
      </c>
      <c r="N1564">
        <v>0.91</v>
      </c>
      <c r="O1564" t="s">
        <v>20</v>
      </c>
      <c r="P1564" t="s">
        <v>21</v>
      </c>
      <c r="Q1564">
        <f t="shared" si="120"/>
        <v>21</v>
      </c>
      <c r="R1564" s="4">
        <f>RANK(N1564,$N$2:N$2800,0)</f>
        <v>1665</v>
      </c>
      <c r="S1564">
        <f t="shared" si="121"/>
        <v>3.2</v>
      </c>
      <c r="T1564" t="str">
        <f t="shared" si="122"/>
        <v>Good</v>
      </c>
      <c r="U1564" t="str" cm="1">
        <f t="array" ref="U1564">_xlfn.LET(_xlpm.roles,_xlfn.UNIQUE(D1564:D4362),_xlpm.kills, SUMIF(D1564:D4362,_xlpm.roles,G1564:G4362),INDEX(_xlpm.roles,MATCH(MAX(_xlpm.kills),_xlpm.kills,0)))</f>
        <v>Sniper</v>
      </c>
      <c r="V1564" t="str">
        <f t="shared" si="123"/>
        <v>Medium Accuracy</v>
      </c>
      <c r="W1564" t="str" cm="1">
        <f t="array" ref="W1564">_xlfn.LET(_xlpm.roles,_xlfn.UNIQUE(D1564:D4362), _xlpm.counts,COUNTIF(D1564:D4362,_xlpm.roles), INDEX(_xlpm.roles,MATCH(MAX(_xlpm.counts),_xlpm.counts,0)))</f>
        <v>Sniper</v>
      </c>
      <c r="X1564" s="2">
        <f t="shared" si="124"/>
        <v>13.135802469135802</v>
      </c>
    </row>
    <row r="1565" spans="1:24" x14ac:dyDescent="0.3">
      <c r="A1565">
        <v>897</v>
      </c>
      <c r="B1565">
        <v>277</v>
      </c>
      <c r="C1565" t="s">
        <v>30</v>
      </c>
      <c r="D1565" t="s">
        <v>31</v>
      </c>
      <c r="E1565" t="s">
        <v>29</v>
      </c>
      <c r="F1565" t="s">
        <v>37</v>
      </c>
      <c r="G1565">
        <v>19</v>
      </c>
      <c r="H1565">
        <v>7</v>
      </c>
      <c r="I1565">
        <v>13</v>
      </c>
      <c r="J1565">
        <v>37.79</v>
      </c>
      <c r="K1565">
        <v>205.12</v>
      </c>
      <c r="L1565">
        <v>0.04</v>
      </c>
      <c r="M1565">
        <v>50.49</v>
      </c>
      <c r="N1565">
        <v>0.99</v>
      </c>
      <c r="O1565" t="s">
        <v>20</v>
      </c>
      <c r="P1565" t="s">
        <v>21</v>
      </c>
      <c r="Q1565">
        <f t="shared" si="120"/>
        <v>13</v>
      </c>
      <c r="R1565" s="4">
        <f>RANK(N1565,$N$2:N$2800,0)</f>
        <v>1080</v>
      </c>
      <c r="S1565">
        <f t="shared" si="121"/>
        <v>1.4615384615384615</v>
      </c>
      <c r="T1565" t="str">
        <f t="shared" si="122"/>
        <v>Low</v>
      </c>
      <c r="U1565" t="str" cm="1">
        <f t="array" ref="U1565">_xlfn.LET(_xlpm.roles,_xlfn.UNIQUE(D1565:D4363),_xlpm.kills, SUMIF(D1565:D4363,_xlpm.roles,G1565:G4363),INDEX(_xlpm.roles,MATCH(MAX(_xlpm.kills),_xlpm.kills,0)))</f>
        <v>Sniper</v>
      </c>
      <c r="V1565" t="str">
        <f t="shared" si="123"/>
        <v>Medium Accuracy</v>
      </c>
      <c r="W1565" t="str" cm="1">
        <f t="array" ref="W1565">_xlfn.LET(_xlpm.roles,_xlfn.UNIQUE(D1565:D4363), _xlpm.counts,COUNTIF(D1565:D4363,_xlpm.roles), INDEX(_xlpm.roles,MATCH(MAX(_xlpm.counts),_xlpm.counts,0)))</f>
        <v>Sniper</v>
      </c>
      <c r="X1565" s="2">
        <f t="shared" si="124"/>
        <v>13.135802469135802</v>
      </c>
    </row>
    <row r="1566" spans="1:24" x14ac:dyDescent="0.3">
      <c r="A1566">
        <v>1014</v>
      </c>
      <c r="B1566">
        <v>277</v>
      </c>
      <c r="C1566" t="s">
        <v>39</v>
      </c>
      <c r="D1566" t="s">
        <v>31</v>
      </c>
      <c r="E1566" t="s">
        <v>23</v>
      </c>
      <c r="F1566" t="s">
        <v>24</v>
      </c>
      <c r="G1566">
        <v>17</v>
      </c>
      <c r="H1566">
        <v>8</v>
      </c>
      <c r="I1566">
        <v>18</v>
      </c>
      <c r="J1566">
        <v>44.18</v>
      </c>
      <c r="K1566">
        <v>220.35</v>
      </c>
      <c r="L1566">
        <v>0.49</v>
      </c>
      <c r="M1566">
        <v>41.19</v>
      </c>
      <c r="N1566">
        <v>0.79</v>
      </c>
      <c r="O1566" t="s">
        <v>20</v>
      </c>
      <c r="P1566" t="s">
        <v>21</v>
      </c>
      <c r="Q1566">
        <f t="shared" si="120"/>
        <v>7</v>
      </c>
      <c r="R1566" s="4">
        <f>RANK(N1566,$N$2:N$2800,0)</f>
        <v>2436</v>
      </c>
      <c r="S1566">
        <f t="shared" si="121"/>
        <v>0.94444444444444442</v>
      </c>
      <c r="T1566" t="str">
        <f t="shared" si="122"/>
        <v>Low</v>
      </c>
      <c r="U1566" t="str" cm="1">
        <f t="array" ref="U1566">_xlfn.LET(_xlpm.roles,_xlfn.UNIQUE(D1566:D4364),_xlpm.kills, SUMIF(D1566:D4364,_xlpm.roles,G1566:G4364),INDEX(_xlpm.roles,MATCH(MAX(_xlpm.kills),_xlpm.kills,0)))</f>
        <v>Sniper</v>
      </c>
      <c r="V1566" t="str">
        <f t="shared" si="123"/>
        <v>Medium Accuracy</v>
      </c>
      <c r="W1566" t="str" cm="1">
        <f t="array" ref="W1566">_xlfn.LET(_xlpm.roles,_xlfn.UNIQUE(D1566:D4364), _xlpm.counts,COUNTIF(D1566:D4364,_xlpm.roles), INDEX(_xlpm.roles,MATCH(MAX(_xlpm.counts),_xlpm.counts,0)))</f>
        <v>Sniper</v>
      </c>
      <c r="X1566" s="2">
        <f t="shared" si="124"/>
        <v>13.103594080338267</v>
      </c>
    </row>
    <row r="1567" spans="1:24" x14ac:dyDescent="0.3">
      <c r="A1567">
        <v>1621</v>
      </c>
      <c r="B1567">
        <v>277</v>
      </c>
      <c r="C1567" t="s">
        <v>16</v>
      </c>
      <c r="D1567" t="s">
        <v>31</v>
      </c>
      <c r="E1567" t="s">
        <v>33</v>
      </c>
      <c r="F1567" t="s">
        <v>37</v>
      </c>
      <c r="G1567">
        <v>17</v>
      </c>
      <c r="H1567">
        <v>8</v>
      </c>
      <c r="I1567">
        <v>7</v>
      </c>
      <c r="J1567">
        <v>34.14</v>
      </c>
      <c r="K1567">
        <v>238.66</v>
      </c>
      <c r="L1567">
        <v>0.17</v>
      </c>
      <c r="M1567">
        <v>50.37</v>
      </c>
      <c r="N1567">
        <v>1</v>
      </c>
      <c r="O1567" t="s">
        <v>20</v>
      </c>
      <c r="P1567" t="s">
        <v>21</v>
      </c>
      <c r="Q1567">
        <f t="shared" si="120"/>
        <v>18</v>
      </c>
      <c r="R1567" s="4">
        <f>RANK(N1567,$N$2:N$2800,0)</f>
        <v>1</v>
      </c>
      <c r="S1567">
        <f t="shared" si="121"/>
        <v>2.4285714285714284</v>
      </c>
      <c r="T1567" t="str">
        <f t="shared" si="122"/>
        <v>Good</v>
      </c>
      <c r="U1567" t="str" cm="1">
        <f t="array" ref="U1567">_xlfn.LET(_xlpm.roles,_xlfn.UNIQUE(D1567:D4365),_xlpm.kills, SUMIF(D1567:D4365,_xlpm.roles,G1567:G4365),INDEX(_xlpm.roles,MATCH(MAX(_xlpm.kills),_xlpm.kills,0)))</f>
        <v>Sniper</v>
      </c>
      <c r="V1567" t="str">
        <f t="shared" si="123"/>
        <v>Medium Accuracy</v>
      </c>
      <c r="W1567" t="str" cm="1">
        <f t="array" ref="W1567">_xlfn.LET(_xlpm.roles,_xlfn.UNIQUE(D1567:D4365), _xlpm.counts,COUNTIF(D1567:D4365,_xlpm.roles), INDEX(_xlpm.roles,MATCH(MAX(_xlpm.counts),_xlpm.counts,0)))</f>
        <v>Sniper</v>
      </c>
      <c r="X1567" s="2">
        <f t="shared" si="124"/>
        <v>12.520971302428256</v>
      </c>
    </row>
    <row r="1568" spans="1:24" x14ac:dyDescent="0.3">
      <c r="A1568">
        <v>1822</v>
      </c>
      <c r="B1568">
        <v>277</v>
      </c>
      <c r="C1568" t="s">
        <v>16</v>
      </c>
      <c r="D1568" t="s">
        <v>22</v>
      </c>
      <c r="E1568" t="s">
        <v>23</v>
      </c>
      <c r="F1568" t="s">
        <v>19</v>
      </c>
      <c r="G1568">
        <v>17</v>
      </c>
      <c r="H1568">
        <v>2</v>
      </c>
      <c r="I1568">
        <v>8</v>
      </c>
      <c r="J1568">
        <v>56.21</v>
      </c>
      <c r="K1568">
        <v>207.21</v>
      </c>
      <c r="L1568">
        <v>0.37</v>
      </c>
      <c r="M1568">
        <v>52.41</v>
      </c>
      <c r="N1568">
        <v>0.94</v>
      </c>
      <c r="O1568" t="s">
        <v>20</v>
      </c>
      <c r="P1568" t="s">
        <v>21</v>
      </c>
      <c r="Q1568">
        <f t="shared" si="120"/>
        <v>11</v>
      </c>
      <c r="R1568" s="4">
        <f>RANK(N1568,$N$2:N$2800,0)</f>
        <v>1431</v>
      </c>
      <c r="S1568">
        <f t="shared" si="121"/>
        <v>2.125</v>
      </c>
      <c r="T1568" t="str">
        <f t="shared" si="122"/>
        <v>Low</v>
      </c>
      <c r="U1568" t="str" cm="1">
        <f t="array" ref="U1568">_xlfn.LET(_xlpm.roles,_xlfn.UNIQUE(D1568:D4366),_xlpm.kills, SUMIF(D1568:D4366,_xlpm.roles,G1568:G4366),INDEX(_xlpm.roles,MATCH(MAX(_xlpm.kills),_xlpm.kills,0)))</f>
        <v>Sniper</v>
      </c>
      <c r="V1568" t="str">
        <f t="shared" si="123"/>
        <v>High Accuracy</v>
      </c>
      <c r="W1568" t="str" cm="1">
        <f t="array" ref="W1568">_xlfn.LET(_xlpm.roles,_xlfn.UNIQUE(D1568:D4366), _xlpm.counts,COUNTIF(D1568:D4366,_xlpm.roles), INDEX(_xlpm.roles,MATCH(MAX(_xlpm.counts),_xlpm.counts,0)))</f>
        <v>Sniper</v>
      </c>
      <c r="X1568" s="2">
        <f t="shared" si="124"/>
        <v>12.520971302428256</v>
      </c>
    </row>
    <row r="1569" spans="1:24" x14ac:dyDescent="0.3">
      <c r="A1569">
        <v>2727</v>
      </c>
      <c r="B1569">
        <v>277</v>
      </c>
      <c r="C1569" t="s">
        <v>35</v>
      </c>
      <c r="D1569" t="s">
        <v>22</v>
      </c>
      <c r="E1569" t="s">
        <v>33</v>
      </c>
      <c r="F1569" t="s">
        <v>24</v>
      </c>
      <c r="G1569">
        <v>16</v>
      </c>
      <c r="H1569">
        <v>12</v>
      </c>
      <c r="I1569">
        <v>8</v>
      </c>
      <c r="J1569">
        <v>45.81</v>
      </c>
      <c r="K1569">
        <v>223.88</v>
      </c>
      <c r="L1569">
        <v>0.95</v>
      </c>
      <c r="M1569">
        <v>49.41</v>
      </c>
      <c r="N1569">
        <v>0.89</v>
      </c>
      <c r="O1569" t="s">
        <v>20</v>
      </c>
      <c r="P1569" t="s">
        <v>21</v>
      </c>
      <c r="Q1569">
        <f t="shared" si="120"/>
        <v>20</v>
      </c>
      <c r="R1569" s="4">
        <f>RANK(N1569,$N$2:N$2800,0)</f>
        <v>1815</v>
      </c>
      <c r="S1569">
        <f t="shared" si="121"/>
        <v>2</v>
      </c>
      <c r="T1569" t="str">
        <f t="shared" si="122"/>
        <v>Good</v>
      </c>
      <c r="U1569" t="str" cm="1">
        <f t="array" ref="U1569">_xlfn.LET(_xlpm.roles,_xlfn.UNIQUE(D1569:D4367),_xlpm.kills, SUMIF(D1569:D4367,_xlpm.roles,G1569:G4367),INDEX(_xlpm.roles,MATCH(MAX(_xlpm.kills),_xlpm.kills,0)))</f>
        <v>Sniper</v>
      </c>
      <c r="V1569" t="str">
        <f t="shared" si="123"/>
        <v>Medium Accuracy</v>
      </c>
      <c r="W1569" t="str" cm="1">
        <f t="array" ref="W1569">_xlfn.LET(_xlpm.roles,_xlfn.UNIQUE(D1569:D4367), _xlpm.counts,COUNTIF(D1569:D4367,_xlpm.roles), INDEX(_xlpm.roles,MATCH(MAX(_xlpm.counts),_xlpm.counts,0)))</f>
        <v>Sniper</v>
      </c>
      <c r="X1569" s="2">
        <f t="shared" si="124"/>
        <v>12.599585062240664</v>
      </c>
    </row>
    <row r="1570" spans="1:24" x14ac:dyDescent="0.3">
      <c r="A1570">
        <v>156</v>
      </c>
      <c r="B1570">
        <v>278</v>
      </c>
      <c r="C1570" t="s">
        <v>35</v>
      </c>
      <c r="D1570" t="s">
        <v>28</v>
      </c>
      <c r="E1570" t="s">
        <v>18</v>
      </c>
      <c r="F1570" t="s">
        <v>34</v>
      </c>
      <c r="G1570">
        <v>12</v>
      </c>
      <c r="H1570">
        <v>14</v>
      </c>
      <c r="I1570">
        <v>13</v>
      </c>
      <c r="J1570">
        <v>32.979999999999997</v>
      </c>
      <c r="K1570">
        <v>181.03</v>
      </c>
      <c r="L1570">
        <v>0.98</v>
      </c>
      <c r="M1570">
        <v>31.69</v>
      </c>
      <c r="N1570">
        <v>0.69</v>
      </c>
      <c r="O1570" t="s">
        <v>20</v>
      </c>
      <c r="P1570" t="s">
        <v>21</v>
      </c>
      <c r="Q1570">
        <f t="shared" si="120"/>
        <v>13</v>
      </c>
      <c r="R1570" s="4">
        <f>RANK(N1570,$N$2:N$2800,0)</f>
        <v>2713</v>
      </c>
      <c r="S1570">
        <f t="shared" si="121"/>
        <v>0.92307692307692313</v>
      </c>
      <c r="T1570" t="str">
        <f t="shared" si="122"/>
        <v>Low</v>
      </c>
      <c r="U1570" t="str" cm="1">
        <f t="array" ref="U1570">_xlfn.LET(_xlpm.roles,_xlfn.UNIQUE(D1570:D4368),_xlpm.kills, SUMIF(D1570:D4368,_xlpm.roles,G1570:G4368),INDEX(_xlpm.roles,MATCH(MAX(_xlpm.kills),_xlpm.kills,0)))</f>
        <v>Sniper</v>
      </c>
      <c r="V1570" t="str">
        <f t="shared" si="123"/>
        <v>Medium Accuracy</v>
      </c>
      <c r="W1570" t="str" cm="1">
        <f t="array" ref="W1570">_xlfn.LET(_xlpm.roles,_xlfn.UNIQUE(D1570:D4368), _xlpm.counts,COUNTIF(D1570:D4368,_xlpm.roles), INDEX(_xlpm.roles,MATCH(MAX(_xlpm.counts),_xlpm.counts,0)))</f>
        <v>Sniper</v>
      </c>
      <c r="X1570" s="2">
        <f t="shared" si="124"/>
        <v>12.599585062240664</v>
      </c>
    </row>
    <row r="1571" spans="1:24" x14ac:dyDescent="0.3">
      <c r="A1571">
        <v>2046</v>
      </c>
      <c r="B1571">
        <v>278</v>
      </c>
      <c r="C1571" t="s">
        <v>16</v>
      </c>
      <c r="D1571" t="s">
        <v>36</v>
      </c>
      <c r="E1571" t="s">
        <v>18</v>
      </c>
      <c r="F1571" t="s">
        <v>24</v>
      </c>
      <c r="G1571">
        <v>9</v>
      </c>
      <c r="H1571">
        <v>9</v>
      </c>
      <c r="I1571">
        <v>10</v>
      </c>
      <c r="J1571">
        <v>49</v>
      </c>
      <c r="K1571">
        <v>229.28</v>
      </c>
      <c r="L1571">
        <v>0.04</v>
      </c>
      <c r="M1571">
        <v>41.1</v>
      </c>
      <c r="N1571">
        <v>0.95</v>
      </c>
      <c r="O1571" t="s">
        <v>20</v>
      </c>
      <c r="P1571" t="s">
        <v>21</v>
      </c>
      <c r="Q1571">
        <f t="shared" si="120"/>
        <v>8</v>
      </c>
      <c r="R1571" s="4">
        <f>RANK(N1571,$N$2:N$2800,0)</f>
        <v>1367</v>
      </c>
      <c r="S1571">
        <f t="shared" si="121"/>
        <v>0.9</v>
      </c>
      <c r="T1571" t="str">
        <f t="shared" si="122"/>
        <v>Low</v>
      </c>
      <c r="U1571" t="str" cm="1">
        <f t="array" ref="U1571">_xlfn.LET(_xlpm.roles,_xlfn.UNIQUE(D1571:D4369),_xlpm.kills, SUMIF(D1571:D4369,_xlpm.roles,G1571:G4369),INDEX(_xlpm.roles,MATCH(MAX(_xlpm.kills),_xlpm.kills,0)))</f>
        <v>Sniper</v>
      </c>
      <c r="V1571" t="str">
        <f t="shared" si="123"/>
        <v>Medium Accuracy</v>
      </c>
      <c r="W1571" t="str" cm="1">
        <f t="array" ref="W1571">_xlfn.LET(_xlpm.roles,_xlfn.UNIQUE(D1571:D4369), _xlpm.counts,COUNTIF(D1571:D4369,_xlpm.roles), INDEX(_xlpm.roles,MATCH(MAX(_xlpm.counts),_xlpm.counts,0)))</f>
        <v>Sniper</v>
      </c>
      <c r="X1571" s="2">
        <f t="shared" si="124"/>
        <v>12.520971302428256</v>
      </c>
    </row>
    <row r="1572" spans="1:24" x14ac:dyDescent="0.3">
      <c r="A1572">
        <v>2172</v>
      </c>
      <c r="B1572">
        <v>278</v>
      </c>
      <c r="C1572" t="s">
        <v>30</v>
      </c>
      <c r="D1572" t="s">
        <v>31</v>
      </c>
      <c r="E1572" t="s">
        <v>33</v>
      </c>
      <c r="F1572" t="s">
        <v>26</v>
      </c>
      <c r="G1572">
        <v>18</v>
      </c>
      <c r="H1572">
        <v>6</v>
      </c>
      <c r="I1572">
        <v>11</v>
      </c>
      <c r="J1572">
        <v>47.31</v>
      </c>
      <c r="K1572">
        <v>224.41</v>
      </c>
      <c r="L1572">
        <v>0.28999999999999998</v>
      </c>
      <c r="M1572">
        <v>51.76</v>
      </c>
      <c r="N1572">
        <v>1</v>
      </c>
      <c r="O1572" t="s">
        <v>20</v>
      </c>
      <c r="P1572" t="s">
        <v>21</v>
      </c>
      <c r="Q1572">
        <f t="shared" si="120"/>
        <v>13</v>
      </c>
      <c r="R1572" s="4">
        <f>RANK(N1572,$N$2:N$2800,0)</f>
        <v>1</v>
      </c>
      <c r="S1572">
        <f t="shared" si="121"/>
        <v>1.6363636363636365</v>
      </c>
      <c r="T1572" t="str">
        <f t="shared" si="122"/>
        <v>Low</v>
      </c>
      <c r="U1572" t="str" cm="1">
        <f t="array" ref="U1572">_xlfn.LET(_xlpm.roles,_xlfn.UNIQUE(D1572:D4370),_xlpm.kills, SUMIF(D1572:D4370,_xlpm.roles,G1572:G4370),INDEX(_xlpm.roles,MATCH(MAX(_xlpm.kills),_xlpm.kills,0)))</f>
        <v>Sniper</v>
      </c>
      <c r="V1572" t="str">
        <f t="shared" si="123"/>
        <v>Medium Accuracy</v>
      </c>
      <c r="W1572" t="str" cm="1">
        <f t="array" ref="W1572">_xlfn.LET(_xlpm.roles,_xlfn.UNIQUE(D1572:D4370), _xlpm.counts,COUNTIF(D1572:D4370,_xlpm.roles), INDEX(_xlpm.roles,MATCH(MAX(_xlpm.counts),_xlpm.counts,0)))</f>
        <v>Sniper</v>
      </c>
      <c r="X1572" s="2">
        <f t="shared" si="124"/>
        <v>13.135802469135802</v>
      </c>
    </row>
    <row r="1573" spans="1:24" x14ac:dyDescent="0.3">
      <c r="A1573">
        <v>2561</v>
      </c>
      <c r="B1573">
        <v>278</v>
      </c>
      <c r="C1573" t="s">
        <v>27</v>
      </c>
      <c r="D1573" t="s">
        <v>28</v>
      </c>
      <c r="E1573" t="s">
        <v>23</v>
      </c>
      <c r="F1573" t="s">
        <v>37</v>
      </c>
      <c r="G1573">
        <v>14</v>
      </c>
      <c r="H1573">
        <v>8</v>
      </c>
      <c r="I1573">
        <v>8</v>
      </c>
      <c r="J1573">
        <v>46.04</v>
      </c>
      <c r="K1573">
        <v>250.59</v>
      </c>
      <c r="L1573">
        <v>0.85</v>
      </c>
      <c r="M1573">
        <v>42.52</v>
      </c>
      <c r="N1573">
        <v>0.93</v>
      </c>
      <c r="O1573" t="s">
        <v>20</v>
      </c>
      <c r="P1573" t="s">
        <v>21</v>
      </c>
      <c r="Q1573">
        <f t="shared" si="120"/>
        <v>14</v>
      </c>
      <c r="R1573" s="4">
        <f>RANK(N1573,$N$2:N$2800,0)</f>
        <v>1505</v>
      </c>
      <c r="S1573">
        <f t="shared" si="121"/>
        <v>1.75</v>
      </c>
      <c r="T1573" t="str">
        <f t="shared" si="122"/>
        <v>Low</v>
      </c>
      <c r="U1573" t="str" cm="1">
        <f t="array" ref="U1573">_xlfn.LET(_xlpm.roles,_xlfn.UNIQUE(D1573:D4371),_xlpm.kills, SUMIF(D1573:D4371,_xlpm.roles,G1573:G4371),INDEX(_xlpm.roles,MATCH(MAX(_xlpm.kills),_xlpm.kills,0)))</f>
        <v>Sniper</v>
      </c>
      <c r="V1573" t="str">
        <f t="shared" si="123"/>
        <v>Medium Accuracy</v>
      </c>
      <c r="W1573" t="str" cm="1">
        <f t="array" ref="W1573">_xlfn.LET(_xlpm.roles,_xlfn.UNIQUE(D1573:D4371), _xlpm.counts,COUNTIF(D1573:D4371,_xlpm.roles), INDEX(_xlpm.roles,MATCH(MAX(_xlpm.counts),_xlpm.counts,0)))</f>
        <v>Sniper</v>
      </c>
      <c r="X1573" s="2">
        <f t="shared" si="124"/>
        <v>13.057077625570777</v>
      </c>
    </row>
    <row r="1574" spans="1:24" x14ac:dyDescent="0.3">
      <c r="A1574">
        <v>46</v>
      </c>
      <c r="B1574">
        <v>279</v>
      </c>
      <c r="C1574" t="s">
        <v>16</v>
      </c>
      <c r="D1574" t="s">
        <v>31</v>
      </c>
      <c r="E1574" t="s">
        <v>29</v>
      </c>
      <c r="F1574" t="s">
        <v>24</v>
      </c>
      <c r="G1574">
        <v>8</v>
      </c>
      <c r="H1574">
        <v>4</v>
      </c>
      <c r="I1574">
        <v>10</v>
      </c>
      <c r="J1574">
        <v>45.47</v>
      </c>
      <c r="K1574">
        <v>261.66000000000003</v>
      </c>
      <c r="L1574">
        <v>0.44</v>
      </c>
      <c r="M1574">
        <v>28.34</v>
      </c>
      <c r="N1574">
        <v>0.52</v>
      </c>
      <c r="O1574" t="s">
        <v>40</v>
      </c>
      <c r="P1574" t="s">
        <v>21</v>
      </c>
      <c r="Q1574">
        <f t="shared" si="120"/>
        <v>2</v>
      </c>
      <c r="R1574" s="4">
        <f>RANK(N1574,$N$2:N$2800,0)</f>
        <v>2795</v>
      </c>
      <c r="S1574">
        <f t="shared" si="121"/>
        <v>0.8</v>
      </c>
      <c r="T1574" t="str">
        <f t="shared" si="122"/>
        <v>Low</v>
      </c>
      <c r="U1574" t="str" cm="1">
        <f t="array" ref="U1574">_xlfn.LET(_xlpm.roles,_xlfn.UNIQUE(D1574:D4372),_xlpm.kills, SUMIF(D1574:D4372,_xlpm.roles,G1574:G4372),INDEX(_xlpm.roles,MATCH(MAX(_xlpm.kills),_xlpm.kills,0)))</f>
        <v>Sniper</v>
      </c>
      <c r="V1574" t="str">
        <f t="shared" si="123"/>
        <v>Medium Accuracy</v>
      </c>
      <c r="W1574" t="str" cm="1">
        <f t="array" ref="W1574">_xlfn.LET(_xlpm.roles,_xlfn.UNIQUE(D1574:D4372), _xlpm.counts,COUNTIF(D1574:D4372,_xlpm.roles), INDEX(_xlpm.roles,MATCH(MAX(_xlpm.counts),_xlpm.counts,0)))</f>
        <v>Sniper</v>
      </c>
      <c r="X1574" s="2">
        <f t="shared" si="124"/>
        <v>12.520971302428256</v>
      </c>
    </row>
    <row r="1575" spans="1:24" x14ac:dyDescent="0.3">
      <c r="A1575">
        <v>866</v>
      </c>
      <c r="B1575">
        <v>279</v>
      </c>
      <c r="C1575" t="s">
        <v>25</v>
      </c>
      <c r="D1575" t="s">
        <v>17</v>
      </c>
      <c r="E1575" t="s">
        <v>32</v>
      </c>
      <c r="F1575" t="s">
        <v>34</v>
      </c>
      <c r="G1575">
        <v>12</v>
      </c>
      <c r="H1575">
        <v>7</v>
      </c>
      <c r="I1575">
        <v>19</v>
      </c>
      <c r="J1575">
        <v>46.85</v>
      </c>
      <c r="K1575">
        <v>237.84</v>
      </c>
      <c r="L1575">
        <v>0.38</v>
      </c>
      <c r="M1575">
        <v>31.62</v>
      </c>
      <c r="N1575">
        <v>0.61</v>
      </c>
      <c r="O1575" t="s">
        <v>20</v>
      </c>
      <c r="P1575" t="s">
        <v>21</v>
      </c>
      <c r="Q1575">
        <f t="shared" si="120"/>
        <v>0</v>
      </c>
      <c r="R1575" s="4">
        <f>RANK(N1575,$N$2:N$2800,0)</f>
        <v>2778</v>
      </c>
      <c r="S1575">
        <f t="shared" si="121"/>
        <v>0.63157894736842102</v>
      </c>
      <c r="T1575" t="str">
        <f t="shared" si="122"/>
        <v>Low</v>
      </c>
      <c r="U1575" t="str" cm="1">
        <f t="array" ref="U1575">_xlfn.LET(_xlpm.roles,_xlfn.UNIQUE(D1575:D4373),_xlpm.kills, SUMIF(D1575:D4373,_xlpm.roles,G1575:G4373),INDEX(_xlpm.roles,MATCH(MAX(_xlpm.kills),_xlpm.kills,0)))</f>
        <v>Sniper</v>
      </c>
      <c r="V1575" t="str">
        <f t="shared" si="123"/>
        <v>Medium Accuracy</v>
      </c>
      <c r="W1575" t="str" cm="1">
        <f t="array" ref="W1575">_xlfn.LET(_xlpm.roles,_xlfn.UNIQUE(D1575:D4373), _xlpm.counts,COUNTIF(D1575:D4373,_xlpm.roles), INDEX(_xlpm.roles,MATCH(MAX(_xlpm.counts),_xlpm.counts,0)))</f>
        <v>Sniper</v>
      </c>
      <c r="X1575" s="2">
        <f t="shared" si="124"/>
        <v>12.809421841541756</v>
      </c>
    </row>
    <row r="1576" spans="1:24" x14ac:dyDescent="0.3">
      <c r="A1576">
        <v>1039</v>
      </c>
      <c r="B1576">
        <v>279</v>
      </c>
      <c r="C1576" t="s">
        <v>35</v>
      </c>
      <c r="D1576" t="s">
        <v>36</v>
      </c>
      <c r="E1576" t="s">
        <v>23</v>
      </c>
      <c r="F1576" t="s">
        <v>26</v>
      </c>
      <c r="G1576">
        <v>16</v>
      </c>
      <c r="H1576">
        <v>8</v>
      </c>
      <c r="I1576">
        <v>8</v>
      </c>
      <c r="J1576">
        <v>43.93</v>
      </c>
      <c r="K1576">
        <v>219.73</v>
      </c>
      <c r="L1576">
        <v>0.4</v>
      </c>
      <c r="M1576">
        <v>49.97</v>
      </c>
      <c r="N1576">
        <v>1</v>
      </c>
      <c r="O1576" t="s">
        <v>20</v>
      </c>
      <c r="P1576" t="s">
        <v>21</v>
      </c>
      <c r="Q1576">
        <f t="shared" si="120"/>
        <v>16</v>
      </c>
      <c r="R1576" s="4">
        <f>RANK(N1576,$N$2:N$2800,0)</f>
        <v>1</v>
      </c>
      <c r="S1576">
        <f t="shared" si="121"/>
        <v>2</v>
      </c>
      <c r="T1576" t="str">
        <f t="shared" si="122"/>
        <v>Good</v>
      </c>
      <c r="U1576" t="str" cm="1">
        <f t="array" ref="U1576">_xlfn.LET(_xlpm.roles,_xlfn.UNIQUE(D1576:D4374),_xlpm.kills, SUMIF(D1576:D4374,_xlpm.roles,G1576:G4374),INDEX(_xlpm.roles,MATCH(MAX(_xlpm.kills),_xlpm.kills,0)))</f>
        <v>Sniper</v>
      </c>
      <c r="V1576" t="str">
        <f t="shared" si="123"/>
        <v>Medium Accuracy</v>
      </c>
      <c r="W1576" t="str" cm="1">
        <f t="array" ref="W1576">_xlfn.LET(_xlpm.roles,_xlfn.UNIQUE(D1576:D4374), _xlpm.counts,COUNTIF(D1576:D4374,_xlpm.roles), INDEX(_xlpm.roles,MATCH(MAX(_xlpm.counts),_xlpm.counts,0)))</f>
        <v>Sniper</v>
      </c>
      <c r="X1576" s="2">
        <f t="shared" si="124"/>
        <v>12.599585062240664</v>
      </c>
    </row>
    <row r="1577" spans="1:24" x14ac:dyDescent="0.3">
      <c r="A1577">
        <v>1470</v>
      </c>
      <c r="B1577">
        <v>279</v>
      </c>
      <c r="C1577" t="s">
        <v>39</v>
      </c>
      <c r="D1577" t="s">
        <v>31</v>
      </c>
      <c r="E1577" t="s">
        <v>33</v>
      </c>
      <c r="F1577" t="s">
        <v>26</v>
      </c>
      <c r="G1577">
        <v>22</v>
      </c>
      <c r="H1577">
        <v>11</v>
      </c>
      <c r="I1577">
        <v>13</v>
      </c>
      <c r="J1577">
        <v>50</v>
      </c>
      <c r="K1577">
        <v>202.83</v>
      </c>
      <c r="L1577">
        <v>0.57999999999999996</v>
      </c>
      <c r="M1577">
        <v>61.2</v>
      </c>
      <c r="N1577">
        <v>1</v>
      </c>
      <c r="O1577" t="s">
        <v>20</v>
      </c>
      <c r="P1577" t="s">
        <v>38</v>
      </c>
      <c r="Q1577">
        <f t="shared" si="120"/>
        <v>20</v>
      </c>
      <c r="R1577" s="4">
        <f>RANK(N1577,$N$2:N$2800,0)</f>
        <v>1</v>
      </c>
      <c r="S1577">
        <f t="shared" si="121"/>
        <v>1.6923076923076923</v>
      </c>
      <c r="T1577" t="str">
        <f t="shared" si="122"/>
        <v>Good</v>
      </c>
      <c r="U1577" t="str" cm="1">
        <f t="array" ref="U1577">_xlfn.LET(_xlpm.roles,_xlfn.UNIQUE(D1577:D4375),_xlpm.kills, SUMIF(D1577:D4375,_xlpm.roles,G1577:G4375),INDEX(_xlpm.roles,MATCH(MAX(_xlpm.kills),_xlpm.kills,0)))</f>
        <v>Sniper</v>
      </c>
      <c r="V1577" t="str">
        <f t="shared" si="123"/>
        <v>High Accuracy</v>
      </c>
      <c r="W1577" t="str" cm="1">
        <f t="array" ref="W1577">_xlfn.LET(_xlpm.roles,_xlfn.UNIQUE(D1577:D4375), _xlpm.counts,COUNTIF(D1577:D4375,_xlpm.roles), INDEX(_xlpm.roles,MATCH(MAX(_xlpm.counts),_xlpm.counts,0)))</f>
        <v>Sniper</v>
      </c>
      <c r="X1577" s="2">
        <f t="shared" si="124"/>
        <v>13.103594080338267</v>
      </c>
    </row>
    <row r="1578" spans="1:24" x14ac:dyDescent="0.3">
      <c r="A1578">
        <v>1515</v>
      </c>
      <c r="B1578">
        <v>279</v>
      </c>
      <c r="C1578" t="s">
        <v>35</v>
      </c>
      <c r="D1578" t="s">
        <v>17</v>
      </c>
      <c r="E1578" t="s">
        <v>29</v>
      </c>
      <c r="F1578" t="s">
        <v>34</v>
      </c>
      <c r="G1578">
        <v>19</v>
      </c>
      <c r="H1578">
        <v>13</v>
      </c>
      <c r="I1578">
        <v>12</v>
      </c>
      <c r="J1578">
        <v>54.3</v>
      </c>
      <c r="K1578">
        <v>260.97000000000003</v>
      </c>
      <c r="L1578">
        <v>0.22</v>
      </c>
      <c r="M1578">
        <v>63.95</v>
      </c>
      <c r="N1578">
        <v>1</v>
      </c>
      <c r="O1578" t="s">
        <v>20</v>
      </c>
      <c r="P1578" t="s">
        <v>38</v>
      </c>
      <c r="Q1578">
        <f t="shared" si="120"/>
        <v>20</v>
      </c>
      <c r="R1578" s="4">
        <f>RANK(N1578,$N$2:N$2800,0)</f>
        <v>1</v>
      </c>
      <c r="S1578">
        <f t="shared" si="121"/>
        <v>1.5833333333333333</v>
      </c>
      <c r="T1578" t="str">
        <f t="shared" si="122"/>
        <v>Good</v>
      </c>
      <c r="U1578" t="str" cm="1">
        <f t="array" ref="U1578">_xlfn.LET(_xlpm.roles,_xlfn.UNIQUE(D1578:D4376),_xlpm.kills, SUMIF(D1578:D4376,_xlpm.roles,G1578:G4376),INDEX(_xlpm.roles,MATCH(MAX(_xlpm.kills),_xlpm.kills,0)))</f>
        <v>Sniper</v>
      </c>
      <c r="V1578" t="str">
        <f t="shared" si="123"/>
        <v>High Accuracy</v>
      </c>
      <c r="W1578" t="str" cm="1">
        <f t="array" ref="W1578">_xlfn.LET(_xlpm.roles,_xlfn.UNIQUE(D1578:D4376), _xlpm.counts,COUNTIF(D1578:D4376,_xlpm.roles), INDEX(_xlpm.roles,MATCH(MAX(_xlpm.counts),_xlpm.counts,0)))</f>
        <v>Sniper</v>
      </c>
      <c r="X1578" s="2">
        <f t="shared" si="124"/>
        <v>12.599585062240664</v>
      </c>
    </row>
    <row r="1579" spans="1:24" x14ac:dyDescent="0.3">
      <c r="A1579">
        <v>2041</v>
      </c>
      <c r="B1579">
        <v>279</v>
      </c>
      <c r="C1579" t="s">
        <v>16</v>
      </c>
      <c r="D1579" t="s">
        <v>31</v>
      </c>
      <c r="E1579" t="s">
        <v>33</v>
      </c>
      <c r="F1579" t="s">
        <v>26</v>
      </c>
      <c r="G1579">
        <v>12</v>
      </c>
      <c r="H1579">
        <v>10</v>
      </c>
      <c r="I1579">
        <v>9</v>
      </c>
      <c r="J1579">
        <v>21.37</v>
      </c>
      <c r="K1579">
        <v>140.15</v>
      </c>
      <c r="L1579">
        <v>0.43</v>
      </c>
      <c r="M1579">
        <v>31.39</v>
      </c>
      <c r="N1579">
        <v>0.88</v>
      </c>
      <c r="O1579" t="s">
        <v>20</v>
      </c>
      <c r="P1579" t="s">
        <v>21</v>
      </c>
      <c r="Q1579">
        <f t="shared" si="120"/>
        <v>13</v>
      </c>
      <c r="R1579" s="4">
        <f>RANK(N1579,$N$2:N$2800,0)</f>
        <v>1894</v>
      </c>
      <c r="S1579">
        <f t="shared" si="121"/>
        <v>1.3333333333333333</v>
      </c>
      <c r="T1579" t="str">
        <f t="shared" si="122"/>
        <v>Low</v>
      </c>
      <c r="U1579" t="str" cm="1">
        <f t="array" ref="U1579">_xlfn.LET(_xlpm.roles,_xlfn.UNIQUE(D1579:D4377),_xlpm.kills, SUMIF(D1579:D4377,_xlpm.roles,G1579:G4377),INDEX(_xlpm.roles,MATCH(MAX(_xlpm.kills),_xlpm.kills,0)))</f>
        <v>Sniper</v>
      </c>
      <c r="V1579" t="str">
        <f t="shared" si="123"/>
        <v>Low Accuracy</v>
      </c>
      <c r="W1579" t="str" cm="1">
        <f t="array" ref="W1579">_xlfn.LET(_xlpm.roles,_xlfn.UNIQUE(D1579:D4377), _xlpm.counts,COUNTIF(D1579:D4377,_xlpm.roles), INDEX(_xlpm.roles,MATCH(MAX(_xlpm.counts),_xlpm.counts,0)))</f>
        <v>Sniper</v>
      </c>
      <c r="X1579" s="2">
        <f t="shared" si="124"/>
        <v>12.520971302428256</v>
      </c>
    </row>
    <row r="1580" spans="1:24" x14ac:dyDescent="0.3">
      <c r="A1580">
        <v>2259</v>
      </c>
      <c r="B1580">
        <v>279</v>
      </c>
      <c r="C1580" t="s">
        <v>39</v>
      </c>
      <c r="D1580" t="s">
        <v>31</v>
      </c>
      <c r="E1580" t="s">
        <v>18</v>
      </c>
      <c r="F1580" t="s">
        <v>26</v>
      </c>
      <c r="G1580">
        <v>11</v>
      </c>
      <c r="H1580">
        <v>7</v>
      </c>
      <c r="I1580">
        <v>11</v>
      </c>
      <c r="J1580">
        <v>27.77</v>
      </c>
      <c r="K1580">
        <v>204.38</v>
      </c>
      <c r="L1580">
        <v>0.41</v>
      </c>
      <c r="M1580">
        <v>27.78</v>
      </c>
      <c r="N1580">
        <v>0.73</v>
      </c>
      <c r="O1580" t="s">
        <v>20</v>
      </c>
      <c r="P1580" t="s">
        <v>21</v>
      </c>
      <c r="Q1580">
        <f t="shared" si="120"/>
        <v>7</v>
      </c>
      <c r="R1580" s="4">
        <f>RANK(N1580,$N$2:N$2800,0)</f>
        <v>2642</v>
      </c>
      <c r="S1580">
        <f t="shared" si="121"/>
        <v>1</v>
      </c>
      <c r="T1580" t="str">
        <f t="shared" si="122"/>
        <v>Low</v>
      </c>
      <c r="U1580" t="str" cm="1">
        <f t="array" ref="U1580">_xlfn.LET(_xlpm.roles,_xlfn.UNIQUE(D1580:D4378),_xlpm.kills, SUMIF(D1580:D4378,_xlpm.roles,G1580:G4378),INDEX(_xlpm.roles,MATCH(MAX(_xlpm.kills),_xlpm.kills,0)))</f>
        <v>Sniper</v>
      </c>
      <c r="V1580" t="str">
        <f t="shared" si="123"/>
        <v>Low Accuracy</v>
      </c>
      <c r="W1580" t="str" cm="1">
        <f t="array" ref="W1580">_xlfn.LET(_xlpm.roles,_xlfn.UNIQUE(D1580:D4378), _xlpm.counts,COUNTIF(D1580:D4378,_xlpm.roles), INDEX(_xlpm.roles,MATCH(MAX(_xlpm.counts),_xlpm.counts,0)))</f>
        <v>Sniper</v>
      </c>
      <c r="X1580" s="2">
        <f t="shared" si="124"/>
        <v>13.103594080338267</v>
      </c>
    </row>
    <row r="1581" spans="1:24" x14ac:dyDescent="0.3">
      <c r="A1581">
        <v>1102</v>
      </c>
      <c r="B1581">
        <v>280</v>
      </c>
      <c r="C1581" t="s">
        <v>16</v>
      </c>
      <c r="D1581" t="s">
        <v>28</v>
      </c>
      <c r="E1581" t="s">
        <v>29</v>
      </c>
      <c r="F1581" t="s">
        <v>19</v>
      </c>
      <c r="G1581">
        <v>16</v>
      </c>
      <c r="H1581">
        <v>10</v>
      </c>
      <c r="I1581">
        <v>3</v>
      </c>
      <c r="J1581">
        <v>40.01</v>
      </c>
      <c r="K1581">
        <v>255.55</v>
      </c>
      <c r="L1581">
        <v>0.63</v>
      </c>
      <c r="M1581">
        <v>52.7</v>
      </c>
      <c r="N1581">
        <v>1</v>
      </c>
      <c r="O1581" t="s">
        <v>20</v>
      </c>
      <c r="P1581" t="s">
        <v>21</v>
      </c>
      <c r="Q1581">
        <f t="shared" si="120"/>
        <v>23</v>
      </c>
      <c r="R1581" s="4">
        <f>RANK(N1581,$N$2:N$2800,0)</f>
        <v>1</v>
      </c>
      <c r="S1581">
        <f t="shared" si="121"/>
        <v>5.333333333333333</v>
      </c>
      <c r="T1581" t="str">
        <f t="shared" si="122"/>
        <v>Good</v>
      </c>
      <c r="U1581" t="str" cm="1">
        <f t="array" ref="U1581">_xlfn.LET(_xlpm.roles,_xlfn.UNIQUE(D1581:D4379),_xlpm.kills, SUMIF(D1581:D4379,_xlpm.roles,G1581:G4379),INDEX(_xlpm.roles,MATCH(MAX(_xlpm.kills),_xlpm.kills,0)))</f>
        <v>Sniper</v>
      </c>
      <c r="V1581" t="str">
        <f t="shared" si="123"/>
        <v>Medium Accuracy</v>
      </c>
      <c r="W1581" t="str" cm="1">
        <f t="array" ref="W1581">_xlfn.LET(_xlpm.roles,_xlfn.UNIQUE(D1581:D4379), _xlpm.counts,COUNTIF(D1581:D4379,_xlpm.roles), INDEX(_xlpm.roles,MATCH(MAX(_xlpm.counts),_xlpm.counts,0)))</f>
        <v>Sniper</v>
      </c>
      <c r="X1581" s="2">
        <f t="shared" si="124"/>
        <v>12.520971302428256</v>
      </c>
    </row>
    <row r="1582" spans="1:24" x14ac:dyDescent="0.3">
      <c r="A1582">
        <v>1370</v>
      </c>
      <c r="B1582">
        <v>280</v>
      </c>
      <c r="C1582" t="s">
        <v>39</v>
      </c>
      <c r="D1582" t="s">
        <v>17</v>
      </c>
      <c r="E1582" t="s">
        <v>18</v>
      </c>
      <c r="F1582" t="s">
        <v>26</v>
      </c>
      <c r="G1582">
        <v>16</v>
      </c>
      <c r="H1582">
        <v>5</v>
      </c>
      <c r="I1582">
        <v>8</v>
      </c>
      <c r="J1582">
        <v>42.79</v>
      </c>
      <c r="K1582">
        <v>196.84</v>
      </c>
      <c r="L1582">
        <v>0.25</v>
      </c>
      <c r="M1582">
        <v>47.89</v>
      </c>
      <c r="N1582">
        <v>0.94</v>
      </c>
      <c r="O1582" t="s">
        <v>20</v>
      </c>
      <c r="P1582" t="s">
        <v>21</v>
      </c>
      <c r="Q1582">
        <f t="shared" si="120"/>
        <v>13</v>
      </c>
      <c r="R1582" s="4">
        <f>RANK(N1582,$N$2:N$2800,0)</f>
        <v>1431</v>
      </c>
      <c r="S1582">
        <f t="shared" si="121"/>
        <v>2</v>
      </c>
      <c r="T1582" t="str">
        <f t="shared" si="122"/>
        <v>Low</v>
      </c>
      <c r="U1582" t="str" cm="1">
        <f t="array" ref="U1582">_xlfn.LET(_xlpm.roles,_xlfn.UNIQUE(D1582:D4380),_xlpm.kills, SUMIF(D1582:D4380,_xlpm.roles,G1582:G4380),INDEX(_xlpm.roles,MATCH(MAX(_xlpm.kills),_xlpm.kills,0)))</f>
        <v>Sniper</v>
      </c>
      <c r="V1582" t="str">
        <f t="shared" si="123"/>
        <v>Medium Accuracy</v>
      </c>
      <c r="W1582" t="str" cm="1">
        <f t="array" ref="W1582">_xlfn.LET(_xlpm.roles,_xlfn.UNIQUE(D1582:D4380), _xlpm.counts,COUNTIF(D1582:D4380,_xlpm.roles), INDEX(_xlpm.roles,MATCH(MAX(_xlpm.counts),_xlpm.counts,0)))</f>
        <v>Sniper</v>
      </c>
      <c r="X1582" s="2">
        <f t="shared" si="124"/>
        <v>13.103594080338267</v>
      </c>
    </row>
    <row r="1583" spans="1:24" x14ac:dyDescent="0.3">
      <c r="A1583">
        <v>1969</v>
      </c>
      <c r="B1583">
        <v>280</v>
      </c>
      <c r="C1583" t="s">
        <v>16</v>
      </c>
      <c r="D1583" t="s">
        <v>22</v>
      </c>
      <c r="E1583" t="s">
        <v>23</v>
      </c>
      <c r="F1583" t="s">
        <v>26</v>
      </c>
      <c r="G1583">
        <v>14</v>
      </c>
      <c r="H1583">
        <v>6</v>
      </c>
      <c r="I1583">
        <v>16</v>
      </c>
      <c r="J1583">
        <v>32.49</v>
      </c>
      <c r="K1583">
        <v>254.34</v>
      </c>
      <c r="L1583">
        <v>7.0000000000000007E-2</v>
      </c>
      <c r="M1583">
        <v>33.549999999999997</v>
      </c>
      <c r="N1583">
        <v>0.89</v>
      </c>
      <c r="O1583" t="s">
        <v>20</v>
      </c>
      <c r="P1583" t="s">
        <v>21</v>
      </c>
      <c r="Q1583">
        <f t="shared" si="120"/>
        <v>4</v>
      </c>
      <c r="R1583" s="4">
        <f>RANK(N1583,$N$2:N$2800,0)</f>
        <v>1815</v>
      </c>
      <c r="S1583">
        <f t="shared" si="121"/>
        <v>0.875</v>
      </c>
      <c r="T1583" t="str">
        <f t="shared" si="122"/>
        <v>Low</v>
      </c>
      <c r="U1583" t="str" cm="1">
        <f t="array" ref="U1583">_xlfn.LET(_xlpm.roles,_xlfn.UNIQUE(D1583:D4381),_xlpm.kills, SUMIF(D1583:D4381,_xlpm.roles,G1583:G4381),INDEX(_xlpm.roles,MATCH(MAX(_xlpm.kills),_xlpm.kills,0)))</f>
        <v>Sniper</v>
      </c>
      <c r="V1583" t="str">
        <f t="shared" si="123"/>
        <v>Medium Accuracy</v>
      </c>
      <c r="W1583" t="str" cm="1">
        <f t="array" ref="W1583">_xlfn.LET(_xlpm.roles,_xlfn.UNIQUE(D1583:D4381), _xlpm.counts,COUNTIF(D1583:D4381,_xlpm.roles), INDEX(_xlpm.roles,MATCH(MAX(_xlpm.counts),_xlpm.counts,0)))</f>
        <v>Sniper</v>
      </c>
      <c r="X1583" s="2">
        <f t="shared" si="124"/>
        <v>12.520971302428256</v>
      </c>
    </row>
    <row r="1584" spans="1:24" x14ac:dyDescent="0.3">
      <c r="A1584">
        <v>2512</v>
      </c>
      <c r="B1584">
        <v>280</v>
      </c>
      <c r="C1584" t="s">
        <v>25</v>
      </c>
      <c r="D1584" t="s">
        <v>28</v>
      </c>
      <c r="E1584" t="s">
        <v>18</v>
      </c>
      <c r="F1584" t="s">
        <v>19</v>
      </c>
      <c r="G1584">
        <v>12</v>
      </c>
      <c r="H1584">
        <v>7</v>
      </c>
      <c r="I1584">
        <v>6</v>
      </c>
      <c r="J1584">
        <v>37.58</v>
      </c>
      <c r="K1584">
        <v>231.3</v>
      </c>
      <c r="L1584">
        <v>0.43</v>
      </c>
      <c r="M1584">
        <v>39.49</v>
      </c>
      <c r="N1584">
        <v>0.75</v>
      </c>
      <c r="O1584" t="s">
        <v>20</v>
      </c>
      <c r="P1584" t="s">
        <v>21</v>
      </c>
      <c r="Q1584">
        <f t="shared" si="120"/>
        <v>13</v>
      </c>
      <c r="R1584" s="4">
        <f>RANK(N1584,$N$2:N$2800,0)</f>
        <v>2586</v>
      </c>
      <c r="S1584">
        <f t="shared" si="121"/>
        <v>2</v>
      </c>
      <c r="T1584" t="str">
        <f t="shared" si="122"/>
        <v>Low</v>
      </c>
      <c r="U1584" t="str" cm="1">
        <f t="array" ref="U1584">_xlfn.LET(_xlpm.roles,_xlfn.UNIQUE(D1584:D4382),_xlpm.kills, SUMIF(D1584:D4382,_xlpm.roles,G1584:G4382),INDEX(_xlpm.roles,MATCH(MAX(_xlpm.kills),_xlpm.kills,0)))</f>
        <v>Sniper</v>
      </c>
      <c r="V1584" t="str">
        <f t="shared" si="123"/>
        <v>Medium Accuracy</v>
      </c>
      <c r="W1584" t="str" cm="1">
        <f t="array" ref="W1584">_xlfn.LET(_xlpm.roles,_xlfn.UNIQUE(D1584:D4382), _xlpm.counts,COUNTIF(D1584:D4382,_xlpm.roles), INDEX(_xlpm.roles,MATCH(MAX(_xlpm.counts),_xlpm.counts,0)))</f>
        <v>Sniper</v>
      </c>
      <c r="X1584" s="2">
        <f t="shared" si="124"/>
        <v>12.809421841541756</v>
      </c>
    </row>
    <row r="1585" spans="1:24" x14ac:dyDescent="0.3">
      <c r="A1585">
        <v>26</v>
      </c>
      <c r="B1585">
        <v>281</v>
      </c>
      <c r="C1585" t="s">
        <v>30</v>
      </c>
      <c r="D1585" t="s">
        <v>17</v>
      </c>
      <c r="E1585" t="s">
        <v>23</v>
      </c>
      <c r="F1585" t="s">
        <v>19</v>
      </c>
      <c r="G1585">
        <v>25</v>
      </c>
      <c r="H1585">
        <v>9</v>
      </c>
      <c r="I1585">
        <v>12</v>
      </c>
      <c r="J1585">
        <v>48.66</v>
      </c>
      <c r="K1585">
        <v>256.01</v>
      </c>
      <c r="L1585">
        <v>0.9</v>
      </c>
      <c r="M1585">
        <v>62.33</v>
      </c>
      <c r="N1585">
        <v>1</v>
      </c>
      <c r="O1585" t="s">
        <v>20</v>
      </c>
      <c r="P1585" t="s">
        <v>38</v>
      </c>
      <c r="Q1585">
        <f t="shared" si="120"/>
        <v>22</v>
      </c>
      <c r="R1585" s="4">
        <f>RANK(N1585,$N$2:N$2800,0)</f>
        <v>1</v>
      </c>
      <c r="S1585">
        <f t="shared" si="121"/>
        <v>2.0833333333333335</v>
      </c>
      <c r="T1585" t="str">
        <f t="shared" si="122"/>
        <v>Good</v>
      </c>
      <c r="U1585" t="str" cm="1">
        <f t="array" ref="U1585">_xlfn.LET(_xlpm.roles,_xlfn.UNIQUE(D1585:D4383),_xlpm.kills, SUMIF(D1585:D4383,_xlpm.roles,G1585:G4383),INDEX(_xlpm.roles,MATCH(MAX(_xlpm.kills),_xlpm.kills,0)))</f>
        <v>Sniper</v>
      </c>
      <c r="V1585" t="str">
        <f t="shared" si="123"/>
        <v>Medium Accuracy</v>
      </c>
      <c r="W1585" t="str" cm="1">
        <f t="array" ref="W1585">_xlfn.LET(_xlpm.roles,_xlfn.UNIQUE(D1585:D4383), _xlpm.counts,COUNTIF(D1585:D4383,_xlpm.roles), INDEX(_xlpm.roles,MATCH(MAX(_xlpm.counts),_xlpm.counts,0)))</f>
        <v>Sniper</v>
      </c>
      <c r="X1585" s="2">
        <f t="shared" si="124"/>
        <v>13.135802469135802</v>
      </c>
    </row>
    <row r="1586" spans="1:24" x14ac:dyDescent="0.3">
      <c r="A1586">
        <v>1684</v>
      </c>
      <c r="B1586">
        <v>281</v>
      </c>
      <c r="C1586" t="s">
        <v>35</v>
      </c>
      <c r="D1586" t="s">
        <v>28</v>
      </c>
      <c r="E1586" t="s">
        <v>33</v>
      </c>
      <c r="F1586" t="s">
        <v>24</v>
      </c>
      <c r="G1586">
        <v>16</v>
      </c>
      <c r="H1586">
        <v>4</v>
      </c>
      <c r="I1586">
        <v>7</v>
      </c>
      <c r="J1586">
        <v>29.97</v>
      </c>
      <c r="K1586">
        <v>213.48</v>
      </c>
      <c r="L1586">
        <v>0.56000000000000005</v>
      </c>
      <c r="M1586">
        <v>38.380000000000003</v>
      </c>
      <c r="N1586">
        <v>0.97</v>
      </c>
      <c r="O1586" t="s">
        <v>20</v>
      </c>
      <c r="P1586" t="s">
        <v>21</v>
      </c>
      <c r="Q1586">
        <f t="shared" si="120"/>
        <v>13</v>
      </c>
      <c r="R1586" s="4">
        <f>RANK(N1586,$N$2:N$2800,0)</f>
        <v>1243</v>
      </c>
      <c r="S1586">
        <f t="shared" si="121"/>
        <v>2.2857142857142856</v>
      </c>
      <c r="T1586" t="str">
        <f t="shared" si="122"/>
        <v>Low</v>
      </c>
      <c r="U1586" t="str" cm="1">
        <f t="array" ref="U1586">_xlfn.LET(_xlpm.roles,_xlfn.UNIQUE(D1586:D4384),_xlpm.kills, SUMIF(D1586:D4384,_xlpm.roles,G1586:G4384),INDEX(_xlpm.roles,MATCH(MAX(_xlpm.kills),_xlpm.kills,0)))</f>
        <v>Sniper</v>
      </c>
      <c r="V1586" t="str">
        <f t="shared" si="123"/>
        <v>Low Accuracy</v>
      </c>
      <c r="W1586" t="str" cm="1">
        <f t="array" ref="W1586">_xlfn.LET(_xlpm.roles,_xlfn.UNIQUE(D1586:D4384), _xlpm.counts,COUNTIF(D1586:D4384,_xlpm.roles), INDEX(_xlpm.roles,MATCH(MAX(_xlpm.counts),_xlpm.counts,0)))</f>
        <v>Sniper</v>
      </c>
      <c r="X1586" s="2">
        <f t="shared" si="124"/>
        <v>12.599585062240664</v>
      </c>
    </row>
    <row r="1587" spans="1:24" x14ac:dyDescent="0.3">
      <c r="A1587">
        <v>2716</v>
      </c>
      <c r="B1587">
        <v>281</v>
      </c>
      <c r="C1587" t="s">
        <v>39</v>
      </c>
      <c r="D1587" t="s">
        <v>36</v>
      </c>
      <c r="E1587" t="s">
        <v>18</v>
      </c>
      <c r="F1587" t="s">
        <v>37</v>
      </c>
      <c r="G1587">
        <v>12</v>
      </c>
      <c r="H1587">
        <v>12</v>
      </c>
      <c r="I1587">
        <v>12</v>
      </c>
      <c r="J1587">
        <v>63.55</v>
      </c>
      <c r="K1587">
        <v>213.14</v>
      </c>
      <c r="L1587">
        <v>0.82</v>
      </c>
      <c r="M1587">
        <v>47.58</v>
      </c>
      <c r="N1587">
        <v>0.98</v>
      </c>
      <c r="O1587" t="s">
        <v>20</v>
      </c>
      <c r="P1587" t="s">
        <v>21</v>
      </c>
      <c r="Q1587">
        <f t="shared" si="120"/>
        <v>12</v>
      </c>
      <c r="R1587" s="4">
        <f>RANK(N1587,$N$2:N$2800,0)</f>
        <v>1157</v>
      </c>
      <c r="S1587">
        <f t="shared" si="121"/>
        <v>1</v>
      </c>
      <c r="T1587" t="str">
        <f t="shared" si="122"/>
        <v>Low</v>
      </c>
      <c r="U1587" t="str" cm="1">
        <f t="array" ref="U1587">_xlfn.LET(_xlpm.roles,_xlfn.UNIQUE(D1587:D4385),_xlpm.kills, SUMIF(D1587:D4385,_xlpm.roles,G1587:G4385),INDEX(_xlpm.roles,MATCH(MAX(_xlpm.kills),_xlpm.kills,0)))</f>
        <v>Sniper</v>
      </c>
      <c r="V1587" t="str">
        <f t="shared" si="123"/>
        <v>High Accuracy</v>
      </c>
      <c r="W1587" t="str" cm="1">
        <f t="array" ref="W1587">_xlfn.LET(_xlpm.roles,_xlfn.UNIQUE(D1587:D4385), _xlpm.counts,COUNTIF(D1587:D4385,_xlpm.roles), INDEX(_xlpm.roles,MATCH(MAX(_xlpm.counts),_xlpm.counts,0)))</f>
        <v>Sniper</v>
      </c>
      <c r="X1587" s="2">
        <f t="shared" si="124"/>
        <v>13.103594080338267</v>
      </c>
    </row>
    <row r="1588" spans="1:24" x14ac:dyDescent="0.3">
      <c r="A1588">
        <v>72</v>
      </c>
      <c r="B1588">
        <v>282</v>
      </c>
      <c r="C1588" t="s">
        <v>35</v>
      </c>
      <c r="D1588" t="s">
        <v>22</v>
      </c>
      <c r="E1588" t="s">
        <v>32</v>
      </c>
      <c r="F1588" t="s">
        <v>37</v>
      </c>
      <c r="G1588">
        <v>11</v>
      </c>
      <c r="H1588">
        <v>10</v>
      </c>
      <c r="I1588">
        <v>7</v>
      </c>
      <c r="J1588">
        <v>47.09</v>
      </c>
      <c r="K1588">
        <v>253.23</v>
      </c>
      <c r="L1588">
        <v>0.13</v>
      </c>
      <c r="M1588">
        <v>47.25</v>
      </c>
      <c r="N1588">
        <v>0.9</v>
      </c>
      <c r="O1588" t="s">
        <v>20</v>
      </c>
      <c r="P1588" t="s">
        <v>21</v>
      </c>
      <c r="Q1588">
        <f t="shared" si="120"/>
        <v>14</v>
      </c>
      <c r="R1588" s="4">
        <f>RANK(N1588,$N$2:N$2800,0)</f>
        <v>1738</v>
      </c>
      <c r="S1588">
        <f t="shared" si="121"/>
        <v>1.5714285714285714</v>
      </c>
      <c r="T1588" t="str">
        <f t="shared" si="122"/>
        <v>Low</v>
      </c>
      <c r="U1588" t="str" cm="1">
        <f t="array" ref="U1588">_xlfn.LET(_xlpm.roles,_xlfn.UNIQUE(D1588:D4386),_xlpm.kills, SUMIF(D1588:D4386,_xlpm.roles,G1588:G4386),INDEX(_xlpm.roles,MATCH(MAX(_xlpm.kills),_xlpm.kills,0)))</f>
        <v>Sniper</v>
      </c>
      <c r="V1588" t="str">
        <f t="shared" si="123"/>
        <v>Medium Accuracy</v>
      </c>
      <c r="W1588" t="str" cm="1">
        <f t="array" ref="W1588">_xlfn.LET(_xlpm.roles,_xlfn.UNIQUE(D1588:D4386), _xlpm.counts,COUNTIF(D1588:D4386,_xlpm.roles), INDEX(_xlpm.roles,MATCH(MAX(_xlpm.counts),_xlpm.counts,0)))</f>
        <v>Sniper</v>
      </c>
      <c r="X1588" s="2">
        <f t="shared" si="124"/>
        <v>12.599585062240664</v>
      </c>
    </row>
    <row r="1589" spans="1:24" x14ac:dyDescent="0.3">
      <c r="A1589">
        <v>98</v>
      </c>
      <c r="B1589">
        <v>282</v>
      </c>
      <c r="C1589" t="s">
        <v>25</v>
      </c>
      <c r="D1589" t="s">
        <v>31</v>
      </c>
      <c r="E1589" t="s">
        <v>23</v>
      </c>
      <c r="F1589" t="s">
        <v>37</v>
      </c>
      <c r="G1589">
        <v>12</v>
      </c>
      <c r="H1589">
        <v>14</v>
      </c>
      <c r="I1589">
        <v>6</v>
      </c>
      <c r="J1589">
        <v>42.79</v>
      </c>
      <c r="K1589">
        <v>244.38</v>
      </c>
      <c r="L1589">
        <v>0.21</v>
      </c>
      <c r="M1589">
        <v>51.29</v>
      </c>
      <c r="N1589">
        <v>1</v>
      </c>
      <c r="O1589" t="s">
        <v>20</v>
      </c>
      <c r="P1589" t="s">
        <v>21</v>
      </c>
      <c r="Q1589">
        <f t="shared" si="120"/>
        <v>20</v>
      </c>
      <c r="R1589" s="4">
        <f>RANK(N1589,$N$2:N$2800,0)</f>
        <v>1</v>
      </c>
      <c r="S1589">
        <f t="shared" si="121"/>
        <v>2</v>
      </c>
      <c r="T1589" t="str">
        <f t="shared" si="122"/>
        <v>Good</v>
      </c>
      <c r="U1589" t="str" cm="1">
        <f t="array" ref="U1589">_xlfn.LET(_xlpm.roles,_xlfn.UNIQUE(D1589:D4387),_xlpm.kills, SUMIF(D1589:D4387,_xlpm.roles,G1589:G4387),INDEX(_xlpm.roles,MATCH(MAX(_xlpm.kills),_xlpm.kills,0)))</f>
        <v>Sniper</v>
      </c>
      <c r="V1589" t="str">
        <f t="shared" si="123"/>
        <v>Medium Accuracy</v>
      </c>
      <c r="W1589" t="str" cm="1">
        <f t="array" ref="W1589">_xlfn.LET(_xlpm.roles,_xlfn.UNIQUE(D1589:D4387), _xlpm.counts,COUNTIF(D1589:D4387,_xlpm.roles), INDEX(_xlpm.roles,MATCH(MAX(_xlpm.counts),_xlpm.counts,0)))</f>
        <v>Sniper</v>
      </c>
      <c r="X1589" s="2">
        <f t="shared" si="124"/>
        <v>12.809421841541756</v>
      </c>
    </row>
    <row r="1590" spans="1:24" x14ac:dyDescent="0.3">
      <c r="A1590">
        <v>1369</v>
      </c>
      <c r="B1590">
        <v>282</v>
      </c>
      <c r="C1590" t="s">
        <v>16</v>
      </c>
      <c r="D1590" t="s">
        <v>28</v>
      </c>
      <c r="E1590" t="s">
        <v>32</v>
      </c>
      <c r="F1590" t="s">
        <v>24</v>
      </c>
      <c r="G1590">
        <v>10</v>
      </c>
      <c r="H1590">
        <v>8</v>
      </c>
      <c r="I1590">
        <v>5</v>
      </c>
      <c r="J1590">
        <v>41.74</v>
      </c>
      <c r="K1590">
        <v>201.49</v>
      </c>
      <c r="L1590">
        <v>0.45</v>
      </c>
      <c r="M1590">
        <v>39.369999999999997</v>
      </c>
      <c r="N1590">
        <v>0.98</v>
      </c>
      <c r="O1590" t="s">
        <v>20</v>
      </c>
      <c r="P1590" t="s">
        <v>21</v>
      </c>
      <c r="Q1590">
        <f t="shared" si="120"/>
        <v>13</v>
      </c>
      <c r="R1590" s="4">
        <f>RANK(N1590,$N$2:N$2800,0)</f>
        <v>1157</v>
      </c>
      <c r="S1590">
        <f t="shared" si="121"/>
        <v>2</v>
      </c>
      <c r="T1590" t="str">
        <f t="shared" si="122"/>
        <v>Low</v>
      </c>
      <c r="U1590" t="str" cm="1">
        <f t="array" ref="U1590">_xlfn.LET(_xlpm.roles,_xlfn.UNIQUE(D1590:D4388),_xlpm.kills, SUMIF(D1590:D4388,_xlpm.roles,G1590:G4388),INDEX(_xlpm.roles,MATCH(MAX(_xlpm.kills),_xlpm.kills,0)))</f>
        <v>Sniper</v>
      </c>
      <c r="V1590" t="str">
        <f t="shared" si="123"/>
        <v>Medium Accuracy</v>
      </c>
      <c r="W1590" t="str" cm="1">
        <f t="array" ref="W1590">_xlfn.LET(_xlpm.roles,_xlfn.UNIQUE(D1590:D4388), _xlpm.counts,COUNTIF(D1590:D4388,_xlpm.roles), INDEX(_xlpm.roles,MATCH(MAX(_xlpm.counts),_xlpm.counts,0)))</f>
        <v>Sniper</v>
      </c>
      <c r="X1590" s="2">
        <f t="shared" si="124"/>
        <v>12.520971302428256</v>
      </c>
    </row>
    <row r="1591" spans="1:24" x14ac:dyDescent="0.3">
      <c r="A1591">
        <v>2566</v>
      </c>
      <c r="B1591">
        <v>282</v>
      </c>
      <c r="C1591" t="s">
        <v>30</v>
      </c>
      <c r="D1591" t="s">
        <v>17</v>
      </c>
      <c r="E1591" t="s">
        <v>18</v>
      </c>
      <c r="F1591" t="s">
        <v>24</v>
      </c>
      <c r="G1591">
        <v>15</v>
      </c>
      <c r="H1591">
        <v>7</v>
      </c>
      <c r="I1591">
        <v>9</v>
      </c>
      <c r="J1591">
        <v>22.94</v>
      </c>
      <c r="K1591">
        <v>202.39</v>
      </c>
      <c r="L1591">
        <v>0.67</v>
      </c>
      <c r="M1591">
        <v>32.770000000000003</v>
      </c>
      <c r="N1591">
        <v>0.96</v>
      </c>
      <c r="O1591" t="s">
        <v>20</v>
      </c>
      <c r="P1591" t="s">
        <v>21</v>
      </c>
      <c r="Q1591">
        <f t="shared" si="120"/>
        <v>13</v>
      </c>
      <c r="R1591" s="4">
        <f>RANK(N1591,$N$2:N$2800,0)</f>
        <v>1301</v>
      </c>
      <c r="S1591">
        <f t="shared" si="121"/>
        <v>1.6666666666666667</v>
      </c>
      <c r="T1591" t="str">
        <f t="shared" si="122"/>
        <v>Low</v>
      </c>
      <c r="U1591" t="str" cm="1">
        <f t="array" ref="U1591">_xlfn.LET(_xlpm.roles,_xlfn.UNIQUE(D1591:D4389),_xlpm.kills, SUMIF(D1591:D4389,_xlpm.roles,G1591:G4389),INDEX(_xlpm.roles,MATCH(MAX(_xlpm.kills),_xlpm.kills,0)))</f>
        <v>Sniper</v>
      </c>
      <c r="V1591" t="str">
        <f t="shared" si="123"/>
        <v>Low Accuracy</v>
      </c>
      <c r="W1591" t="str" cm="1">
        <f t="array" ref="W1591">_xlfn.LET(_xlpm.roles,_xlfn.UNIQUE(D1591:D4389), _xlpm.counts,COUNTIF(D1591:D4389,_xlpm.roles), INDEX(_xlpm.roles,MATCH(MAX(_xlpm.counts),_xlpm.counts,0)))</f>
        <v>Sniper</v>
      </c>
      <c r="X1591" s="2">
        <f t="shared" si="124"/>
        <v>13.135802469135802</v>
      </c>
    </row>
    <row r="1592" spans="1:24" x14ac:dyDescent="0.3">
      <c r="A1592">
        <v>2650</v>
      </c>
      <c r="B1592">
        <v>282</v>
      </c>
      <c r="C1592" t="s">
        <v>25</v>
      </c>
      <c r="D1592" t="s">
        <v>31</v>
      </c>
      <c r="E1592" t="s">
        <v>32</v>
      </c>
      <c r="F1592" t="s">
        <v>26</v>
      </c>
      <c r="G1592">
        <v>10</v>
      </c>
      <c r="H1592">
        <v>4</v>
      </c>
      <c r="I1592">
        <v>5</v>
      </c>
      <c r="J1592">
        <v>45.4</v>
      </c>
      <c r="K1592">
        <v>226.24</v>
      </c>
      <c r="L1592">
        <v>0.03</v>
      </c>
      <c r="M1592">
        <v>41.4</v>
      </c>
      <c r="N1592">
        <v>0.98</v>
      </c>
      <c r="O1592" t="s">
        <v>20</v>
      </c>
      <c r="P1592" t="s">
        <v>21</v>
      </c>
      <c r="Q1592">
        <f t="shared" si="120"/>
        <v>9</v>
      </c>
      <c r="R1592" s="4">
        <f>RANK(N1592,$N$2:N$2800,0)</f>
        <v>1157</v>
      </c>
      <c r="S1592">
        <f t="shared" si="121"/>
        <v>2</v>
      </c>
      <c r="T1592" t="str">
        <f t="shared" si="122"/>
        <v>Low</v>
      </c>
      <c r="U1592" t="str" cm="1">
        <f t="array" ref="U1592">_xlfn.LET(_xlpm.roles,_xlfn.UNIQUE(D1592:D4390),_xlpm.kills, SUMIF(D1592:D4390,_xlpm.roles,G1592:G4390),INDEX(_xlpm.roles,MATCH(MAX(_xlpm.kills),_xlpm.kills,0)))</f>
        <v>Sniper</v>
      </c>
      <c r="V1592" t="str">
        <f t="shared" si="123"/>
        <v>Medium Accuracy</v>
      </c>
      <c r="W1592" t="str" cm="1">
        <f t="array" ref="W1592">_xlfn.LET(_xlpm.roles,_xlfn.UNIQUE(D1592:D4390), _xlpm.counts,COUNTIF(D1592:D4390,_xlpm.roles), INDEX(_xlpm.roles,MATCH(MAX(_xlpm.counts),_xlpm.counts,0)))</f>
        <v>Sniper</v>
      </c>
      <c r="X1592" s="2">
        <f t="shared" si="124"/>
        <v>12.809421841541756</v>
      </c>
    </row>
    <row r="1593" spans="1:24" x14ac:dyDescent="0.3">
      <c r="A1593">
        <v>2260</v>
      </c>
      <c r="B1593">
        <v>283</v>
      </c>
      <c r="C1593" t="s">
        <v>25</v>
      </c>
      <c r="D1593" t="s">
        <v>36</v>
      </c>
      <c r="E1593" t="s">
        <v>33</v>
      </c>
      <c r="F1593" t="s">
        <v>19</v>
      </c>
      <c r="G1593">
        <v>5</v>
      </c>
      <c r="H1593">
        <v>15</v>
      </c>
      <c r="I1593">
        <v>2</v>
      </c>
      <c r="J1593">
        <v>43.17</v>
      </c>
      <c r="K1593">
        <v>204.38</v>
      </c>
      <c r="L1593">
        <v>0.62</v>
      </c>
      <c r="M1593">
        <v>38.380000000000003</v>
      </c>
      <c r="N1593">
        <v>0.87</v>
      </c>
      <c r="O1593" t="s">
        <v>20</v>
      </c>
      <c r="P1593" t="s">
        <v>21</v>
      </c>
      <c r="Q1593">
        <f t="shared" si="120"/>
        <v>18</v>
      </c>
      <c r="R1593" s="4">
        <f>RANK(N1593,$N$2:N$2800,0)</f>
        <v>1965</v>
      </c>
      <c r="S1593">
        <f t="shared" si="121"/>
        <v>2.5</v>
      </c>
      <c r="T1593" t="str">
        <f t="shared" si="122"/>
        <v>Good</v>
      </c>
      <c r="U1593" t="str" cm="1">
        <f t="array" ref="U1593">_xlfn.LET(_xlpm.roles,_xlfn.UNIQUE(D1593:D4391),_xlpm.kills, SUMIF(D1593:D4391,_xlpm.roles,G1593:G4391),INDEX(_xlpm.roles,MATCH(MAX(_xlpm.kills),_xlpm.kills,0)))</f>
        <v>Sniper</v>
      </c>
      <c r="V1593" t="str">
        <f t="shared" si="123"/>
        <v>Medium Accuracy</v>
      </c>
      <c r="W1593" t="str" cm="1">
        <f t="array" ref="W1593">_xlfn.LET(_xlpm.roles,_xlfn.UNIQUE(D1593:D4391), _xlpm.counts,COUNTIF(D1593:D4391,_xlpm.roles), INDEX(_xlpm.roles,MATCH(MAX(_xlpm.counts),_xlpm.counts,0)))</f>
        <v>Sniper</v>
      </c>
      <c r="X1593" s="2">
        <f t="shared" si="124"/>
        <v>12.809421841541756</v>
      </c>
    </row>
    <row r="1594" spans="1:24" x14ac:dyDescent="0.3">
      <c r="A1594">
        <v>2779</v>
      </c>
      <c r="B1594">
        <v>283</v>
      </c>
      <c r="C1594" t="s">
        <v>30</v>
      </c>
      <c r="D1594" t="s">
        <v>17</v>
      </c>
      <c r="E1594" t="s">
        <v>18</v>
      </c>
      <c r="F1594" t="s">
        <v>37</v>
      </c>
      <c r="G1594">
        <v>16</v>
      </c>
      <c r="H1594">
        <v>6</v>
      </c>
      <c r="I1594">
        <v>10</v>
      </c>
      <c r="J1594">
        <v>36.26</v>
      </c>
      <c r="K1594">
        <v>249.55</v>
      </c>
      <c r="L1594">
        <v>0.74</v>
      </c>
      <c r="M1594">
        <v>38.729999999999997</v>
      </c>
      <c r="N1594">
        <v>1</v>
      </c>
      <c r="O1594" t="s">
        <v>20</v>
      </c>
      <c r="P1594" t="s">
        <v>21</v>
      </c>
      <c r="Q1594">
        <f t="shared" si="120"/>
        <v>12</v>
      </c>
      <c r="R1594" s="4">
        <f>RANK(N1594,$N$2:N$2800,0)</f>
        <v>1</v>
      </c>
      <c r="S1594">
        <f t="shared" si="121"/>
        <v>1.6</v>
      </c>
      <c r="T1594" t="str">
        <f t="shared" si="122"/>
        <v>Low</v>
      </c>
      <c r="U1594" t="str" cm="1">
        <f t="array" ref="U1594">_xlfn.LET(_xlpm.roles,_xlfn.UNIQUE(D1594:D4392),_xlpm.kills, SUMIF(D1594:D4392,_xlpm.roles,G1594:G4392),INDEX(_xlpm.roles,MATCH(MAX(_xlpm.kills),_xlpm.kills,0)))</f>
        <v>Sniper</v>
      </c>
      <c r="V1594" t="str">
        <f t="shared" si="123"/>
        <v>Medium Accuracy</v>
      </c>
      <c r="W1594" t="str" cm="1">
        <f t="array" ref="W1594">_xlfn.LET(_xlpm.roles,_xlfn.UNIQUE(D1594:D4392), _xlpm.counts,COUNTIF(D1594:D4392,_xlpm.roles), INDEX(_xlpm.roles,MATCH(MAX(_xlpm.counts),_xlpm.counts,0)))</f>
        <v>Sniper</v>
      </c>
      <c r="X1594" s="2">
        <f t="shared" si="124"/>
        <v>13.135802469135802</v>
      </c>
    </row>
    <row r="1595" spans="1:24" x14ac:dyDescent="0.3">
      <c r="A1595">
        <v>1164</v>
      </c>
      <c r="B1595">
        <v>284</v>
      </c>
      <c r="C1595" t="s">
        <v>39</v>
      </c>
      <c r="D1595" t="s">
        <v>36</v>
      </c>
      <c r="E1595" t="s">
        <v>32</v>
      </c>
      <c r="F1595" t="s">
        <v>24</v>
      </c>
      <c r="G1595">
        <v>10</v>
      </c>
      <c r="H1595">
        <v>5</v>
      </c>
      <c r="I1595">
        <v>9</v>
      </c>
      <c r="J1595">
        <v>54.04</v>
      </c>
      <c r="K1595">
        <v>261.02999999999997</v>
      </c>
      <c r="L1595">
        <v>0.93</v>
      </c>
      <c r="M1595">
        <v>33.72</v>
      </c>
      <c r="N1595">
        <v>0.81</v>
      </c>
      <c r="O1595" t="s">
        <v>20</v>
      </c>
      <c r="P1595" t="s">
        <v>21</v>
      </c>
      <c r="Q1595">
        <f t="shared" si="120"/>
        <v>6</v>
      </c>
      <c r="R1595" s="4">
        <f>RANK(N1595,$N$2:N$2800,0)</f>
        <v>2341</v>
      </c>
      <c r="S1595">
        <f t="shared" si="121"/>
        <v>1.1111111111111112</v>
      </c>
      <c r="T1595" t="str">
        <f t="shared" si="122"/>
        <v>Low</v>
      </c>
      <c r="U1595" t="str" cm="1">
        <f t="array" ref="U1595">_xlfn.LET(_xlpm.roles,_xlfn.UNIQUE(D1595:D4393),_xlpm.kills, SUMIF(D1595:D4393,_xlpm.roles,G1595:G4393),INDEX(_xlpm.roles,MATCH(MAX(_xlpm.kills),_xlpm.kills,0)))</f>
        <v>Sniper</v>
      </c>
      <c r="V1595" t="str">
        <f t="shared" si="123"/>
        <v>High Accuracy</v>
      </c>
      <c r="W1595" t="str" cm="1">
        <f t="array" ref="W1595">_xlfn.LET(_xlpm.roles,_xlfn.UNIQUE(D1595:D4393), _xlpm.counts,COUNTIF(D1595:D4393,_xlpm.roles), INDEX(_xlpm.roles,MATCH(MAX(_xlpm.counts),_xlpm.counts,0)))</f>
        <v>Sniper</v>
      </c>
      <c r="X1595" s="2">
        <f t="shared" si="124"/>
        <v>13.103594080338267</v>
      </c>
    </row>
    <row r="1596" spans="1:24" x14ac:dyDescent="0.3">
      <c r="A1596">
        <v>1236</v>
      </c>
      <c r="B1596">
        <v>284</v>
      </c>
      <c r="C1596" t="s">
        <v>30</v>
      </c>
      <c r="D1596" t="s">
        <v>22</v>
      </c>
      <c r="E1596" t="s">
        <v>18</v>
      </c>
      <c r="F1596" t="s">
        <v>37</v>
      </c>
      <c r="G1596">
        <v>11</v>
      </c>
      <c r="H1596">
        <v>8</v>
      </c>
      <c r="I1596">
        <v>10</v>
      </c>
      <c r="J1596">
        <v>44.96</v>
      </c>
      <c r="K1596">
        <v>165.53</v>
      </c>
      <c r="L1596">
        <v>0.64</v>
      </c>
      <c r="M1596">
        <v>36.08</v>
      </c>
      <c r="N1596">
        <v>0.78</v>
      </c>
      <c r="O1596" t="s">
        <v>20</v>
      </c>
      <c r="P1596" t="s">
        <v>21</v>
      </c>
      <c r="Q1596">
        <f t="shared" si="120"/>
        <v>9</v>
      </c>
      <c r="R1596" s="4">
        <f>RANK(N1596,$N$2:N$2800,0)</f>
        <v>2469</v>
      </c>
      <c r="S1596">
        <f t="shared" si="121"/>
        <v>1.1000000000000001</v>
      </c>
      <c r="T1596" t="str">
        <f t="shared" si="122"/>
        <v>Low</v>
      </c>
      <c r="U1596" t="str" cm="1">
        <f t="array" ref="U1596">_xlfn.LET(_xlpm.roles,_xlfn.UNIQUE(D1596:D4394),_xlpm.kills, SUMIF(D1596:D4394,_xlpm.roles,G1596:G4394),INDEX(_xlpm.roles,MATCH(MAX(_xlpm.kills),_xlpm.kills,0)))</f>
        <v>Sniper</v>
      </c>
      <c r="V1596" t="str">
        <f t="shared" si="123"/>
        <v>Medium Accuracy</v>
      </c>
      <c r="W1596" t="str" cm="1">
        <f t="array" ref="W1596">_xlfn.LET(_xlpm.roles,_xlfn.UNIQUE(D1596:D4394), _xlpm.counts,COUNTIF(D1596:D4394,_xlpm.roles), INDEX(_xlpm.roles,MATCH(MAX(_xlpm.counts),_xlpm.counts,0)))</f>
        <v>Sniper</v>
      </c>
      <c r="X1596" s="2">
        <f t="shared" si="124"/>
        <v>13.135802469135802</v>
      </c>
    </row>
    <row r="1597" spans="1:24" x14ac:dyDescent="0.3">
      <c r="A1597">
        <v>2276</v>
      </c>
      <c r="B1597">
        <v>284</v>
      </c>
      <c r="C1597" t="s">
        <v>25</v>
      </c>
      <c r="D1597" t="s">
        <v>17</v>
      </c>
      <c r="E1597" t="s">
        <v>18</v>
      </c>
      <c r="F1597" t="s">
        <v>34</v>
      </c>
      <c r="G1597">
        <v>18</v>
      </c>
      <c r="H1597">
        <v>8</v>
      </c>
      <c r="I1597">
        <v>10</v>
      </c>
      <c r="J1597">
        <v>47.37</v>
      </c>
      <c r="K1597">
        <v>220.53</v>
      </c>
      <c r="L1597">
        <v>0.53</v>
      </c>
      <c r="M1597">
        <v>52.39</v>
      </c>
      <c r="N1597">
        <v>0.97</v>
      </c>
      <c r="O1597" t="s">
        <v>20</v>
      </c>
      <c r="P1597" t="s">
        <v>21</v>
      </c>
      <c r="Q1597">
        <f t="shared" si="120"/>
        <v>16</v>
      </c>
      <c r="R1597" s="4">
        <f>RANK(N1597,$N$2:N$2800,0)</f>
        <v>1243</v>
      </c>
      <c r="S1597">
        <f t="shared" si="121"/>
        <v>1.8</v>
      </c>
      <c r="T1597" t="str">
        <f t="shared" si="122"/>
        <v>Good</v>
      </c>
      <c r="U1597" t="str" cm="1">
        <f t="array" ref="U1597">_xlfn.LET(_xlpm.roles,_xlfn.UNIQUE(D1597:D4395),_xlpm.kills, SUMIF(D1597:D4395,_xlpm.roles,G1597:G4395),INDEX(_xlpm.roles,MATCH(MAX(_xlpm.kills),_xlpm.kills,0)))</f>
        <v>Sniper</v>
      </c>
      <c r="V1597" t="str">
        <f t="shared" si="123"/>
        <v>Medium Accuracy</v>
      </c>
      <c r="W1597" t="str" cm="1">
        <f t="array" ref="W1597">_xlfn.LET(_xlpm.roles,_xlfn.UNIQUE(D1597:D4395), _xlpm.counts,COUNTIF(D1597:D4395,_xlpm.roles), INDEX(_xlpm.roles,MATCH(MAX(_xlpm.counts),_xlpm.counts,0)))</f>
        <v>Sniper</v>
      </c>
      <c r="X1597" s="2">
        <f t="shared" si="124"/>
        <v>12.809421841541756</v>
      </c>
    </row>
    <row r="1598" spans="1:24" x14ac:dyDescent="0.3">
      <c r="A1598">
        <v>2623</v>
      </c>
      <c r="B1598">
        <v>284</v>
      </c>
      <c r="C1598" t="s">
        <v>30</v>
      </c>
      <c r="D1598" t="s">
        <v>31</v>
      </c>
      <c r="E1598" t="s">
        <v>29</v>
      </c>
      <c r="F1598" t="s">
        <v>19</v>
      </c>
      <c r="G1598">
        <v>17</v>
      </c>
      <c r="H1598">
        <v>6</v>
      </c>
      <c r="I1598">
        <v>8</v>
      </c>
      <c r="J1598">
        <v>41.39</v>
      </c>
      <c r="K1598">
        <v>218.94</v>
      </c>
      <c r="L1598">
        <v>0.08</v>
      </c>
      <c r="M1598">
        <v>51.9</v>
      </c>
      <c r="N1598">
        <v>0.93</v>
      </c>
      <c r="O1598" t="s">
        <v>20</v>
      </c>
      <c r="P1598" t="s">
        <v>21</v>
      </c>
      <c r="Q1598">
        <f t="shared" si="120"/>
        <v>15</v>
      </c>
      <c r="R1598" s="4">
        <f>RANK(N1598,$N$2:N$2800,0)</f>
        <v>1505</v>
      </c>
      <c r="S1598">
        <f t="shared" si="121"/>
        <v>2.125</v>
      </c>
      <c r="T1598" t="str">
        <f t="shared" si="122"/>
        <v>Good</v>
      </c>
      <c r="U1598" t="str" cm="1">
        <f t="array" ref="U1598">_xlfn.LET(_xlpm.roles,_xlfn.UNIQUE(D1598:D4396),_xlpm.kills, SUMIF(D1598:D4396,_xlpm.roles,G1598:G4396),INDEX(_xlpm.roles,MATCH(MAX(_xlpm.kills),_xlpm.kills,0)))</f>
        <v>Sniper</v>
      </c>
      <c r="V1598" t="str">
        <f t="shared" si="123"/>
        <v>Medium Accuracy</v>
      </c>
      <c r="W1598" t="str" cm="1">
        <f t="array" ref="W1598">_xlfn.LET(_xlpm.roles,_xlfn.UNIQUE(D1598:D4396), _xlpm.counts,COUNTIF(D1598:D4396,_xlpm.roles), INDEX(_xlpm.roles,MATCH(MAX(_xlpm.counts),_xlpm.counts,0)))</f>
        <v>Sniper</v>
      </c>
      <c r="X1598" s="2">
        <f t="shared" si="124"/>
        <v>13.135802469135802</v>
      </c>
    </row>
    <row r="1599" spans="1:24" x14ac:dyDescent="0.3">
      <c r="A1599">
        <v>112</v>
      </c>
      <c r="B1599">
        <v>285</v>
      </c>
      <c r="C1599" t="s">
        <v>27</v>
      </c>
      <c r="D1599" t="s">
        <v>28</v>
      </c>
      <c r="E1599" t="s">
        <v>32</v>
      </c>
      <c r="F1599" t="s">
        <v>24</v>
      </c>
      <c r="G1599">
        <v>10</v>
      </c>
      <c r="H1599">
        <v>8</v>
      </c>
      <c r="I1599">
        <v>6</v>
      </c>
      <c r="J1599">
        <v>51.82</v>
      </c>
      <c r="K1599">
        <v>197.93</v>
      </c>
      <c r="L1599">
        <v>0.88</v>
      </c>
      <c r="M1599">
        <v>39.11</v>
      </c>
      <c r="N1599">
        <v>0.91</v>
      </c>
      <c r="O1599" t="s">
        <v>20</v>
      </c>
      <c r="P1599" t="s">
        <v>21</v>
      </c>
      <c r="Q1599">
        <f t="shared" si="120"/>
        <v>12</v>
      </c>
      <c r="R1599" s="4">
        <f>RANK(N1599,$N$2:N$2800,0)</f>
        <v>1665</v>
      </c>
      <c r="S1599">
        <f t="shared" si="121"/>
        <v>1.6666666666666667</v>
      </c>
      <c r="T1599" t="str">
        <f t="shared" si="122"/>
        <v>Low</v>
      </c>
      <c r="U1599" t="str" cm="1">
        <f t="array" ref="U1599">_xlfn.LET(_xlpm.roles,_xlfn.UNIQUE(D1599:D4397),_xlpm.kills, SUMIF(D1599:D4397,_xlpm.roles,G1599:G4397),INDEX(_xlpm.roles,MATCH(MAX(_xlpm.kills),_xlpm.kills,0)))</f>
        <v>Sniper</v>
      </c>
      <c r="V1599" t="str">
        <f t="shared" si="123"/>
        <v>High Accuracy</v>
      </c>
      <c r="W1599" t="str" cm="1">
        <f t="array" ref="W1599">_xlfn.LET(_xlpm.roles,_xlfn.UNIQUE(D1599:D4397), _xlpm.counts,COUNTIF(D1599:D4397,_xlpm.roles), INDEX(_xlpm.roles,MATCH(MAX(_xlpm.counts),_xlpm.counts,0)))</f>
        <v>Sniper</v>
      </c>
      <c r="X1599" s="2">
        <f t="shared" si="124"/>
        <v>13.057077625570777</v>
      </c>
    </row>
    <row r="1600" spans="1:24" x14ac:dyDescent="0.3">
      <c r="A1600">
        <v>127</v>
      </c>
      <c r="B1600">
        <v>285</v>
      </c>
      <c r="C1600" t="s">
        <v>25</v>
      </c>
      <c r="D1600" t="s">
        <v>36</v>
      </c>
      <c r="E1600" t="s">
        <v>29</v>
      </c>
      <c r="F1600" t="s">
        <v>24</v>
      </c>
      <c r="G1600">
        <v>13</v>
      </c>
      <c r="H1600">
        <v>5</v>
      </c>
      <c r="I1600">
        <v>11</v>
      </c>
      <c r="J1600">
        <v>40.5</v>
      </c>
      <c r="K1600">
        <v>213.72</v>
      </c>
      <c r="L1600">
        <v>0.41</v>
      </c>
      <c r="M1600">
        <v>36.15</v>
      </c>
      <c r="N1600">
        <v>0.97</v>
      </c>
      <c r="O1600" t="s">
        <v>20</v>
      </c>
      <c r="P1600" t="s">
        <v>21</v>
      </c>
      <c r="Q1600">
        <f t="shared" si="120"/>
        <v>7</v>
      </c>
      <c r="R1600" s="4">
        <f>RANK(N1600,$N$2:N$2800,0)</f>
        <v>1243</v>
      </c>
      <c r="S1600">
        <f t="shared" si="121"/>
        <v>1.1818181818181819</v>
      </c>
      <c r="T1600" t="str">
        <f t="shared" si="122"/>
        <v>Low</v>
      </c>
      <c r="U1600" t="str" cm="1">
        <f t="array" ref="U1600">_xlfn.LET(_xlpm.roles,_xlfn.UNIQUE(D1600:D4398),_xlpm.kills, SUMIF(D1600:D4398,_xlpm.roles,G1600:G4398),INDEX(_xlpm.roles,MATCH(MAX(_xlpm.kills),_xlpm.kills,0)))</f>
        <v>Sniper</v>
      </c>
      <c r="V1600" t="str">
        <f t="shared" si="123"/>
        <v>Medium Accuracy</v>
      </c>
      <c r="W1600" t="str" cm="1">
        <f t="array" ref="W1600">_xlfn.LET(_xlpm.roles,_xlfn.UNIQUE(D1600:D4398), _xlpm.counts,COUNTIF(D1600:D4398,_xlpm.roles), INDEX(_xlpm.roles,MATCH(MAX(_xlpm.counts),_xlpm.counts,0)))</f>
        <v>Sniper</v>
      </c>
      <c r="X1600" s="2">
        <f t="shared" si="124"/>
        <v>12.809421841541756</v>
      </c>
    </row>
    <row r="1601" spans="1:24" x14ac:dyDescent="0.3">
      <c r="A1601">
        <v>1342</v>
      </c>
      <c r="B1601">
        <v>285</v>
      </c>
      <c r="C1601" t="s">
        <v>39</v>
      </c>
      <c r="D1601" t="s">
        <v>28</v>
      </c>
      <c r="E1601" t="s">
        <v>23</v>
      </c>
      <c r="F1601" t="s">
        <v>24</v>
      </c>
      <c r="G1601">
        <v>25</v>
      </c>
      <c r="H1601">
        <v>4</v>
      </c>
      <c r="I1601">
        <v>13</v>
      </c>
      <c r="J1601">
        <v>59.71</v>
      </c>
      <c r="K1601">
        <v>252.93</v>
      </c>
      <c r="L1601">
        <v>0.7</v>
      </c>
      <c r="M1601">
        <v>63.86</v>
      </c>
      <c r="N1601">
        <v>0.98</v>
      </c>
      <c r="O1601" t="s">
        <v>20</v>
      </c>
      <c r="P1601" t="s">
        <v>38</v>
      </c>
      <c r="Q1601">
        <f t="shared" si="120"/>
        <v>16</v>
      </c>
      <c r="R1601" s="4">
        <f>RANK(N1601,$N$2:N$2800,0)</f>
        <v>1157</v>
      </c>
      <c r="S1601">
        <f t="shared" si="121"/>
        <v>1.9230769230769231</v>
      </c>
      <c r="T1601" t="str">
        <f t="shared" si="122"/>
        <v>Good</v>
      </c>
      <c r="U1601" t="str" cm="1">
        <f t="array" ref="U1601">_xlfn.LET(_xlpm.roles,_xlfn.UNIQUE(D1601:D4399),_xlpm.kills, SUMIF(D1601:D4399,_xlpm.roles,G1601:G4399),INDEX(_xlpm.roles,MATCH(MAX(_xlpm.kills),_xlpm.kills,0)))</f>
        <v>Sniper</v>
      </c>
      <c r="V1601" t="str">
        <f t="shared" si="123"/>
        <v>High Accuracy</v>
      </c>
      <c r="W1601" t="str" cm="1">
        <f t="array" ref="W1601">_xlfn.LET(_xlpm.roles,_xlfn.UNIQUE(D1601:D4399), _xlpm.counts,COUNTIF(D1601:D4399,_xlpm.roles), INDEX(_xlpm.roles,MATCH(MAX(_xlpm.counts),_xlpm.counts,0)))</f>
        <v>Sniper</v>
      </c>
      <c r="X1601" s="2">
        <f t="shared" si="124"/>
        <v>13.103594080338267</v>
      </c>
    </row>
    <row r="1602" spans="1:24" x14ac:dyDescent="0.3">
      <c r="A1602">
        <v>1397</v>
      </c>
      <c r="B1602">
        <v>285</v>
      </c>
      <c r="C1602" t="s">
        <v>25</v>
      </c>
      <c r="D1602" t="s">
        <v>22</v>
      </c>
      <c r="E1602" t="s">
        <v>33</v>
      </c>
      <c r="F1602" t="s">
        <v>26</v>
      </c>
      <c r="G1602">
        <v>18</v>
      </c>
      <c r="H1602">
        <v>11</v>
      </c>
      <c r="I1602">
        <v>8</v>
      </c>
      <c r="J1602">
        <v>58.46</v>
      </c>
      <c r="K1602">
        <v>210.69</v>
      </c>
      <c r="L1602">
        <v>0.16</v>
      </c>
      <c r="M1602">
        <v>66.63</v>
      </c>
      <c r="N1602">
        <v>1</v>
      </c>
      <c r="O1602" t="s">
        <v>20</v>
      </c>
      <c r="P1602" t="s">
        <v>38</v>
      </c>
      <c r="Q1602">
        <f t="shared" si="120"/>
        <v>21</v>
      </c>
      <c r="R1602" s="4">
        <f>RANK(N1602,$N$2:N$2800,0)</f>
        <v>1</v>
      </c>
      <c r="S1602">
        <f t="shared" si="121"/>
        <v>2.25</v>
      </c>
      <c r="T1602" t="str">
        <f t="shared" si="122"/>
        <v>Good</v>
      </c>
      <c r="U1602" t="str" cm="1">
        <f t="array" ref="U1602">_xlfn.LET(_xlpm.roles,_xlfn.UNIQUE(D1602:D4400),_xlpm.kills, SUMIF(D1602:D4400,_xlpm.roles,G1602:G4400),INDEX(_xlpm.roles,MATCH(MAX(_xlpm.kills),_xlpm.kills,0)))</f>
        <v>Sniper</v>
      </c>
      <c r="V1602" t="str">
        <f t="shared" si="123"/>
        <v>High Accuracy</v>
      </c>
      <c r="W1602" t="str" cm="1">
        <f t="array" ref="W1602">_xlfn.LET(_xlpm.roles,_xlfn.UNIQUE(D1602:D4400), _xlpm.counts,COUNTIF(D1602:D4400,_xlpm.roles), INDEX(_xlpm.roles,MATCH(MAX(_xlpm.counts),_xlpm.counts,0)))</f>
        <v>Sniper</v>
      </c>
      <c r="X1602" s="2">
        <f t="shared" si="124"/>
        <v>12.809421841541756</v>
      </c>
    </row>
    <row r="1603" spans="1:24" x14ac:dyDescent="0.3">
      <c r="A1603">
        <v>1461</v>
      </c>
      <c r="B1603">
        <v>285</v>
      </c>
      <c r="C1603" t="s">
        <v>16</v>
      </c>
      <c r="D1603" t="s">
        <v>31</v>
      </c>
      <c r="E1603" t="s">
        <v>23</v>
      </c>
      <c r="F1603" t="s">
        <v>37</v>
      </c>
      <c r="G1603">
        <v>11</v>
      </c>
      <c r="H1603">
        <v>10</v>
      </c>
      <c r="I1603">
        <v>8</v>
      </c>
      <c r="J1603">
        <v>40.78</v>
      </c>
      <c r="K1603">
        <v>194.58</v>
      </c>
      <c r="L1603">
        <v>0.02</v>
      </c>
      <c r="M1603">
        <v>44.19</v>
      </c>
      <c r="N1603">
        <v>1</v>
      </c>
      <c r="O1603" t="s">
        <v>20</v>
      </c>
      <c r="P1603" t="s">
        <v>21</v>
      </c>
      <c r="Q1603">
        <f t="shared" ref="Q1603:Q1666" si="125">G1603+H1603-I1603</f>
        <v>13</v>
      </c>
      <c r="R1603" s="4">
        <f>RANK(N1603,$N$2:N$2800,0)</f>
        <v>1</v>
      </c>
      <c r="S1603">
        <f t="shared" ref="S1603:S1666" si="126">G1603/I1603</f>
        <v>1.375</v>
      </c>
      <c r="T1603" t="str">
        <f t="shared" ref="T1603:T1666" si="127">IF(Q1603&lt;15,"Low",IF(Q1603&lt;25,"Good","Excellent"))</f>
        <v>Low</v>
      </c>
      <c r="U1603" t="str" cm="1">
        <f t="array" ref="U1603">_xlfn.LET(_xlpm.roles,_xlfn.UNIQUE(D1603:D4401),_xlpm.kills, SUMIF(D1603:D4401,_xlpm.roles,G1603:G4401),INDEX(_xlpm.roles,MATCH(MAX(_xlpm.kills),_xlpm.kills,0)))</f>
        <v>Sniper</v>
      </c>
      <c r="V1603" t="str">
        <f t="shared" ref="V1603:V1666" si="128">IF(J1603&gt;=50,"High Accuracy",IF(J1603&gt;=30,"Medium Accuracy","Low Accuracy"))</f>
        <v>Medium Accuracy</v>
      </c>
      <c r="W1603" t="str" cm="1">
        <f t="array" ref="W1603">_xlfn.LET(_xlpm.roles,_xlfn.UNIQUE(D1603:D4401), _xlpm.counts,COUNTIF(D1603:D4401,_xlpm.roles), INDEX(_xlpm.roles,MATCH(MAX(_xlpm.counts),_xlpm.counts,0)))</f>
        <v>Sniper</v>
      </c>
      <c r="X1603" s="2">
        <f t="shared" ref="X1603:X1666" si="129">AVERAGEIF($C$2:$C$2800,C1603,$Q$2:$Q$2800)</f>
        <v>12.520971302428256</v>
      </c>
    </row>
    <row r="1604" spans="1:24" x14ac:dyDescent="0.3">
      <c r="A1604">
        <v>1984</v>
      </c>
      <c r="B1604">
        <v>285</v>
      </c>
      <c r="C1604" t="s">
        <v>35</v>
      </c>
      <c r="D1604" t="s">
        <v>22</v>
      </c>
      <c r="E1604" t="s">
        <v>23</v>
      </c>
      <c r="F1604" t="s">
        <v>19</v>
      </c>
      <c r="G1604">
        <v>16</v>
      </c>
      <c r="H1604">
        <v>11</v>
      </c>
      <c r="I1604">
        <v>10</v>
      </c>
      <c r="J1604">
        <v>33.24</v>
      </c>
      <c r="K1604">
        <v>240.38</v>
      </c>
      <c r="L1604">
        <v>0.53</v>
      </c>
      <c r="M1604">
        <v>44.32</v>
      </c>
      <c r="N1604">
        <v>1</v>
      </c>
      <c r="O1604" t="s">
        <v>20</v>
      </c>
      <c r="P1604" t="s">
        <v>21</v>
      </c>
      <c r="Q1604">
        <f t="shared" si="125"/>
        <v>17</v>
      </c>
      <c r="R1604" s="4">
        <f>RANK(N1604,$N$2:N$2800,0)</f>
        <v>1</v>
      </c>
      <c r="S1604">
        <f t="shared" si="126"/>
        <v>1.6</v>
      </c>
      <c r="T1604" t="str">
        <f t="shared" si="127"/>
        <v>Good</v>
      </c>
      <c r="U1604" t="str" cm="1">
        <f t="array" ref="U1604">_xlfn.LET(_xlpm.roles,_xlfn.UNIQUE(D1604:D4402),_xlpm.kills, SUMIF(D1604:D4402,_xlpm.roles,G1604:G4402),INDEX(_xlpm.roles,MATCH(MAX(_xlpm.kills),_xlpm.kills,0)))</f>
        <v>Sniper</v>
      </c>
      <c r="V1604" t="str">
        <f t="shared" si="128"/>
        <v>Medium Accuracy</v>
      </c>
      <c r="W1604" t="str" cm="1">
        <f t="array" ref="W1604">_xlfn.LET(_xlpm.roles,_xlfn.UNIQUE(D1604:D4402), _xlpm.counts,COUNTIF(D1604:D4402,_xlpm.roles), INDEX(_xlpm.roles,MATCH(MAX(_xlpm.counts),_xlpm.counts,0)))</f>
        <v>Sniper</v>
      </c>
      <c r="X1604" s="2">
        <f t="shared" si="129"/>
        <v>12.599585062240664</v>
      </c>
    </row>
    <row r="1605" spans="1:24" x14ac:dyDescent="0.3">
      <c r="A1605">
        <v>2284</v>
      </c>
      <c r="B1605">
        <v>285</v>
      </c>
      <c r="C1605" t="s">
        <v>30</v>
      </c>
      <c r="D1605" t="s">
        <v>22</v>
      </c>
      <c r="E1605" t="s">
        <v>29</v>
      </c>
      <c r="F1605" t="s">
        <v>26</v>
      </c>
      <c r="G1605">
        <v>17</v>
      </c>
      <c r="H1605">
        <v>5</v>
      </c>
      <c r="I1605">
        <v>10</v>
      </c>
      <c r="J1605">
        <v>47.76</v>
      </c>
      <c r="K1605">
        <v>242.41</v>
      </c>
      <c r="L1605">
        <v>7.0000000000000007E-2</v>
      </c>
      <c r="M1605">
        <v>52.18</v>
      </c>
      <c r="N1605">
        <v>1</v>
      </c>
      <c r="O1605" t="s">
        <v>20</v>
      </c>
      <c r="P1605" t="s">
        <v>21</v>
      </c>
      <c r="Q1605">
        <f t="shared" si="125"/>
        <v>12</v>
      </c>
      <c r="R1605" s="4">
        <f>RANK(N1605,$N$2:N$2800,0)</f>
        <v>1</v>
      </c>
      <c r="S1605">
        <f t="shared" si="126"/>
        <v>1.7</v>
      </c>
      <c r="T1605" t="str">
        <f t="shared" si="127"/>
        <v>Low</v>
      </c>
      <c r="U1605" t="str" cm="1">
        <f t="array" ref="U1605">_xlfn.LET(_xlpm.roles,_xlfn.UNIQUE(D1605:D4403),_xlpm.kills, SUMIF(D1605:D4403,_xlpm.roles,G1605:G4403),INDEX(_xlpm.roles,MATCH(MAX(_xlpm.kills),_xlpm.kills,0)))</f>
        <v>Sniper</v>
      </c>
      <c r="V1605" t="str">
        <f t="shared" si="128"/>
        <v>Medium Accuracy</v>
      </c>
      <c r="W1605" t="str" cm="1">
        <f t="array" ref="W1605">_xlfn.LET(_xlpm.roles,_xlfn.UNIQUE(D1605:D4403), _xlpm.counts,COUNTIF(D1605:D4403,_xlpm.roles), INDEX(_xlpm.roles,MATCH(MAX(_xlpm.counts),_xlpm.counts,0)))</f>
        <v>Sniper</v>
      </c>
      <c r="X1605" s="2">
        <f t="shared" si="129"/>
        <v>13.135802469135802</v>
      </c>
    </row>
    <row r="1606" spans="1:24" x14ac:dyDescent="0.3">
      <c r="A1606">
        <v>2330</v>
      </c>
      <c r="B1606">
        <v>285</v>
      </c>
      <c r="C1606" t="s">
        <v>30</v>
      </c>
      <c r="D1606" t="s">
        <v>28</v>
      </c>
      <c r="E1606" t="s">
        <v>33</v>
      </c>
      <c r="F1606" t="s">
        <v>24</v>
      </c>
      <c r="G1606">
        <v>7</v>
      </c>
      <c r="H1606">
        <v>5</v>
      </c>
      <c r="I1606">
        <v>6</v>
      </c>
      <c r="J1606">
        <v>45.83</v>
      </c>
      <c r="K1606">
        <v>233.48</v>
      </c>
      <c r="L1606">
        <v>0.22</v>
      </c>
      <c r="M1606">
        <v>33.71</v>
      </c>
      <c r="N1606">
        <v>0.88</v>
      </c>
      <c r="O1606" t="s">
        <v>20</v>
      </c>
      <c r="P1606" t="s">
        <v>21</v>
      </c>
      <c r="Q1606">
        <f t="shared" si="125"/>
        <v>6</v>
      </c>
      <c r="R1606" s="4">
        <f>RANK(N1606,$N$2:N$2800,0)</f>
        <v>1894</v>
      </c>
      <c r="S1606">
        <f t="shared" si="126"/>
        <v>1.1666666666666667</v>
      </c>
      <c r="T1606" t="str">
        <f t="shared" si="127"/>
        <v>Low</v>
      </c>
      <c r="U1606" t="str" cm="1">
        <f t="array" ref="U1606">_xlfn.LET(_xlpm.roles,_xlfn.UNIQUE(D1606:D4404),_xlpm.kills, SUMIF(D1606:D4404,_xlpm.roles,G1606:G4404),INDEX(_xlpm.roles,MATCH(MAX(_xlpm.kills),_xlpm.kills,0)))</f>
        <v>Sniper</v>
      </c>
      <c r="V1606" t="str">
        <f t="shared" si="128"/>
        <v>Medium Accuracy</v>
      </c>
      <c r="W1606" t="str" cm="1">
        <f t="array" ref="W1606">_xlfn.LET(_xlpm.roles,_xlfn.UNIQUE(D1606:D4404), _xlpm.counts,COUNTIF(D1606:D4404,_xlpm.roles), INDEX(_xlpm.roles,MATCH(MAX(_xlpm.counts),_xlpm.counts,0)))</f>
        <v>Sniper</v>
      </c>
      <c r="X1606" s="2">
        <f t="shared" si="129"/>
        <v>13.135802469135802</v>
      </c>
    </row>
    <row r="1607" spans="1:24" x14ac:dyDescent="0.3">
      <c r="A1607">
        <v>610</v>
      </c>
      <c r="B1607">
        <v>286</v>
      </c>
      <c r="C1607" t="s">
        <v>16</v>
      </c>
      <c r="D1607" t="s">
        <v>31</v>
      </c>
      <c r="E1607" t="s">
        <v>23</v>
      </c>
      <c r="F1607" t="s">
        <v>37</v>
      </c>
      <c r="G1607">
        <v>12</v>
      </c>
      <c r="H1607">
        <v>6</v>
      </c>
      <c r="I1607">
        <v>14</v>
      </c>
      <c r="J1607">
        <v>39.479999999999997</v>
      </c>
      <c r="K1607">
        <v>272.52999999999997</v>
      </c>
      <c r="L1607">
        <v>0.18</v>
      </c>
      <c r="M1607">
        <v>33.94</v>
      </c>
      <c r="N1607">
        <v>0.78</v>
      </c>
      <c r="O1607" t="s">
        <v>20</v>
      </c>
      <c r="P1607" t="s">
        <v>21</v>
      </c>
      <c r="Q1607">
        <f t="shared" si="125"/>
        <v>4</v>
      </c>
      <c r="R1607" s="4">
        <f>RANK(N1607,$N$2:N$2800,0)</f>
        <v>2469</v>
      </c>
      <c r="S1607">
        <f t="shared" si="126"/>
        <v>0.8571428571428571</v>
      </c>
      <c r="T1607" t="str">
        <f t="shared" si="127"/>
        <v>Low</v>
      </c>
      <c r="U1607" t="str" cm="1">
        <f t="array" ref="U1607">_xlfn.LET(_xlpm.roles,_xlfn.UNIQUE(D1607:D4405),_xlpm.kills, SUMIF(D1607:D4405,_xlpm.roles,G1607:G4405),INDEX(_xlpm.roles,MATCH(MAX(_xlpm.kills),_xlpm.kills,0)))</f>
        <v>Sniper</v>
      </c>
      <c r="V1607" t="str">
        <f t="shared" si="128"/>
        <v>Medium Accuracy</v>
      </c>
      <c r="W1607" t="str" cm="1">
        <f t="array" ref="W1607">_xlfn.LET(_xlpm.roles,_xlfn.UNIQUE(D1607:D4405), _xlpm.counts,COUNTIF(D1607:D4405,_xlpm.roles), INDEX(_xlpm.roles,MATCH(MAX(_xlpm.counts),_xlpm.counts,0)))</f>
        <v>Sniper</v>
      </c>
      <c r="X1607" s="2">
        <f t="shared" si="129"/>
        <v>12.520971302428256</v>
      </c>
    </row>
    <row r="1608" spans="1:24" x14ac:dyDescent="0.3">
      <c r="A1608">
        <v>967</v>
      </c>
      <c r="B1608">
        <v>286</v>
      </c>
      <c r="C1608" t="s">
        <v>39</v>
      </c>
      <c r="D1608" t="s">
        <v>31</v>
      </c>
      <c r="E1608" t="s">
        <v>18</v>
      </c>
      <c r="F1608" t="s">
        <v>37</v>
      </c>
      <c r="G1608">
        <v>17</v>
      </c>
      <c r="H1608">
        <v>9</v>
      </c>
      <c r="I1608">
        <v>12</v>
      </c>
      <c r="J1608">
        <v>37.86</v>
      </c>
      <c r="K1608">
        <v>178.3</v>
      </c>
      <c r="L1608">
        <v>0.86</v>
      </c>
      <c r="M1608">
        <v>41.33</v>
      </c>
      <c r="N1608">
        <v>0.77</v>
      </c>
      <c r="O1608" t="s">
        <v>20</v>
      </c>
      <c r="P1608" t="s">
        <v>21</v>
      </c>
      <c r="Q1608">
        <f t="shared" si="125"/>
        <v>14</v>
      </c>
      <c r="R1608" s="4">
        <f>RANK(N1608,$N$2:N$2800,0)</f>
        <v>2511</v>
      </c>
      <c r="S1608">
        <f t="shared" si="126"/>
        <v>1.4166666666666667</v>
      </c>
      <c r="T1608" t="str">
        <f t="shared" si="127"/>
        <v>Low</v>
      </c>
      <c r="U1608" t="str" cm="1">
        <f t="array" ref="U1608">_xlfn.LET(_xlpm.roles,_xlfn.UNIQUE(D1608:D4406),_xlpm.kills, SUMIF(D1608:D4406,_xlpm.roles,G1608:G4406),INDEX(_xlpm.roles,MATCH(MAX(_xlpm.kills),_xlpm.kills,0)))</f>
        <v>Sniper</v>
      </c>
      <c r="V1608" t="str">
        <f t="shared" si="128"/>
        <v>Medium Accuracy</v>
      </c>
      <c r="W1608" t="str" cm="1">
        <f t="array" ref="W1608">_xlfn.LET(_xlpm.roles,_xlfn.UNIQUE(D1608:D4406), _xlpm.counts,COUNTIF(D1608:D4406,_xlpm.roles), INDEX(_xlpm.roles,MATCH(MAX(_xlpm.counts),_xlpm.counts,0)))</f>
        <v>Sniper</v>
      </c>
      <c r="X1608" s="2">
        <f t="shared" si="129"/>
        <v>13.103594080338267</v>
      </c>
    </row>
    <row r="1609" spans="1:24" x14ac:dyDescent="0.3">
      <c r="A1609">
        <v>1403</v>
      </c>
      <c r="B1609">
        <v>286</v>
      </c>
      <c r="C1609" t="s">
        <v>27</v>
      </c>
      <c r="D1609" t="s">
        <v>22</v>
      </c>
      <c r="E1609" t="s">
        <v>23</v>
      </c>
      <c r="F1609" t="s">
        <v>34</v>
      </c>
      <c r="G1609">
        <v>16</v>
      </c>
      <c r="H1609">
        <v>10</v>
      </c>
      <c r="I1609">
        <v>6</v>
      </c>
      <c r="J1609">
        <v>44.32</v>
      </c>
      <c r="K1609">
        <v>200.42</v>
      </c>
      <c r="L1609">
        <v>0.25</v>
      </c>
      <c r="M1609">
        <v>55.66</v>
      </c>
      <c r="N1609">
        <v>1</v>
      </c>
      <c r="O1609" t="s">
        <v>20</v>
      </c>
      <c r="P1609" t="s">
        <v>21</v>
      </c>
      <c r="Q1609">
        <f t="shared" si="125"/>
        <v>20</v>
      </c>
      <c r="R1609" s="4">
        <f>RANK(N1609,$N$2:N$2800,0)</f>
        <v>1</v>
      </c>
      <c r="S1609">
        <f t="shared" si="126"/>
        <v>2.6666666666666665</v>
      </c>
      <c r="T1609" t="str">
        <f t="shared" si="127"/>
        <v>Good</v>
      </c>
      <c r="U1609" t="str" cm="1">
        <f t="array" ref="U1609">_xlfn.LET(_xlpm.roles,_xlfn.UNIQUE(D1609:D4407),_xlpm.kills, SUMIF(D1609:D4407,_xlpm.roles,G1609:G4407),INDEX(_xlpm.roles,MATCH(MAX(_xlpm.kills),_xlpm.kills,0)))</f>
        <v>Sniper</v>
      </c>
      <c r="V1609" t="str">
        <f t="shared" si="128"/>
        <v>Medium Accuracy</v>
      </c>
      <c r="W1609" t="str" cm="1">
        <f t="array" ref="W1609">_xlfn.LET(_xlpm.roles,_xlfn.UNIQUE(D1609:D4407), _xlpm.counts,COUNTIF(D1609:D4407,_xlpm.roles), INDEX(_xlpm.roles,MATCH(MAX(_xlpm.counts),_xlpm.counts,0)))</f>
        <v>Sniper</v>
      </c>
      <c r="X1609" s="2">
        <f t="shared" si="129"/>
        <v>13.057077625570777</v>
      </c>
    </row>
    <row r="1610" spans="1:24" x14ac:dyDescent="0.3">
      <c r="A1610">
        <v>1524</v>
      </c>
      <c r="B1610">
        <v>286</v>
      </c>
      <c r="C1610" t="s">
        <v>39</v>
      </c>
      <c r="D1610" t="s">
        <v>31</v>
      </c>
      <c r="E1610" t="s">
        <v>18</v>
      </c>
      <c r="F1610" t="s">
        <v>24</v>
      </c>
      <c r="G1610">
        <v>16</v>
      </c>
      <c r="H1610">
        <v>10</v>
      </c>
      <c r="I1610">
        <v>15</v>
      </c>
      <c r="J1610">
        <v>36.82</v>
      </c>
      <c r="K1610">
        <v>249.09</v>
      </c>
      <c r="L1610">
        <v>0.7</v>
      </c>
      <c r="M1610">
        <v>38.409999999999997</v>
      </c>
      <c r="N1610">
        <v>0.99</v>
      </c>
      <c r="O1610" t="s">
        <v>20</v>
      </c>
      <c r="P1610" t="s">
        <v>21</v>
      </c>
      <c r="Q1610">
        <f t="shared" si="125"/>
        <v>11</v>
      </c>
      <c r="R1610" s="4">
        <f>RANK(N1610,$N$2:N$2800,0)</f>
        <v>1080</v>
      </c>
      <c r="S1610">
        <f t="shared" si="126"/>
        <v>1.0666666666666667</v>
      </c>
      <c r="T1610" t="str">
        <f t="shared" si="127"/>
        <v>Low</v>
      </c>
      <c r="U1610" t="str" cm="1">
        <f t="array" ref="U1610">_xlfn.LET(_xlpm.roles,_xlfn.UNIQUE(D1610:D4408),_xlpm.kills, SUMIF(D1610:D4408,_xlpm.roles,G1610:G4408),INDEX(_xlpm.roles,MATCH(MAX(_xlpm.kills),_xlpm.kills,0)))</f>
        <v>Sniper</v>
      </c>
      <c r="V1610" t="str">
        <f t="shared" si="128"/>
        <v>Medium Accuracy</v>
      </c>
      <c r="W1610" t="str" cm="1">
        <f t="array" ref="W1610">_xlfn.LET(_xlpm.roles,_xlfn.UNIQUE(D1610:D4408), _xlpm.counts,COUNTIF(D1610:D4408,_xlpm.roles), INDEX(_xlpm.roles,MATCH(MAX(_xlpm.counts),_xlpm.counts,0)))</f>
        <v>Sniper</v>
      </c>
      <c r="X1610" s="2">
        <f t="shared" si="129"/>
        <v>13.103594080338267</v>
      </c>
    </row>
    <row r="1611" spans="1:24" x14ac:dyDescent="0.3">
      <c r="A1611">
        <v>1653</v>
      </c>
      <c r="B1611">
        <v>286</v>
      </c>
      <c r="C1611" t="s">
        <v>27</v>
      </c>
      <c r="D1611" t="s">
        <v>31</v>
      </c>
      <c r="E1611" t="s">
        <v>33</v>
      </c>
      <c r="F1611" t="s">
        <v>37</v>
      </c>
      <c r="G1611">
        <v>19</v>
      </c>
      <c r="H1611">
        <v>7</v>
      </c>
      <c r="I1611">
        <v>10</v>
      </c>
      <c r="J1611">
        <v>32.75</v>
      </c>
      <c r="K1611">
        <v>219.76</v>
      </c>
      <c r="L1611">
        <v>0.81</v>
      </c>
      <c r="M1611">
        <v>43.27</v>
      </c>
      <c r="N1611">
        <v>0.97</v>
      </c>
      <c r="O1611" t="s">
        <v>20</v>
      </c>
      <c r="P1611" t="s">
        <v>21</v>
      </c>
      <c r="Q1611">
        <f t="shared" si="125"/>
        <v>16</v>
      </c>
      <c r="R1611" s="4">
        <f>RANK(N1611,$N$2:N$2800,0)</f>
        <v>1243</v>
      </c>
      <c r="S1611">
        <f t="shared" si="126"/>
        <v>1.9</v>
      </c>
      <c r="T1611" t="str">
        <f t="shared" si="127"/>
        <v>Good</v>
      </c>
      <c r="U1611" t="str" cm="1">
        <f t="array" ref="U1611">_xlfn.LET(_xlpm.roles,_xlfn.UNIQUE(D1611:D4409),_xlpm.kills, SUMIF(D1611:D4409,_xlpm.roles,G1611:G4409),INDEX(_xlpm.roles,MATCH(MAX(_xlpm.kills),_xlpm.kills,0)))</f>
        <v>Entry Fragger</v>
      </c>
      <c r="V1611" t="str">
        <f t="shared" si="128"/>
        <v>Medium Accuracy</v>
      </c>
      <c r="W1611" t="str" cm="1">
        <f t="array" ref="W1611">_xlfn.LET(_xlpm.roles,_xlfn.UNIQUE(D1611:D4409), _xlpm.counts,COUNTIF(D1611:D4409,_xlpm.roles), INDEX(_xlpm.roles,MATCH(MAX(_xlpm.counts),_xlpm.counts,0)))</f>
        <v>Sniper</v>
      </c>
      <c r="X1611" s="2">
        <f t="shared" si="129"/>
        <v>13.057077625570777</v>
      </c>
    </row>
    <row r="1612" spans="1:24" x14ac:dyDescent="0.3">
      <c r="A1612">
        <v>1833</v>
      </c>
      <c r="B1612">
        <v>286</v>
      </c>
      <c r="C1612" t="s">
        <v>39</v>
      </c>
      <c r="D1612" t="s">
        <v>22</v>
      </c>
      <c r="E1612" t="s">
        <v>29</v>
      </c>
      <c r="F1612" t="s">
        <v>26</v>
      </c>
      <c r="G1612">
        <v>17</v>
      </c>
      <c r="H1612">
        <v>9</v>
      </c>
      <c r="I1612">
        <v>6</v>
      </c>
      <c r="J1612">
        <v>26.78</v>
      </c>
      <c r="K1612">
        <v>216.9</v>
      </c>
      <c r="L1612">
        <v>0.92</v>
      </c>
      <c r="M1612">
        <v>41.19</v>
      </c>
      <c r="N1612">
        <v>0.96</v>
      </c>
      <c r="O1612" t="s">
        <v>20</v>
      </c>
      <c r="P1612" t="s">
        <v>21</v>
      </c>
      <c r="Q1612">
        <f t="shared" si="125"/>
        <v>20</v>
      </c>
      <c r="R1612" s="4">
        <f>RANK(N1612,$N$2:N$2800,0)</f>
        <v>1301</v>
      </c>
      <c r="S1612">
        <f t="shared" si="126"/>
        <v>2.8333333333333335</v>
      </c>
      <c r="T1612" t="str">
        <f t="shared" si="127"/>
        <v>Good</v>
      </c>
      <c r="U1612" t="str" cm="1">
        <f t="array" ref="U1612">_xlfn.LET(_xlpm.roles,_xlfn.UNIQUE(D1612:D4410),_xlpm.kills, SUMIF(D1612:D4410,_xlpm.roles,G1612:G4410),INDEX(_xlpm.roles,MATCH(MAX(_xlpm.kills),_xlpm.kills,0)))</f>
        <v>Entry Fragger</v>
      </c>
      <c r="V1612" t="str">
        <f t="shared" si="128"/>
        <v>Low Accuracy</v>
      </c>
      <c r="W1612" t="str" cm="1">
        <f t="array" ref="W1612">_xlfn.LET(_xlpm.roles,_xlfn.UNIQUE(D1612:D4410), _xlpm.counts,COUNTIF(D1612:D4410,_xlpm.roles), INDEX(_xlpm.roles,MATCH(MAX(_xlpm.counts),_xlpm.counts,0)))</f>
        <v>Sniper</v>
      </c>
      <c r="X1612" s="2">
        <f t="shared" si="129"/>
        <v>13.103594080338267</v>
      </c>
    </row>
    <row r="1613" spans="1:24" x14ac:dyDescent="0.3">
      <c r="A1613">
        <v>2219</v>
      </c>
      <c r="B1613">
        <v>286</v>
      </c>
      <c r="C1613" t="s">
        <v>30</v>
      </c>
      <c r="D1613" t="s">
        <v>17</v>
      </c>
      <c r="E1613" t="s">
        <v>33</v>
      </c>
      <c r="F1613" t="s">
        <v>34</v>
      </c>
      <c r="G1613">
        <v>15</v>
      </c>
      <c r="H1613">
        <v>8</v>
      </c>
      <c r="I1613">
        <v>6</v>
      </c>
      <c r="J1613">
        <v>60.15</v>
      </c>
      <c r="K1613">
        <v>235.65</v>
      </c>
      <c r="L1613">
        <v>0.31</v>
      </c>
      <c r="M1613">
        <v>58.98</v>
      </c>
      <c r="N1613">
        <v>0.89</v>
      </c>
      <c r="O1613" t="s">
        <v>20</v>
      </c>
      <c r="P1613" t="s">
        <v>21</v>
      </c>
      <c r="Q1613">
        <f t="shared" si="125"/>
        <v>17</v>
      </c>
      <c r="R1613" s="4">
        <f>RANK(N1613,$N$2:N$2800,0)</f>
        <v>1815</v>
      </c>
      <c r="S1613">
        <f t="shared" si="126"/>
        <v>2.5</v>
      </c>
      <c r="T1613" t="str">
        <f t="shared" si="127"/>
        <v>Good</v>
      </c>
      <c r="U1613" t="str" cm="1">
        <f t="array" ref="U1613">_xlfn.LET(_xlpm.roles,_xlfn.UNIQUE(D1613:D4411),_xlpm.kills, SUMIF(D1613:D4411,_xlpm.roles,G1613:G4411),INDEX(_xlpm.roles,MATCH(MAX(_xlpm.kills),_xlpm.kills,0)))</f>
        <v>Entry Fragger</v>
      </c>
      <c r="V1613" t="str">
        <f t="shared" si="128"/>
        <v>High Accuracy</v>
      </c>
      <c r="W1613" t="str" cm="1">
        <f t="array" ref="W1613">_xlfn.LET(_xlpm.roles,_xlfn.UNIQUE(D1613:D4411), _xlpm.counts,COUNTIF(D1613:D4411,_xlpm.roles), INDEX(_xlpm.roles,MATCH(MAX(_xlpm.counts),_xlpm.counts,0)))</f>
        <v>Sniper</v>
      </c>
      <c r="X1613" s="2">
        <f t="shared" si="129"/>
        <v>13.135802469135802</v>
      </c>
    </row>
    <row r="1614" spans="1:24" x14ac:dyDescent="0.3">
      <c r="A1614">
        <v>171</v>
      </c>
      <c r="B1614">
        <v>287</v>
      </c>
      <c r="C1614" t="s">
        <v>25</v>
      </c>
      <c r="D1614" t="s">
        <v>28</v>
      </c>
      <c r="E1614" t="s">
        <v>32</v>
      </c>
      <c r="F1614" t="s">
        <v>37</v>
      </c>
      <c r="G1614">
        <v>8</v>
      </c>
      <c r="H1614">
        <v>5</v>
      </c>
      <c r="I1614">
        <v>10</v>
      </c>
      <c r="J1614">
        <v>33.979999999999997</v>
      </c>
      <c r="K1614">
        <v>203.06</v>
      </c>
      <c r="L1614">
        <v>0.22</v>
      </c>
      <c r="M1614">
        <v>25.79</v>
      </c>
      <c r="N1614">
        <v>0.77</v>
      </c>
      <c r="O1614" t="s">
        <v>20</v>
      </c>
      <c r="P1614" t="s">
        <v>21</v>
      </c>
      <c r="Q1614">
        <f t="shared" si="125"/>
        <v>3</v>
      </c>
      <c r="R1614" s="4">
        <f>RANK(N1614,$N$2:N$2800,0)</f>
        <v>2511</v>
      </c>
      <c r="S1614">
        <f t="shared" si="126"/>
        <v>0.8</v>
      </c>
      <c r="T1614" t="str">
        <f t="shared" si="127"/>
        <v>Low</v>
      </c>
      <c r="U1614" t="str" cm="1">
        <f t="array" ref="U1614">_xlfn.LET(_xlpm.roles,_xlfn.UNIQUE(D1614:D4412),_xlpm.kills, SUMIF(D1614:D4412,_xlpm.roles,G1614:G4412),INDEX(_xlpm.roles,MATCH(MAX(_xlpm.kills),_xlpm.kills,0)))</f>
        <v>Entry Fragger</v>
      </c>
      <c r="V1614" t="str">
        <f t="shared" si="128"/>
        <v>Medium Accuracy</v>
      </c>
      <c r="W1614" t="str" cm="1">
        <f t="array" ref="W1614">_xlfn.LET(_xlpm.roles,_xlfn.UNIQUE(D1614:D4412), _xlpm.counts,COUNTIF(D1614:D4412,_xlpm.roles), INDEX(_xlpm.roles,MATCH(MAX(_xlpm.counts),_xlpm.counts,0)))</f>
        <v>Sniper</v>
      </c>
      <c r="X1614" s="2">
        <f t="shared" si="129"/>
        <v>12.809421841541756</v>
      </c>
    </row>
    <row r="1615" spans="1:24" x14ac:dyDescent="0.3">
      <c r="A1615">
        <v>420</v>
      </c>
      <c r="B1615">
        <v>287</v>
      </c>
      <c r="C1615" t="s">
        <v>25</v>
      </c>
      <c r="D1615" t="s">
        <v>22</v>
      </c>
      <c r="E1615" t="s">
        <v>33</v>
      </c>
      <c r="F1615" t="s">
        <v>37</v>
      </c>
      <c r="G1615">
        <v>7</v>
      </c>
      <c r="H1615">
        <v>5</v>
      </c>
      <c r="I1615">
        <v>9</v>
      </c>
      <c r="J1615">
        <v>42.13</v>
      </c>
      <c r="K1615">
        <v>288.76</v>
      </c>
      <c r="L1615">
        <v>0.65</v>
      </c>
      <c r="M1615">
        <v>24.57</v>
      </c>
      <c r="N1615">
        <v>0.93</v>
      </c>
      <c r="O1615" t="s">
        <v>20</v>
      </c>
      <c r="P1615" t="s">
        <v>21</v>
      </c>
      <c r="Q1615">
        <f t="shared" si="125"/>
        <v>3</v>
      </c>
      <c r="R1615" s="4">
        <f>RANK(N1615,$N$2:N$2800,0)</f>
        <v>1505</v>
      </c>
      <c r="S1615">
        <f t="shared" si="126"/>
        <v>0.77777777777777779</v>
      </c>
      <c r="T1615" t="str">
        <f t="shared" si="127"/>
        <v>Low</v>
      </c>
      <c r="U1615" t="str" cm="1">
        <f t="array" ref="U1615">_xlfn.LET(_xlpm.roles,_xlfn.UNIQUE(D1615:D4413),_xlpm.kills, SUMIF(D1615:D4413,_xlpm.roles,G1615:G4413),INDEX(_xlpm.roles,MATCH(MAX(_xlpm.kills),_xlpm.kills,0)))</f>
        <v>Entry Fragger</v>
      </c>
      <c r="V1615" t="str">
        <f t="shared" si="128"/>
        <v>Medium Accuracy</v>
      </c>
      <c r="W1615" t="str" cm="1">
        <f t="array" ref="W1615">_xlfn.LET(_xlpm.roles,_xlfn.UNIQUE(D1615:D4413), _xlpm.counts,COUNTIF(D1615:D4413,_xlpm.roles), INDEX(_xlpm.roles,MATCH(MAX(_xlpm.counts),_xlpm.counts,0)))</f>
        <v>Sniper</v>
      </c>
      <c r="X1615" s="2">
        <f t="shared" si="129"/>
        <v>12.809421841541756</v>
      </c>
    </row>
    <row r="1616" spans="1:24" x14ac:dyDescent="0.3">
      <c r="A1616">
        <v>504</v>
      </c>
      <c r="B1616">
        <v>287</v>
      </c>
      <c r="C1616" t="s">
        <v>39</v>
      </c>
      <c r="D1616" t="s">
        <v>28</v>
      </c>
      <c r="E1616" t="s">
        <v>29</v>
      </c>
      <c r="F1616" t="s">
        <v>37</v>
      </c>
      <c r="G1616">
        <v>17</v>
      </c>
      <c r="H1616">
        <v>17</v>
      </c>
      <c r="I1616">
        <v>5</v>
      </c>
      <c r="J1616">
        <v>55.2</v>
      </c>
      <c r="K1616">
        <v>256.87</v>
      </c>
      <c r="L1616">
        <v>0.9</v>
      </c>
      <c r="M1616">
        <v>64.599999999999994</v>
      </c>
      <c r="N1616">
        <v>1</v>
      </c>
      <c r="O1616" t="s">
        <v>20</v>
      </c>
      <c r="P1616" t="s">
        <v>38</v>
      </c>
      <c r="Q1616">
        <f t="shared" si="125"/>
        <v>29</v>
      </c>
      <c r="R1616" s="4">
        <f>RANK(N1616,$N$2:N$2800,0)</f>
        <v>1</v>
      </c>
      <c r="S1616">
        <f t="shared" si="126"/>
        <v>3.4</v>
      </c>
      <c r="T1616" t="str">
        <f t="shared" si="127"/>
        <v>Excellent</v>
      </c>
      <c r="U1616" t="str" cm="1">
        <f t="array" ref="U1616">_xlfn.LET(_xlpm.roles,_xlfn.UNIQUE(D1616:D4414),_xlpm.kills, SUMIF(D1616:D4414,_xlpm.roles,G1616:G4414),INDEX(_xlpm.roles,MATCH(MAX(_xlpm.kills),_xlpm.kills,0)))</f>
        <v>Entry Fragger</v>
      </c>
      <c r="V1616" t="str">
        <f t="shared" si="128"/>
        <v>High Accuracy</v>
      </c>
      <c r="W1616" t="str" cm="1">
        <f t="array" ref="W1616">_xlfn.LET(_xlpm.roles,_xlfn.UNIQUE(D1616:D4414), _xlpm.counts,COUNTIF(D1616:D4414,_xlpm.roles), INDEX(_xlpm.roles,MATCH(MAX(_xlpm.counts),_xlpm.counts,0)))</f>
        <v>Sniper</v>
      </c>
      <c r="X1616" s="2">
        <f t="shared" si="129"/>
        <v>13.103594080338267</v>
      </c>
    </row>
    <row r="1617" spans="1:24" x14ac:dyDescent="0.3">
      <c r="A1617">
        <v>1594</v>
      </c>
      <c r="B1617">
        <v>287</v>
      </c>
      <c r="C1617" t="s">
        <v>39</v>
      </c>
      <c r="D1617" t="s">
        <v>28</v>
      </c>
      <c r="E1617" t="s">
        <v>23</v>
      </c>
      <c r="F1617" t="s">
        <v>37</v>
      </c>
      <c r="G1617">
        <v>17</v>
      </c>
      <c r="H1617">
        <v>9</v>
      </c>
      <c r="I1617">
        <v>9</v>
      </c>
      <c r="J1617">
        <v>41.25</v>
      </c>
      <c r="K1617">
        <v>169.04</v>
      </c>
      <c r="L1617">
        <v>0.28999999999999998</v>
      </c>
      <c r="M1617">
        <v>51.73</v>
      </c>
      <c r="N1617">
        <v>0.96</v>
      </c>
      <c r="O1617" t="s">
        <v>20</v>
      </c>
      <c r="P1617" t="s">
        <v>21</v>
      </c>
      <c r="Q1617">
        <f t="shared" si="125"/>
        <v>17</v>
      </c>
      <c r="R1617" s="4">
        <f>RANK(N1617,$N$2:N$2800,0)</f>
        <v>1301</v>
      </c>
      <c r="S1617">
        <f t="shared" si="126"/>
        <v>1.8888888888888888</v>
      </c>
      <c r="T1617" t="str">
        <f t="shared" si="127"/>
        <v>Good</v>
      </c>
      <c r="U1617" t="str" cm="1">
        <f t="array" ref="U1617">_xlfn.LET(_xlpm.roles,_xlfn.UNIQUE(D1617:D4415),_xlpm.kills, SUMIF(D1617:D4415,_xlpm.roles,G1617:G4415),INDEX(_xlpm.roles,MATCH(MAX(_xlpm.kills),_xlpm.kills,0)))</f>
        <v>Entry Fragger</v>
      </c>
      <c r="V1617" t="str">
        <f t="shared" si="128"/>
        <v>Medium Accuracy</v>
      </c>
      <c r="W1617" t="str" cm="1">
        <f t="array" ref="W1617">_xlfn.LET(_xlpm.roles,_xlfn.UNIQUE(D1617:D4415), _xlpm.counts,COUNTIF(D1617:D4415,_xlpm.roles), INDEX(_xlpm.roles,MATCH(MAX(_xlpm.counts),_xlpm.counts,0)))</f>
        <v>Sniper</v>
      </c>
      <c r="X1617" s="2">
        <f t="shared" si="129"/>
        <v>13.103594080338267</v>
      </c>
    </row>
    <row r="1618" spans="1:24" x14ac:dyDescent="0.3">
      <c r="A1618">
        <v>1643</v>
      </c>
      <c r="B1618">
        <v>287</v>
      </c>
      <c r="C1618" t="s">
        <v>35</v>
      </c>
      <c r="D1618" t="s">
        <v>22</v>
      </c>
      <c r="E1618" t="s">
        <v>32</v>
      </c>
      <c r="F1618" t="s">
        <v>34</v>
      </c>
      <c r="G1618">
        <v>13</v>
      </c>
      <c r="H1618">
        <v>7</v>
      </c>
      <c r="I1618">
        <v>9</v>
      </c>
      <c r="J1618">
        <v>36.68</v>
      </c>
      <c r="K1618">
        <v>228.9</v>
      </c>
      <c r="L1618">
        <v>0.94</v>
      </c>
      <c r="M1618">
        <v>32.94</v>
      </c>
      <c r="N1618">
        <v>0.79</v>
      </c>
      <c r="O1618" t="s">
        <v>20</v>
      </c>
      <c r="P1618" t="s">
        <v>21</v>
      </c>
      <c r="Q1618">
        <f t="shared" si="125"/>
        <v>11</v>
      </c>
      <c r="R1618" s="4">
        <f>RANK(N1618,$N$2:N$2800,0)</f>
        <v>2436</v>
      </c>
      <c r="S1618">
        <f t="shared" si="126"/>
        <v>1.4444444444444444</v>
      </c>
      <c r="T1618" t="str">
        <f t="shared" si="127"/>
        <v>Low</v>
      </c>
      <c r="U1618" t="str" cm="1">
        <f t="array" ref="U1618">_xlfn.LET(_xlpm.roles,_xlfn.UNIQUE(D1618:D4416),_xlpm.kills, SUMIF(D1618:D4416,_xlpm.roles,G1618:G4416),INDEX(_xlpm.roles,MATCH(MAX(_xlpm.kills),_xlpm.kills,0)))</f>
        <v>Entry Fragger</v>
      </c>
      <c r="V1618" t="str">
        <f t="shared" si="128"/>
        <v>Medium Accuracy</v>
      </c>
      <c r="W1618" t="str" cm="1">
        <f t="array" ref="W1618">_xlfn.LET(_xlpm.roles,_xlfn.UNIQUE(D1618:D4416), _xlpm.counts,COUNTIF(D1618:D4416,_xlpm.roles), INDEX(_xlpm.roles,MATCH(MAX(_xlpm.counts),_xlpm.counts,0)))</f>
        <v>Sniper</v>
      </c>
      <c r="X1618" s="2">
        <f t="shared" si="129"/>
        <v>12.599585062240664</v>
      </c>
    </row>
    <row r="1619" spans="1:24" x14ac:dyDescent="0.3">
      <c r="A1619">
        <v>2714</v>
      </c>
      <c r="B1619">
        <v>287</v>
      </c>
      <c r="C1619" t="s">
        <v>25</v>
      </c>
      <c r="D1619" t="s">
        <v>36</v>
      </c>
      <c r="E1619" t="s">
        <v>32</v>
      </c>
      <c r="F1619" t="s">
        <v>37</v>
      </c>
      <c r="G1619">
        <v>20</v>
      </c>
      <c r="H1619">
        <v>9</v>
      </c>
      <c r="I1619">
        <v>5</v>
      </c>
      <c r="J1619">
        <v>56.25</v>
      </c>
      <c r="K1619">
        <v>210.7</v>
      </c>
      <c r="L1619">
        <v>0.87</v>
      </c>
      <c r="M1619">
        <v>63.42</v>
      </c>
      <c r="N1619">
        <v>0.95</v>
      </c>
      <c r="O1619" t="s">
        <v>20</v>
      </c>
      <c r="P1619" t="s">
        <v>38</v>
      </c>
      <c r="Q1619">
        <f t="shared" si="125"/>
        <v>24</v>
      </c>
      <c r="R1619" s="4">
        <f>RANK(N1619,$N$2:N$2800,0)</f>
        <v>1367</v>
      </c>
      <c r="S1619">
        <f t="shared" si="126"/>
        <v>4</v>
      </c>
      <c r="T1619" t="str">
        <f t="shared" si="127"/>
        <v>Good</v>
      </c>
      <c r="U1619" t="str" cm="1">
        <f t="array" ref="U1619">_xlfn.LET(_xlpm.roles,_xlfn.UNIQUE(D1619:D4417),_xlpm.kills, SUMIF(D1619:D4417,_xlpm.roles,G1619:G4417),INDEX(_xlpm.roles,MATCH(MAX(_xlpm.kills),_xlpm.kills,0)))</f>
        <v>Entry Fragger</v>
      </c>
      <c r="V1619" t="str">
        <f t="shared" si="128"/>
        <v>High Accuracy</v>
      </c>
      <c r="W1619" t="str" cm="1">
        <f t="array" ref="W1619">_xlfn.LET(_xlpm.roles,_xlfn.UNIQUE(D1619:D4417), _xlpm.counts,COUNTIF(D1619:D4417,_xlpm.roles), INDEX(_xlpm.roles,MATCH(MAX(_xlpm.counts),_xlpm.counts,0)))</f>
        <v>Sniper</v>
      </c>
      <c r="X1619" s="2">
        <f t="shared" si="129"/>
        <v>12.809421841541756</v>
      </c>
    </row>
    <row r="1620" spans="1:24" x14ac:dyDescent="0.3">
      <c r="A1620">
        <v>1100</v>
      </c>
      <c r="B1620">
        <v>288</v>
      </c>
      <c r="C1620" t="s">
        <v>16</v>
      </c>
      <c r="D1620" t="s">
        <v>28</v>
      </c>
      <c r="E1620" t="s">
        <v>18</v>
      </c>
      <c r="F1620" t="s">
        <v>24</v>
      </c>
      <c r="G1620">
        <v>13</v>
      </c>
      <c r="H1620">
        <v>8</v>
      </c>
      <c r="I1620">
        <v>15</v>
      </c>
      <c r="J1620">
        <v>45.29</v>
      </c>
      <c r="K1620">
        <v>212.79</v>
      </c>
      <c r="L1620">
        <v>0.83</v>
      </c>
      <c r="M1620">
        <v>33.340000000000003</v>
      </c>
      <c r="N1620">
        <v>0.93</v>
      </c>
      <c r="O1620" t="s">
        <v>20</v>
      </c>
      <c r="P1620" t="s">
        <v>21</v>
      </c>
      <c r="Q1620">
        <f t="shared" si="125"/>
        <v>6</v>
      </c>
      <c r="R1620" s="4">
        <f>RANK(N1620,$N$2:N$2800,0)</f>
        <v>1505</v>
      </c>
      <c r="S1620">
        <f t="shared" si="126"/>
        <v>0.8666666666666667</v>
      </c>
      <c r="T1620" t="str">
        <f t="shared" si="127"/>
        <v>Low</v>
      </c>
      <c r="U1620" t="str" cm="1">
        <f t="array" ref="U1620">_xlfn.LET(_xlpm.roles,_xlfn.UNIQUE(D1620:D4418),_xlpm.kills, SUMIF(D1620:D4418,_xlpm.roles,G1620:G4418),INDEX(_xlpm.roles,MATCH(MAX(_xlpm.kills),_xlpm.kills,0)))</f>
        <v>Entry Fragger</v>
      </c>
      <c r="V1620" t="str">
        <f t="shared" si="128"/>
        <v>Medium Accuracy</v>
      </c>
      <c r="W1620" t="str" cm="1">
        <f t="array" ref="W1620">_xlfn.LET(_xlpm.roles,_xlfn.UNIQUE(D1620:D4418), _xlpm.counts,COUNTIF(D1620:D4418,_xlpm.roles), INDEX(_xlpm.roles,MATCH(MAX(_xlpm.counts),_xlpm.counts,0)))</f>
        <v>Sniper</v>
      </c>
      <c r="X1620" s="2">
        <f t="shared" si="129"/>
        <v>12.520971302428256</v>
      </c>
    </row>
    <row r="1621" spans="1:24" x14ac:dyDescent="0.3">
      <c r="A1621">
        <v>1769</v>
      </c>
      <c r="B1621">
        <v>288</v>
      </c>
      <c r="C1621" t="s">
        <v>27</v>
      </c>
      <c r="D1621" t="s">
        <v>17</v>
      </c>
      <c r="E1621" t="s">
        <v>32</v>
      </c>
      <c r="F1621" t="s">
        <v>37</v>
      </c>
      <c r="G1621">
        <v>13</v>
      </c>
      <c r="H1621">
        <v>10</v>
      </c>
      <c r="I1621">
        <v>14</v>
      </c>
      <c r="J1621">
        <v>40.11</v>
      </c>
      <c r="K1621">
        <v>268.58</v>
      </c>
      <c r="L1621">
        <v>0.68</v>
      </c>
      <c r="M1621">
        <v>35.25</v>
      </c>
      <c r="N1621">
        <v>0.75</v>
      </c>
      <c r="O1621" t="s">
        <v>20</v>
      </c>
      <c r="P1621" t="s">
        <v>21</v>
      </c>
      <c r="Q1621">
        <f t="shared" si="125"/>
        <v>9</v>
      </c>
      <c r="R1621" s="4">
        <f>RANK(N1621,$N$2:N$2800,0)</f>
        <v>2586</v>
      </c>
      <c r="S1621">
        <f t="shared" si="126"/>
        <v>0.9285714285714286</v>
      </c>
      <c r="T1621" t="str">
        <f t="shared" si="127"/>
        <v>Low</v>
      </c>
      <c r="U1621" t="str" cm="1">
        <f t="array" ref="U1621">_xlfn.LET(_xlpm.roles,_xlfn.UNIQUE(D1621:D4419),_xlpm.kills, SUMIF(D1621:D4419,_xlpm.roles,G1621:G4419),INDEX(_xlpm.roles,MATCH(MAX(_xlpm.kills),_xlpm.kills,0)))</f>
        <v>Entry Fragger</v>
      </c>
      <c r="V1621" t="str">
        <f t="shared" si="128"/>
        <v>Medium Accuracy</v>
      </c>
      <c r="W1621" t="str" cm="1">
        <f t="array" ref="W1621">_xlfn.LET(_xlpm.roles,_xlfn.UNIQUE(D1621:D4419), _xlpm.counts,COUNTIF(D1621:D4419,_xlpm.roles), INDEX(_xlpm.roles,MATCH(MAX(_xlpm.counts),_xlpm.counts,0)))</f>
        <v>Sniper</v>
      </c>
      <c r="X1621" s="2">
        <f t="shared" si="129"/>
        <v>13.057077625570777</v>
      </c>
    </row>
    <row r="1622" spans="1:24" x14ac:dyDescent="0.3">
      <c r="A1622">
        <v>1911</v>
      </c>
      <c r="B1622">
        <v>288</v>
      </c>
      <c r="C1622" t="s">
        <v>25</v>
      </c>
      <c r="D1622" t="s">
        <v>36</v>
      </c>
      <c r="E1622" t="s">
        <v>33</v>
      </c>
      <c r="F1622" t="s">
        <v>24</v>
      </c>
      <c r="G1622">
        <v>21</v>
      </c>
      <c r="H1622">
        <v>11</v>
      </c>
      <c r="I1622">
        <v>6</v>
      </c>
      <c r="J1622">
        <v>57.79</v>
      </c>
      <c r="K1622">
        <v>227.29</v>
      </c>
      <c r="L1622">
        <v>0.38</v>
      </c>
      <c r="M1622">
        <v>72.09</v>
      </c>
      <c r="N1622">
        <v>1</v>
      </c>
      <c r="O1622" t="s">
        <v>20</v>
      </c>
      <c r="P1622" t="s">
        <v>38</v>
      </c>
      <c r="Q1622">
        <f t="shared" si="125"/>
        <v>26</v>
      </c>
      <c r="R1622" s="4">
        <f>RANK(N1622,$N$2:N$2800,0)</f>
        <v>1</v>
      </c>
      <c r="S1622">
        <f t="shared" si="126"/>
        <v>3.5</v>
      </c>
      <c r="T1622" t="str">
        <f t="shared" si="127"/>
        <v>Excellent</v>
      </c>
      <c r="U1622" t="str" cm="1">
        <f t="array" ref="U1622">_xlfn.LET(_xlpm.roles,_xlfn.UNIQUE(D1622:D4420),_xlpm.kills, SUMIF(D1622:D4420,_xlpm.roles,G1622:G4420),INDEX(_xlpm.roles,MATCH(MAX(_xlpm.kills),_xlpm.kills,0)))</f>
        <v>Entry Fragger</v>
      </c>
      <c r="V1622" t="str">
        <f t="shared" si="128"/>
        <v>High Accuracy</v>
      </c>
      <c r="W1622" t="str" cm="1">
        <f t="array" ref="W1622">_xlfn.LET(_xlpm.roles,_xlfn.UNIQUE(D1622:D4420), _xlpm.counts,COUNTIF(D1622:D4420,_xlpm.roles), INDEX(_xlpm.roles,MATCH(MAX(_xlpm.counts),_xlpm.counts,0)))</f>
        <v>Sniper</v>
      </c>
      <c r="X1622" s="2">
        <f t="shared" si="129"/>
        <v>12.809421841541756</v>
      </c>
    </row>
    <row r="1623" spans="1:24" x14ac:dyDescent="0.3">
      <c r="A1623">
        <v>2237</v>
      </c>
      <c r="B1623">
        <v>288</v>
      </c>
      <c r="C1623" t="s">
        <v>25</v>
      </c>
      <c r="D1623" t="s">
        <v>22</v>
      </c>
      <c r="E1623" t="s">
        <v>29</v>
      </c>
      <c r="F1623" t="s">
        <v>19</v>
      </c>
      <c r="G1623">
        <v>18</v>
      </c>
      <c r="H1623">
        <v>12</v>
      </c>
      <c r="I1623">
        <v>4</v>
      </c>
      <c r="J1623">
        <v>42.04</v>
      </c>
      <c r="K1623">
        <v>199.39</v>
      </c>
      <c r="L1623">
        <v>0.26</v>
      </c>
      <c r="M1623">
        <v>62.42</v>
      </c>
      <c r="N1623">
        <v>1</v>
      </c>
      <c r="O1623" t="s">
        <v>20</v>
      </c>
      <c r="P1623" t="s">
        <v>38</v>
      </c>
      <c r="Q1623">
        <f t="shared" si="125"/>
        <v>26</v>
      </c>
      <c r="R1623" s="4">
        <f>RANK(N1623,$N$2:N$2800,0)</f>
        <v>1</v>
      </c>
      <c r="S1623">
        <f t="shared" si="126"/>
        <v>4.5</v>
      </c>
      <c r="T1623" t="str">
        <f t="shared" si="127"/>
        <v>Excellent</v>
      </c>
      <c r="U1623" t="str" cm="1">
        <f t="array" ref="U1623">_xlfn.LET(_xlpm.roles,_xlfn.UNIQUE(D1623:D4421),_xlpm.kills, SUMIF(D1623:D4421,_xlpm.roles,G1623:G4421),INDEX(_xlpm.roles,MATCH(MAX(_xlpm.kills),_xlpm.kills,0)))</f>
        <v>Sniper</v>
      </c>
      <c r="V1623" t="str">
        <f t="shared" si="128"/>
        <v>Medium Accuracy</v>
      </c>
      <c r="W1623" t="str" cm="1">
        <f t="array" ref="W1623">_xlfn.LET(_xlpm.roles,_xlfn.UNIQUE(D1623:D4421), _xlpm.counts,COUNTIF(D1623:D4421,_xlpm.roles), INDEX(_xlpm.roles,MATCH(MAX(_xlpm.counts),_xlpm.counts,0)))</f>
        <v>Sniper</v>
      </c>
      <c r="X1623" s="2">
        <f t="shared" si="129"/>
        <v>12.809421841541756</v>
      </c>
    </row>
    <row r="1624" spans="1:24" x14ac:dyDescent="0.3">
      <c r="A1624">
        <v>2580</v>
      </c>
      <c r="B1624">
        <v>288</v>
      </c>
      <c r="C1624" t="s">
        <v>30</v>
      </c>
      <c r="D1624" t="s">
        <v>36</v>
      </c>
      <c r="E1624" t="s">
        <v>29</v>
      </c>
      <c r="F1624" t="s">
        <v>24</v>
      </c>
      <c r="G1624">
        <v>18</v>
      </c>
      <c r="H1624">
        <v>10</v>
      </c>
      <c r="I1624">
        <v>13</v>
      </c>
      <c r="J1624">
        <v>40.119999999999997</v>
      </c>
      <c r="K1624">
        <v>227.37</v>
      </c>
      <c r="L1624">
        <v>0.69</v>
      </c>
      <c r="M1624">
        <v>46.16</v>
      </c>
      <c r="N1624">
        <v>1</v>
      </c>
      <c r="O1624" t="s">
        <v>20</v>
      </c>
      <c r="P1624" t="s">
        <v>21</v>
      </c>
      <c r="Q1624">
        <f t="shared" si="125"/>
        <v>15</v>
      </c>
      <c r="R1624" s="4">
        <f>RANK(N1624,$N$2:N$2800,0)</f>
        <v>1</v>
      </c>
      <c r="S1624">
        <f t="shared" si="126"/>
        <v>1.3846153846153846</v>
      </c>
      <c r="T1624" t="str">
        <f t="shared" si="127"/>
        <v>Good</v>
      </c>
      <c r="U1624" t="str" cm="1">
        <f t="array" ref="U1624">_xlfn.LET(_xlpm.roles,_xlfn.UNIQUE(D1624:D4422),_xlpm.kills, SUMIF(D1624:D4422,_xlpm.roles,G1624:G4422),INDEX(_xlpm.roles,MATCH(MAX(_xlpm.kills),_xlpm.kills,0)))</f>
        <v>Sniper</v>
      </c>
      <c r="V1624" t="str">
        <f t="shared" si="128"/>
        <v>Medium Accuracy</v>
      </c>
      <c r="W1624" t="str" cm="1">
        <f t="array" ref="W1624">_xlfn.LET(_xlpm.roles,_xlfn.UNIQUE(D1624:D4422), _xlpm.counts,COUNTIF(D1624:D4422,_xlpm.roles), INDEX(_xlpm.roles,MATCH(MAX(_xlpm.counts),_xlpm.counts,0)))</f>
        <v>Sniper</v>
      </c>
      <c r="X1624" s="2">
        <f t="shared" si="129"/>
        <v>13.135802469135802</v>
      </c>
    </row>
    <row r="1625" spans="1:24" x14ac:dyDescent="0.3">
      <c r="A1625">
        <v>2794</v>
      </c>
      <c r="B1625">
        <v>288</v>
      </c>
      <c r="C1625" t="s">
        <v>27</v>
      </c>
      <c r="D1625" t="s">
        <v>28</v>
      </c>
      <c r="E1625" t="s">
        <v>33</v>
      </c>
      <c r="F1625" t="s">
        <v>24</v>
      </c>
      <c r="G1625">
        <v>19</v>
      </c>
      <c r="H1625">
        <v>6</v>
      </c>
      <c r="I1625">
        <v>9</v>
      </c>
      <c r="J1625">
        <v>47.22</v>
      </c>
      <c r="K1625">
        <v>218.26</v>
      </c>
      <c r="L1625">
        <v>0.01</v>
      </c>
      <c r="M1625">
        <v>58.51</v>
      </c>
      <c r="N1625">
        <v>1</v>
      </c>
      <c r="O1625" t="s">
        <v>20</v>
      </c>
      <c r="P1625" t="s">
        <v>21</v>
      </c>
      <c r="Q1625">
        <f t="shared" si="125"/>
        <v>16</v>
      </c>
      <c r="R1625" s="4">
        <f>RANK(N1625,$N$2:N$2800,0)</f>
        <v>1</v>
      </c>
      <c r="S1625">
        <f t="shared" si="126"/>
        <v>2.1111111111111112</v>
      </c>
      <c r="T1625" t="str">
        <f t="shared" si="127"/>
        <v>Good</v>
      </c>
      <c r="U1625" t="str" cm="1">
        <f t="array" ref="U1625">_xlfn.LET(_xlpm.roles,_xlfn.UNIQUE(D1625:D4423),_xlpm.kills, SUMIF(D1625:D4423,_xlpm.roles,G1625:G4423),INDEX(_xlpm.roles,MATCH(MAX(_xlpm.kills),_xlpm.kills,0)))</f>
        <v>Sniper</v>
      </c>
      <c r="V1625" t="str">
        <f t="shared" si="128"/>
        <v>Medium Accuracy</v>
      </c>
      <c r="W1625" t="str" cm="1">
        <f t="array" ref="W1625">_xlfn.LET(_xlpm.roles,_xlfn.UNIQUE(D1625:D4423), _xlpm.counts,COUNTIF(D1625:D4423,_xlpm.roles), INDEX(_xlpm.roles,MATCH(MAX(_xlpm.counts),_xlpm.counts,0)))</f>
        <v>Sniper</v>
      </c>
      <c r="X1625" s="2">
        <f t="shared" si="129"/>
        <v>13.057077625570777</v>
      </c>
    </row>
    <row r="1626" spans="1:24" x14ac:dyDescent="0.3">
      <c r="A1626">
        <v>770</v>
      </c>
      <c r="B1626">
        <v>289</v>
      </c>
      <c r="C1626" t="s">
        <v>39</v>
      </c>
      <c r="D1626" t="s">
        <v>22</v>
      </c>
      <c r="E1626" t="s">
        <v>23</v>
      </c>
      <c r="F1626" t="s">
        <v>37</v>
      </c>
      <c r="G1626">
        <v>8</v>
      </c>
      <c r="H1626">
        <v>9</v>
      </c>
      <c r="I1626">
        <v>10</v>
      </c>
      <c r="J1626">
        <v>50.69</v>
      </c>
      <c r="K1626">
        <v>237.74</v>
      </c>
      <c r="L1626">
        <v>0.63</v>
      </c>
      <c r="M1626">
        <v>34.049999999999997</v>
      </c>
      <c r="N1626">
        <v>0.82</v>
      </c>
      <c r="O1626" t="s">
        <v>20</v>
      </c>
      <c r="P1626" t="s">
        <v>21</v>
      </c>
      <c r="Q1626">
        <f t="shared" si="125"/>
        <v>7</v>
      </c>
      <c r="R1626" s="4">
        <f>RANK(N1626,$N$2:N$2800,0)</f>
        <v>2275</v>
      </c>
      <c r="S1626">
        <f t="shared" si="126"/>
        <v>0.8</v>
      </c>
      <c r="T1626" t="str">
        <f t="shared" si="127"/>
        <v>Low</v>
      </c>
      <c r="U1626" t="str" cm="1">
        <f t="array" ref="U1626">_xlfn.LET(_xlpm.roles,_xlfn.UNIQUE(D1626:D4424),_xlpm.kills, SUMIF(D1626:D4424,_xlpm.roles,G1626:G4424),INDEX(_xlpm.roles,MATCH(MAX(_xlpm.kills),_xlpm.kills,0)))</f>
        <v>Sniper</v>
      </c>
      <c r="V1626" t="str">
        <f t="shared" si="128"/>
        <v>High Accuracy</v>
      </c>
      <c r="W1626" t="str" cm="1">
        <f t="array" ref="W1626">_xlfn.LET(_xlpm.roles,_xlfn.UNIQUE(D1626:D4424), _xlpm.counts,COUNTIF(D1626:D4424,_xlpm.roles), INDEX(_xlpm.roles,MATCH(MAX(_xlpm.counts),_xlpm.counts,0)))</f>
        <v>Sniper</v>
      </c>
      <c r="X1626" s="2">
        <f t="shared" si="129"/>
        <v>13.103594080338267</v>
      </c>
    </row>
    <row r="1627" spans="1:24" x14ac:dyDescent="0.3">
      <c r="A1627">
        <v>978</v>
      </c>
      <c r="B1627">
        <v>289</v>
      </c>
      <c r="C1627" t="s">
        <v>25</v>
      </c>
      <c r="D1627" t="s">
        <v>36</v>
      </c>
      <c r="E1627" t="s">
        <v>23</v>
      </c>
      <c r="F1627" t="s">
        <v>26</v>
      </c>
      <c r="G1627">
        <v>18</v>
      </c>
      <c r="H1627">
        <v>6</v>
      </c>
      <c r="I1627">
        <v>15</v>
      </c>
      <c r="J1627">
        <v>54.08</v>
      </c>
      <c r="K1627">
        <v>222.55</v>
      </c>
      <c r="L1627">
        <v>0.67</v>
      </c>
      <c r="M1627">
        <v>47.34</v>
      </c>
      <c r="N1627">
        <v>0.84</v>
      </c>
      <c r="O1627" t="s">
        <v>20</v>
      </c>
      <c r="P1627" t="s">
        <v>21</v>
      </c>
      <c r="Q1627">
        <f t="shared" si="125"/>
        <v>9</v>
      </c>
      <c r="R1627" s="4">
        <f>RANK(N1627,$N$2:N$2800,0)</f>
        <v>2156</v>
      </c>
      <c r="S1627">
        <f t="shared" si="126"/>
        <v>1.2</v>
      </c>
      <c r="T1627" t="str">
        <f t="shared" si="127"/>
        <v>Low</v>
      </c>
      <c r="U1627" t="str" cm="1">
        <f t="array" ref="U1627">_xlfn.LET(_xlpm.roles,_xlfn.UNIQUE(D1627:D4425),_xlpm.kills, SUMIF(D1627:D4425,_xlpm.roles,G1627:G4425),INDEX(_xlpm.roles,MATCH(MAX(_xlpm.kills),_xlpm.kills,0)))</f>
        <v>Sniper</v>
      </c>
      <c r="V1627" t="str">
        <f t="shared" si="128"/>
        <v>High Accuracy</v>
      </c>
      <c r="W1627" t="str" cm="1">
        <f t="array" ref="W1627">_xlfn.LET(_xlpm.roles,_xlfn.UNIQUE(D1627:D4425), _xlpm.counts,COUNTIF(D1627:D4425,_xlpm.roles), INDEX(_xlpm.roles,MATCH(MAX(_xlpm.counts),_xlpm.counts,0)))</f>
        <v>Sniper</v>
      </c>
      <c r="X1627" s="2">
        <f t="shared" si="129"/>
        <v>12.809421841541756</v>
      </c>
    </row>
    <row r="1628" spans="1:24" x14ac:dyDescent="0.3">
      <c r="A1628">
        <v>1140</v>
      </c>
      <c r="B1628">
        <v>289</v>
      </c>
      <c r="C1628" t="s">
        <v>39</v>
      </c>
      <c r="D1628" t="s">
        <v>22</v>
      </c>
      <c r="E1628" t="s">
        <v>32</v>
      </c>
      <c r="F1628" t="s">
        <v>19</v>
      </c>
      <c r="G1628">
        <v>17</v>
      </c>
      <c r="H1628">
        <v>9</v>
      </c>
      <c r="I1628">
        <v>14</v>
      </c>
      <c r="J1628">
        <v>54.21</v>
      </c>
      <c r="K1628">
        <v>222.45</v>
      </c>
      <c r="L1628">
        <v>0.24</v>
      </c>
      <c r="M1628">
        <v>53.71</v>
      </c>
      <c r="N1628">
        <v>1</v>
      </c>
      <c r="O1628" t="s">
        <v>20</v>
      </c>
      <c r="P1628" t="s">
        <v>21</v>
      </c>
      <c r="Q1628">
        <f t="shared" si="125"/>
        <v>12</v>
      </c>
      <c r="R1628" s="4">
        <f>RANK(N1628,$N$2:N$2800,0)</f>
        <v>1</v>
      </c>
      <c r="S1628">
        <f t="shared" si="126"/>
        <v>1.2142857142857142</v>
      </c>
      <c r="T1628" t="str">
        <f t="shared" si="127"/>
        <v>Low</v>
      </c>
      <c r="U1628" t="str" cm="1">
        <f t="array" ref="U1628">_xlfn.LET(_xlpm.roles,_xlfn.UNIQUE(D1628:D4426),_xlpm.kills, SUMIF(D1628:D4426,_xlpm.roles,G1628:G4426),INDEX(_xlpm.roles,MATCH(MAX(_xlpm.kills),_xlpm.kills,0)))</f>
        <v>Sniper</v>
      </c>
      <c r="V1628" t="str">
        <f t="shared" si="128"/>
        <v>High Accuracy</v>
      </c>
      <c r="W1628" t="str" cm="1">
        <f t="array" ref="W1628">_xlfn.LET(_xlpm.roles,_xlfn.UNIQUE(D1628:D4426), _xlpm.counts,COUNTIF(D1628:D4426,_xlpm.roles), INDEX(_xlpm.roles,MATCH(MAX(_xlpm.counts),_xlpm.counts,0)))</f>
        <v>Sniper</v>
      </c>
      <c r="X1628" s="2">
        <f t="shared" si="129"/>
        <v>13.103594080338267</v>
      </c>
    </row>
    <row r="1629" spans="1:24" x14ac:dyDescent="0.3">
      <c r="A1629">
        <v>1168</v>
      </c>
      <c r="B1629">
        <v>289</v>
      </c>
      <c r="C1629" t="s">
        <v>16</v>
      </c>
      <c r="D1629" t="s">
        <v>28</v>
      </c>
      <c r="E1629" t="s">
        <v>33</v>
      </c>
      <c r="F1629" t="s">
        <v>26</v>
      </c>
      <c r="G1629">
        <v>22</v>
      </c>
      <c r="H1629">
        <v>10</v>
      </c>
      <c r="I1629">
        <v>8</v>
      </c>
      <c r="J1629">
        <v>46.45</v>
      </c>
      <c r="K1629">
        <v>196.14</v>
      </c>
      <c r="L1629">
        <v>0.39</v>
      </c>
      <c r="M1629">
        <v>65.319999999999993</v>
      </c>
      <c r="N1629">
        <v>1</v>
      </c>
      <c r="O1629" t="s">
        <v>20</v>
      </c>
      <c r="P1629" t="s">
        <v>38</v>
      </c>
      <c r="Q1629">
        <f t="shared" si="125"/>
        <v>24</v>
      </c>
      <c r="R1629" s="4">
        <f>RANK(N1629,$N$2:N$2800,0)</f>
        <v>1</v>
      </c>
      <c r="S1629">
        <f t="shared" si="126"/>
        <v>2.75</v>
      </c>
      <c r="T1629" t="str">
        <f t="shared" si="127"/>
        <v>Good</v>
      </c>
      <c r="U1629" t="str" cm="1">
        <f t="array" ref="U1629">_xlfn.LET(_xlpm.roles,_xlfn.UNIQUE(D1629:D4427),_xlpm.kills, SUMIF(D1629:D4427,_xlpm.roles,G1629:G4427),INDEX(_xlpm.roles,MATCH(MAX(_xlpm.kills),_xlpm.kills,0)))</f>
        <v>Sniper</v>
      </c>
      <c r="V1629" t="str">
        <f t="shared" si="128"/>
        <v>Medium Accuracy</v>
      </c>
      <c r="W1629" t="str" cm="1">
        <f t="array" ref="W1629">_xlfn.LET(_xlpm.roles,_xlfn.UNIQUE(D1629:D4427), _xlpm.counts,COUNTIF(D1629:D4427,_xlpm.roles), INDEX(_xlpm.roles,MATCH(MAX(_xlpm.counts),_xlpm.counts,0)))</f>
        <v>Sniper</v>
      </c>
      <c r="X1629" s="2">
        <f t="shared" si="129"/>
        <v>12.520971302428256</v>
      </c>
    </row>
    <row r="1630" spans="1:24" x14ac:dyDescent="0.3">
      <c r="A1630">
        <v>1610</v>
      </c>
      <c r="B1630">
        <v>289</v>
      </c>
      <c r="C1630" t="s">
        <v>27</v>
      </c>
      <c r="D1630" t="s">
        <v>36</v>
      </c>
      <c r="E1630" t="s">
        <v>32</v>
      </c>
      <c r="F1630" t="s">
        <v>37</v>
      </c>
      <c r="G1630">
        <v>14</v>
      </c>
      <c r="H1630">
        <v>9</v>
      </c>
      <c r="I1630">
        <v>10</v>
      </c>
      <c r="J1630">
        <v>43.53</v>
      </c>
      <c r="K1630">
        <v>237.63</v>
      </c>
      <c r="L1630">
        <v>0.41</v>
      </c>
      <c r="M1630">
        <v>44.66</v>
      </c>
      <c r="N1630">
        <v>1</v>
      </c>
      <c r="O1630" t="s">
        <v>20</v>
      </c>
      <c r="P1630" t="s">
        <v>21</v>
      </c>
      <c r="Q1630">
        <f t="shared" si="125"/>
        <v>13</v>
      </c>
      <c r="R1630" s="4">
        <f>RANK(N1630,$N$2:N$2800,0)</f>
        <v>1</v>
      </c>
      <c r="S1630">
        <f t="shared" si="126"/>
        <v>1.4</v>
      </c>
      <c r="T1630" t="str">
        <f t="shared" si="127"/>
        <v>Low</v>
      </c>
      <c r="U1630" t="str" cm="1">
        <f t="array" ref="U1630">_xlfn.LET(_xlpm.roles,_xlfn.UNIQUE(D1630:D4428),_xlpm.kills, SUMIF(D1630:D4428,_xlpm.roles,G1630:G4428),INDEX(_xlpm.roles,MATCH(MAX(_xlpm.kills),_xlpm.kills,0)))</f>
        <v>Sniper</v>
      </c>
      <c r="V1630" t="str">
        <f t="shared" si="128"/>
        <v>Medium Accuracy</v>
      </c>
      <c r="W1630" t="str" cm="1">
        <f t="array" ref="W1630">_xlfn.LET(_xlpm.roles,_xlfn.UNIQUE(D1630:D4428), _xlpm.counts,COUNTIF(D1630:D4428,_xlpm.roles), INDEX(_xlpm.roles,MATCH(MAX(_xlpm.counts),_xlpm.counts,0)))</f>
        <v>Sniper</v>
      </c>
      <c r="X1630" s="2">
        <f t="shared" si="129"/>
        <v>13.057077625570777</v>
      </c>
    </row>
    <row r="1631" spans="1:24" x14ac:dyDescent="0.3">
      <c r="A1631">
        <v>1665</v>
      </c>
      <c r="B1631">
        <v>289</v>
      </c>
      <c r="C1631" t="s">
        <v>16</v>
      </c>
      <c r="D1631" t="s">
        <v>22</v>
      </c>
      <c r="E1631" t="s">
        <v>32</v>
      </c>
      <c r="F1631" t="s">
        <v>19</v>
      </c>
      <c r="G1631">
        <v>21</v>
      </c>
      <c r="H1631">
        <v>4</v>
      </c>
      <c r="I1631">
        <v>12</v>
      </c>
      <c r="J1631">
        <v>51.26</v>
      </c>
      <c r="K1631">
        <v>230.47</v>
      </c>
      <c r="L1631">
        <v>0.12</v>
      </c>
      <c r="M1631">
        <v>58.43</v>
      </c>
      <c r="N1631">
        <v>1</v>
      </c>
      <c r="O1631" t="s">
        <v>20</v>
      </c>
      <c r="P1631" t="s">
        <v>21</v>
      </c>
      <c r="Q1631">
        <f t="shared" si="125"/>
        <v>13</v>
      </c>
      <c r="R1631" s="4">
        <f>RANK(N1631,$N$2:N$2800,0)</f>
        <v>1</v>
      </c>
      <c r="S1631">
        <f t="shared" si="126"/>
        <v>1.75</v>
      </c>
      <c r="T1631" t="str">
        <f t="shared" si="127"/>
        <v>Low</v>
      </c>
      <c r="U1631" t="str" cm="1">
        <f t="array" ref="U1631">_xlfn.LET(_xlpm.roles,_xlfn.UNIQUE(D1631:D4429),_xlpm.kills, SUMIF(D1631:D4429,_xlpm.roles,G1631:G4429),INDEX(_xlpm.roles,MATCH(MAX(_xlpm.kills),_xlpm.kills,0)))</f>
        <v>Sniper</v>
      </c>
      <c r="V1631" t="str">
        <f t="shared" si="128"/>
        <v>High Accuracy</v>
      </c>
      <c r="W1631" t="str" cm="1">
        <f t="array" ref="W1631">_xlfn.LET(_xlpm.roles,_xlfn.UNIQUE(D1631:D4429), _xlpm.counts,COUNTIF(D1631:D4429,_xlpm.roles), INDEX(_xlpm.roles,MATCH(MAX(_xlpm.counts),_xlpm.counts,0)))</f>
        <v>Sniper</v>
      </c>
      <c r="X1631" s="2">
        <f t="shared" si="129"/>
        <v>12.520971302428256</v>
      </c>
    </row>
    <row r="1632" spans="1:24" x14ac:dyDescent="0.3">
      <c r="A1632">
        <v>1966</v>
      </c>
      <c r="B1632">
        <v>289</v>
      </c>
      <c r="C1632" t="s">
        <v>39</v>
      </c>
      <c r="D1632" t="s">
        <v>36</v>
      </c>
      <c r="E1632" t="s">
        <v>33</v>
      </c>
      <c r="F1632" t="s">
        <v>26</v>
      </c>
      <c r="G1632">
        <v>20</v>
      </c>
      <c r="H1632">
        <v>11</v>
      </c>
      <c r="I1632">
        <v>7</v>
      </c>
      <c r="J1632">
        <v>52.58</v>
      </c>
      <c r="K1632">
        <v>237.45</v>
      </c>
      <c r="L1632">
        <v>0.6</v>
      </c>
      <c r="M1632">
        <v>64.290000000000006</v>
      </c>
      <c r="N1632">
        <v>1</v>
      </c>
      <c r="O1632" t="s">
        <v>20</v>
      </c>
      <c r="P1632" t="s">
        <v>38</v>
      </c>
      <c r="Q1632">
        <f t="shared" si="125"/>
        <v>24</v>
      </c>
      <c r="R1632" s="4">
        <f>RANK(N1632,$N$2:N$2800,0)</f>
        <v>1</v>
      </c>
      <c r="S1632">
        <f t="shared" si="126"/>
        <v>2.8571428571428572</v>
      </c>
      <c r="T1632" t="str">
        <f t="shared" si="127"/>
        <v>Good</v>
      </c>
      <c r="U1632" t="str" cm="1">
        <f t="array" ref="U1632">_xlfn.LET(_xlpm.roles,_xlfn.UNIQUE(D1632:D4430),_xlpm.kills, SUMIF(D1632:D4430,_xlpm.roles,G1632:G4430),INDEX(_xlpm.roles,MATCH(MAX(_xlpm.kills),_xlpm.kills,0)))</f>
        <v>Sniper</v>
      </c>
      <c r="V1632" t="str">
        <f t="shared" si="128"/>
        <v>High Accuracy</v>
      </c>
      <c r="W1632" t="str" cm="1">
        <f t="array" ref="W1632">_xlfn.LET(_xlpm.roles,_xlfn.UNIQUE(D1632:D4430), _xlpm.counts,COUNTIF(D1632:D4430,_xlpm.roles), INDEX(_xlpm.roles,MATCH(MAX(_xlpm.counts),_xlpm.counts,0)))</f>
        <v>Sniper</v>
      </c>
      <c r="X1632" s="2">
        <f t="shared" si="129"/>
        <v>13.103594080338267</v>
      </c>
    </row>
    <row r="1633" spans="1:24" x14ac:dyDescent="0.3">
      <c r="A1633">
        <v>1990</v>
      </c>
      <c r="B1633">
        <v>289</v>
      </c>
      <c r="C1633" t="s">
        <v>25</v>
      </c>
      <c r="D1633" t="s">
        <v>28</v>
      </c>
      <c r="E1633" t="s">
        <v>23</v>
      </c>
      <c r="F1633" t="s">
        <v>34</v>
      </c>
      <c r="G1633">
        <v>20</v>
      </c>
      <c r="H1633">
        <v>7</v>
      </c>
      <c r="I1633">
        <v>9</v>
      </c>
      <c r="J1633">
        <v>52.64</v>
      </c>
      <c r="K1633">
        <v>267.7</v>
      </c>
      <c r="L1633">
        <v>0.21</v>
      </c>
      <c r="M1633">
        <v>62.22</v>
      </c>
      <c r="N1633">
        <v>1</v>
      </c>
      <c r="O1633" t="s">
        <v>20</v>
      </c>
      <c r="P1633" t="s">
        <v>38</v>
      </c>
      <c r="Q1633">
        <f t="shared" si="125"/>
        <v>18</v>
      </c>
      <c r="R1633" s="4">
        <f>RANK(N1633,$N$2:N$2800,0)</f>
        <v>1</v>
      </c>
      <c r="S1633">
        <f t="shared" si="126"/>
        <v>2.2222222222222223</v>
      </c>
      <c r="T1633" t="str">
        <f t="shared" si="127"/>
        <v>Good</v>
      </c>
      <c r="U1633" t="str" cm="1">
        <f t="array" ref="U1633">_xlfn.LET(_xlpm.roles,_xlfn.UNIQUE(D1633:D4431),_xlpm.kills, SUMIF(D1633:D4431,_xlpm.roles,G1633:G4431),INDEX(_xlpm.roles,MATCH(MAX(_xlpm.kills),_xlpm.kills,0)))</f>
        <v>Sniper</v>
      </c>
      <c r="V1633" t="str">
        <f t="shared" si="128"/>
        <v>High Accuracy</v>
      </c>
      <c r="W1633" t="str" cm="1">
        <f t="array" ref="W1633">_xlfn.LET(_xlpm.roles,_xlfn.UNIQUE(D1633:D4431), _xlpm.counts,COUNTIF(D1633:D4431,_xlpm.roles), INDEX(_xlpm.roles,MATCH(MAX(_xlpm.counts),_xlpm.counts,0)))</f>
        <v>Sniper</v>
      </c>
      <c r="X1633" s="2">
        <f t="shared" si="129"/>
        <v>12.809421841541756</v>
      </c>
    </row>
    <row r="1634" spans="1:24" x14ac:dyDescent="0.3">
      <c r="A1634">
        <v>2156</v>
      </c>
      <c r="B1634">
        <v>289</v>
      </c>
      <c r="C1634" t="s">
        <v>30</v>
      </c>
      <c r="D1634" t="s">
        <v>17</v>
      </c>
      <c r="E1634" t="s">
        <v>23</v>
      </c>
      <c r="F1634" t="s">
        <v>19</v>
      </c>
      <c r="G1634">
        <v>9</v>
      </c>
      <c r="H1634">
        <v>8</v>
      </c>
      <c r="I1634">
        <v>10</v>
      </c>
      <c r="J1634">
        <v>51.85</v>
      </c>
      <c r="K1634">
        <v>254.86</v>
      </c>
      <c r="L1634">
        <v>0.91</v>
      </c>
      <c r="M1634">
        <v>32.82</v>
      </c>
      <c r="N1634">
        <v>0.84</v>
      </c>
      <c r="O1634" t="s">
        <v>20</v>
      </c>
      <c r="P1634" t="s">
        <v>21</v>
      </c>
      <c r="Q1634">
        <f t="shared" si="125"/>
        <v>7</v>
      </c>
      <c r="R1634" s="4">
        <f>RANK(N1634,$N$2:N$2800,0)</f>
        <v>2156</v>
      </c>
      <c r="S1634">
        <f t="shared" si="126"/>
        <v>0.9</v>
      </c>
      <c r="T1634" t="str">
        <f t="shared" si="127"/>
        <v>Low</v>
      </c>
      <c r="U1634" t="str" cm="1">
        <f t="array" ref="U1634">_xlfn.LET(_xlpm.roles,_xlfn.UNIQUE(D1634:D4432),_xlpm.kills, SUMIF(D1634:D4432,_xlpm.roles,G1634:G4432),INDEX(_xlpm.roles,MATCH(MAX(_xlpm.kills),_xlpm.kills,0)))</f>
        <v>Sniper</v>
      </c>
      <c r="V1634" t="str">
        <f t="shared" si="128"/>
        <v>High Accuracy</v>
      </c>
      <c r="W1634" t="str" cm="1">
        <f t="array" ref="W1634">_xlfn.LET(_xlpm.roles,_xlfn.UNIQUE(D1634:D4432), _xlpm.counts,COUNTIF(D1634:D4432,_xlpm.roles), INDEX(_xlpm.roles,MATCH(MAX(_xlpm.counts),_xlpm.counts,0)))</f>
        <v>Sniper</v>
      </c>
      <c r="X1634" s="2">
        <f t="shared" si="129"/>
        <v>13.135802469135802</v>
      </c>
    </row>
    <row r="1635" spans="1:24" x14ac:dyDescent="0.3">
      <c r="A1635">
        <v>2706</v>
      </c>
      <c r="B1635">
        <v>289</v>
      </c>
      <c r="C1635" t="s">
        <v>27</v>
      </c>
      <c r="D1635" t="s">
        <v>36</v>
      </c>
      <c r="E1635" t="s">
        <v>18</v>
      </c>
      <c r="F1635" t="s">
        <v>24</v>
      </c>
      <c r="G1635">
        <v>13</v>
      </c>
      <c r="H1635">
        <v>10</v>
      </c>
      <c r="I1635">
        <v>5</v>
      </c>
      <c r="J1635">
        <v>56.63</v>
      </c>
      <c r="K1635">
        <v>259.13</v>
      </c>
      <c r="L1635">
        <v>0.86</v>
      </c>
      <c r="M1635">
        <v>50.71</v>
      </c>
      <c r="N1635">
        <v>0.97</v>
      </c>
      <c r="O1635" t="s">
        <v>20</v>
      </c>
      <c r="P1635" t="s">
        <v>21</v>
      </c>
      <c r="Q1635">
        <f t="shared" si="125"/>
        <v>18</v>
      </c>
      <c r="R1635" s="4">
        <f>RANK(N1635,$N$2:N$2800,0)</f>
        <v>1243</v>
      </c>
      <c r="S1635">
        <f t="shared" si="126"/>
        <v>2.6</v>
      </c>
      <c r="T1635" t="str">
        <f t="shared" si="127"/>
        <v>Good</v>
      </c>
      <c r="U1635" t="str" cm="1">
        <f t="array" ref="U1635">_xlfn.LET(_xlpm.roles,_xlfn.UNIQUE(D1635:D4433),_xlpm.kills, SUMIF(D1635:D4433,_xlpm.roles,G1635:G4433),INDEX(_xlpm.roles,MATCH(MAX(_xlpm.kills),_xlpm.kills,0)))</f>
        <v>Sniper</v>
      </c>
      <c r="V1635" t="str">
        <f t="shared" si="128"/>
        <v>High Accuracy</v>
      </c>
      <c r="W1635" t="str" cm="1">
        <f t="array" ref="W1635">_xlfn.LET(_xlpm.roles,_xlfn.UNIQUE(D1635:D4433), _xlpm.counts,COUNTIF(D1635:D4433,_xlpm.roles), INDEX(_xlpm.roles,MATCH(MAX(_xlpm.counts),_xlpm.counts,0)))</f>
        <v>Sniper</v>
      </c>
      <c r="X1635" s="2">
        <f t="shared" si="129"/>
        <v>13.057077625570777</v>
      </c>
    </row>
    <row r="1636" spans="1:24" x14ac:dyDescent="0.3">
      <c r="A1636">
        <v>660</v>
      </c>
      <c r="B1636">
        <v>290</v>
      </c>
      <c r="C1636" t="s">
        <v>30</v>
      </c>
      <c r="D1636" t="s">
        <v>36</v>
      </c>
      <c r="E1636" t="s">
        <v>29</v>
      </c>
      <c r="F1636" t="s">
        <v>37</v>
      </c>
      <c r="G1636">
        <v>12</v>
      </c>
      <c r="H1636">
        <v>7</v>
      </c>
      <c r="I1636">
        <v>13</v>
      </c>
      <c r="J1636">
        <v>46.67</v>
      </c>
      <c r="K1636">
        <v>207.34</v>
      </c>
      <c r="L1636">
        <v>0.47</v>
      </c>
      <c r="M1636">
        <v>36.64</v>
      </c>
      <c r="N1636">
        <v>0.81</v>
      </c>
      <c r="O1636" t="s">
        <v>20</v>
      </c>
      <c r="P1636" t="s">
        <v>21</v>
      </c>
      <c r="Q1636">
        <f t="shared" si="125"/>
        <v>6</v>
      </c>
      <c r="R1636" s="4">
        <f>RANK(N1636,$N$2:N$2800,0)</f>
        <v>2341</v>
      </c>
      <c r="S1636">
        <f t="shared" si="126"/>
        <v>0.92307692307692313</v>
      </c>
      <c r="T1636" t="str">
        <f t="shared" si="127"/>
        <v>Low</v>
      </c>
      <c r="U1636" t="str" cm="1">
        <f t="array" ref="U1636">_xlfn.LET(_xlpm.roles,_xlfn.UNIQUE(D1636:D4434),_xlpm.kills, SUMIF(D1636:D4434,_xlpm.roles,G1636:G4434),INDEX(_xlpm.roles,MATCH(MAX(_xlpm.kills),_xlpm.kills,0)))</f>
        <v>Sniper</v>
      </c>
      <c r="V1636" t="str">
        <f t="shared" si="128"/>
        <v>Medium Accuracy</v>
      </c>
      <c r="W1636" t="str" cm="1">
        <f t="array" ref="W1636">_xlfn.LET(_xlpm.roles,_xlfn.UNIQUE(D1636:D4434), _xlpm.counts,COUNTIF(D1636:D4434,_xlpm.roles), INDEX(_xlpm.roles,MATCH(MAX(_xlpm.counts),_xlpm.counts,0)))</f>
        <v>Sniper</v>
      </c>
      <c r="X1636" s="2">
        <f t="shared" si="129"/>
        <v>13.135802469135802</v>
      </c>
    </row>
    <row r="1637" spans="1:24" x14ac:dyDescent="0.3">
      <c r="A1637">
        <v>1195</v>
      </c>
      <c r="B1637">
        <v>290</v>
      </c>
      <c r="C1637" t="s">
        <v>27</v>
      </c>
      <c r="D1637" t="s">
        <v>17</v>
      </c>
      <c r="E1637" t="s">
        <v>23</v>
      </c>
      <c r="F1637" t="s">
        <v>34</v>
      </c>
      <c r="G1637">
        <v>19</v>
      </c>
      <c r="H1637">
        <v>4</v>
      </c>
      <c r="I1637">
        <v>10</v>
      </c>
      <c r="J1637">
        <v>35.01</v>
      </c>
      <c r="K1637">
        <v>226.2</v>
      </c>
      <c r="L1637">
        <v>0</v>
      </c>
      <c r="M1637">
        <v>49.5</v>
      </c>
      <c r="N1637">
        <v>1</v>
      </c>
      <c r="O1637" t="s">
        <v>20</v>
      </c>
      <c r="P1637" t="s">
        <v>21</v>
      </c>
      <c r="Q1637">
        <f t="shared" si="125"/>
        <v>13</v>
      </c>
      <c r="R1637" s="4">
        <f>RANK(N1637,$N$2:N$2800,0)</f>
        <v>1</v>
      </c>
      <c r="S1637">
        <f t="shared" si="126"/>
        <v>1.9</v>
      </c>
      <c r="T1637" t="str">
        <f t="shared" si="127"/>
        <v>Low</v>
      </c>
      <c r="U1637" t="str" cm="1">
        <f t="array" ref="U1637">_xlfn.LET(_xlpm.roles,_xlfn.UNIQUE(D1637:D4435),_xlpm.kills, SUMIF(D1637:D4435,_xlpm.roles,G1637:G4435),INDEX(_xlpm.roles,MATCH(MAX(_xlpm.kills),_xlpm.kills,0)))</f>
        <v>Sniper</v>
      </c>
      <c r="V1637" t="str">
        <f t="shared" si="128"/>
        <v>Medium Accuracy</v>
      </c>
      <c r="W1637" t="str" cm="1">
        <f t="array" ref="W1637">_xlfn.LET(_xlpm.roles,_xlfn.UNIQUE(D1637:D4435), _xlpm.counts,COUNTIF(D1637:D4435,_xlpm.roles), INDEX(_xlpm.roles,MATCH(MAX(_xlpm.counts),_xlpm.counts,0)))</f>
        <v>Sniper</v>
      </c>
      <c r="X1637" s="2">
        <f t="shared" si="129"/>
        <v>13.057077625570777</v>
      </c>
    </row>
    <row r="1638" spans="1:24" x14ac:dyDescent="0.3">
      <c r="A1638">
        <v>1200</v>
      </c>
      <c r="B1638">
        <v>290</v>
      </c>
      <c r="C1638" t="s">
        <v>39</v>
      </c>
      <c r="D1638" t="s">
        <v>28</v>
      </c>
      <c r="E1638" t="s">
        <v>18</v>
      </c>
      <c r="F1638" t="s">
        <v>37</v>
      </c>
      <c r="G1638">
        <v>18</v>
      </c>
      <c r="H1638">
        <v>11</v>
      </c>
      <c r="I1638">
        <v>7</v>
      </c>
      <c r="J1638">
        <v>58.3</v>
      </c>
      <c r="K1638">
        <v>229.73</v>
      </c>
      <c r="L1638">
        <v>0.82</v>
      </c>
      <c r="M1638">
        <v>60.95</v>
      </c>
      <c r="N1638">
        <v>1</v>
      </c>
      <c r="O1638" t="s">
        <v>20</v>
      </c>
      <c r="P1638" t="s">
        <v>38</v>
      </c>
      <c r="Q1638">
        <f t="shared" si="125"/>
        <v>22</v>
      </c>
      <c r="R1638" s="4">
        <f>RANK(N1638,$N$2:N$2800,0)</f>
        <v>1</v>
      </c>
      <c r="S1638">
        <f t="shared" si="126"/>
        <v>2.5714285714285716</v>
      </c>
      <c r="T1638" t="str">
        <f t="shared" si="127"/>
        <v>Good</v>
      </c>
      <c r="U1638" t="str" cm="1">
        <f t="array" ref="U1638">_xlfn.LET(_xlpm.roles,_xlfn.UNIQUE(D1638:D4436),_xlpm.kills, SUMIF(D1638:D4436,_xlpm.roles,G1638:G4436),INDEX(_xlpm.roles,MATCH(MAX(_xlpm.kills),_xlpm.kills,0)))</f>
        <v>Sniper</v>
      </c>
      <c r="V1638" t="str">
        <f t="shared" si="128"/>
        <v>High Accuracy</v>
      </c>
      <c r="W1638" t="str" cm="1">
        <f t="array" ref="W1638">_xlfn.LET(_xlpm.roles,_xlfn.UNIQUE(D1638:D4436), _xlpm.counts,COUNTIF(D1638:D4436,_xlpm.roles), INDEX(_xlpm.roles,MATCH(MAX(_xlpm.counts),_xlpm.counts,0)))</f>
        <v>Sniper</v>
      </c>
      <c r="X1638" s="2">
        <f t="shared" si="129"/>
        <v>13.103594080338267</v>
      </c>
    </row>
    <row r="1639" spans="1:24" x14ac:dyDescent="0.3">
      <c r="A1639">
        <v>1420</v>
      </c>
      <c r="B1639">
        <v>290</v>
      </c>
      <c r="C1639" t="s">
        <v>27</v>
      </c>
      <c r="D1639" t="s">
        <v>36</v>
      </c>
      <c r="E1639" t="s">
        <v>18</v>
      </c>
      <c r="F1639" t="s">
        <v>26</v>
      </c>
      <c r="G1639">
        <v>17</v>
      </c>
      <c r="H1639">
        <v>11</v>
      </c>
      <c r="I1639">
        <v>8</v>
      </c>
      <c r="J1639">
        <v>46.01</v>
      </c>
      <c r="K1639">
        <v>251.7</v>
      </c>
      <c r="L1639">
        <v>7.0000000000000007E-2</v>
      </c>
      <c r="M1639">
        <v>59.3</v>
      </c>
      <c r="N1639">
        <v>1</v>
      </c>
      <c r="O1639" t="s">
        <v>20</v>
      </c>
      <c r="P1639" t="s">
        <v>21</v>
      </c>
      <c r="Q1639">
        <f t="shared" si="125"/>
        <v>20</v>
      </c>
      <c r="R1639" s="4">
        <f>RANK(N1639,$N$2:N$2800,0)</f>
        <v>1</v>
      </c>
      <c r="S1639">
        <f t="shared" si="126"/>
        <v>2.125</v>
      </c>
      <c r="T1639" t="str">
        <f t="shared" si="127"/>
        <v>Good</v>
      </c>
      <c r="U1639" t="str" cm="1">
        <f t="array" ref="U1639">_xlfn.LET(_xlpm.roles,_xlfn.UNIQUE(D1639:D4437),_xlpm.kills, SUMIF(D1639:D4437,_xlpm.roles,G1639:G4437),INDEX(_xlpm.roles,MATCH(MAX(_xlpm.kills),_xlpm.kills,0)))</f>
        <v>Sniper</v>
      </c>
      <c r="V1639" t="str">
        <f t="shared" si="128"/>
        <v>Medium Accuracy</v>
      </c>
      <c r="W1639" t="str" cm="1">
        <f t="array" ref="W1639">_xlfn.LET(_xlpm.roles,_xlfn.UNIQUE(D1639:D4437), _xlpm.counts,COUNTIF(D1639:D4437,_xlpm.roles), INDEX(_xlpm.roles,MATCH(MAX(_xlpm.counts),_xlpm.counts,0)))</f>
        <v>Sniper</v>
      </c>
      <c r="X1639" s="2">
        <f t="shared" si="129"/>
        <v>13.057077625570777</v>
      </c>
    </row>
    <row r="1640" spans="1:24" x14ac:dyDescent="0.3">
      <c r="A1640">
        <v>1749</v>
      </c>
      <c r="B1640">
        <v>290</v>
      </c>
      <c r="C1640" t="s">
        <v>30</v>
      </c>
      <c r="D1640" t="s">
        <v>17</v>
      </c>
      <c r="E1640" t="s">
        <v>33</v>
      </c>
      <c r="F1640" t="s">
        <v>24</v>
      </c>
      <c r="G1640">
        <v>11</v>
      </c>
      <c r="H1640">
        <v>7</v>
      </c>
      <c r="I1640">
        <v>11</v>
      </c>
      <c r="J1640">
        <v>52.03</v>
      </c>
      <c r="K1640">
        <v>222.61</v>
      </c>
      <c r="L1640">
        <v>0.01</v>
      </c>
      <c r="M1640">
        <v>43.91</v>
      </c>
      <c r="N1640">
        <v>0.98</v>
      </c>
      <c r="O1640" t="s">
        <v>20</v>
      </c>
      <c r="P1640" t="s">
        <v>21</v>
      </c>
      <c r="Q1640">
        <f t="shared" si="125"/>
        <v>7</v>
      </c>
      <c r="R1640" s="4">
        <f>RANK(N1640,$N$2:N$2800,0)</f>
        <v>1157</v>
      </c>
      <c r="S1640">
        <f t="shared" si="126"/>
        <v>1</v>
      </c>
      <c r="T1640" t="str">
        <f t="shared" si="127"/>
        <v>Low</v>
      </c>
      <c r="U1640" t="str" cm="1">
        <f t="array" ref="U1640">_xlfn.LET(_xlpm.roles,_xlfn.UNIQUE(D1640:D4438),_xlpm.kills, SUMIF(D1640:D4438,_xlpm.roles,G1640:G4438),INDEX(_xlpm.roles,MATCH(MAX(_xlpm.kills),_xlpm.kills,0)))</f>
        <v>Sniper</v>
      </c>
      <c r="V1640" t="str">
        <f t="shared" si="128"/>
        <v>High Accuracy</v>
      </c>
      <c r="W1640" t="str" cm="1">
        <f t="array" ref="W1640">_xlfn.LET(_xlpm.roles,_xlfn.UNIQUE(D1640:D4438), _xlpm.counts,COUNTIF(D1640:D4438,_xlpm.roles), INDEX(_xlpm.roles,MATCH(MAX(_xlpm.counts),_xlpm.counts,0)))</f>
        <v>Sniper</v>
      </c>
      <c r="X1640" s="2">
        <f t="shared" si="129"/>
        <v>13.135802469135802</v>
      </c>
    </row>
    <row r="1641" spans="1:24" x14ac:dyDescent="0.3">
      <c r="A1641">
        <v>362</v>
      </c>
      <c r="B1641">
        <v>291</v>
      </c>
      <c r="C1641" t="s">
        <v>30</v>
      </c>
      <c r="D1641" t="s">
        <v>22</v>
      </c>
      <c r="E1641" t="s">
        <v>18</v>
      </c>
      <c r="F1641" t="s">
        <v>19</v>
      </c>
      <c r="G1641">
        <v>13</v>
      </c>
      <c r="H1641">
        <v>13</v>
      </c>
      <c r="I1641">
        <v>18</v>
      </c>
      <c r="J1641">
        <v>58.4</v>
      </c>
      <c r="K1641">
        <v>221.86</v>
      </c>
      <c r="L1641">
        <v>0.06</v>
      </c>
      <c r="M1641">
        <v>49.6</v>
      </c>
      <c r="N1641">
        <v>0.9</v>
      </c>
      <c r="O1641" t="s">
        <v>20</v>
      </c>
      <c r="P1641" t="s">
        <v>21</v>
      </c>
      <c r="Q1641">
        <f t="shared" si="125"/>
        <v>8</v>
      </c>
      <c r="R1641" s="4">
        <f>RANK(N1641,$N$2:N$2800,0)</f>
        <v>1738</v>
      </c>
      <c r="S1641">
        <f t="shared" si="126"/>
        <v>0.72222222222222221</v>
      </c>
      <c r="T1641" t="str">
        <f t="shared" si="127"/>
        <v>Low</v>
      </c>
      <c r="U1641" t="str" cm="1">
        <f t="array" ref="U1641">_xlfn.LET(_xlpm.roles,_xlfn.UNIQUE(D1641:D4439),_xlpm.kills, SUMIF(D1641:D4439,_xlpm.roles,G1641:G4439),INDEX(_xlpm.roles,MATCH(MAX(_xlpm.kills),_xlpm.kills,0)))</f>
        <v>Sniper</v>
      </c>
      <c r="V1641" t="str">
        <f t="shared" si="128"/>
        <v>High Accuracy</v>
      </c>
      <c r="W1641" t="str" cm="1">
        <f t="array" ref="W1641">_xlfn.LET(_xlpm.roles,_xlfn.UNIQUE(D1641:D4439), _xlpm.counts,COUNTIF(D1641:D4439,_xlpm.roles), INDEX(_xlpm.roles,MATCH(MAX(_xlpm.counts),_xlpm.counts,0)))</f>
        <v>Sniper</v>
      </c>
      <c r="X1641" s="2">
        <f t="shared" si="129"/>
        <v>13.135802469135802</v>
      </c>
    </row>
    <row r="1642" spans="1:24" x14ac:dyDescent="0.3">
      <c r="A1642">
        <v>1301</v>
      </c>
      <c r="B1642">
        <v>291</v>
      </c>
      <c r="C1642" t="s">
        <v>39</v>
      </c>
      <c r="D1642" t="s">
        <v>31</v>
      </c>
      <c r="E1642" t="s">
        <v>18</v>
      </c>
      <c r="F1642" t="s">
        <v>26</v>
      </c>
      <c r="G1642">
        <v>14</v>
      </c>
      <c r="H1642">
        <v>5</v>
      </c>
      <c r="I1642">
        <v>10</v>
      </c>
      <c r="J1642">
        <v>51.84</v>
      </c>
      <c r="K1642">
        <v>233.42</v>
      </c>
      <c r="L1642">
        <v>0.96</v>
      </c>
      <c r="M1642">
        <v>39.32</v>
      </c>
      <c r="N1642">
        <v>0.91</v>
      </c>
      <c r="O1642" t="s">
        <v>20</v>
      </c>
      <c r="P1642" t="s">
        <v>21</v>
      </c>
      <c r="Q1642">
        <f t="shared" si="125"/>
        <v>9</v>
      </c>
      <c r="R1642" s="4">
        <f>RANK(N1642,$N$2:N$2800,0)</f>
        <v>1665</v>
      </c>
      <c r="S1642">
        <f t="shared" si="126"/>
        <v>1.4</v>
      </c>
      <c r="T1642" t="str">
        <f t="shared" si="127"/>
        <v>Low</v>
      </c>
      <c r="U1642" t="str" cm="1">
        <f t="array" ref="U1642">_xlfn.LET(_xlpm.roles,_xlfn.UNIQUE(D1642:D4440),_xlpm.kills, SUMIF(D1642:D4440,_xlpm.roles,G1642:G4440),INDEX(_xlpm.roles,MATCH(MAX(_xlpm.kills),_xlpm.kills,0)))</f>
        <v>Sniper</v>
      </c>
      <c r="V1642" t="str">
        <f t="shared" si="128"/>
        <v>High Accuracy</v>
      </c>
      <c r="W1642" t="str" cm="1">
        <f t="array" ref="W1642">_xlfn.LET(_xlpm.roles,_xlfn.UNIQUE(D1642:D4440), _xlpm.counts,COUNTIF(D1642:D4440,_xlpm.roles), INDEX(_xlpm.roles,MATCH(MAX(_xlpm.counts),_xlpm.counts,0)))</f>
        <v>Sniper</v>
      </c>
      <c r="X1642" s="2">
        <f t="shared" si="129"/>
        <v>13.103594080338267</v>
      </c>
    </row>
    <row r="1643" spans="1:24" x14ac:dyDescent="0.3">
      <c r="A1643">
        <v>1564</v>
      </c>
      <c r="B1643">
        <v>291</v>
      </c>
      <c r="C1643" t="s">
        <v>35</v>
      </c>
      <c r="D1643" t="s">
        <v>36</v>
      </c>
      <c r="E1643" t="s">
        <v>23</v>
      </c>
      <c r="F1643" t="s">
        <v>37</v>
      </c>
      <c r="G1643">
        <v>16</v>
      </c>
      <c r="H1643">
        <v>16</v>
      </c>
      <c r="I1643">
        <v>14</v>
      </c>
      <c r="J1643">
        <v>57.08</v>
      </c>
      <c r="K1643">
        <v>220.69</v>
      </c>
      <c r="L1643">
        <v>0.66</v>
      </c>
      <c r="M1643">
        <v>55.94</v>
      </c>
      <c r="N1643">
        <v>1</v>
      </c>
      <c r="O1643" t="s">
        <v>20</v>
      </c>
      <c r="P1643" t="s">
        <v>21</v>
      </c>
      <c r="Q1643">
        <f t="shared" si="125"/>
        <v>18</v>
      </c>
      <c r="R1643" s="4">
        <f>RANK(N1643,$N$2:N$2800,0)</f>
        <v>1</v>
      </c>
      <c r="S1643">
        <f t="shared" si="126"/>
        <v>1.1428571428571428</v>
      </c>
      <c r="T1643" t="str">
        <f t="shared" si="127"/>
        <v>Good</v>
      </c>
      <c r="U1643" t="str" cm="1">
        <f t="array" ref="U1643">_xlfn.LET(_xlpm.roles,_xlfn.UNIQUE(D1643:D4441),_xlpm.kills, SUMIF(D1643:D4441,_xlpm.roles,G1643:G4441),INDEX(_xlpm.roles,MATCH(MAX(_xlpm.kills),_xlpm.kills,0)))</f>
        <v>Sniper</v>
      </c>
      <c r="V1643" t="str">
        <f t="shared" si="128"/>
        <v>High Accuracy</v>
      </c>
      <c r="W1643" t="str" cm="1">
        <f t="array" ref="W1643">_xlfn.LET(_xlpm.roles,_xlfn.UNIQUE(D1643:D4441), _xlpm.counts,COUNTIF(D1643:D4441,_xlpm.roles), INDEX(_xlpm.roles,MATCH(MAX(_xlpm.counts),_xlpm.counts,0)))</f>
        <v>Sniper</v>
      </c>
      <c r="X1643" s="2">
        <f t="shared" si="129"/>
        <v>12.599585062240664</v>
      </c>
    </row>
    <row r="1644" spans="1:24" x14ac:dyDescent="0.3">
      <c r="A1644">
        <v>1576</v>
      </c>
      <c r="B1644">
        <v>291</v>
      </c>
      <c r="C1644" t="s">
        <v>27</v>
      </c>
      <c r="D1644" t="s">
        <v>28</v>
      </c>
      <c r="E1644" t="s">
        <v>32</v>
      </c>
      <c r="F1644" t="s">
        <v>26</v>
      </c>
      <c r="G1644">
        <v>22</v>
      </c>
      <c r="H1644">
        <v>9</v>
      </c>
      <c r="I1644">
        <v>9</v>
      </c>
      <c r="J1644">
        <v>38.61</v>
      </c>
      <c r="K1644">
        <v>254.13</v>
      </c>
      <c r="L1644">
        <v>0.83</v>
      </c>
      <c r="M1644">
        <v>55.01</v>
      </c>
      <c r="N1644">
        <v>1</v>
      </c>
      <c r="O1644" t="s">
        <v>20</v>
      </c>
      <c r="P1644" t="s">
        <v>21</v>
      </c>
      <c r="Q1644">
        <f t="shared" si="125"/>
        <v>22</v>
      </c>
      <c r="R1644" s="4">
        <f>RANK(N1644,$N$2:N$2800,0)</f>
        <v>1</v>
      </c>
      <c r="S1644">
        <f t="shared" si="126"/>
        <v>2.4444444444444446</v>
      </c>
      <c r="T1644" t="str">
        <f t="shared" si="127"/>
        <v>Good</v>
      </c>
      <c r="U1644" t="str" cm="1">
        <f t="array" ref="U1644">_xlfn.LET(_xlpm.roles,_xlfn.UNIQUE(D1644:D4442),_xlpm.kills, SUMIF(D1644:D4442,_xlpm.roles,G1644:G4442),INDEX(_xlpm.roles,MATCH(MAX(_xlpm.kills),_xlpm.kills,0)))</f>
        <v>Sniper</v>
      </c>
      <c r="V1644" t="str">
        <f t="shared" si="128"/>
        <v>Medium Accuracy</v>
      </c>
      <c r="W1644" t="str" cm="1">
        <f t="array" ref="W1644">_xlfn.LET(_xlpm.roles,_xlfn.UNIQUE(D1644:D4442), _xlpm.counts,COUNTIF(D1644:D4442,_xlpm.roles), INDEX(_xlpm.roles,MATCH(MAX(_xlpm.counts),_xlpm.counts,0)))</f>
        <v>Sniper</v>
      </c>
      <c r="X1644" s="2">
        <f t="shared" si="129"/>
        <v>13.057077625570777</v>
      </c>
    </row>
    <row r="1645" spans="1:24" x14ac:dyDescent="0.3">
      <c r="A1645">
        <v>1695</v>
      </c>
      <c r="B1645">
        <v>291</v>
      </c>
      <c r="C1645" t="s">
        <v>25</v>
      </c>
      <c r="D1645" t="s">
        <v>22</v>
      </c>
      <c r="E1645" t="s">
        <v>32</v>
      </c>
      <c r="F1645" t="s">
        <v>19</v>
      </c>
      <c r="G1645">
        <v>21</v>
      </c>
      <c r="H1645">
        <v>6</v>
      </c>
      <c r="I1645">
        <v>11</v>
      </c>
      <c r="J1645">
        <v>32.49</v>
      </c>
      <c r="K1645">
        <v>224.89</v>
      </c>
      <c r="L1645">
        <v>0.68</v>
      </c>
      <c r="M1645">
        <v>46.45</v>
      </c>
      <c r="N1645">
        <v>0.89</v>
      </c>
      <c r="O1645" t="s">
        <v>20</v>
      </c>
      <c r="P1645" t="s">
        <v>21</v>
      </c>
      <c r="Q1645">
        <f t="shared" si="125"/>
        <v>16</v>
      </c>
      <c r="R1645" s="4">
        <f>RANK(N1645,$N$2:N$2800,0)</f>
        <v>1815</v>
      </c>
      <c r="S1645">
        <f t="shared" si="126"/>
        <v>1.9090909090909092</v>
      </c>
      <c r="T1645" t="str">
        <f t="shared" si="127"/>
        <v>Good</v>
      </c>
      <c r="U1645" t="str" cm="1">
        <f t="array" ref="U1645">_xlfn.LET(_xlpm.roles,_xlfn.UNIQUE(D1645:D4443),_xlpm.kills, SUMIF(D1645:D4443,_xlpm.roles,G1645:G4443),INDEX(_xlpm.roles,MATCH(MAX(_xlpm.kills),_xlpm.kills,0)))</f>
        <v>Sniper</v>
      </c>
      <c r="V1645" t="str">
        <f t="shared" si="128"/>
        <v>Medium Accuracy</v>
      </c>
      <c r="W1645" t="str" cm="1">
        <f t="array" ref="W1645">_xlfn.LET(_xlpm.roles,_xlfn.UNIQUE(D1645:D4443), _xlpm.counts,COUNTIF(D1645:D4443,_xlpm.roles), INDEX(_xlpm.roles,MATCH(MAX(_xlpm.counts),_xlpm.counts,0)))</f>
        <v>Sniper</v>
      </c>
      <c r="X1645" s="2">
        <f t="shared" si="129"/>
        <v>12.809421841541756</v>
      </c>
    </row>
    <row r="1646" spans="1:24" x14ac:dyDescent="0.3">
      <c r="A1646">
        <v>1933</v>
      </c>
      <c r="B1646">
        <v>291</v>
      </c>
      <c r="C1646" t="s">
        <v>16</v>
      </c>
      <c r="D1646" t="s">
        <v>17</v>
      </c>
      <c r="E1646" t="s">
        <v>23</v>
      </c>
      <c r="F1646" t="s">
        <v>19</v>
      </c>
      <c r="G1646">
        <v>11</v>
      </c>
      <c r="H1646">
        <v>7</v>
      </c>
      <c r="I1646">
        <v>8</v>
      </c>
      <c r="J1646">
        <v>47.32</v>
      </c>
      <c r="K1646">
        <v>184.24</v>
      </c>
      <c r="L1646">
        <v>0.23</v>
      </c>
      <c r="M1646">
        <v>42.36</v>
      </c>
      <c r="N1646">
        <v>0.89</v>
      </c>
      <c r="O1646" t="s">
        <v>20</v>
      </c>
      <c r="P1646" t="s">
        <v>21</v>
      </c>
      <c r="Q1646">
        <f t="shared" si="125"/>
        <v>10</v>
      </c>
      <c r="R1646" s="4">
        <f>RANK(N1646,$N$2:N$2800,0)</f>
        <v>1815</v>
      </c>
      <c r="S1646">
        <f t="shared" si="126"/>
        <v>1.375</v>
      </c>
      <c r="T1646" t="str">
        <f t="shared" si="127"/>
        <v>Low</v>
      </c>
      <c r="U1646" t="str" cm="1">
        <f t="array" ref="U1646">_xlfn.LET(_xlpm.roles,_xlfn.UNIQUE(D1646:D4444),_xlpm.kills, SUMIF(D1646:D4444,_xlpm.roles,G1646:G4444),INDEX(_xlpm.roles,MATCH(MAX(_xlpm.kills),_xlpm.kills,0)))</f>
        <v>Sniper</v>
      </c>
      <c r="V1646" t="str">
        <f t="shared" si="128"/>
        <v>Medium Accuracy</v>
      </c>
      <c r="W1646" t="str" cm="1">
        <f t="array" ref="W1646">_xlfn.LET(_xlpm.roles,_xlfn.UNIQUE(D1646:D4444), _xlpm.counts,COUNTIF(D1646:D4444,_xlpm.roles), INDEX(_xlpm.roles,MATCH(MAX(_xlpm.counts),_xlpm.counts,0)))</f>
        <v>Sniper</v>
      </c>
      <c r="X1646" s="2">
        <f t="shared" si="129"/>
        <v>12.520971302428256</v>
      </c>
    </row>
    <row r="1647" spans="1:24" x14ac:dyDescent="0.3">
      <c r="A1647">
        <v>2207</v>
      </c>
      <c r="B1647">
        <v>291</v>
      </c>
      <c r="C1647" t="s">
        <v>30</v>
      </c>
      <c r="D1647" t="s">
        <v>31</v>
      </c>
      <c r="E1647" t="s">
        <v>23</v>
      </c>
      <c r="F1647" t="s">
        <v>26</v>
      </c>
      <c r="G1647">
        <v>19</v>
      </c>
      <c r="H1647">
        <v>9</v>
      </c>
      <c r="I1647">
        <v>16</v>
      </c>
      <c r="J1647">
        <v>38.380000000000003</v>
      </c>
      <c r="K1647">
        <v>237.6</v>
      </c>
      <c r="L1647">
        <v>0.98</v>
      </c>
      <c r="M1647">
        <v>40.39</v>
      </c>
      <c r="N1647">
        <v>0.79</v>
      </c>
      <c r="O1647" t="s">
        <v>20</v>
      </c>
      <c r="P1647" t="s">
        <v>21</v>
      </c>
      <c r="Q1647">
        <f t="shared" si="125"/>
        <v>12</v>
      </c>
      <c r="R1647" s="4">
        <f>RANK(N1647,$N$2:N$2800,0)</f>
        <v>2436</v>
      </c>
      <c r="S1647">
        <f t="shared" si="126"/>
        <v>1.1875</v>
      </c>
      <c r="T1647" t="str">
        <f t="shared" si="127"/>
        <v>Low</v>
      </c>
      <c r="U1647" t="str" cm="1">
        <f t="array" ref="U1647">_xlfn.LET(_xlpm.roles,_xlfn.UNIQUE(D1647:D4445),_xlpm.kills, SUMIF(D1647:D4445,_xlpm.roles,G1647:G4445),INDEX(_xlpm.roles,MATCH(MAX(_xlpm.kills),_xlpm.kills,0)))</f>
        <v>Sniper</v>
      </c>
      <c r="V1647" t="str">
        <f t="shared" si="128"/>
        <v>Medium Accuracy</v>
      </c>
      <c r="W1647" t="str" cm="1">
        <f t="array" ref="W1647">_xlfn.LET(_xlpm.roles,_xlfn.UNIQUE(D1647:D4445), _xlpm.counts,COUNTIF(D1647:D4445,_xlpm.roles), INDEX(_xlpm.roles,MATCH(MAX(_xlpm.counts),_xlpm.counts,0)))</f>
        <v>Sniper</v>
      </c>
      <c r="X1647" s="2">
        <f t="shared" si="129"/>
        <v>13.135802469135802</v>
      </c>
    </row>
    <row r="1648" spans="1:24" x14ac:dyDescent="0.3">
      <c r="A1648">
        <v>301</v>
      </c>
      <c r="B1648">
        <v>292</v>
      </c>
      <c r="C1648" t="s">
        <v>39</v>
      </c>
      <c r="D1648" t="s">
        <v>36</v>
      </c>
      <c r="E1648" t="s">
        <v>23</v>
      </c>
      <c r="F1648" t="s">
        <v>34</v>
      </c>
      <c r="G1648">
        <v>16</v>
      </c>
      <c r="H1648">
        <v>8</v>
      </c>
      <c r="I1648">
        <v>11</v>
      </c>
      <c r="J1648">
        <v>59.94</v>
      </c>
      <c r="K1648">
        <v>257.3</v>
      </c>
      <c r="L1648">
        <v>0.78</v>
      </c>
      <c r="M1648">
        <v>51.17</v>
      </c>
      <c r="N1648">
        <v>1</v>
      </c>
      <c r="O1648" t="s">
        <v>20</v>
      </c>
      <c r="P1648" t="s">
        <v>21</v>
      </c>
      <c r="Q1648">
        <f t="shared" si="125"/>
        <v>13</v>
      </c>
      <c r="R1648" s="4">
        <f>RANK(N1648,$N$2:N$2800,0)</f>
        <v>1</v>
      </c>
      <c r="S1648">
        <f t="shared" si="126"/>
        <v>1.4545454545454546</v>
      </c>
      <c r="T1648" t="str">
        <f t="shared" si="127"/>
        <v>Low</v>
      </c>
      <c r="U1648" t="str" cm="1">
        <f t="array" ref="U1648">_xlfn.LET(_xlpm.roles,_xlfn.UNIQUE(D1648:D4446),_xlpm.kills, SUMIF(D1648:D4446,_xlpm.roles,G1648:G4446),INDEX(_xlpm.roles,MATCH(MAX(_xlpm.kills),_xlpm.kills,0)))</f>
        <v>Sniper</v>
      </c>
      <c r="V1648" t="str">
        <f t="shared" si="128"/>
        <v>High Accuracy</v>
      </c>
      <c r="W1648" t="str" cm="1">
        <f t="array" ref="W1648">_xlfn.LET(_xlpm.roles,_xlfn.UNIQUE(D1648:D4446), _xlpm.counts,COUNTIF(D1648:D4446,_xlpm.roles), INDEX(_xlpm.roles,MATCH(MAX(_xlpm.counts),_xlpm.counts,0)))</f>
        <v>Sniper</v>
      </c>
      <c r="X1648" s="2">
        <f t="shared" si="129"/>
        <v>13.103594080338267</v>
      </c>
    </row>
    <row r="1649" spans="1:24" x14ac:dyDescent="0.3">
      <c r="A1649">
        <v>894</v>
      </c>
      <c r="B1649">
        <v>292</v>
      </c>
      <c r="C1649" t="s">
        <v>25</v>
      </c>
      <c r="D1649" t="s">
        <v>36</v>
      </c>
      <c r="E1649" t="s">
        <v>18</v>
      </c>
      <c r="F1649" t="s">
        <v>34</v>
      </c>
      <c r="G1649">
        <v>14</v>
      </c>
      <c r="H1649">
        <v>7</v>
      </c>
      <c r="I1649">
        <v>14</v>
      </c>
      <c r="J1649">
        <v>37.75</v>
      </c>
      <c r="K1649">
        <v>197.02</v>
      </c>
      <c r="L1649">
        <v>0.43</v>
      </c>
      <c r="M1649">
        <v>35.58</v>
      </c>
      <c r="N1649">
        <v>0.88</v>
      </c>
      <c r="O1649" t="s">
        <v>20</v>
      </c>
      <c r="P1649" t="s">
        <v>21</v>
      </c>
      <c r="Q1649">
        <f t="shared" si="125"/>
        <v>7</v>
      </c>
      <c r="R1649" s="4">
        <f>RANK(N1649,$N$2:N$2800,0)</f>
        <v>1894</v>
      </c>
      <c r="S1649">
        <f t="shared" si="126"/>
        <v>1</v>
      </c>
      <c r="T1649" t="str">
        <f t="shared" si="127"/>
        <v>Low</v>
      </c>
      <c r="U1649" t="str" cm="1">
        <f t="array" ref="U1649">_xlfn.LET(_xlpm.roles,_xlfn.UNIQUE(D1649:D4447),_xlpm.kills, SUMIF(D1649:D4447,_xlpm.roles,G1649:G4447),INDEX(_xlpm.roles,MATCH(MAX(_xlpm.kills),_xlpm.kills,0)))</f>
        <v>Sniper</v>
      </c>
      <c r="V1649" t="str">
        <f t="shared" si="128"/>
        <v>Medium Accuracy</v>
      </c>
      <c r="W1649" t="str" cm="1">
        <f t="array" ref="W1649">_xlfn.LET(_xlpm.roles,_xlfn.UNIQUE(D1649:D4447), _xlpm.counts,COUNTIF(D1649:D4447,_xlpm.roles), INDEX(_xlpm.roles,MATCH(MAX(_xlpm.counts),_xlpm.counts,0)))</f>
        <v>Sniper</v>
      </c>
      <c r="X1649" s="2">
        <f t="shared" si="129"/>
        <v>12.809421841541756</v>
      </c>
    </row>
    <row r="1650" spans="1:24" x14ac:dyDescent="0.3">
      <c r="A1650">
        <v>1554</v>
      </c>
      <c r="B1650">
        <v>292</v>
      </c>
      <c r="C1650" t="s">
        <v>25</v>
      </c>
      <c r="D1650" t="s">
        <v>17</v>
      </c>
      <c r="E1650" t="s">
        <v>32</v>
      </c>
      <c r="F1650" t="s">
        <v>34</v>
      </c>
      <c r="G1650">
        <v>11</v>
      </c>
      <c r="H1650">
        <v>8</v>
      </c>
      <c r="I1650">
        <v>9</v>
      </c>
      <c r="J1650">
        <v>51.24</v>
      </c>
      <c r="K1650">
        <v>256.41000000000003</v>
      </c>
      <c r="L1650">
        <v>0.01</v>
      </c>
      <c r="M1650">
        <v>46.52</v>
      </c>
      <c r="N1650">
        <v>1</v>
      </c>
      <c r="O1650" t="s">
        <v>20</v>
      </c>
      <c r="P1650" t="s">
        <v>21</v>
      </c>
      <c r="Q1650">
        <f t="shared" si="125"/>
        <v>10</v>
      </c>
      <c r="R1650" s="4">
        <f>RANK(N1650,$N$2:N$2800,0)</f>
        <v>1</v>
      </c>
      <c r="S1650">
        <f t="shared" si="126"/>
        <v>1.2222222222222223</v>
      </c>
      <c r="T1650" t="str">
        <f t="shared" si="127"/>
        <v>Low</v>
      </c>
      <c r="U1650" t="str" cm="1">
        <f t="array" ref="U1650">_xlfn.LET(_xlpm.roles,_xlfn.UNIQUE(D1650:D4448),_xlpm.kills, SUMIF(D1650:D4448,_xlpm.roles,G1650:G4448),INDEX(_xlpm.roles,MATCH(MAX(_xlpm.kills),_xlpm.kills,0)))</f>
        <v>Sniper</v>
      </c>
      <c r="V1650" t="str">
        <f t="shared" si="128"/>
        <v>High Accuracy</v>
      </c>
      <c r="W1650" t="str" cm="1">
        <f t="array" ref="W1650">_xlfn.LET(_xlpm.roles,_xlfn.UNIQUE(D1650:D4448), _xlpm.counts,COUNTIF(D1650:D4448,_xlpm.roles), INDEX(_xlpm.roles,MATCH(MAX(_xlpm.counts),_xlpm.counts,0)))</f>
        <v>Sniper</v>
      </c>
      <c r="X1650" s="2">
        <f t="shared" si="129"/>
        <v>12.809421841541756</v>
      </c>
    </row>
    <row r="1651" spans="1:24" x14ac:dyDescent="0.3">
      <c r="A1651">
        <v>1785</v>
      </c>
      <c r="B1651">
        <v>292</v>
      </c>
      <c r="C1651" t="s">
        <v>35</v>
      </c>
      <c r="D1651" t="s">
        <v>28</v>
      </c>
      <c r="E1651" t="s">
        <v>23</v>
      </c>
      <c r="F1651" t="s">
        <v>34</v>
      </c>
      <c r="G1651">
        <v>21</v>
      </c>
      <c r="H1651">
        <v>8</v>
      </c>
      <c r="I1651">
        <v>8</v>
      </c>
      <c r="J1651">
        <v>35.409999999999997</v>
      </c>
      <c r="K1651">
        <v>234.06</v>
      </c>
      <c r="L1651">
        <v>0.22</v>
      </c>
      <c r="M1651">
        <v>57.5</v>
      </c>
      <c r="N1651">
        <v>1</v>
      </c>
      <c r="O1651" t="s">
        <v>20</v>
      </c>
      <c r="P1651" t="s">
        <v>21</v>
      </c>
      <c r="Q1651">
        <f t="shared" si="125"/>
        <v>21</v>
      </c>
      <c r="R1651" s="4">
        <f>RANK(N1651,$N$2:N$2800,0)</f>
        <v>1</v>
      </c>
      <c r="S1651">
        <f t="shared" si="126"/>
        <v>2.625</v>
      </c>
      <c r="T1651" t="str">
        <f t="shared" si="127"/>
        <v>Good</v>
      </c>
      <c r="U1651" t="str" cm="1">
        <f t="array" ref="U1651">_xlfn.LET(_xlpm.roles,_xlfn.UNIQUE(D1651:D4449),_xlpm.kills, SUMIF(D1651:D4449,_xlpm.roles,G1651:G4449),INDEX(_xlpm.roles,MATCH(MAX(_xlpm.kills),_xlpm.kills,0)))</f>
        <v>Sniper</v>
      </c>
      <c r="V1651" t="str">
        <f t="shared" si="128"/>
        <v>Medium Accuracy</v>
      </c>
      <c r="W1651" t="str" cm="1">
        <f t="array" ref="W1651">_xlfn.LET(_xlpm.roles,_xlfn.UNIQUE(D1651:D4449), _xlpm.counts,COUNTIF(D1651:D4449,_xlpm.roles), INDEX(_xlpm.roles,MATCH(MAX(_xlpm.counts),_xlpm.counts,0)))</f>
        <v>Sniper</v>
      </c>
      <c r="X1651" s="2">
        <f t="shared" si="129"/>
        <v>12.599585062240664</v>
      </c>
    </row>
    <row r="1652" spans="1:24" x14ac:dyDescent="0.3">
      <c r="A1652">
        <v>2554</v>
      </c>
      <c r="B1652">
        <v>292</v>
      </c>
      <c r="C1652" t="s">
        <v>25</v>
      </c>
      <c r="D1652" t="s">
        <v>22</v>
      </c>
      <c r="E1652" t="s">
        <v>29</v>
      </c>
      <c r="F1652" t="s">
        <v>24</v>
      </c>
      <c r="G1652">
        <v>16</v>
      </c>
      <c r="H1652">
        <v>10</v>
      </c>
      <c r="I1652">
        <v>8</v>
      </c>
      <c r="J1652">
        <v>55.44</v>
      </c>
      <c r="K1652">
        <v>211.49</v>
      </c>
      <c r="L1652">
        <v>0.06</v>
      </c>
      <c r="M1652">
        <v>61.12</v>
      </c>
      <c r="N1652">
        <v>1</v>
      </c>
      <c r="O1652" t="s">
        <v>20</v>
      </c>
      <c r="P1652" t="s">
        <v>38</v>
      </c>
      <c r="Q1652">
        <f t="shared" si="125"/>
        <v>18</v>
      </c>
      <c r="R1652" s="4">
        <f>RANK(N1652,$N$2:N$2800,0)</f>
        <v>1</v>
      </c>
      <c r="S1652">
        <f t="shared" si="126"/>
        <v>2</v>
      </c>
      <c r="T1652" t="str">
        <f t="shared" si="127"/>
        <v>Good</v>
      </c>
      <c r="U1652" t="str" cm="1">
        <f t="array" ref="U1652">_xlfn.LET(_xlpm.roles,_xlfn.UNIQUE(D1652:D4450),_xlpm.kills, SUMIF(D1652:D4450,_xlpm.roles,G1652:G4450),INDEX(_xlpm.roles,MATCH(MAX(_xlpm.kills),_xlpm.kills,0)))</f>
        <v>Sniper</v>
      </c>
      <c r="V1652" t="str">
        <f t="shared" si="128"/>
        <v>High Accuracy</v>
      </c>
      <c r="W1652" t="str" cm="1">
        <f t="array" ref="W1652">_xlfn.LET(_xlpm.roles,_xlfn.UNIQUE(D1652:D4450), _xlpm.counts,COUNTIF(D1652:D4450,_xlpm.roles), INDEX(_xlpm.roles,MATCH(MAX(_xlpm.counts),_xlpm.counts,0)))</f>
        <v>Sniper</v>
      </c>
      <c r="X1652" s="2">
        <f t="shared" si="129"/>
        <v>12.809421841541756</v>
      </c>
    </row>
    <row r="1653" spans="1:24" x14ac:dyDescent="0.3">
      <c r="A1653">
        <v>1304</v>
      </c>
      <c r="B1653">
        <v>293</v>
      </c>
      <c r="C1653" t="s">
        <v>35</v>
      </c>
      <c r="D1653" t="s">
        <v>36</v>
      </c>
      <c r="E1653" t="s">
        <v>32</v>
      </c>
      <c r="F1653" t="s">
        <v>24</v>
      </c>
      <c r="G1653">
        <v>11</v>
      </c>
      <c r="H1653">
        <v>5</v>
      </c>
      <c r="I1653">
        <v>12</v>
      </c>
      <c r="J1653">
        <v>48.16</v>
      </c>
      <c r="K1653">
        <v>232.78</v>
      </c>
      <c r="L1653">
        <v>0.63</v>
      </c>
      <c r="M1653">
        <v>32.78</v>
      </c>
      <c r="N1653">
        <v>1</v>
      </c>
      <c r="O1653" t="s">
        <v>20</v>
      </c>
      <c r="P1653" t="s">
        <v>21</v>
      </c>
      <c r="Q1653">
        <f t="shared" si="125"/>
        <v>4</v>
      </c>
      <c r="R1653" s="4">
        <f>RANK(N1653,$N$2:N$2800,0)</f>
        <v>1</v>
      </c>
      <c r="S1653">
        <f t="shared" si="126"/>
        <v>0.91666666666666663</v>
      </c>
      <c r="T1653" t="str">
        <f t="shared" si="127"/>
        <v>Low</v>
      </c>
      <c r="U1653" t="str" cm="1">
        <f t="array" ref="U1653">_xlfn.LET(_xlpm.roles,_xlfn.UNIQUE(D1653:D4451),_xlpm.kills, SUMIF(D1653:D4451,_xlpm.roles,G1653:G4451),INDEX(_xlpm.roles,MATCH(MAX(_xlpm.kills),_xlpm.kills,0)))</f>
        <v>Sniper</v>
      </c>
      <c r="V1653" t="str">
        <f t="shared" si="128"/>
        <v>Medium Accuracy</v>
      </c>
      <c r="W1653" t="str" cm="1">
        <f t="array" ref="W1653">_xlfn.LET(_xlpm.roles,_xlfn.UNIQUE(D1653:D4451), _xlpm.counts,COUNTIF(D1653:D4451,_xlpm.roles), INDEX(_xlpm.roles,MATCH(MAX(_xlpm.counts),_xlpm.counts,0)))</f>
        <v>Sniper</v>
      </c>
      <c r="X1653" s="2">
        <f t="shared" si="129"/>
        <v>12.599585062240664</v>
      </c>
    </row>
    <row r="1654" spans="1:24" x14ac:dyDescent="0.3">
      <c r="A1654">
        <v>2258</v>
      </c>
      <c r="B1654">
        <v>293</v>
      </c>
      <c r="C1654" t="s">
        <v>25</v>
      </c>
      <c r="D1654" t="s">
        <v>22</v>
      </c>
      <c r="E1654" t="s">
        <v>18</v>
      </c>
      <c r="F1654" t="s">
        <v>19</v>
      </c>
      <c r="G1654">
        <v>10</v>
      </c>
      <c r="H1654">
        <v>5</v>
      </c>
      <c r="I1654">
        <v>9</v>
      </c>
      <c r="J1654">
        <v>51.37</v>
      </c>
      <c r="K1654">
        <v>266.16000000000003</v>
      </c>
      <c r="L1654">
        <v>0.16</v>
      </c>
      <c r="M1654">
        <v>40.090000000000003</v>
      </c>
      <c r="N1654">
        <v>1</v>
      </c>
      <c r="O1654" t="s">
        <v>20</v>
      </c>
      <c r="P1654" t="s">
        <v>21</v>
      </c>
      <c r="Q1654">
        <f t="shared" si="125"/>
        <v>6</v>
      </c>
      <c r="R1654" s="4">
        <f>RANK(N1654,$N$2:N$2800,0)</f>
        <v>1</v>
      </c>
      <c r="S1654">
        <f t="shared" si="126"/>
        <v>1.1111111111111112</v>
      </c>
      <c r="T1654" t="str">
        <f t="shared" si="127"/>
        <v>Low</v>
      </c>
      <c r="U1654" t="str" cm="1">
        <f t="array" ref="U1654">_xlfn.LET(_xlpm.roles,_xlfn.UNIQUE(D1654:D4452),_xlpm.kills, SUMIF(D1654:D4452,_xlpm.roles,G1654:G4452),INDEX(_xlpm.roles,MATCH(MAX(_xlpm.kills),_xlpm.kills,0)))</f>
        <v>Sniper</v>
      </c>
      <c r="V1654" t="str">
        <f t="shared" si="128"/>
        <v>High Accuracy</v>
      </c>
      <c r="W1654" t="str" cm="1">
        <f t="array" ref="W1654">_xlfn.LET(_xlpm.roles,_xlfn.UNIQUE(D1654:D4452), _xlpm.counts,COUNTIF(D1654:D4452,_xlpm.roles), INDEX(_xlpm.roles,MATCH(MAX(_xlpm.counts),_xlpm.counts,0)))</f>
        <v>Sniper</v>
      </c>
      <c r="X1654" s="2">
        <f t="shared" si="129"/>
        <v>12.809421841541756</v>
      </c>
    </row>
    <row r="1655" spans="1:24" x14ac:dyDescent="0.3">
      <c r="A1655">
        <v>985</v>
      </c>
      <c r="B1655">
        <v>294</v>
      </c>
      <c r="C1655" t="s">
        <v>25</v>
      </c>
      <c r="D1655" t="s">
        <v>28</v>
      </c>
      <c r="E1655" t="s">
        <v>33</v>
      </c>
      <c r="F1655" t="s">
        <v>37</v>
      </c>
      <c r="G1655">
        <v>24</v>
      </c>
      <c r="H1655">
        <v>12</v>
      </c>
      <c r="I1655">
        <v>19</v>
      </c>
      <c r="J1655">
        <v>44.83</v>
      </c>
      <c r="K1655">
        <v>226.95</v>
      </c>
      <c r="L1655">
        <v>0.85</v>
      </c>
      <c r="M1655">
        <v>54.91</v>
      </c>
      <c r="N1655">
        <v>1</v>
      </c>
      <c r="O1655" t="s">
        <v>20</v>
      </c>
      <c r="P1655" t="s">
        <v>21</v>
      </c>
      <c r="Q1655">
        <f t="shared" si="125"/>
        <v>17</v>
      </c>
      <c r="R1655" s="4">
        <f>RANK(N1655,$N$2:N$2800,0)</f>
        <v>1</v>
      </c>
      <c r="S1655">
        <f t="shared" si="126"/>
        <v>1.263157894736842</v>
      </c>
      <c r="T1655" t="str">
        <f t="shared" si="127"/>
        <v>Good</v>
      </c>
      <c r="U1655" t="str" cm="1">
        <f t="array" ref="U1655">_xlfn.LET(_xlpm.roles,_xlfn.UNIQUE(D1655:D4453),_xlpm.kills, SUMIF(D1655:D4453,_xlpm.roles,G1655:G4453),INDEX(_xlpm.roles,MATCH(MAX(_xlpm.kills),_xlpm.kills,0)))</f>
        <v>Sniper</v>
      </c>
      <c r="V1655" t="str">
        <f t="shared" si="128"/>
        <v>Medium Accuracy</v>
      </c>
      <c r="W1655" t="str" cm="1">
        <f t="array" ref="W1655">_xlfn.LET(_xlpm.roles,_xlfn.UNIQUE(D1655:D4453), _xlpm.counts,COUNTIF(D1655:D4453,_xlpm.roles), INDEX(_xlpm.roles,MATCH(MAX(_xlpm.counts),_xlpm.counts,0)))</f>
        <v>Sniper</v>
      </c>
      <c r="X1655" s="2">
        <f t="shared" si="129"/>
        <v>12.809421841541756</v>
      </c>
    </row>
    <row r="1656" spans="1:24" x14ac:dyDescent="0.3">
      <c r="A1656">
        <v>1961</v>
      </c>
      <c r="B1656">
        <v>294</v>
      </c>
      <c r="C1656" t="s">
        <v>39</v>
      </c>
      <c r="D1656" t="s">
        <v>31</v>
      </c>
      <c r="E1656" t="s">
        <v>18</v>
      </c>
      <c r="F1656" t="s">
        <v>26</v>
      </c>
      <c r="G1656">
        <v>14</v>
      </c>
      <c r="H1656">
        <v>13</v>
      </c>
      <c r="I1656">
        <v>17</v>
      </c>
      <c r="J1656">
        <v>34.47</v>
      </c>
      <c r="K1656">
        <v>189.01</v>
      </c>
      <c r="L1656">
        <v>0.64</v>
      </c>
      <c r="M1656">
        <v>34.840000000000003</v>
      </c>
      <c r="N1656">
        <v>0.92</v>
      </c>
      <c r="O1656" t="s">
        <v>20</v>
      </c>
      <c r="P1656" t="s">
        <v>21</v>
      </c>
      <c r="Q1656">
        <f t="shared" si="125"/>
        <v>10</v>
      </c>
      <c r="R1656" s="4">
        <f>RANK(N1656,$N$2:N$2800,0)</f>
        <v>1585</v>
      </c>
      <c r="S1656">
        <f t="shared" si="126"/>
        <v>0.82352941176470584</v>
      </c>
      <c r="T1656" t="str">
        <f t="shared" si="127"/>
        <v>Low</v>
      </c>
      <c r="U1656" t="str" cm="1">
        <f t="array" ref="U1656">_xlfn.LET(_xlpm.roles,_xlfn.UNIQUE(D1656:D4454),_xlpm.kills, SUMIF(D1656:D4454,_xlpm.roles,G1656:G4454),INDEX(_xlpm.roles,MATCH(MAX(_xlpm.kills),_xlpm.kills,0)))</f>
        <v>Sniper</v>
      </c>
      <c r="V1656" t="str">
        <f t="shared" si="128"/>
        <v>Medium Accuracy</v>
      </c>
      <c r="W1656" t="str" cm="1">
        <f t="array" ref="W1656">_xlfn.LET(_xlpm.roles,_xlfn.UNIQUE(D1656:D4454), _xlpm.counts,COUNTIF(D1656:D4454,_xlpm.roles), INDEX(_xlpm.roles,MATCH(MAX(_xlpm.counts),_xlpm.counts,0)))</f>
        <v>Sniper</v>
      </c>
      <c r="X1656" s="2">
        <f t="shared" si="129"/>
        <v>13.103594080338267</v>
      </c>
    </row>
    <row r="1657" spans="1:24" x14ac:dyDescent="0.3">
      <c r="A1657">
        <v>2325</v>
      </c>
      <c r="B1657">
        <v>294</v>
      </c>
      <c r="C1657" t="s">
        <v>25</v>
      </c>
      <c r="D1657" t="s">
        <v>22</v>
      </c>
      <c r="E1657" t="s">
        <v>29</v>
      </c>
      <c r="F1657" t="s">
        <v>37</v>
      </c>
      <c r="G1657">
        <v>11</v>
      </c>
      <c r="H1657">
        <v>6</v>
      </c>
      <c r="I1657">
        <v>9</v>
      </c>
      <c r="J1657">
        <v>41.22</v>
      </c>
      <c r="K1657">
        <v>174.75</v>
      </c>
      <c r="L1657">
        <v>0.14000000000000001</v>
      </c>
      <c r="M1657">
        <v>38.21</v>
      </c>
      <c r="N1657">
        <v>0.97</v>
      </c>
      <c r="O1657" t="s">
        <v>20</v>
      </c>
      <c r="P1657" t="s">
        <v>21</v>
      </c>
      <c r="Q1657">
        <f t="shared" si="125"/>
        <v>8</v>
      </c>
      <c r="R1657" s="4">
        <f>RANK(N1657,$N$2:N$2800,0)</f>
        <v>1243</v>
      </c>
      <c r="S1657">
        <f t="shared" si="126"/>
        <v>1.2222222222222223</v>
      </c>
      <c r="T1657" t="str">
        <f t="shared" si="127"/>
        <v>Low</v>
      </c>
      <c r="U1657" t="str" cm="1">
        <f t="array" ref="U1657">_xlfn.LET(_xlpm.roles,_xlfn.UNIQUE(D1657:D4455),_xlpm.kills, SUMIF(D1657:D4455,_xlpm.roles,G1657:G4455),INDEX(_xlpm.roles,MATCH(MAX(_xlpm.kills),_xlpm.kills,0)))</f>
        <v>Sniper</v>
      </c>
      <c r="V1657" t="str">
        <f t="shared" si="128"/>
        <v>Medium Accuracy</v>
      </c>
      <c r="W1657" t="str" cm="1">
        <f t="array" ref="W1657">_xlfn.LET(_xlpm.roles,_xlfn.UNIQUE(D1657:D4455), _xlpm.counts,COUNTIF(D1657:D4455,_xlpm.roles), INDEX(_xlpm.roles,MATCH(MAX(_xlpm.counts),_xlpm.counts,0)))</f>
        <v>Sniper</v>
      </c>
      <c r="X1657" s="2">
        <f t="shared" si="129"/>
        <v>12.809421841541756</v>
      </c>
    </row>
    <row r="1658" spans="1:24" x14ac:dyDescent="0.3">
      <c r="A1658">
        <v>2633</v>
      </c>
      <c r="B1658">
        <v>294</v>
      </c>
      <c r="C1658" t="s">
        <v>39</v>
      </c>
      <c r="D1658" t="s">
        <v>36</v>
      </c>
      <c r="E1658" t="s">
        <v>23</v>
      </c>
      <c r="F1658" t="s">
        <v>34</v>
      </c>
      <c r="G1658">
        <v>12</v>
      </c>
      <c r="H1658">
        <v>11</v>
      </c>
      <c r="I1658">
        <v>8</v>
      </c>
      <c r="J1658">
        <v>42.9</v>
      </c>
      <c r="K1658">
        <v>224.94</v>
      </c>
      <c r="L1658">
        <v>0.89</v>
      </c>
      <c r="M1658">
        <v>39.549999999999997</v>
      </c>
      <c r="N1658">
        <v>0.89</v>
      </c>
      <c r="O1658" t="s">
        <v>20</v>
      </c>
      <c r="P1658" t="s">
        <v>21</v>
      </c>
      <c r="Q1658">
        <f t="shared" si="125"/>
        <v>15</v>
      </c>
      <c r="R1658" s="4">
        <f>RANK(N1658,$N$2:N$2800,0)</f>
        <v>1815</v>
      </c>
      <c r="S1658">
        <f t="shared" si="126"/>
        <v>1.5</v>
      </c>
      <c r="T1658" t="str">
        <f t="shared" si="127"/>
        <v>Good</v>
      </c>
      <c r="U1658" t="str" cm="1">
        <f t="array" ref="U1658">_xlfn.LET(_xlpm.roles,_xlfn.UNIQUE(D1658:D4456),_xlpm.kills, SUMIF(D1658:D4456,_xlpm.roles,G1658:G4456),INDEX(_xlpm.roles,MATCH(MAX(_xlpm.kills),_xlpm.kills,0)))</f>
        <v>Sniper</v>
      </c>
      <c r="V1658" t="str">
        <f t="shared" si="128"/>
        <v>Medium Accuracy</v>
      </c>
      <c r="W1658" t="str" cm="1">
        <f t="array" ref="W1658">_xlfn.LET(_xlpm.roles,_xlfn.UNIQUE(D1658:D4456), _xlpm.counts,COUNTIF(D1658:D4456,_xlpm.roles), INDEX(_xlpm.roles,MATCH(MAX(_xlpm.counts),_xlpm.counts,0)))</f>
        <v>Sniper</v>
      </c>
      <c r="X1658" s="2">
        <f t="shared" si="129"/>
        <v>13.103594080338267</v>
      </c>
    </row>
    <row r="1659" spans="1:24" x14ac:dyDescent="0.3">
      <c r="A1659">
        <v>13</v>
      </c>
      <c r="B1659">
        <v>295</v>
      </c>
      <c r="C1659" t="s">
        <v>16</v>
      </c>
      <c r="D1659" t="s">
        <v>17</v>
      </c>
      <c r="E1659" t="s">
        <v>18</v>
      </c>
      <c r="F1659" t="s">
        <v>19</v>
      </c>
      <c r="G1659">
        <v>18</v>
      </c>
      <c r="H1659">
        <v>7</v>
      </c>
      <c r="I1659">
        <v>16</v>
      </c>
      <c r="J1659">
        <v>41.38</v>
      </c>
      <c r="K1659">
        <v>243.31</v>
      </c>
      <c r="L1659">
        <v>0.39</v>
      </c>
      <c r="M1659">
        <v>43.79</v>
      </c>
      <c r="N1659">
        <v>0.89</v>
      </c>
      <c r="O1659" t="s">
        <v>20</v>
      </c>
      <c r="P1659" t="s">
        <v>21</v>
      </c>
      <c r="Q1659">
        <f t="shared" si="125"/>
        <v>9</v>
      </c>
      <c r="R1659" s="4">
        <f>RANK(N1659,$N$2:N$2800,0)</f>
        <v>1815</v>
      </c>
      <c r="S1659">
        <f t="shared" si="126"/>
        <v>1.125</v>
      </c>
      <c r="T1659" t="str">
        <f t="shared" si="127"/>
        <v>Low</v>
      </c>
      <c r="U1659" t="str" cm="1">
        <f t="array" ref="U1659">_xlfn.LET(_xlpm.roles,_xlfn.UNIQUE(D1659:D4457),_xlpm.kills, SUMIF(D1659:D4457,_xlpm.roles,G1659:G4457),INDEX(_xlpm.roles,MATCH(MAX(_xlpm.kills),_xlpm.kills,0)))</f>
        <v>Sniper</v>
      </c>
      <c r="V1659" t="str">
        <f t="shared" si="128"/>
        <v>Medium Accuracy</v>
      </c>
      <c r="W1659" t="str" cm="1">
        <f t="array" ref="W1659">_xlfn.LET(_xlpm.roles,_xlfn.UNIQUE(D1659:D4457), _xlpm.counts,COUNTIF(D1659:D4457,_xlpm.roles), INDEX(_xlpm.roles,MATCH(MAX(_xlpm.counts),_xlpm.counts,0)))</f>
        <v>Sniper</v>
      </c>
      <c r="X1659" s="2">
        <f t="shared" si="129"/>
        <v>12.520971302428256</v>
      </c>
    </row>
    <row r="1660" spans="1:24" x14ac:dyDescent="0.3">
      <c r="A1660">
        <v>1371</v>
      </c>
      <c r="B1660">
        <v>295</v>
      </c>
      <c r="C1660" t="s">
        <v>39</v>
      </c>
      <c r="D1660" t="s">
        <v>28</v>
      </c>
      <c r="E1660" t="s">
        <v>18</v>
      </c>
      <c r="F1660" t="s">
        <v>26</v>
      </c>
      <c r="G1660">
        <v>17</v>
      </c>
      <c r="H1660">
        <v>6</v>
      </c>
      <c r="I1660">
        <v>11</v>
      </c>
      <c r="J1660">
        <v>38.409999999999997</v>
      </c>
      <c r="K1660">
        <v>198.55</v>
      </c>
      <c r="L1660">
        <v>7.0000000000000007E-2</v>
      </c>
      <c r="M1660">
        <v>47.5</v>
      </c>
      <c r="N1660">
        <v>0.92</v>
      </c>
      <c r="O1660" t="s">
        <v>20</v>
      </c>
      <c r="P1660" t="s">
        <v>21</v>
      </c>
      <c r="Q1660">
        <f t="shared" si="125"/>
        <v>12</v>
      </c>
      <c r="R1660" s="4">
        <f>RANK(N1660,$N$2:N$2800,0)</f>
        <v>1585</v>
      </c>
      <c r="S1660">
        <f t="shared" si="126"/>
        <v>1.5454545454545454</v>
      </c>
      <c r="T1660" t="str">
        <f t="shared" si="127"/>
        <v>Low</v>
      </c>
      <c r="U1660" t="str" cm="1">
        <f t="array" ref="U1660">_xlfn.LET(_xlpm.roles,_xlfn.UNIQUE(D1660:D4458),_xlpm.kills, SUMIF(D1660:D4458,_xlpm.roles,G1660:G4458),INDEX(_xlpm.roles,MATCH(MAX(_xlpm.kills),_xlpm.kills,0)))</f>
        <v>Sniper</v>
      </c>
      <c r="V1660" t="str">
        <f t="shared" si="128"/>
        <v>Medium Accuracy</v>
      </c>
      <c r="W1660" t="str" cm="1">
        <f t="array" ref="W1660">_xlfn.LET(_xlpm.roles,_xlfn.UNIQUE(D1660:D4458), _xlpm.counts,COUNTIF(D1660:D4458,_xlpm.roles), INDEX(_xlpm.roles,MATCH(MAX(_xlpm.counts),_xlpm.counts,0)))</f>
        <v>Sniper</v>
      </c>
      <c r="X1660" s="2">
        <f t="shared" si="129"/>
        <v>13.103594080338267</v>
      </c>
    </row>
    <row r="1661" spans="1:24" x14ac:dyDescent="0.3">
      <c r="A1661">
        <v>2290</v>
      </c>
      <c r="B1661">
        <v>295</v>
      </c>
      <c r="C1661" t="s">
        <v>39</v>
      </c>
      <c r="D1661" t="s">
        <v>17</v>
      </c>
      <c r="E1661" t="s">
        <v>18</v>
      </c>
      <c r="F1661" t="s">
        <v>34</v>
      </c>
      <c r="G1661">
        <v>11</v>
      </c>
      <c r="H1661">
        <v>7</v>
      </c>
      <c r="I1661">
        <v>5</v>
      </c>
      <c r="J1661">
        <v>53.56</v>
      </c>
      <c r="K1661">
        <v>213.33</v>
      </c>
      <c r="L1661">
        <v>0.03</v>
      </c>
      <c r="M1661">
        <v>50.48</v>
      </c>
      <c r="N1661">
        <v>1</v>
      </c>
      <c r="O1661" t="s">
        <v>20</v>
      </c>
      <c r="P1661" t="s">
        <v>21</v>
      </c>
      <c r="Q1661">
        <f t="shared" si="125"/>
        <v>13</v>
      </c>
      <c r="R1661" s="4">
        <f>RANK(N1661,$N$2:N$2800,0)</f>
        <v>1</v>
      </c>
      <c r="S1661">
        <f t="shared" si="126"/>
        <v>2.2000000000000002</v>
      </c>
      <c r="T1661" t="str">
        <f t="shared" si="127"/>
        <v>Low</v>
      </c>
      <c r="U1661" t="str" cm="1">
        <f t="array" ref="U1661">_xlfn.LET(_xlpm.roles,_xlfn.UNIQUE(D1661:D4459),_xlpm.kills, SUMIF(D1661:D4459,_xlpm.roles,G1661:G4459),INDEX(_xlpm.roles,MATCH(MAX(_xlpm.kills),_xlpm.kills,0)))</f>
        <v>Sniper</v>
      </c>
      <c r="V1661" t="str">
        <f t="shared" si="128"/>
        <v>High Accuracy</v>
      </c>
      <c r="W1661" t="str" cm="1">
        <f t="array" ref="W1661">_xlfn.LET(_xlpm.roles,_xlfn.UNIQUE(D1661:D4459), _xlpm.counts,COUNTIF(D1661:D4459,_xlpm.roles), INDEX(_xlpm.roles,MATCH(MAX(_xlpm.counts),_xlpm.counts,0)))</f>
        <v>Sniper</v>
      </c>
      <c r="X1661" s="2">
        <f t="shared" si="129"/>
        <v>13.103594080338267</v>
      </c>
    </row>
    <row r="1662" spans="1:24" x14ac:dyDescent="0.3">
      <c r="A1662">
        <v>2790</v>
      </c>
      <c r="B1662">
        <v>295</v>
      </c>
      <c r="C1662" t="s">
        <v>30</v>
      </c>
      <c r="D1662" t="s">
        <v>28</v>
      </c>
      <c r="E1662" t="s">
        <v>29</v>
      </c>
      <c r="F1662" t="s">
        <v>24</v>
      </c>
      <c r="G1662">
        <v>15</v>
      </c>
      <c r="H1662">
        <v>8</v>
      </c>
      <c r="I1662">
        <v>10</v>
      </c>
      <c r="J1662">
        <v>52.87</v>
      </c>
      <c r="K1662">
        <v>225.44</v>
      </c>
      <c r="L1662">
        <v>0.6</v>
      </c>
      <c r="M1662">
        <v>48.44</v>
      </c>
      <c r="N1662">
        <v>0.97</v>
      </c>
      <c r="O1662" t="s">
        <v>20</v>
      </c>
      <c r="P1662" t="s">
        <v>21</v>
      </c>
      <c r="Q1662">
        <f t="shared" si="125"/>
        <v>13</v>
      </c>
      <c r="R1662" s="4">
        <f>RANK(N1662,$N$2:N$2800,0)</f>
        <v>1243</v>
      </c>
      <c r="S1662">
        <f t="shared" si="126"/>
        <v>1.5</v>
      </c>
      <c r="T1662" t="str">
        <f t="shared" si="127"/>
        <v>Low</v>
      </c>
      <c r="U1662" t="str" cm="1">
        <f t="array" ref="U1662">_xlfn.LET(_xlpm.roles,_xlfn.UNIQUE(D1662:D4460),_xlpm.kills, SUMIF(D1662:D4460,_xlpm.roles,G1662:G4460),INDEX(_xlpm.roles,MATCH(MAX(_xlpm.kills),_xlpm.kills,0)))</f>
        <v>Sniper</v>
      </c>
      <c r="V1662" t="str">
        <f t="shared" si="128"/>
        <v>High Accuracy</v>
      </c>
      <c r="W1662" t="str" cm="1">
        <f t="array" ref="W1662">_xlfn.LET(_xlpm.roles,_xlfn.UNIQUE(D1662:D4460), _xlpm.counts,COUNTIF(D1662:D4460,_xlpm.roles), INDEX(_xlpm.roles,MATCH(MAX(_xlpm.counts),_xlpm.counts,0)))</f>
        <v>Sniper</v>
      </c>
      <c r="X1662" s="2">
        <f t="shared" si="129"/>
        <v>13.135802469135802</v>
      </c>
    </row>
    <row r="1663" spans="1:24" x14ac:dyDescent="0.3">
      <c r="A1663">
        <v>430</v>
      </c>
      <c r="B1663">
        <v>296</v>
      </c>
      <c r="C1663" t="s">
        <v>35</v>
      </c>
      <c r="D1663" t="s">
        <v>17</v>
      </c>
      <c r="E1663" t="s">
        <v>32</v>
      </c>
      <c r="F1663" t="s">
        <v>24</v>
      </c>
      <c r="G1663">
        <v>15</v>
      </c>
      <c r="H1663">
        <v>6</v>
      </c>
      <c r="I1663">
        <v>8</v>
      </c>
      <c r="J1663">
        <v>39.229999999999997</v>
      </c>
      <c r="K1663">
        <v>168.01</v>
      </c>
      <c r="L1663">
        <v>0.41</v>
      </c>
      <c r="M1663">
        <v>43.51</v>
      </c>
      <c r="N1663">
        <v>1</v>
      </c>
      <c r="O1663" t="s">
        <v>20</v>
      </c>
      <c r="P1663" t="s">
        <v>21</v>
      </c>
      <c r="Q1663">
        <f t="shared" si="125"/>
        <v>13</v>
      </c>
      <c r="R1663" s="4">
        <f>RANK(N1663,$N$2:N$2800,0)</f>
        <v>1</v>
      </c>
      <c r="S1663">
        <f t="shared" si="126"/>
        <v>1.875</v>
      </c>
      <c r="T1663" t="str">
        <f t="shared" si="127"/>
        <v>Low</v>
      </c>
      <c r="U1663" t="str" cm="1">
        <f t="array" ref="U1663">_xlfn.LET(_xlpm.roles,_xlfn.UNIQUE(D1663:D4461),_xlpm.kills, SUMIF(D1663:D4461,_xlpm.roles,G1663:G4461),INDEX(_xlpm.roles,MATCH(MAX(_xlpm.kills),_xlpm.kills,0)))</f>
        <v>Sniper</v>
      </c>
      <c r="V1663" t="str">
        <f t="shared" si="128"/>
        <v>Medium Accuracy</v>
      </c>
      <c r="W1663" t="str" cm="1">
        <f t="array" ref="W1663">_xlfn.LET(_xlpm.roles,_xlfn.UNIQUE(D1663:D4461), _xlpm.counts,COUNTIF(D1663:D4461,_xlpm.roles), INDEX(_xlpm.roles,MATCH(MAX(_xlpm.counts),_xlpm.counts,0)))</f>
        <v>Sniper</v>
      </c>
      <c r="X1663" s="2">
        <f t="shared" si="129"/>
        <v>12.599585062240664</v>
      </c>
    </row>
    <row r="1664" spans="1:24" x14ac:dyDescent="0.3">
      <c r="A1664">
        <v>483</v>
      </c>
      <c r="B1664">
        <v>296</v>
      </c>
      <c r="C1664" t="s">
        <v>25</v>
      </c>
      <c r="D1664" t="s">
        <v>31</v>
      </c>
      <c r="E1664" t="s">
        <v>18</v>
      </c>
      <c r="F1664" t="s">
        <v>24</v>
      </c>
      <c r="G1664">
        <v>15</v>
      </c>
      <c r="H1664">
        <v>10</v>
      </c>
      <c r="I1664">
        <v>7</v>
      </c>
      <c r="J1664">
        <v>42.61</v>
      </c>
      <c r="K1664">
        <v>170.43</v>
      </c>
      <c r="L1664">
        <v>0.03</v>
      </c>
      <c r="M1664">
        <v>54.01</v>
      </c>
      <c r="N1664">
        <v>1</v>
      </c>
      <c r="O1664" t="s">
        <v>20</v>
      </c>
      <c r="P1664" t="s">
        <v>21</v>
      </c>
      <c r="Q1664">
        <f t="shared" si="125"/>
        <v>18</v>
      </c>
      <c r="R1664" s="4">
        <f>RANK(N1664,$N$2:N$2800,0)</f>
        <v>1</v>
      </c>
      <c r="S1664">
        <f t="shared" si="126"/>
        <v>2.1428571428571428</v>
      </c>
      <c r="T1664" t="str">
        <f t="shared" si="127"/>
        <v>Good</v>
      </c>
      <c r="U1664" t="str" cm="1">
        <f t="array" ref="U1664">_xlfn.LET(_xlpm.roles,_xlfn.UNIQUE(D1664:D4462),_xlpm.kills, SUMIF(D1664:D4462,_xlpm.roles,G1664:G4462),INDEX(_xlpm.roles,MATCH(MAX(_xlpm.kills),_xlpm.kills,0)))</f>
        <v>Sniper</v>
      </c>
      <c r="V1664" t="str">
        <f t="shared" si="128"/>
        <v>Medium Accuracy</v>
      </c>
      <c r="W1664" t="str" cm="1">
        <f t="array" ref="W1664">_xlfn.LET(_xlpm.roles,_xlfn.UNIQUE(D1664:D4462), _xlpm.counts,COUNTIF(D1664:D4462,_xlpm.roles), INDEX(_xlpm.roles,MATCH(MAX(_xlpm.counts),_xlpm.counts,0)))</f>
        <v>Sniper</v>
      </c>
      <c r="X1664" s="2">
        <f t="shared" si="129"/>
        <v>12.809421841541756</v>
      </c>
    </row>
    <row r="1665" spans="1:24" x14ac:dyDescent="0.3">
      <c r="A1665">
        <v>560</v>
      </c>
      <c r="B1665">
        <v>296</v>
      </c>
      <c r="C1665" t="s">
        <v>35</v>
      </c>
      <c r="D1665" t="s">
        <v>17</v>
      </c>
      <c r="E1665" t="s">
        <v>32</v>
      </c>
      <c r="F1665" t="s">
        <v>37</v>
      </c>
      <c r="G1665">
        <v>15</v>
      </c>
      <c r="H1665">
        <v>10</v>
      </c>
      <c r="I1665">
        <v>12</v>
      </c>
      <c r="J1665">
        <v>44.07</v>
      </c>
      <c r="K1665">
        <v>177.27</v>
      </c>
      <c r="L1665">
        <v>0.33</v>
      </c>
      <c r="M1665">
        <v>46.73</v>
      </c>
      <c r="N1665">
        <v>1</v>
      </c>
      <c r="O1665" t="s">
        <v>20</v>
      </c>
      <c r="P1665" t="s">
        <v>21</v>
      </c>
      <c r="Q1665">
        <f t="shared" si="125"/>
        <v>13</v>
      </c>
      <c r="R1665" s="4">
        <f>RANK(N1665,$N$2:N$2800,0)</f>
        <v>1</v>
      </c>
      <c r="S1665">
        <f t="shared" si="126"/>
        <v>1.25</v>
      </c>
      <c r="T1665" t="str">
        <f t="shared" si="127"/>
        <v>Low</v>
      </c>
      <c r="U1665" t="str" cm="1">
        <f t="array" ref="U1665">_xlfn.LET(_xlpm.roles,_xlfn.UNIQUE(D1665:D4463),_xlpm.kills, SUMIF(D1665:D4463,_xlpm.roles,G1665:G4463),INDEX(_xlpm.roles,MATCH(MAX(_xlpm.kills),_xlpm.kills,0)))</f>
        <v>Sniper</v>
      </c>
      <c r="V1665" t="str">
        <f t="shared" si="128"/>
        <v>Medium Accuracy</v>
      </c>
      <c r="W1665" t="str" cm="1">
        <f t="array" ref="W1665">_xlfn.LET(_xlpm.roles,_xlfn.UNIQUE(D1665:D4463), _xlpm.counts,COUNTIF(D1665:D4463,_xlpm.roles), INDEX(_xlpm.roles,MATCH(MAX(_xlpm.counts),_xlpm.counts,0)))</f>
        <v>Sniper</v>
      </c>
      <c r="X1665" s="2">
        <f t="shared" si="129"/>
        <v>12.599585062240664</v>
      </c>
    </row>
    <row r="1666" spans="1:24" x14ac:dyDescent="0.3">
      <c r="A1666">
        <v>2018</v>
      </c>
      <c r="B1666">
        <v>296</v>
      </c>
      <c r="C1666" t="s">
        <v>39</v>
      </c>
      <c r="D1666" t="s">
        <v>22</v>
      </c>
      <c r="E1666" t="s">
        <v>32</v>
      </c>
      <c r="F1666" t="s">
        <v>34</v>
      </c>
      <c r="G1666">
        <v>15</v>
      </c>
      <c r="H1666">
        <v>16</v>
      </c>
      <c r="I1666">
        <v>7</v>
      </c>
      <c r="J1666">
        <v>39.51</v>
      </c>
      <c r="K1666">
        <v>174.03</v>
      </c>
      <c r="L1666">
        <v>0.28999999999999998</v>
      </c>
      <c r="M1666">
        <v>55.85</v>
      </c>
      <c r="N1666">
        <v>1</v>
      </c>
      <c r="O1666" t="s">
        <v>20</v>
      </c>
      <c r="P1666" t="s">
        <v>21</v>
      </c>
      <c r="Q1666">
        <f t="shared" si="125"/>
        <v>24</v>
      </c>
      <c r="R1666" s="4">
        <f>RANK(N1666,$N$2:N$2800,0)</f>
        <v>1</v>
      </c>
      <c r="S1666">
        <f t="shared" si="126"/>
        <v>2.1428571428571428</v>
      </c>
      <c r="T1666" t="str">
        <f t="shared" si="127"/>
        <v>Good</v>
      </c>
      <c r="U1666" t="str" cm="1">
        <f t="array" ref="U1666">_xlfn.LET(_xlpm.roles,_xlfn.UNIQUE(D1666:D4464),_xlpm.kills, SUMIF(D1666:D4464,_xlpm.roles,G1666:G4464),INDEX(_xlpm.roles,MATCH(MAX(_xlpm.kills),_xlpm.kills,0)))</f>
        <v>Sniper</v>
      </c>
      <c r="V1666" t="str">
        <f t="shared" si="128"/>
        <v>Medium Accuracy</v>
      </c>
      <c r="W1666" t="str" cm="1">
        <f t="array" ref="W1666">_xlfn.LET(_xlpm.roles,_xlfn.UNIQUE(D1666:D4464), _xlpm.counts,COUNTIF(D1666:D4464,_xlpm.roles), INDEX(_xlpm.roles,MATCH(MAX(_xlpm.counts),_xlpm.counts,0)))</f>
        <v>Sniper</v>
      </c>
      <c r="X1666" s="2">
        <f t="shared" si="129"/>
        <v>13.103594080338267</v>
      </c>
    </row>
    <row r="1667" spans="1:24" x14ac:dyDescent="0.3">
      <c r="A1667">
        <v>2474</v>
      </c>
      <c r="B1667">
        <v>296</v>
      </c>
      <c r="C1667" t="s">
        <v>39</v>
      </c>
      <c r="D1667" t="s">
        <v>22</v>
      </c>
      <c r="E1667" t="s">
        <v>32</v>
      </c>
      <c r="F1667" t="s">
        <v>37</v>
      </c>
      <c r="G1667">
        <v>11</v>
      </c>
      <c r="H1667">
        <v>8</v>
      </c>
      <c r="I1667">
        <v>12</v>
      </c>
      <c r="J1667">
        <v>46.81</v>
      </c>
      <c r="K1667">
        <v>226.47</v>
      </c>
      <c r="L1667">
        <v>0.18</v>
      </c>
      <c r="M1667">
        <v>39.61</v>
      </c>
      <c r="N1667">
        <v>0.82</v>
      </c>
      <c r="O1667" t="s">
        <v>20</v>
      </c>
      <c r="P1667" t="s">
        <v>21</v>
      </c>
      <c r="Q1667">
        <f t="shared" ref="Q1667:Q1730" si="130">G1667+H1667-I1667</f>
        <v>7</v>
      </c>
      <c r="R1667" s="4">
        <f>RANK(N1667,$N$2:N$2800,0)</f>
        <v>2275</v>
      </c>
      <c r="S1667">
        <f t="shared" ref="S1667:S1730" si="131">G1667/I1667</f>
        <v>0.91666666666666663</v>
      </c>
      <c r="T1667" t="str">
        <f t="shared" ref="T1667:T1730" si="132">IF(Q1667&lt;15,"Low",IF(Q1667&lt;25,"Good","Excellent"))</f>
        <v>Low</v>
      </c>
      <c r="U1667" t="str" cm="1">
        <f t="array" ref="U1667">_xlfn.LET(_xlpm.roles,_xlfn.UNIQUE(D1667:D4465),_xlpm.kills, SUMIF(D1667:D4465,_xlpm.roles,G1667:G4465),INDEX(_xlpm.roles,MATCH(MAX(_xlpm.kills),_xlpm.kills,0)))</f>
        <v>Sniper</v>
      </c>
      <c r="V1667" t="str">
        <f t="shared" ref="V1667:V1730" si="133">IF(J1667&gt;=50,"High Accuracy",IF(J1667&gt;=30,"Medium Accuracy","Low Accuracy"))</f>
        <v>Medium Accuracy</v>
      </c>
      <c r="W1667" t="str" cm="1">
        <f t="array" ref="W1667">_xlfn.LET(_xlpm.roles,_xlfn.UNIQUE(D1667:D4465), _xlpm.counts,COUNTIF(D1667:D4465,_xlpm.roles), INDEX(_xlpm.roles,MATCH(MAX(_xlpm.counts),_xlpm.counts,0)))</f>
        <v>Sniper</v>
      </c>
      <c r="X1667" s="2">
        <f t="shared" ref="X1667:X1730" si="134">AVERAGEIF($C$2:$C$2800,C1667,$Q$2:$Q$2800)</f>
        <v>13.103594080338267</v>
      </c>
    </row>
    <row r="1668" spans="1:24" x14ac:dyDescent="0.3">
      <c r="A1668">
        <v>2786</v>
      </c>
      <c r="B1668">
        <v>296</v>
      </c>
      <c r="C1668" t="s">
        <v>16</v>
      </c>
      <c r="D1668" t="s">
        <v>31</v>
      </c>
      <c r="E1668" t="s">
        <v>23</v>
      </c>
      <c r="F1668" t="s">
        <v>24</v>
      </c>
      <c r="G1668">
        <v>19</v>
      </c>
      <c r="H1668">
        <v>4</v>
      </c>
      <c r="I1668">
        <v>11</v>
      </c>
      <c r="J1668">
        <v>53.09</v>
      </c>
      <c r="K1668">
        <v>248.34</v>
      </c>
      <c r="L1668">
        <v>0.61</v>
      </c>
      <c r="M1668">
        <v>51.45</v>
      </c>
      <c r="N1668">
        <v>0.99</v>
      </c>
      <c r="O1668" t="s">
        <v>20</v>
      </c>
      <c r="P1668" t="s">
        <v>21</v>
      </c>
      <c r="Q1668">
        <f t="shared" si="130"/>
        <v>12</v>
      </c>
      <c r="R1668" s="4">
        <f>RANK(N1668,$N$2:N$2800,0)</f>
        <v>1080</v>
      </c>
      <c r="S1668">
        <f t="shared" si="131"/>
        <v>1.7272727272727273</v>
      </c>
      <c r="T1668" t="str">
        <f t="shared" si="132"/>
        <v>Low</v>
      </c>
      <c r="U1668" t="str" cm="1">
        <f t="array" ref="U1668">_xlfn.LET(_xlpm.roles,_xlfn.UNIQUE(D1668:D4466),_xlpm.kills, SUMIF(D1668:D4466,_xlpm.roles,G1668:G4466),INDEX(_xlpm.roles,MATCH(MAX(_xlpm.kills),_xlpm.kills,0)))</f>
        <v>Sniper</v>
      </c>
      <c r="V1668" t="str">
        <f t="shared" si="133"/>
        <v>High Accuracy</v>
      </c>
      <c r="W1668" t="str" cm="1">
        <f t="array" ref="W1668">_xlfn.LET(_xlpm.roles,_xlfn.UNIQUE(D1668:D4466), _xlpm.counts,COUNTIF(D1668:D4466,_xlpm.roles), INDEX(_xlpm.roles,MATCH(MAX(_xlpm.counts),_xlpm.counts,0)))</f>
        <v>Sniper</v>
      </c>
      <c r="X1668" s="2">
        <f t="shared" si="134"/>
        <v>12.520971302428256</v>
      </c>
    </row>
    <row r="1669" spans="1:24" x14ac:dyDescent="0.3">
      <c r="A1669">
        <v>115</v>
      </c>
      <c r="B1669">
        <v>297</v>
      </c>
      <c r="C1669" t="s">
        <v>16</v>
      </c>
      <c r="D1669" t="s">
        <v>36</v>
      </c>
      <c r="E1669" t="s">
        <v>18</v>
      </c>
      <c r="F1669" t="s">
        <v>26</v>
      </c>
      <c r="G1669">
        <v>18</v>
      </c>
      <c r="H1669">
        <v>10</v>
      </c>
      <c r="I1669">
        <v>8</v>
      </c>
      <c r="J1669">
        <v>46.01</v>
      </c>
      <c r="K1669">
        <v>278.17</v>
      </c>
      <c r="L1669">
        <v>0.31</v>
      </c>
      <c r="M1669">
        <v>57.9</v>
      </c>
      <c r="N1669">
        <v>1</v>
      </c>
      <c r="O1669" t="s">
        <v>20</v>
      </c>
      <c r="P1669" t="s">
        <v>21</v>
      </c>
      <c r="Q1669">
        <f t="shared" si="130"/>
        <v>20</v>
      </c>
      <c r="R1669" s="4">
        <f>RANK(N1669,$N$2:N$2800,0)</f>
        <v>1</v>
      </c>
      <c r="S1669">
        <f t="shared" si="131"/>
        <v>2.25</v>
      </c>
      <c r="T1669" t="str">
        <f t="shared" si="132"/>
        <v>Good</v>
      </c>
      <c r="U1669" t="str" cm="1">
        <f t="array" ref="U1669">_xlfn.LET(_xlpm.roles,_xlfn.UNIQUE(D1669:D4467),_xlpm.kills, SUMIF(D1669:D4467,_xlpm.roles,G1669:G4467),INDEX(_xlpm.roles,MATCH(MAX(_xlpm.kills),_xlpm.kills,0)))</f>
        <v>Sniper</v>
      </c>
      <c r="V1669" t="str">
        <f t="shared" si="133"/>
        <v>Medium Accuracy</v>
      </c>
      <c r="W1669" t="str" cm="1">
        <f t="array" ref="W1669">_xlfn.LET(_xlpm.roles,_xlfn.UNIQUE(D1669:D4467), _xlpm.counts,COUNTIF(D1669:D4467,_xlpm.roles), INDEX(_xlpm.roles,MATCH(MAX(_xlpm.counts),_xlpm.counts,0)))</f>
        <v>Sniper</v>
      </c>
      <c r="X1669" s="2">
        <f t="shared" si="134"/>
        <v>12.520971302428256</v>
      </c>
    </row>
    <row r="1670" spans="1:24" x14ac:dyDescent="0.3">
      <c r="A1670">
        <v>157</v>
      </c>
      <c r="B1670">
        <v>297</v>
      </c>
      <c r="C1670" t="s">
        <v>27</v>
      </c>
      <c r="D1670" t="s">
        <v>28</v>
      </c>
      <c r="E1670" t="s">
        <v>33</v>
      </c>
      <c r="F1670" t="s">
        <v>37</v>
      </c>
      <c r="G1670">
        <v>18</v>
      </c>
      <c r="H1670">
        <v>7</v>
      </c>
      <c r="I1670">
        <v>14</v>
      </c>
      <c r="J1670">
        <v>32.86</v>
      </c>
      <c r="K1670">
        <v>209.29</v>
      </c>
      <c r="L1670">
        <v>0.7</v>
      </c>
      <c r="M1670">
        <v>38.43</v>
      </c>
      <c r="N1670">
        <v>0.9</v>
      </c>
      <c r="O1670" t="s">
        <v>20</v>
      </c>
      <c r="P1670" t="s">
        <v>21</v>
      </c>
      <c r="Q1670">
        <f t="shared" si="130"/>
        <v>11</v>
      </c>
      <c r="R1670" s="4">
        <f>RANK(N1670,$N$2:N$2800,0)</f>
        <v>1738</v>
      </c>
      <c r="S1670">
        <f t="shared" si="131"/>
        <v>1.2857142857142858</v>
      </c>
      <c r="T1670" t="str">
        <f t="shared" si="132"/>
        <v>Low</v>
      </c>
      <c r="U1670" t="str" cm="1">
        <f t="array" ref="U1670">_xlfn.LET(_xlpm.roles,_xlfn.UNIQUE(D1670:D4468),_xlpm.kills, SUMIF(D1670:D4468,_xlpm.roles,G1670:G4468),INDEX(_xlpm.roles,MATCH(MAX(_xlpm.kills),_xlpm.kills,0)))</f>
        <v>Sniper</v>
      </c>
      <c r="V1670" t="str">
        <f t="shared" si="133"/>
        <v>Medium Accuracy</v>
      </c>
      <c r="W1670" t="str" cm="1">
        <f t="array" ref="W1670">_xlfn.LET(_xlpm.roles,_xlfn.UNIQUE(D1670:D4468), _xlpm.counts,COUNTIF(D1670:D4468,_xlpm.roles), INDEX(_xlpm.roles,MATCH(MAX(_xlpm.counts),_xlpm.counts,0)))</f>
        <v>Sniper</v>
      </c>
      <c r="X1670" s="2">
        <f t="shared" si="134"/>
        <v>13.057077625570777</v>
      </c>
    </row>
    <row r="1671" spans="1:24" x14ac:dyDescent="0.3">
      <c r="A1671">
        <v>161</v>
      </c>
      <c r="B1671">
        <v>297</v>
      </c>
      <c r="C1671" t="s">
        <v>25</v>
      </c>
      <c r="D1671" t="s">
        <v>22</v>
      </c>
      <c r="E1671" t="s">
        <v>33</v>
      </c>
      <c r="F1671" t="s">
        <v>34</v>
      </c>
      <c r="G1671">
        <v>9</v>
      </c>
      <c r="H1671">
        <v>7</v>
      </c>
      <c r="I1671">
        <v>9</v>
      </c>
      <c r="J1671">
        <v>39.86</v>
      </c>
      <c r="K1671">
        <v>271.05</v>
      </c>
      <c r="L1671">
        <v>0.35</v>
      </c>
      <c r="M1671">
        <v>32.43</v>
      </c>
      <c r="N1671">
        <v>0.67</v>
      </c>
      <c r="O1671" t="s">
        <v>20</v>
      </c>
      <c r="P1671" t="s">
        <v>21</v>
      </c>
      <c r="Q1671">
        <f t="shared" si="130"/>
        <v>7</v>
      </c>
      <c r="R1671" s="4">
        <f>RANK(N1671,$N$2:N$2800,0)</f>
        <v>2731</v>
      </c>
      <c r="S1671">
        <f t="shared" si="131"/>
        <v>1</v>
      </c>
      <c r="T1671" t="str">
        <f t="shared" si="132"/>
        <v>Low</v>
      </c>
      <c r="U1671" t="str" cm="1">
        <f t="array" ref="U1671">_xlfn.LET(_xlpm.roles,_xlfn.UNIQUE(D1671:D4469),_xlpm.kills, SUMIF(D1671:D4469,_xlpm.roles,G1671:G4469),INDEX(_xlpm.roles,MATCH(MAX(_xlpm.kills),_xlpm.kills,0)))</f>
        <v>Sniper</v>
      </c>
      <c r="V1671" t="str">
        <f t="shared" si="133"/>
        <v>Medium Accuracy</v>
      </c>
      <c r="W1671" t="str" cm="1">
        <f t="array" ref="W1671">_xlfn.LET(_xlpm.roles,_xlfn.UNIQUE(D1671:D4469), _xlpm.counts,COUNTIF(D1671:D4469,_xlpm.roles), INDEX(_xlpm.roles,MATCH(MAX(_xlpm.counts),_xlpm.counts,0)))</f>
        <v>Sniper</v>
      </c>
      <c r="X1671" s="2">
        <f t="shared" si="134"/>
        <v>12.809421841541756</v>
      </c>
    </row>
    <row r="1672" spans="1:24" x14ac:dyDescent="0.3">
      <c r="A1672">
        <v>232</v>
      </c>
      <c r="B1672">
        <v>297</v>
      </c>
      <c r="C1672" t="s">
        <v>39</v>
      </c>
      <c r="D1672" t="s">
        <v>17</v>
      </c>
      <c r="E1672" t="s">
        <v>18</v>
      </c>
      <c r="F1672" t="s">
        <v>19</v>
      </c>
      <c r="G1672">
        <v>10</v>
      </c>
      <c r="H1672">
        <v>6</v>
      </c>
      <c r="I1672">
        <v>14</v>
      </c>
      <c r="J1672">
        <v>38.56</v>
      </c>
      <c r="K1672">
        <v>198.17</v>
      </c>
      <c r="L1672">
        <v>7.0000000000000007E-2</v>
      </c>
      <c r="M1672">
        <v>30.58</v>
      </c>
      <c r="N1672">
        <v>0.81</v>
      </c>
      <c r="O1672" t="s">
        <v>20</v>
      </c>
      <c r="P1672" t="s">
        <v>21</v>
      </c>
      <c r="Q1672">
        <f t="shared" si="130"/>
        <v>2</v>
      </c>
      <c r="R1672" s="4">
        <f>RANK(N1672,$N$2:N$2800,0)</f>
        <v>2341</v>
      </c>
      <c r="S1672">
        <f t="shared" si="131"/>
        <v>0.7142857142857143</v>
      </c>
      <c r="T1672" t="str">
        <f t="shared" si="132"/>
        <v>Low</v>
      </c>
      <c r="U1672" t="str" cm="1">
        <f t="array" ref="U1672">_xlfn.LET(_xlpm.roles,_xlfn.UNIQUE(D1672:D4470),_xlpm.kills, SUMIF(D1672:D4470,_xlpm.roles,G1672:G4470),INDEX(_xlpm.roles,MATCH(MAX(_xlpm.kills),_xlpm.kills,0)))</f>
        <v>Sniper</v>
      </c>
      <c r="V1672" t="str">
        <f t="shared" si="133"/>
        <v>Medium Accuracy</v>
      </c>
      <c r="W1672" t="str" cm="1">
        <f t="array" ref="W1672">_xlfn.LET(_xlpm.roles,_xlfn.UNIQUE(D1672:D4470), _xlpm.counts,COUNTIF(D1672:D4470,_xlpm.roles), INDEX(_xlpm.roles,MATCH(MAX(_xlpm.counts),_xlpm.counts,0)))</f>
        <v>Sniper</v>
      </c>
      <c r="X1672" s="2">
        <f t="shared" si="134"/>
        <v>13.103594080338267</v>
      </c>
    </row>
    <row r="1673" spans="1:24" x14ac:dyDescent="0.3">
      <c r="A1673">
        <v>549</v>
      </c>
      <c r="B1673">
        <v>297</v>
      </c>
      <c r="C1673" t="s">
        <v>39</v>
      </c>
      <c r="D1673" t="s">
        <v>17</v>
      </c>
      <c r="E1673" t="s">
        <v>29</v>
      </c>
      <c r="F1673" t="s">
        <v>24</v>
      </c>
      <c r="G1673">
        <v>13</v>
      </c>
      <c r="H1673">
        <v>10</v>
      </c>
      <c r="I1673">
        <v>10</v>
      </c>
      <c r="J1673">
        <v>50.83</v>
      </c>
      <c r="K1673">
        <v>190.62</v>
      </c>
      <c r="L1673">
        <v>0.19</v>
      </c>
      <c r="M1673">
        <v>49.52</v>
      </c>
      <c r="N1673">
        <v>0.83</v>
      </c>
      <c r="O1673" t="s">
        <v>20</v>
      </c>
      <c r="P1673" t="s">
        <v>21</v>
      </c>
      <c r="Q1673">
        <f t="shared" si="130"/>
        <v>13</v>
      </c>
      <c r="R1673" s="4">
        <f>RANK(N1673,$N$2:N$2800,0)</f>
        <v>2218</v>
      </c>
      <c r="S1673">
        <f t="shared" si="131"/>
        <v>1.3</v>
      </c>
      <c r="T1673" t="str">
        <f t="shared" si="132"/>
        <v>Low</v>
      </c>
      <c r="U1673" t="str" cm="1">
        <f t="array" ref="U1673">_xlfn.LET(_xlpm.roles,_xlfn.UNIQUE(D1673:D4471),_xlpm.kills, SUMIF(D1673:D4471,_xlpm.roles,G1673:G4471),INDEX(_xlpm.roles,MATCH(MAX(_xlpm.kills),_xlpm.kills,0)))</f>
        <v>Sniper</v>
      </c>
      <c r="V1673" t="str">
        <f t="shared" si="133"/>
        <v>High Accuracy</v>
      </c>
      <c r="W1673" t="str" cm="1">
        <f t="array" ref="W1673">_xlfn.LET(_xlpm.roles,_xlfn.UNIQUE(D1673:D4471), _xlpm.counts,COUNTIF(D1673:D4471,_xlpm.roles), INDEX(_xlpm.roles,MATCH(MAX(_xlpm.counts),_xlpm.counts,0)))</f>
        <v>Sniper</v>
      </c>
      <c r="X1673" s="2">
        <f t="shared" si="134"/>
        <v>13.103594080338267</v>
      </c>
    </row>
    <row r="1674" spans="1:24" x14ac:dyDescent="0.3">
      <c r="A1674">
        <v>622</v>
      </c>
      <c r="B1674">
        <v>297</v>
      </c>
      <c r="C1674" t="s">
        <v>25</v>
      </c>
      <c r="D1674" t="s">
        <v>36</v>
      </c>
      <c r="E1674" t="s">
        <v>29</v>
      </c>
      <c r="F1674" t="s">
        <v>19</v>
      </c>
      <c r="G1674">
        <v>15</v>
      </c>
      <c r="H1674">
        <v>5</v>
      </c>
      <c r="I1674">
        <v>6</v>
      </c>
      <c r="J1674">
        <v>35.299999999999997</v>
      </c>
      <c r="K1674">
        <v>259.89</v>
      </c>
      <c r="L1674">
        <v>0.86</v>
      </c>
      <c r="M1674">
        <v>38.049999999999997</v>
      </c>
      <c r="N1674">
        <v>0.71</v>
      </c>
      <c r="O1674" t="s">
        <v>20</v>
      </c>
      <c r="P1674" t="s">
        <v>21</v>
      </c>
      <c r="Q1674">
        <f t="shared" si="130"/>
        <v>14</v>
      </c>
      <c r="R1674" s="4">
        <f>RANK(N1674,$N$2:N$2800,0)</f>
        <v>2688</v>
      </c>
      <c r="S1674">
        <f t="shared" si="131"/>
        <v>2.5</v>
      </c>
      <c r="T1674" t="str">
        <f t="shared" si="132"/>
        <v>Low</v>
      </c>
      <c r="U1674" t="str" cm="1">
        <f t="array" ref="U1674">_xlfn.LET(_xlpm.roles,_xlfn.UNIQUE(D1674:D4472),_xlpm.kills, SUMIF(D1674:D4472,_xlpm.roles,G1674:G4472),INDEX(_xlpm.roles,MATCH(MAX(_xlpm.kills),_xlpm.kills,0)))</f>
        <v>Sniper</v>
      </c>
      <c r="V1674" t="str">
        <f t="shared" si="133"/>
        <v>Medium Accuracy</v>
      </c>
      <c r="W1674" t="str" cm="1">
        <f t="array" ref="W1674">_xlfn.LET(_xlpm.roles,_xlfn.UNIQUE(D1674:D4472), _xlpm.counts,COUNTIF(D1674:D4472,_xlpm.roles), INDEX(_xlpm.roles,MATCH(MAX(_xlpm.counts),_xlpm.counts,0)))</f>
        <v>Sniper</v>
      </c>
      <c r="X1674" s="2">
        <f t="shared" si="134"/>
        <v>12.809421841541756</v>
      </c>
    </row>
    <row r="1675" spans="1:24" x14ac:dyDescent="0.3">
      <c r="A1675">
        <v>729</v>
      </c>
      <c r="B1675">
        <v>297</v>
      </c>
      <c r="C1675" t="s">
        <v>25</v>
      </c>
      <c r="D1675" t="s">
        <v>22</v>
      </c>
      <c r="E1675" t="s">
        <v>33</v>
      </c>
      <c r="F1675" t="s">
        <v>37</v>
      </c>
      <c r="G1675">
        <v>13</v>
      </c>
      <c r="H1675">
        <v>10</v>
      </c>
      <c r="I1675">
        <v>7</v>
      </c>
      <c r="J1675">
        <v>42.14</v>
      </c>
      <c r="K1675">
        <v>230.47</v>
      </c>
      <c r="L1675">
        <v>0.87</v>
      </c>
      <c r="M1675">
        <v>41.37</v>
      </c>
      <c r="N1675">
        <v>0.88</v>
      </c>
      <c r="O1675" t="s">
        <v>20</v>
      </c>
      <c r="P1675" t="s">
        <v>21</v>
      </c>
      <c r="Q1675">
        <f t="shared" si="130"/>
        <v>16</v>
      </c>
      <c r="R1675" s="4">
        <f>RANK(N1675,$N$2:N$2800,0)</f>
        <v>1894</v>
      </c>
      <c r="S1675">
        <f t="shared" si="131"/>
        <v>1.8571428571428572</v>
      </c>
      <c r="T1675" t="str">
        <f t="shared" si="132"/>
        <v>Good</v>
      </c>
      <c r="U1675" t="str" cm="1">
        <f t="array" ref="U1675">_xlfn.LET(_xlpm.roles,_xlfn.UNIQUE(D1675:D4473),_xlpm.kills, SUMIF(D1675:D4473,_xlpm.roles,G1675:G4473),INDEX(_xlpm.roles,MATCH(MAX(_xlpm.kills),_xlpm.kills,0)))</f>
        <v>Sniper</v>
      </c>
      <c r="V1675" t="str">
        <f t="shared" si="133"/>
        <v>Medium Accuracy</v>
      </c>
      <c r="W1675" t="str" cm="1">
        <f t="array" ref="W1675">_xlfn.LET(_xlpm.roles,_xlfn.UNIQUE(D1675:D4473), _xlpm.counts,COUNTIF(D1675:D4473,_xlpm.roles), INDEX(_xlpm.roles,MATCH(MAX(_xlpm.counts),_xlpm.counts,0)))</f>
        <v>Sniper</v>
      </c>
      <c r="X1675" s="2">
        <f t="shared" si="134"/>
        <v>12.809421841541756</v>
      </c>
    </row>
    <row r="1676" spans="1:24" x14ac:dyDescent="0.3">
      <c r="A1676">
        <v>751</v>
      </c>
      <c r="B1676">
        <v>297</v>
      </c>
      <c r="C1676" t="s">
        <v>35</v>
      </c>
      <c r="D1676" t="s">
        <v>28</v>
      </c>
      <c r="E1676" t="s">
        <v>33</v>
      </c>
      <c r="F1676" t="s">
        <v>26</v>
      </c>
      <c r="G1676">
        <v>13</v>
      </c>
      <c r="H1676">
        <v>10</v>
      </c>
      <c r="I1676">
        <v>6</v>
      </c>
      <c r="J1676">
        <v>43.06</v>
      </c>
      <c r="K1676">
        <v>250</v>
      </c>
      <c r="L1676">
        <v>0.17</v>
      </c>
      <c r="M1676">
        <v>49.83</v>
      </c>
      <c r="N1676">
        <v>1</v>
      </c>
      <c r="O1676" t="s">
        <v>20</v>
      </c>
      <c r="P1676" t="s">
        <v>21</v>
      </c>
      <c r="Q1676">
        <f t="shared" si="130"/>
        <v>17</v>
      </c>
      <c r="R1676" s="4">
        <f>RANK(N1676,$N$2:N$2800,0)</f>
        <v>1</v>
      </c>
      <c r="S1676">
        <f t="shared" si="131"/>
        <v>2.1666666666666665</v>
      </c>
      <c r="T1676" t="str">
        <f t="shared" si="132"/>
        <v>Good</v>
      </c>
      <c r="U1676" t="str" cm="1">
        <f t="array" ref="U1676">_xlfn.LET(_xlpm.roles,_xlfn.UNIQUE(D1676:D4474),_xlpm.kills, SUMIF(D1676:D4474,_xlpm.roles,G1676:G4474),INDEX(_xlpm.roles,MATCH(MAX(_xlpm.kills),_xlpm.kills,0)))</f>
        <v>Sniper</v>
      </c>
      <c r="V1676" t="str">
        <f t="shared" si="133"/>
        <v>Medium Accuracy</v>
      </c>
      <c r="W1676" t="str" cm="1">
        <f t="array" ref="W1676">_xlfn.LET(_xlpm.roles,_xlfn.UNIQUE(D1676:D4474), _xlpm.counts,COUNTIF(D1676:D4474,_xlpm.roles), INDEX(_xlpm.roles,MATCH(MAX(_xlpm.counts),_xlpm.counts,0)))</f>
        <v>Sniper</v>
      </c>
      <c r="X1676" s="2">
        <f t="shared" si="134"/>
        <v>12.599585062240664</v>
      </c>
    </row>
    <row r="1677" spans="1:24" x14ac:dyDescent="0.3">
      <c r="A1677">
        <v>1552</v>
      </c>
      <c r="B1677">
        <v>297</v>
      </c>
      <c r="C1677" t="s">
        <v>39</v>
      </c>
      <c r="D1677" t="s">
        <v>36</v>
      </c>
      <c r="E1677" t="s">
        <v>23</v>
      </c>
      <c r="F1677" t="s">
        <v>37</v>
      </c>
      <c r="G1677">
        <v>20</v>
      </c>
      <c r="H1677">
        <v>5</v>
      </c>
      <c r="I1677">
        <v>8</v>
      </c>
      <c r="J1677">
        <v>47.81</v>
      </c>
      <c r="K1677">
        <v>263.20999999999998</v>
      </c>
      <c r="L1677">
        <v>0.15</v>
      </c>
      <c r="M1677">
        <v>59.41</v>
      </c>
      <c r="N1677">
        <v>1</v>
      </c>
      <c r="O1677" t="s">
        <v>20</v>
      </c>
      <c r="P1677" t="s">
        <v>21</v>
      </c>
      <c r="Q1677">
        <f t="shared" si="130"/>
        <v>17</v>
      </c>
      <c r="R1677" s="4">
        <f>RANK(N1677,$N$2:N$2800,0)</f>
        <v>1</v>
      </c>
      <c r="S1677">
        <f t="shared" si="131"/>
        <v>2.5</v>
      </c>
      <c r="T1677" t="str">
        <f t="shared" si="132"/>
        <v>Good</v>
      </c>
      <c r="U1677" t="str" cm="1">
        <f t="array" ref="U1677">_xlfn.LET(_xlpm.roles,_xlfn.UNIQUE(D1677:D4475),_xlpm.kills, SUMIF(D1677:D4475,_xlpm.roles,G1677:G4475),INDEX(_xlpm.roles,MATCH(MAX(_xlpm.kills),_xlpm.kills,0)))</f>
        <v>Sniper</v>
      </c>
      <c r="V1677" t="str">
        <f t="shared" si="133"/>
        <v>Medium Accuracy</v>
      </c>
      <c r="W1677" t="str" cm="1">
        <f t="array" ref="W1677">_xlfn.LET(_xlpm.roles,_xlfn.UNIQUE(D1677:D4475), _xlpm.counts,COUNTIF(D1677:D4475,_xlpm.roles), INDEX(_xlpm.roles,MATCH(MAX(_xlpm.counts),_xlpm.counts,0)))</f>
        <v>Sniper</v>
      </c>
      <c r="X1677" s="2">
        <f t="shared" si="134"/>
        <v>13.103594080338267</v>
      </c>
    </row>
    <row r="1678" spans="1:24" x14ac:dyDescent="0.3">
      <c r="A1678">
        <v>1571</v>
      </c>
      <c r="B1678">
        <v>297</v>
      </c>
      <c r="C1678" t="s">
        <v>25</v>
      </c>
      <c r="D1678" t="s">
        <v>36</v>
      </c>
      <c r="E1678" t="s">
        <v>23</v>
      </c>
      <c r="F1678" t="s">
        <v>19</v>
      </c>
      <c r="G1678">
        <v>23</v>
      </c>
      <c r="H1678">
        <v>9</v>
      </c>
      <c r="I1678">
        <v>8</v>
      </c>
      <c r="J1678">
        <v>44.56</v>
      </c>
      <c r="K1678">
        <v>157.53</v>
      </c>
      <c r="L1678">
        <v>0.06</v>
      </c>
      <c r="M1678">
        <v>68.680000000000007</v>
      </c>
      <c r="N1678">
        <v>1</v>
      </c>
      <c r="O1678" t="s">
        <v>20</v>
      </c>
      <c r="P1678" t="s">
        <v>38</v>
      </c>
      <c r="Q1678">
        <f t="shared" si="130"/>
        <v>24</v>
      </c>
      <c r="R1678" s="4">
        <f>RANK(N1678,$N$2:N$2800,0)</f>
        <v>1</v>
      </c>
      <c r="S1678">
        <f t="shared" si="131"/>
        <v>2.875</v>
      </c>
      <c r="T1678" t="str">
        <f t="shared" si="132"/>
        <v>Good</v>
      </c>
      <c r="U1678" t="str" cm="1">
        <f t="array" ref="U1678">_xlfn.LET(_xlpm.roles,_xlfn.UNIQUE(D1678:D4476),_xlpm.kills, SUMIF(D1678:D4476,_xlpm.roles,G1678:G4476),INDEX(_xlpm.roles,MATCH(MAX(_xlpm.kills),_xlpm.kills,0)))</f>
        <v>Sniper</v>
      </c>
      <c r="V1678" t="str">
        <f t="shared" si="133"/>
        <v>Medium Accuracy</v>
      </c>
      <c r="W1678" t="str" cm="1">
        <f t="array" ref="W1678">_xlfn.LET(_xlpm.roles,_xlfn.UNIQUE(D1678:D4476), _xlpm.counts,COUNTIF(D1678:D4476,_xlpm.roles), INDEX(_xlpm.roles,MATCH(MAX(_xlpm.counts),_xlpm.counts,0)))</f>
        <v>Sniper</v>
      </c>
      <c r="X1678" s="2">
        <f t="shared" si="134"/>
        <v>12.809421841541756</v>
      </c>
    </row>
    <row r="1679" spans="1:24" x14ac:dyDescent="0.3">
      <c r="A1679">
        <v>2394</v>
      </c>
      <c r="B1679">
        <v>297</v>
      </c>
      <c r="C1679" t="s">
        <v>27</v>
      </c>
      <c r="D1679" t="s">
        <v>36</v>
      </c>
      <c r="E1679" t="s">
        <v>23</v>
      </c>
      <c r="F1679" t="s">
        <v>24</v>
      </c>
      <c r="G1679">
        <v>19</v>
      </c>
      <c r="H1679">
        <v>8</v>
      </c>
      <c r="I1679">
        <v>4</v>
      </c>
      <c r="J1679">
        <v>42.97</v>
      </c>
      <c r="K1679">
        <v>199.46</v>
      </c>
      <c r="L1679">
        <v>0.36</v>
      </c>
      <c r="M1679">
        <v>59.88</v>
      </c>
      <c r="N1679">
        <v>1</v>
      </c>
      <c r="O1679" t="s">
        <v>20</v>
      </c>
      <c r="P1679" t="s">
        <v>21</v>
      </c>
      <c r="Q1679">
        <f t="shared" si="130"/>
        <v>23</v>
      </c>
      <c r="R1679" s="4">
        <f>RANK(N1679,$N$2:N$2800,0)</f>
        <v>1</v>
      </c>
      <c r="S1679">
        <f t="shared" si="131"/>
        <v>4.75</v>
      </c>
      <c r="T1679" t="str">
        <f t="shared" si="132"/>
        <v>Good</v>
      </c>
      <c r="U1679" t="str" cm="1">
        <f t="array" ref="U1679">_xlfn.LET(_xlpm.roles,_xlfn.UNIQUE(D1679:D4477),_xlpm.kills, SUMIF(D1679:D4477,_xlpm.roles,G1679:G4477),INDEX(_xlpm.roles,MATCH(MAX(_xlpm.kills),_xlpm.kills,0)))</f>
        <v>Sniper</v>
      </c>
      <c r="V1679" t="str">
        <f t="shared" si="133"/>
        <v>Medium Accuracy</v>
      </c>
      <c r="W1679" t="str" cm="1">
        <f t="array" ref="W1679">_xlfn.LET(_xlpm.roles,_xlfn.UNIQUE(D1679:D4477), _xlpm.counts,COUNTIF(D1679:D4477,_xlpm.roles), INDEX(_xlpm.roles,MATCH(MAX(_xlpm.counts),_xlpm.counts,0)))</f>
        <v>Sniper</v>
      </c>
      <c r="X1679" s="2">
        <f t="shared" si="134"/>
        <v>13.057077625570777</v>
      </c>
    </row>
    <row r="1680" spans="1:24" x14ac:dyDescent="0.3">
      <c r="A1680">
        <v>2770</v>
      </c>
      <c r="B1680">
        <v>297</v>
      </c>
      <c r="C1680" t="s">
        <v>35</v>
      </c>
      <c r="D1680" t="s">
        <v>36</v>
      </c>
      <c r="E1680" t="s">
        <v>32</v>
      </c>
      <c r="F1680" t="s">
        <v>26</v>
      </c>
      <c r="G1680">
        <v>14</v>
      </c>
      <c r="H1680">
        <v>14</v>
      </c>
      <c r="I1680">
        <v>7</v>
      </c>
      <c r="J1680">
        <v>47.98</v>
      </c>
      <c r="K1680">
        <v>223.95</v>
      </c>
      <c r="L1680">
        <v>0.75</v>
      </c>
      <c r="M1680">
        <v>51.49</v>
      </c>
      <c r="N1680">
        <v>0.98</v>
      </c>
      <c r="O1680" t="s">
        <v>20</v>
      </c>
      <c r="P1680" t="s">
        <v>21</v>
      </c>
      <c r="Q1680">
        <f t="shared" si="130"/>
        <v>21</v>
      </c>
      <c r="R1680" s="4">
        <f>RANK(N1680,$N$2:N$2800,0)</f>
        <v>1157</v>
      </c>
      <c r="S1680">
        <f t="shared" si="131"/>
        <v>2</v>
      </c>
      <c r="T1680" t="str">
        <f t="shared" si="132"/>
        <v>Good</v>
      </c>
      <c r="U1680" t="str" cm="1">
        <f t="array" ref="U1680">_xlfn.LET(_xlpm.roles,_xlfn.UNIQUE(D1680:D4478),_xlpm.kills, SUMIF(D1680:D4478,_xlpm.roles,G1680:G4478),INDEX(_xlpm.roles,MATCH(MAX(_xlpm.kills),_xlpm.kills,0)))</f>
        <v>Sniper</v>
      </c>
      <c r="V1680" t="str">
        <f t="shared" si="133"/>
        <v>Medium Accuracy</v>
      </c>
      <c r="W1680" t="str" cm="1">
        <f t="array" ref="W1680">_xlfn.LET(_xlpm.roles,_xlfn.UNIQUE(D1680:D4478), _xlpm.counts,COUNTIF(D1680:D4478,_xlpm.roles), INDEX(_xlpm.roles,MATCH(MAX(_xlpm.counts),_xlpm.counts,0)))</f>
        <v>Sniper</v>
      </c>
      <c r="X1680" s="2">
        <f t="shared" si="134"/>
        <v>12.599585062240664</v>
      </c>
    </row>
    <row r="1681" spans="1:24" x14ac:dyDescent="0.3">
      <c r="A1681">
        <v>16</v>
      </c>
      <c r="B1681">
        <v>298</v>
      </c>
      <c r="C1681" t="s">
        <v>25</v>
      </c>
      <c r="D1681" t="s">
        <v>31</v>
      </c>
      <c r="E1681" t="s">
        <v>18</v>
      </c>
      <c r="F1681" t="s">
        <v>19</v>
      </c>
      <c r="G1681">
        <v>15</v>
      </c>
      <c r="H1681">
        <v>4</v>
      </c>
      <c r="I1681">
        <v>10</v>
      </c>
      <c r="J1681">
        <v>42.32</v>
      </c>
      <c r="K1681">
        <v>159.25</v>
      </c>
      <c r="L1681">
        <v>0.8</v>
      </c>
      <c r="M1681">
        <v>37.159999999999997</v>
      </c>
      <c r="N1681">
        <v>0.89</v>
      </c>
      <c r="O1681" t="s">
        <v>20</v>
      </c>
      <c r="P1681" t="s">
        <v>21</v>
      </c>
      <c r="Q1681">
        <f t="shared" si="130"/>
        <v>9</v>
      </c>
      <c r="R1681" s="4">
        <f>RANK(N1681,$N$2:N$2800,0)</f>
        <v>1815</v>
      </c>
      <c r="S1681">
        <f t="shared" si="131"/>
        <v>1.5</v>
      </c>
      <c r="T1681" t="str">
        <f t="shared" si="132"/>
        <v>Low</v>
      </c>
      <c r="U1681" t="str" cm="1">
        <f t="array" ref="U1681">_xlfn.LET(_xlpm.roles,_xlfn.UNIQUE(D1681:D4479),_xlpm.kills, SUMIF(D1681:D4479,_xlpm.roles,G1681:G4479),INDEX(_xlpm.roles,MATCH(MAX(_xlpm.kills),_xlpm.kills,0)))</f>
        <v>Sniper</v>
      </c>
      <c r="V1681" t="str">
        <f t="shared" si="133"/>
        <v>Medium Accuracy</v>
      </c>
      <c r="W1681" t="str" cm="1">
        <f t="array" ref="W1681">_xlfn.LET(_xlpm.roles,_xlfn.UNIQUE(D1681:D4479), _xlpm.counts,COUNTIF(D1681:D4479,_xlpm.roles), INDEX(_xlpm.roles,MATCH(MAX(_xlpm.counts),_xlpm.counts,0)))</f>
        <v>Sniper</v>
      </c>
      <c r="X1681" s="2">
        <f t="shared" si="134"/>
        <v>12.809421841541756</v>
      </c>
    </row>
    <row r="1682" spans="1:24" x14ac:dyDescent="0.3">
      <c r="A1682">
        <v>164</v>
      </c>
      <c r="B1682">
        <v>298</v>
      </c>
      <c r="C1682" t="s">
        <v>35</v>
      </c>
      <c r="D1682" t="s">
        <v>31</v>
      </c>
      <c r="E1682" t="s">
        <v>32</v>
      </c>
      <c r="F1682" t="s">
        <v>37</v>
      </c>
      <c r="G1682">
        <v>14</v>
      </c>
      <c r="H1682">
        <v>9</v>
      </c>
      <c r="I1682">
        <v>5</v>
      </c>
      <c r="J1682">
        <v>54.36</v>
      </c>
      <c r="K1682">
        <v>216.06</v>
      </c>
      <c r="L1682">
        <v>0.26</v>
      </c>
      <c r="M1682">
        <v>56.58</v>
      </c>
      <c r="N1682">
        <v>1</v>
      </c>
      <c r="O1682" t="s">
        <v>20</v>
      </c>
      <c r="P1682" t="s">
        <v>21</v>
      </c>
      <c r="Q1682">
        <f t="shared" si="130"/>
        <v>18</v>
      </c>
      <c r="R1682" s="4">
        <f>RANK(N1682,$N$2:N$2800,0)</f>
        <v>1</v>
      </c>
      <c r="S1682">
        <f t="shared" si="131"/>
        <v>2.8</v>
      </c>
      <c r="T1682" t="str">
        <f t="shared" si="132"/>
        <v>Good</v>
      </c>
      <c r="U1682" t="str" cm="1">
        <f t="array" ref="U1682">_xlfn.LET(_xlpm.roles,_xlfn.UNIQUE(D1682:D4480),_xlpm.kills, SUMIF(D1682:D4480,_xlpm.roles,G1682:G4480),INDEX(_xlpm.roles,MATCH(MAX(_xlpm.kills),_xlpm.kills,0)))</f>
        <v>Sniper</v>
      </c>
      <c r="V1682" t="str">
        <f t="shared" si="133"/>
        <v>High Accuracy</v>
      </c>
      <c r="W1682" t="str" cm="1">
        <f t="array" ref="W1682">_xlfn.LET(_xlpm.roles,_xlfn.UNIQUE(D1682:D4480), _xlpm.counts,COUNTIF(D1682:D4480,_xlpm.roles), INDEX(_xlpm.roles,MATCH(MAX(_xlpm.counts),_xlpm.counts,0)))</f>
        <v>Sniper</v>
      </c>
      <c r="X1682" s="2">
        <f t="shared" si="134"/>
        <v>12.599585062240664</v>
      </c>
    </row>
    <row r="1683" spans="1:24" x14ac:dyDescent="0.3">
      <c r="A1683">
        <v>200</v>
      </c>
      <c r="B1683">
        <v>298</v>
      </c>
      <c r="C1683" t="s">
        <v>30</v>
      </c>
      <c r="D1683" t="s">
        <v>28</v>
      </c>
      <c r="E1683" t="s">
        <v>23</v>
      </c>
      <c r="F1683" t="s">
        <v>26</v>
      </c>
      <c r="G1683">
        <v>10</v>
      </c>
      <c r="H1683">
        <v>12</v>
      </c>
      <c r="I1683">
        <v>5</v>
      </c>
      <c r="J1683">
        <v>60.9</v>
      </c>
      <c r="K1683">
        <v>189.16</v>
      </c>
      <c r="L1683">
        <v>0.98</v>
      </c>
      <c r="M1683">
        <v>47.65</v>
      </c>
      <c r="N1683">
        <v>0.97</v>
      </c>
      <c r="O1683" t="s">
        <v>20</v>
      </c>
      <c r="P1683" t="s">
        <v>21</v>
      </c>
      <c r="Q1683">
        <f t="shared" si="130"/>
        <v>17</v>
      </c>
      <c r="R1683" s="4">
        <f>RANK(N1683,$N$2:N$2800,0)</f>
        <v>1243</v>
      </c>
      <c r="S1683">
        <f t="shared" si="131"/>
        <v>2</v>
      </c>
      <c r="T1683" t="str">
        <f t="shared" si="132"/>
        <v>Good</v>
      </c>
      <c r="U1683" t="str" cm="1">
        <f t="array" ref="U1683">_xlfn.LET(_xlpm.roles,_xlfn.UNIQUE(D1683:D4481),_xlpm.kills, SUMIF(D1683:D4481,_xlpm.roles,G1683:G4481),INDEX(_xlpm.roles,MATCH(MAX(_xlpm.kills),_xlpm.kills,0)))</f>
        <v>Sniper</v>
      </c>
      <c r="V1683" t="str">
        <f t="shared" si="133"/>
        <v>High Accuracy</v>
      </c>
      <c r="W1683" t="str" cm="1">
        <f t="array" ref="W1683">_xlfn.LET(_xlpm.roles,_xlfn.UNIQUE(D1683:D4481), _xlpm.counts,COUNTIF(D1683:D4481,_xlpm.roles), INDEX(_xlpm.roles,MATCH(MAX(_xlpm.counts),_xlpm.counts,0)))</f>
        <v>Sniper</v>
      </c>
      <c r="X1683" s="2">
        <f t="shared" si="134"/>
        <v>13.135802469135802</v>
      </c>
    </row>
    <row r="1684" spans="1:24" x14ac:dyDescent="0.3">
      <c r="A1684">
        <v>736</v>
      </c>
      <c r="B1684">
        <v>298</v>
      </c>
      <c r="C1684" t="s">
        <v>39</v>
      </c>
      <c r="D1684" t="s">
        <v>22</v>
      </c>
      <c r="E1684" t="s">
        <v>33</v>
      </c>
      <c r="F1684" t="s">
        <v>19</v>
      </c>
      <c r="G1684">
        <v>10</v>
      </c>
      <c r="H1684">
        <v>7</v>
      </c>
      <c r="I1684">
        <v>8</v>
      </c>
      <c r="J1684">
        <v>45.82</v>
      </c>
      <c r="K1684">
        <v>240.64</v>
      </c>
      <c r="L1684">
        <v>0.72</v>
      </c>
      <c r="M1684">
        <v>34.71</v>
      </c>
      <c r="N1684">
        <v>0.81</v>
      </c>
      <c r="O1684" t="s">
        <v>20</v>
      </c>
      <c r="P1684" t="s">
        <v>21</v>
      </c>
      <c r="Q1684">
        <f t="shared" si="130"/>
        <v>9</v>
      </c>
      <c r="R1684" s="4">
        <f>RANK(N1684,$N$2:N$2800,0)</f>
        <v>2341</v>
      </c>
      <c r="S1684">
        <f t="shared" si="131"/>
        <v>1.25</v>
      </c>
      <c r="T1684" t="str">
        <f t="shared" si="132"/>
        <v>Low</v>
      </c>
      <c r="U1684" t="str" cm="1">
        <f t="array" ref="U1684">_xlfn.LET(_xlpm.roles,_xlfn.UNIQUE(D1684:D4482),_xlpm.kills, SUMIF(D1684:D4482,_xlpm.roles,G1684:G4482),INDEX(_xlpm.roles,MATCH(MAX(_xlpm.kills),_xlpm.kills,0)))</f>
        <v>Sniper</v>
      </c>
      <c r="V1684" t="str">
        <f t="shared" si="133"/>
        <v>Medium Accuracy</v>
      </c>
      <c r="W1684" t="str" cm="1">
        <f t="array" ref="W1684">_xlfn.LET(_xlpm.roles,_xlfn.UNIQUE(D1684:D4482), _xlpm.counts,COUNTIF(D1684:D4482,_xlpm.roles), INDEX(_xlpm.roles,MATCH(MAX(_xlpm.counts),_xlpm.counts,0)))</f>
        <v>Sniper</v>
      </c>
      <c r="X1684" s="2">
        <f t="shared" si="134"/>
        <v>13.103594080338267</v>
      </c>
    </row>
    <row r="1685" spans="1:24" x14ac:dyDescent="0.3">
      <c r="A1685">
        <v>2155</v>
      </c>
      <c r="B1685">
        <v>298</v>
      </c>
      <c r="C1685" t="s">
        <v>25</v>
      </c>
      <c r="D1685" t="s">
        <v>17</v>
      </c>
      <c r="E1685" t="s">
        <v>33</v>
      </c>
      <c r="F1685" t="s">
        <v>37</v>
      </c>
      <c r="G1685">
        <v>12</v>
      </c>
      <c r="H1685">
        <v>11</v>
      </c>
      <c r="I1685">
        <v>7</v>
      </c>
      <c r="J1685">
        <v>62.06</v>
      </c>
      <c r="K1685">
        <v>187.71</v>
      </c>
      <c r="L1685">
        <v>0.68</v>
      </c>
      <c r="M1685">
        <v>52.23</v>
      </c>
      <c r="N1685">
        <v>0.82</v>
      </c>
      <c r="O1685" t="s">
        <v>20</v>
      </c>
      <c r="P1685" t="s">
        <v>21</v>
      </c>
      <c r="Q1685">
        <f t="shared" si="130"/>
        <v>16</v>
      </c>
      <c r="R1685" s="4">
        <f>RANK(N1685,$N$2:N$2800,0)</f>
        <v>2275</v>
      </c>
      <c r="S1685">
        <f t="shared" si="131"/>
        <v>1.7142857142857142</v>
      </c>
      <c r="T1685" t="str">
        <f t="shared" si="132"/>
        <v>Good</v>
      </c>
      <c r="U1685" t="str" cm="1">
        <f t="array" ref="U1685">_xlfn.LET(_xlpm.roles,_xlfn.UNIQUE(D1685:D4483),_xlpm.kills, SUMIF(D1685:D4483,_xlpm.roles,G1685:G4483),INDEX(_xlpm.roles,MATCH(MAX(_xlpm.kills),_xlpm.kills,0)))</f>
        <v>Sniper</v>
      </c>
      <c r="V1685" t="str">
        <f t="shared" si="133"/>
        <v>High Accuracy</v>
      </c>
      <c r="W1685" t="str" cm="1">
        <f t="array" ref="W1685">_xlfn.LET(_xlpm.roles,_xlfn.UNIQUE(D1685:D4483), _xlpm.counts,COUNTIF(D1685:D4483,_xlpm.roles), INDEX(_xlpm.roles,MATCH(MAX(_xlpm.counts),_xlpm.counts,0)))</f>
        <v>Sniper</v>
      </c>
      <c r="X1685" s="2">
        <f t="shared" si="134"/>
        <v>12.809421841541756</v>
      </c>
    </row>
    <row r="1686" spans="1:24" x14ac:dyDescent="0.3">
      <c r="A1686">
        <v>2346</v>
      </c>
      <c r="B1686">
        <v>298</v>
      </c>
      <c r="C1686" t="s">
        <v>16</v>
      </c>
      <c r="D1686" t="s">
        <v>22</v>
      </c>
      <c r="E1686" t="s">
        <v>29</v>
      </c>
      <c r="F1686" t="s">
        <v>24</v>
      </c>
      <c r="G1686">
        <v>17</v>
      </c>
      <c r="H1686">
        <v>3</v>
      </c>
      <c r="I1686">
        <v>15</v>
      </c>
      <c r="J1686">
        <v>50.27</v>
      </c>
      <c r="K1686">
        <v>258.02999999999997</v>
      </c>
      <c r="L1686">
        <v>0.65</v>
      </c>
      <c r="M1686">
        <v>40.64</v>
      </c>
      <c r="N1686">
        <v>1</v>
      </c>
      <c r="O1686" t="s">
        <v>20</v>
      </c>
      <c r="P1686" t="s">
        <v>21</v>
      </c>
      <c r="Q1686">
        <f t="shared" si="130"/>
        <v>5</v>
      </c>
      <c r="R1686" s="4">
        <f>RANK(N1686,$N$2:N$2800,0)</f>
        <v>1</v>
      </c>
      <c r="S1686">
        <f t="shared" si="131"/>
        <v>1.1333333333333333</v>
      </c>
      <c r="T1686" t="str">
        <f t="shared" si="132"/>
        <v>Low</v>
      </c>
      <c r="U1686" t="str" cm="1">
        <f t="array" ref="U1686">_xlfn.LET(_xlpm.roles,_xlfn.UNIQUE(D1686:D4484),_xlpm.kills, SUMIF(D1686:D4484,_xlpm.roles,G1686:G4484),INDEX(_xlpm.roles,MATCH(MAX(_xlpm.kills),_xlpm.kills,0)))</f>
        <v>Sniper</v>
      </c>
      <c r="V1686" t="str">
        <f t="shared" si="133"/>
        <v>High Accuracy</v>
      </c>
      <c r="W1686" t="str" cm="1">
        <f t="array" ref="W1686">_xlfn.LET(_xlpm.roles,_xlfn.UNIQUE(D1686:D4484), _xlpm.counts,COUNTIF(D1686:D4484,_xlpm.roles), INDEX(_xlpm.roles,MATCH(MAX(_xlpm.counts),_xlpm.counts,0)))</f>
        <v>Sniper</v>
      </c>
      <c r="X1686" s="2">
        <f t="shared" si="134"/>
        <v>12.520971302428256</v>
      </c>
    </row>
    <row r="1687" spans="1:24" x14ac:dyDescent="0.3">
      <c r="A1687">
        <v>2513</v>
      </c>
      <c r="B1687">
        <v>298</v>
      </c>
      <c r="C1687" t="s">
        <v>27</v>
      </c>
      <c r="D1687" t="s">
        <v>17</v>
      </c>
      <c r="E1687" t="s">
        <v>18</v>
      </c>
      <c r="F1687" t="s">
        <v>34</v>
      </c>
      <c r="G1687">
        <v>13</v>
      </c>
      <c r="H1687">
        <v>8</v>
      </c>
      <c r="I1687">
        <v>14</v>
      </c>
      <c r="J1687">
        <v>56.54</v>
      </c>
      <c r="K1687">
        <v>221.22</v>
      </c>
      <c r="L1687">
        <v>0.76</v>
      </c>
      <c r="M1687">
        <v>40.67</v>
      </c>
      <c r="N1687">
        <v>0.78</v>
      </c>
      <c r="O1687" t="s">
        <v>20</v>
      </c>
      <c r="P1687" t="s">
        <v>21</v>
      </c>
      <c r="Q1687">
        <f t="shared" si="130"/>
        <v>7</v>
      </c>
      <c r="R1687" s="4">
        <f>RANK(N1687,$N$2:N$2800,0)</f>
        <v>2469</v>
      </c>
      <c r="S1687">
        <f t="shared" si="131"/>
        <v>0.9285714285714286</v>
      </c>
      <c r="T1687" t="str">
        <f t="shared" si="132"/>
        <v>Low</v>
      </c>
      <c r="U1687" t="str" cm="1">
        <f t="array" ref="U1687">_xlfn.LET(_xlpm.roles,_xlfn.UNIQUE(D1687:D4485),_xlpm.kills, SUMIF(D1687:D4485,_xlpm.roles,G1687:G4485),INDEX(_xlpm.roles,MATCH(MAX(_xlpm.kills),_xlpm.kills,0)))</f>
        <v>Sniper</v>
      </c>
      <c r="V1687" t="str">
        <f t="shared" si="133"/>
        <v>High Accuracy</v>
      </c>
      <c r="W1687" t="str" cm="1">
        <f t="array" ref="W1687">_xlfn.LET(_xlpm.roles,_xlfn.UNIQUE(D1687:D4485), _xlpm.counts,COUNTIF(D1687:D4485,_xlpm.roles), INDEX(_xlpm.roles,MATCH(MAX(_xlpm.counts),_xlpm.counts,0)))</f>
        <v>Sniper</v>
      </c>
      <c r="X1687" s="2">
        <f t="shared" si="134"/>
        <v>13.057077625570777</v>
      </c>
    </row>
    <row r="1688" spans="1:24" x14ac:dyDescent="0.3">
      <c r="A1688">
        <v>1498</v>
      </c>
      <c r="B1688">
        <v>299</v>
      </c>
      <c r="C1688" t="s">
        <v>25</v>
      </c>
      <c r="D1688" t="s">
        <v>17</v>
      </c>
      <c r="E1688" t="s">
        <v>23</v>
      </c>
      <c r="F1688" t="s">
        <v>19</v>
      </c>
      <c r="G1688">
        <v>17</v>
      </c>
      <c r="H1688">
        <v>6</v>
      </c>
      <c r="I1688">
        <v>18</v>
      </c>
      <c r="J1688">
        <v>45.52</v>
      </c>
      <c r="K1688">
        <v>249.84</v>
      </c>
      <c r="L1688">
        <v>0.41</v>
      </c>
      <c r="M1688">
        <v>40.659999999999997</v>
      </c>
      <c r="N1688">
        <v>0.83</v>
      </c>
      <c r="O1688" t="s">
        <v>20</v>
      </c>
      <c r="P1688" t="s">
        <v>21</v>
      </c>
      <c r="Q1688">
        <f t="shared" si="130"/>
        <v>5</v>
      </c>
      <c r="R1688" s="4">
        <f>RANK(N1688,$N$2:N$2800,0)</f>
        <v>2218</v>
      </c>
      <c r="S1688">
        <f t="shared" si="131"/>
        <v>0.94444444444444442</v>
      </c>
      <c r="T1688" t="str">
        <f t="shared" si="132"/>
        <v>Low</v>
      </c>
      <c r="U1688" t="str" cm="1">
        <f t="array" ref="U1688">_xlfn.LET(_xlpm.roles,_xlfn.UNIQUE(D1688:D4486),_xlpm.kills, SUMIF(D1688:D4486,_xlpm.roles,G1688:G4486),INDEX(_xlpm.roles,MATCH(MAX(_xlpm.kills),_xlpm.kills,0)))</f>
        <v>Sniper</v>
      </c>
      <c r="V1688" t="str">
        <f t="shared" si="133"/>
        <v>Medium Accuracy</v>
      </c>
      <c r="W1688" t="str" cm="1">
        <f t="array" ref="W1688">_xlfn.LET(_xlpm.roles,_xlfn.UNIQUE(D1688:D4486), _xlpm.counts,COUNTIF(D1688:D4486,_xlpm.roles), INDEX(_xlpm.roles,MATCH(MAX(_xlpm.counts),_xlpm.counts,0)))</f>
        <v>Sniper</v>
      </c>
      <c r="X1688" s="2">
        <f t="shared" si="134"/>
        <v>12.809421841541756</v>
      </c>
    </row>
    <row r="1689" spans="1:24" x14ac:dyDescent="0.3">
      <c r="A1689">
        <v>1783</v>
      </c>
      <c r="B1689">
        <v>299</v>
      </c>
      <c r="C1689" t="s">
        <v>39</v>
      </c>
      <c r="D1689" t="s">
        <v>17</v>
      </c>
      <c r="E1689" t="s">
        <v>23</v>
      </c>
      <c r="F1689" t="s">
        <v>37</v>
      </c>
      <c r="G1689">
        <v>15</v>
      </c>
      <c r="H1689">
        <v>9</v>
      </c>
      <c r="I1689">
        <v>9</v>
      </c>
      <c r="J1689">
        <v>43.27</v>
      </c>
      <c r="K1689">
        <v>212.09</v>
      </c>
      <c r="L1689">
        <v>0.56000000000000005</v>
      </c>
      <c r="M1689">
        <v>46.04</v>
      </c>
      <c r="N1689">
        <v>0.79</v>
      </c>
      <c r="O1689" t="s">
        <v>20</v>
      </c>
      <c r="P1689" t="s">
        <v>21</v>
      </c>
      <c r="Q1689">
        <f t="shared" si="130"/>
        <v>15</v>
      </c>
      <c r="R1689" s="4">
        <f>RANK(N1689,$N$2:N$2800,0)</f>
        <v>2436</v>
      </c>
      <c r="S1689">
        <f t="shared" si="131"/>
        <v>1.6666666666666667</v>
      </c>
      <c r="T1689" t="str">
        <f t="shared" si="132"/>
        <v>Good</v>
      </c>
      <c r="U1689" t="str" cm="1">
        <f t="array" ref="U1689">_xlfn.LET(_xlpm.roles,_xlfn.UNIQUE(D1689:D4487),_xlpm.kills, SUMIF(D1689:D4487,_xlpm.roles,G1689:G4487),INDEX(_xlpm.roles,MATCH(MAX(_xlpm.kills),_xlpm.kills,0)))</f>
        <v>Sniper</v>
      </c>
      <c r="V1689" t="str">
        <f t="shared" si="133"/>
        <v>Medium Accuracy</v>
      </c>
      <c r="W1689" t="str" cm="1">
        <f t="array" ref="W1689">_xlfn.LET(_xlpm.roles,_xlfn.UNIQUE(D1689:D4487), _xlpm.counts,COUNTIF(D1689:D4487,_xlpm.roles), INDEX(_xlpm.roles,MATCH(MAX(_xlpm.counts),_xlpm.counts,0)))</f>
        <v>Sniper</v>
      </c>
      <c r="X1689" s="2">
        <f t="shared" si="134"/>
        <v>13.103594080338267</v>
      </c>
    </row>
    <row r="1690" spans="1:24" x14ac:dyDescent="0.3">
      <c r="A1690">
        <v>1845</v>
      </c>
      <c r="B1690">
        <v>299</v>
      </c>
      <c r="C1690" t="s">
        <v>39</v>
      </c>
      <c r="D1690" t="s">
        <v>28</v>
      </c>
      <c r="E1690" t="s">
        <v>23</v>
      </c>
      <c r="F1690" t="s">
        <v>19</v>
      </c>
      <c r="G1690">
        <v>11</v>
      </c>
      <c r="H1690">
        <v>9</v>
      </c>
      <c r="I1690">
        <v>8</v>
      </c>
      <c r="J1690">
        <v>40.18</v>
      </c>
      <c r="K1690">
        <v>235.86</v>
      </c>
      <c r="L1690">
        <v>0.46</v>
      </c>
      <c r="M1690">
        <v>38.49</v>
      </c>
      <c r="N1690">
        <v>0.9</v>
      </c>
      <c r="O1690" t="s">
        <v>20</v>
      </c>
      <c r="P1690" t="s">
        <v>21</v>
      </c>
      <c r="Q1690">
        <f t="shared" si="130"/>
        <v>12</v>
      </c>
      <c r="R1690" s="4">
        <f>RANK(N1690,$N$2:N$2800,0)</f>
        <v>1738</v>
      </c>
      <c r="S1690">
        <f t="shared" si="131"/>
        <v>1.375</v>
      </c>
      <c r="T1690" t="str">
        <f t="shared" si="132"/>
        <v>Low</v>
      </c>
      <c r="U1690" t="str" cm="1">
        <f t="array" ref="U1690">_xlfn.LET(_xlpm.roles,_xlfn.UNIQUE(D1690:D4488),_xlpm.kills, SUMIF(D1690:D4488,_xlpm.roles,G1690:G4488),INDEX(_xlpm.roles,MATCH(MAX(_xlpm.kills),_xlpm.kills,0)))</f>
        <v>Sniper</v>
      </c>
      <c r="V1690" t="str">
        <f t="shared" si="133"/>
        <v>Medium Accuracy</v>
      </c>
      <c r="W1690" t="str" cm="1">
        <f t="array" ref="W1690">_xlfn.LET(_xlpm.roles,_xlfn.UNIQUE(D1690:D4488), _xlpm.counts,COUNTIF(D1690:D4488,_xlpm.roles), INDEX(_xlpm.roles,MATCH(MAX(_xlpm.counts),_xlpm.counts,0)))</f>
        <v>Sniper</v>
      </c>
      <c r="X1690" s="2">
        <f t="shared" si="134"/>
        <v>13.103594080338267</v>
      </c>
    </row>
    <row r="1691" spans="1:24" x14ac:dyDescent="0.3">
      <c r="A1691">
        <v>1847</v>
      </c>
      <c r="B1691">
        <v>299</v>
      </c>
      <c r="C1691" t="s">
        <v>16</v>
      </c>
      <c r="D1691" t="s">
        <v>17</v>
      </c>
      <c r="E1691" t="s">
        <v>23</v>
      </c>
      <c r="F1691" t="s">
        <v>37</v>
      </c>
      <c r="G1691">
        <v>14</v>
      </c>
      <c r="H1691">
        <v>10</v>
      </c>
      <c r="I1691">
        <v>11</v>
      </c>
      <c r="J1691">
        <v>38.6</v>
      </c>
      <c r="K1691">
        <v>265.89999999999998</v>
      </c>
      <c r="L1691">
        <v>0.84</v>
      </c>
      <c r="M1691">
        <v>37.9</v>
      </c>
      <c r="N1691">
        <v>0.87</v>
      </c>
      <c r="O1691" t="s">
        <v>20</v>
      </c>
      <c r="P1691" t="s">
        <v>21</v>
      </c>
      <c r="Q1691">
        <f t="shared" si="130"/>
        <v>13</v>
      </c>
      <c r="R1691" s="4">
        <f>RANK(N1691,$N$2:N$2800,0)</f>
        <v>1965</v>
      </c>
      <c r="S1691">
        <f t="shared" si="131"/>
        <v>1.2727272727272727</v>
      </c>
      <c r="T1691" t="str">
        <f t="shared" si="132"/>
        <v>Low</v>
      </c>
      <c r="U1691" t="str" cm="1">
        <f t="array" ref="U1691">_xlfn.LET(_xlpm.roles,_xlfn.UNIQUE(D1691:D4489),_xlpm.kills, SUMIF(D1691:D4489,_xlpm.roles,G1691:G4489),INDEX(_xlpm.roles,MATCH(MAX(_xlpm.kills),_xlpm.kills,0)))</f>
        <v>Sniper</v>
      </c>
      <c r="V1691" t="str">
        <f t="shared" si="133"/>
        <v>Medium Accuracy</v>
      </c>
      <c r="W1691" t="str" cm="1">
        <f t="array" ref="W1691">_xlfn.LET(_xlpm.roles,_xlfn.UNIQUE(D1691:D4489), _xlpm.counts,COUNTIF(D1691:D4489,_xlpm.roles), INDEX(_xlpm.roles,MATCH(MAX(_xlpm.counts),_xlpm.counts,0)))</f>
        <v>Sniper</v>
      </c>
      <c r="X1691" s="2">
        <f t="shared" si="134"/>
        <v>12.520971302428256</v>
      </c>
    </row>
    <row r="1692" spans="1:24" x14ac:dyDescent="0.3">
      <c r="A1692">
        <v>2162</v>
      </c>
      <c r="B1692">
        <v>299</v>
      </c>
      <c r="C1692" t="s">
        <v>16</v>
      </c>
      <c r="D1692" t="s">
        <v>22</v>
      </c>
      <c r="E1692" t="s">
        <v>32</v>
      </c>
      <c r="F1692" t="s">
        <v>24</v>
      </c>
      <c r="G1692">
        <v>16</v>
      </c>
      <c r="H1692">
        <v>14</v>
      </c>
      <c r="I1692">
        <v>6</v>
      </c>
      <c r="J1692">
        <v>39.840000000000003</v>
      </c>
      <c r="K1692">
        <v>223.46</v>
      </c>
      <c r="L1692">
        <v>0.27</v>
      </c>
      <c r="M1692">
        <v>57.22</v>
      </c>
      <c r="N1692">
        <v>1</v>
      </c>
      <c r="O1692" t="s">
        <v>20</v>
      </c>
      <c r="P1692" t="s">
        <v>21</v>
      </c>
      <c r="Q1692">
        <f t="shared" si="130"/>
        <v>24</v>
      </c>
      <c r="R1692" s="4">
        <f>RANK(N1692,$N$2:N$2800,0)</f>
        <v>1</v>
      </c>
      <c r="S1692">
        <f t="shared" si="131"/>
        <v>2.6666666666666665</v>
      </c>
      <c r="T1692" t="str">
        <f t="shared" si="132"/>
        <v>Good</v>
      </c>
      <c r="U1692" t="str" cm="1">
        <f t="array" ref="U1692">_xlfn.LET(_xlpm.roles,_xlfn.UNIQUE(D1692:D4490),_xlpm.kills, SUMIF(D1692:D4490,_xlpm.roles,G1692:G4490),INDEX(_xlpm.roles,MATCH(MAX(_xlpm.kills),_xlpm.kills,0)))</f>
        <v>Sniper</v>
      </c>
      <c r="V1692" t="str">
        <f t="shared" si="133"/>
        <v>Medium Accuracy</v>
      </c>
      <c r="W1692" t="str" cm="1">
        <f t="array" ref="W1692">_xlfn.LET(_xlpm.roles,_xlfn.UNIQUE(D1692:D4490), _xlpm.counts,COUNTIF(D1692:D4490,_xlpm.roles), INDEX(_xlpm.roles,MATCH(MAX(_xlpm.counts),_xlpm.counts,0)))</f>
        <v>Sniper</v>
      </c>
      <c r="X1692" s="2">
        <f t="shared" si="134"/>
        <v>12.520971302428256</v>
      </c>
    </row>
    <row r="1693" spans="1:24" x14ac:dyDescent="0.3">
      <c r="A1693">
        <v>827</v>
      </c>
      <c r="B1693">
        <v>300</v>
      </c>
      <c r="C1693" t="s">
        <v>39</v>
      </c>
      <c r="D1693" t="s">
        <v>22</v>
      </c>
      <c r="E1693" t="s">
        <v>18</v>
      </c>
      <c r="F1693" t="s">
        <v>34</v>
      </c>
      <c r="G1693">
        <v>17</v>
      </c>
      <c r="H1693">
        <v>9</v>
      </c>
      <c r="I1693">
        <v>7</v>
      </c>
      <c r="J1693">
        <v>54.04</v>
      </c>
      <c r="K1693">
        <v>254.82</v>
      </c>
      <c r="L1693">
        <v>0.55000000000000004</v>
      </c>
      <c r="M1693">
        <v>57.52</v>
      </c>
      <c r="N1693">
        <v>1</v>
      </c>
      <c r="O1693" t="s">
        <v>20</v>
      </c>
      <c r="P1693" t="s">
        <v>21</v>
      </c>
      <c r="Q1693">
        <f t="shared" si="130"/>
        <v>19</v>
      </c>
      <c r="R1693" s="4">
        <f>RANK(N1693,$N$2:N$2800,0)</f>
        <v>1</v>
      </c>
      <c r="S1693">
        <f t="shared" si="131"/>
        <v>2.4285714285714284</v>
      </c>
      <c r="T1693" t="str">
        <f t="shared" si="132"/>
        <v>Good</v>
      </c>
      <c r="U1693" t="str" cm="1">
        <f t="array" ref="U1693">_xlfn.LET(_xlpm.roles,_xlfn.UNIQUE(D1693:D4491),_xlpm.kills, SUMIF(D1693:D4491,_xlpm.roles,G1693:G4491),INDEX(_xlpm.roles,MATCH(MAX(_xlpm.kills),_xlpm.kills,0)))</f>
        <v>Sniper</v>
      </c>
      <c r="V1693" t="str">
        <f t="shared" si="133"/>
        <v>High Accuracy</v>
      </c>
      <c r="W1693" t="str" cm="1">
        <f t="array" ref="W1693">_xlfn.LET(_xlpm.roles,_xlfn.UNIQUE(D1693:D4491), _xlpm.counts,COUNTIF(D1693:D4491,_xlpm.roles), INDEX(_xlpm.roles,MATCH(MAX(_xlpm.counts),_xlpm.counts,0)))</f>
        <v>Sniper</v>
      </c>
      <c r="X1693" s="2">
        <f t="shared" si="134"/>
        <v>13.103594080338267</v>
      </c>
    </row>
    <row r="1694" spans="1:24" x14ac:dyDescent="0.3">
      <c r="A1694">
        <v>1261</v>
      </c>
      <c r="B1694">
        <v>300</v>
      </c>
      <c r="C1694" t="s">
        <v>30</v>
      </c>
      <c r="D1694" t="s">
        <v>31</v>
      </c>
      <c r="E1694" t="s">
        <v>29</v>
      </c>
      <c r="F1694" t="s">
        <v>26</v>
      </c>
      <c r="G1694">
        <v>15</v>
      </c>
      <c r="H1694">
        <v>10</v>
      </c>
      <c r="I1694">
        <v>7</v>
      </c>
      <c r="J1694">
        <v>50.55</v>
      </c>
      <c r="K1694">
        <v>176.54</v>
      </c>
      <c r="L1694">
        <v>0.34</v>
      </c>
      <c r="M1694">
        <v>54.88</v>
      </c>
      <c r="N1694">
        <v>0.95</v>
      </c>
      <c r="O1694" t="s">
        <v>20</v>
      </c>
      <c r="P1694" t="s">
        <v>21</v>
      </c>
      <c r="Q1694">
        <f t="shared" si="130"/>
        <v>18</v>
      </c>
      <c r="R1694" s="4">
        <f>RANK(N1694,$N$2:N$2800,0)</f>
        <v>1367</v>
      </c>
      <c r="S1694">
        <f t="shared" si="131"/>
        <v>2.1428571428571428</v>
      </c>
      <c r="T1694" t="str">
        <f t="shared" si="132"/>
        <v>Good</v>
      </c>
      <c r="U1694" t="str" cm="1">
        <f t="array" ref="U1694">_xlfn.LET(_xlpm.roles,_xlfn.UNIQUE(D1694:D4492),_xlpm.kills, SUMIF(D1694:D4492,_xlpm.roles,G1694:G4492),INDEX(_xlpm.roles,MATCH(MAX(_xlpm.kills),_xlpm.kills,0)))</f>
        <v>Sniper</v>
      </c>
      <c r="V1694" t="str">
        <f t="shared" si="133"/>
        <v>High Accuracy</v>
      </c>
      <c r="W1694" t="str" cm="1">
        <f t="array" ref="W1694">_xlfn.LET(_xlpm.roles,_xlfn.UNIQUE(D1694:D4492), _xlpm.counts,COUNTIF(D1694:D4492,_xlpm.roles), INDEX(_xlpm.roles,MATCH(MAX(_xlpm.counts),_xlpm.counts,0)))</f>
        <v>Sniper</v>
      </c>
      <c r="X1694" s="2">
        <f t="shared" si="134"/>
        <v>13.135802469135802</v>
      </c>
    </row>
    <row r="1695" spans="1:24" x14ac:dyDescent="0.3">
      <c r="A1695">
        <v>119</v>
      </c>
      <c r="B1695">
        <v>301</v>
      </c>
      <c r="C1695" t="s">
        <v>27</v>
      </c>
      <c r="D1695" t="s">
        <v>28</v>
      </c>
      <c r="E1695" t="s">
        <v>23</v>
      </c>
      <c r="F1695" t="s">
        <v>37</v>
      </c>
      <c r="G1695">
        <v>20</v>
      </c>
      <c r="H1695">
        <v>5</v>
      </c>
      <c r="I1695">
        <v>14</v>
      </c>
      <c r="J1695">
        <v>23.37</v>
      </c>
      <c r="K1695">
        <v>240.34</v>
      </c>
      <c r="L1695">
        <v>0.32</v>
      </c>
      <c r="M1695">
        <v>39.479999999999997</v>
      </c>
      <c r="N1695">
        <v>1</v>
      </c>
      <c r="O1695" t="s">
        <v>20</v>
      </c>
      <c r="P1695" t="s">
        <v>21</v>
      </c>
      <c r="Q1695">
        <f t="shared" si="130"/>
        <v>11</v>
      </c>
      <c r="R1695" s="4">
        <f>RANK(N1695,$N$2:N$2800,0)</f>
        <v>1</v>
      </c>
      <c r="S1695">
        <f t="shared" si="131"/>
        <v>1.4285714285714286</v>
      </c>
      <c r="T1695" t="str">
        <f t="shared" si="132"/>
        <v>Low</v>
      </c>
      <c r="U1695" t="str" cm="1">
        <f t="array" ref="U1695">_xlfn.LET(_xlpm.roles,_xlfn.UNIQUE(D1695:D4493),_xlpm.kills, SUMIF(D1695:D4493,_xlpm.roles,G1695:G4493),INDEX(_xlpm.roles,MATCH(MAX(_xlpm.kills),_xlpm.kills,0)))</f>
        <v>Sniper</v>
      </c>
      <c r="V1695" t="str">
        <f t="shared" si="133"/>
        <v>Low Accuracy</v>
      </c>
      <c r="W1695" t="str" cm="1">
        <f t="array" ref="W1695">_xlfn.LET(_xlpm.roles,_xlfn.UNIQUE(D1695:D4493), _xlpm.counts,COUNTIF(D1695:D4493,_xlpm.roles), INDEX(_xlpm.roles,MATCH(MAX(_xlpm.counts),_xlpm.counts,0)))</f>
        <v>Sniper</v>
      </c>
      <c r="X1695" s="2">
        <f t="shared" si="134"/>
        <v>13.057077625570777</v>
      </c>
    </row>
    <row r="1696" spans="1:24" x14ac:dyDescent="0.3">
      <c r="A1696">
        <v>1596</v>
      </c>
      <c r="B1696">
        <v>301</v>
      </c>
      <c r="C1696" t="s">
        <v>27</v>
      </c>
      <c r="D1696" t="s">
        <v>22</v>
      </c>
      <c r="E1696" t="s">
        <v>18</v>
      </c>
      <c r="F1696" t="s">
        <v>24</v>
      </c>
      <c r="G1696">
        <v>13</v>
      </c>
      <c r="H1696">
        <v>13</v>
      </c>
      <c r="I1696">
        <v>7</v>
      </c>
      <c r="J1696">
        <v>50.72</v>
      </c>
      <c r="K1696">
        <v>203.52</v>
      </c>
      <c r="L1696">
        <v>0.36</v>
      </c>
      <c r="M1696">
        <v>53.76</v>
      </c>
      <c r="N1696">
        <v>1</v>
      </c>
      <c r="O1696" t="s">
        <v>20</v>
      </c>
      <c r="P1696" t="s">
        <v>21</v>
      </c>
      <c r="Q1696">
        <f t="shared" si="130"/>
        <v>19</v>
      </c>
      <c r="R1696" s="4">
        <f>RANK(N1696,$N$2:N$2800,0)</f>
        <v>1</v>
      </c>
      <c r="S1696">
        <f t="shared" si="131"/>
        <v>1.8571428571428572</v>
      </c>
      <c r="T1696" t="str">
        <f t="shared" si="132"/>
        <v>Good</v>
      </c>
      <c r="U1696" t="str" cm="1">
        <f t="array" ref="U1696">_xlfn.LET(_xlpm.roles,_xlfn.UNIQUE(D1696:D4494),_xlpm.kills, SUMIF(D1696:D4494,_xlpm.roles,G1696:G4494),INDEX(_xlpm.roles,MATCH(MAX(_xlpm.kills),_xlpm.kills,0)))</f>
        <v>Sniper</v>
      </c>
      <c r="V1696" t="str">
        <f t="shared" si="133"/>
        <v>High Accuracy</v>
      </c>
      <c r="W1696" t="str" cm="1">
        <f t="array" ref="W1696">_xlfn.LET(_xlpm.roles,_xlfn.UNIQUE(D1696:D4494), _xlpm.counts,COUNTIF(D1696:D4494,_xlpm.roles), INDEX(_xlpm.roles,MATCH(MAX(_xlpm.counts),_xlpm.counts,0)))</f>
        <v>Sniper</v>
      </c>
      <c r="X1696" s="2">
        <f t="shared" si="134"/>
        <v>13.057077625570777</v>
      </c>
    </row>
    <row r="1697" spans="1:24" x14ac:dyDescent="0.3">
      <c r="A1697">
        <v>1707</v>
      </c>
      <c r="B1697">
        <v>301</v>
      </c>
      <c r="C1697" t="s">
        <v>39</v>
      </c>
      <c r="D1697" t="s">
        <v>31</v>
      </c>
      <c r="E1697" t="s">
        <v>33</v>
      </c>
      <c r="F1697" t="s">
        <v>37</v>
      </c>
      <c r="G1697">
        <v>16</v>
      </c>
      <c r="H1697">
        <v>7</v>
      </c>
      <c r="I1697">
        <v>9</v>
      </c>
      <c r="J1697">
        <v>43.93</v>
      </c>
      <c r="K1697">
        <v>226.35</v>
      </c>
      <c r="L1697">
        <v>0.27</v>
      </c>
      <c r="M1697">
        <v>49.27</v>
      </c>
      <c r="N1697">
        <v>0.93</v>
      </c>
      <c r="O1697" t="s">
        <v>20</v>
      </c>
      <c r="P1697" t="s">
        <v>21</v>
      </c>
      <c r="Q1697">
        <f t="shared" si="130"/>
        <v>14</v>
      </c>
      <c r="R1697" s="4">
        <f>RANK(N1697,$N$2:N$2800,0)</f>
        <v>1505</v>
      </c>
      <c r="S1697">
        <f t="shared" si="131"/>
        <v>1.7777777777777777</v>
      </c>
      <c r="T1697" t="str">
        <f t="shared" si="132"/>
        <v>Low</v>
      </c>
      <c r="U1697" t="str" cm="1">
        <f t="array" ref="U1697">_xlfn.LET(_xlpm.roles,_xlfn.UNIQUE(D1697:D4495),_xlpm.kills, SUMIF(D1697:D4495,_xlpm.roles,G1697:G4495),INDEX(_xlpm.roles,MATCH(MAX(_xlpm.kills),_xlpm.kills,0)))</f>
        <v>Sniper</v>
      </c>
      <c r="V1697" t="str">
        <f t="shared" si="133"/>
        <v>Medium Accuracy</v>
      </c>
      <c r="W1697" t="str" cm="1">
        <f t="array" ref="W1697">_xlfn.LET(_xlpm.roles,_xlfn.UNIQUE(D1697:D4495), _xlpm.counts,COUNTIF(D1697:D4495,_xlpm.roles), INDEX(_xlpm.roles,MATCH(MAX(_xlpm.counts),_xlpm.counts,0)))</f>
        <v>Sniper</v>
      </c>
      <c r="X1697" s="2">
        <f t="shared" si="134"/>
        <v>13.103594080338267</v>
      </c>
    </row>
    <row r="1698" spans="1:24" x14ac:dyDescent="0.3">
      <c r="A1698">
        <v>2026</v>
      </c>
      <c r="B1698">
        <v>301</v>
      </c>
      <c r="C1698" t="s">
        <v>30</v>
      </c>
      <c r="D1698" t="s">
        <v>36</v>
      </c>
      <c r="E1698" t="s">
        <v>18</v>
      </c>
      <c r="F1698" t="s">
        <v>24</v>
      </c>
      <c r="G1698">
        <v>12</v>
      </c>
      <c r="H1698">
        <v>10</v>
      </c>
      <c r="I1698">
        <v>16</v>
      </c>
      <c r="J1698">
        <v>55.27</v>
      </c>
      <c r="K1698">
        <v>232.14</v>
      </c>
      <c r="L1698">
        <v>0.96</v>
      </c>
      <c r="M1698">
        <v>36.04</v>
      </c>
      <c r="N1698">
        <v>0.95</v>
      </c>
      <c r="O1698" t="s">
        <v>20</v>
      </c>
      <c r="P1698" t="s">
        <v>21</v>
      </c>
      <c r="Q1698">
        <f t="shared" si="130"/>
        <v>6</v>
      </c>
      <c r="R1698" s="4">
        <f>RANK(N1698,$N$2:N$2800,0)</f>
        <v>1367</v>
      </c>
      <c r="S1698">
        <f t="shared" si="131"/>
        <v>0.75</v>
      </c>
      <c r="T1698" t="str">
        <f t="shared" si="132"/>
        <v>Low</v>
      </c>
      <c r="U1698" t="str" cm="1">
        <f t="array" ref="U1698">_xlfn.LET(_xlpm.roles,_xlfn.UNIQUE(D1698:D4496),_xlpm.kills, SUMIF(D1698:D4496,_xlpm.roles,G1698:G4496),INDEX(_xlpm.roles,MATCH(MAX(_xlpm.kills),_xlpm.kills,0)))</f>
        <v>Sniper</v>
      </c>
      <c r="V1698" t="str">
        <f t="shared" si="133"/>
        <v>High Accuracy</v>
      </c>
      <c r="W1698" t="str" cm="1">
        <f t="array" ref="W1698">_xlfn.LET(_xlpm.roles,_xlfn.UNIQUE(D1698:D4496), _xlpm.counts,COUNTIF(D1698:D4496,_xlpm.roles), INDEX(_xlpm.roles,MATCH(MAX(_xlpm.counts),_xlpm.counts,0)))</f>
        <v>Sniper</v>
      </c>
      <c r="X1698" s="2">
        <f t="shared" si="134"/>
        <v>13.135802469135802</v>
      </c>
    </row>
    <row r="1699" spans="1:24" x14ac:dyDescent="0.3">
      <c r="A1699">
        <v>482</v>
      </c>
      <c r="B1699">
        <v>302</v>
      </c>
      <c r="C1699" t="s">
        <v>39</v>
      </c>
      <c r="D1699" t="s">
        <v>22</v>
      </c>
      <c r="E1699" t="s">
        <v>33</v>
      </c>
      <c r="F1699" t="s">
        <v>34</v>
      </c>
      <c r="G1699">
        <v>8</v>
      </c>
      <c r="H1699">
        <v>4</v>
      </c>
      <c r="I1699">
        <v>12</v>
      </c>
      <c r="J1699">
        <v>33.74</v>
      </c>
      <c r="K1699">
        <v>218.68</v>
      </c>
      <c r="L1699">
        <v>0.31</v>
      </c>
      <c r="M1699">
        <v>21.77</v>
      </c>
      <c r="N1699">
        <v>0.83</v>
      </c>
      <c r="O1699" t="s">
        <v>20</v>
      </c>
      <c r="P1699" t="s">
        <v>21</v>
      </c>
      <c r="Q1699">
        <f t="shared" si="130"/>
        <v>0</v>
      </c>
      <c r="R1699" s="4">
        <f>RANK(N1699,$N$2:N$2800,0)</f>
        <v>2218</v>
      </c>
      <c r="S1699">
        <f t="shared" si="131"/>
        <v>0.66666666666666663</v>
      </c>
      <c r="T1699" t="str">
        <f t="shared" si="132"/>
        <v>Low</v>
      </c>
      <c r="U1699" t="str" cm="1">
        <f t="array" ref="U1699">_xlfn.LET(_xlpm.roles,_xlfn.UNIQUE(D1699:D4497),_xlpm.kills, SUMIF(D1699:D4497,_xlpm.roles,G1699:G4497),INDEX(_xlpm.roles,MATCH(MAX(_xlpm.kills),_xlpm.kills,0)))</f>
        <v>Sniper</v>
      </c>
      <c r="V1699" t="str">
        <f t="shared" si="133"/>
        <v>Medium Accuracy</v>
      </c>
      <c r="W1699" t="str" cm="1">
        <f t="array" ref="W1699">_xlfn.LET(_xlpm.roles,_xlfn.UNIQUE(D1699:D4497), _xlpm.counts,COUNTIF(D1699:D4497,_xlpm.roles), INDEX(_xlpm.roles,MATCH(MAX(_xlpm.counts),_xlpm.counts,0)))</f>
        <v>Sniper</v>
      </c>
      <c r="X1699" s="2">
        <f t="shared" si="134"/>
        <v>13.103594080338267</v>
      </c>
    </row>
    <row r="1700" spans="1:24" x14ac:dyDescent="0.3">
      <c r="A1700">
        <v>605</v>
      </c>
      <c r="B1700">
        <v>302</v>
      </c>
      <c r="C1700" t="s">
        <v>30</v>
      </c>
      <c r="D1700" t="s">
        <v>31</v>
      </c>
      <c r="E1700" t="s">
        <v>23</v>
      </c>
      <c r="F1700" t="s">
        <v>26</v>
      </c>
      <c r="G1700">
        <v>18</v>
      </c>
      <c r="H1700">
        <v>13</v>
      </c>
      <c r="I1700">
        <v>15</v>
      </c>
      <c r="J1700">
        <v>43.2</v>
      </c>
      <c r="K1700">
        <v>270</v>
      </c>
      <c r="L1700">
        <v>0.23</v>
      </c>
      <c r="M1700">
        <v>53.3</v>
      </c>
      <c r="N1700">
        <v>1</v>
      </c>
      <c r="O1700" t="s">
        <v>20</v>
      </c>
      <c r="P1700" t="s">
        <v>21</v>
      </c>
      <c r="Q1700">
        <f t="shared" si="130"/>
        <v>16</v>
      </c>
      <c r="R1700" s="4">
        <f>RANK(N1700,$N$2:N$2800,0)</f>
        <v>1</v>
      </c>
      <c r="S1700">
        <f t="shared" si="131"/>
        <v>1.2</v>
      </c>
      <c r="T1700" t="str">
        <f t="shared" si="132"/>
        <v>Good</v>
      </c>
      <c r="U1700" t="str" cm="1">
        <f t="array" ref="U1700">_xlfn.LET(_xlpm.roles,_xlfn.UNIQUE(D1700:D4498),_xlpm.kills, SUMIF(D1700:D4498,_xlpm.roles,G1700:G4498),INDEX(_xlpm.roles,MATCH(MAX(_xlpm.kills),_xlpm.kills,0)))</f>
        <v>Sniper</v>
      </c>
      <c r="V1700" t="str">
        <f t="shared" si="133"/>
        <v>Medium Accuracy</v>
      </c>
      <c r="W1700" t="str" cm="1">
        <f t="array" ref="W1700">_xlfn.LET(_xlpm.roles,_xlfn.UNIQUE(D1700:D4498), _xlpm.counts,COUNTIF(D1700:D4498,_xlpm.roles), INDEX(_xlpm.roles,MATCH(MAX(_xlpm.counts),_xlpm.counts,0)))</f>
        <v>Sniper</v>
      </c>
      <c r="X1700" s="2">
        <f t="shared" si="134"/>
        <v>13.135802469135802</v>
      </c>
    </row>
    <row r="1701" spans="1:24" x14ac:dyDescent="0.3">
      <c r="A1701">
        <v>942</v>
      </c>
      <c r="B1701">
        <v>302</v>
      </c>
      <c r="C1701" t="s">
        <v>35</v>
      </c>
      <c r="D1701" t="s">
        <v>31</v>
      </c>
      <c r="E1701" t="s">
        <v>33</v>
      </c>
      <c r="F1701" t="s">
        <v>26</v>
      </c>
      <c r="G1701">
        <v>17</v>
      </c>
      <c r="H1701">
        <v>6</v>
      </c>
      <c r="I1701">
        <v>10</v>
      </c>
      <c r="J1701">
        <v>43.37</v>
      </c>
      <c r="K1701">
        <v>206.99</v>
      </c>
      <c r="L1701">
        <v>0.82</v>
      </c>
      <c r="M1701">
        <v>43.48</v>
      </c>
      <c r="N1701">
        <v>0.99</v>
      </c>
      <c r="O1701" t="s">
        <v>20</v>
      </c>
      <c r="P1701" t="s">
        <v>21</v>
      </c>
      <c r="Q1701">
        <f t="shared" si="130"/>
        <v>13</v>
      </c>
      <c r="R1701" s="4">
        <f>RANK(N1701,$N$2:N$2800,0)</f>
        <v>1080</v>
      </c>
      <c r="S1701">
        <f t="shared" si="131"/>
        <v>1.7</v>
      </c>
      <c r="T1701" t="str">
        <f t="shared" si="132"/>
        <v>Low</v>
      </c>
      <c r="U1701" t="str" cm="1">
        <f t="array" ref="U1701">_xlfn.LET(_xlpm.roles,_xlfn.UNIQUE(D1701:D4499),_xlpm.kills, SUMIF(D1701:D4499,_xlpm.roles,G1701:G4499),INDEX(_xlpm.roles,MATCH(MAX(_xlpm.kills),_xlpm.kills,0)))</f>
        <v>Sniper</v>
      </c>
      <c r="V1701" t="str">
        <f t="shared" si="133"/>
        <v>Medium Accuracy</v>
      </c>
      <c r="W1701" t="str" cm="1">
        <f t="array" ref="W1701">_xlfn.LET(_xlpm.roles,_xlfn.UNIQUE(D1701:D4499), _xlpm.counts,COUNTIF(D1701:D4499,_xlpm.roles), INDEX(_xlpm.roles,MATCH(MAX(_xlpm.counts),_xlpm.counts,0)))</f>
        <v>Sniper</v>
      </c>
      <c r="X1701" s="2">
        <f t="shared" si="134"/>
        <v>12.599585062240664</v>
      </c>
    </row>
    <row r="1702" spans="1:24" x14ac:dyDescent="0.3">
      <c r="A1702">
        <v>1240</v>
      </c>
      <c r="B1702">
        <v>302</v>
      </c>
      <c r="C1702" t="s">
        <v>27</v>
      </c>
      <c r="D1702" t="s">
        <v>17</v>
      </c>
      <c r="E1702" t="s">
        <v>32</v>
      </c>
      <c r="F1702" t="s">
        <v>34</v>
      </c>
      <c r="G1702">
        <v>15</v>
      </c>
      <c r="H1702">
        <v>4</v>
      </c>
      <c r="I1702">
        <v>5</v>
      </c>
      <c r="J1702">
        <v>50.81</v>
      </c>
      <c r="K1702">
        <v>236.82</v>
      </c>
      <c r="L1702">
        <v>0.28999999999999998</v>
      </c>
      <c r="M1702">
        <v>51.51</v>
      </c>
      <c r="N1702">
        <v>0.81</v>
      </c>
      <c r="O1702" t="s">
        <v>20</v>
      </c>
      <c r="P1702" t="s">
        <v>21</v>
      </c>
      <c r="Q1702">
        <f t="shared" si="130"/>
        <v>14</v>
      </c>
      <c r="R1702" s="4">
        <f>RANK(N1702,$N$2:N$2800,0)</f>
        <v>2341</v>
      </c>
      <c r="S1702">
        <f t="shared" si="131"/>
        <v>3</v>
      </c>
      <c r="T1702" t="str">
        <f t="shared" si="132"/>
        <v>Low</v>
      </c>
      <c r="U1702" t="str" cm="1">
        <f t="array" ref="U1702">_xlfn.LET(_xlpm.roles,_xlfn.UNIQUE(D1702:D4500),_xlpm.kills, SUMIF(D1702:D4500,_xlpm.roles,G1702:G4500),INDEX(_xlpm.roles,MATCH(MAX(_xlpm.kills),_xlpm.kills,0)))</f>
        <v>Sniper</v>
      </c>
      <c r="V1702" t="str">
        <f t="shared" si="133"/>
        <v>High Accuracy</v>
      </c>
      <c r="W1702" t="str" cm="1">
        <f t="array" ref="W1702">_xlfn.LET(_xlpm.roles,_xlfn.UNIQUE(D1702:D4500), _xlpm.counts,COUNTIF(D1702:D4500,_xlpm.roles), INDEX(_xlpm.roles,MATCH(MAX(_xlpm.counts),_xlpm.counts,0)))</f>
        <v>Sniper</v>
      </c>
      <c r="X1702" s="2">
        <f t="shared" si="134"/>
        <v>13.057077625570777</v>
      </c>
    </row>
    <row r="1703" spans="1:24" x14ac:dyDescent="0.3">
      <c r="A1703">
        <v>1251</v>
      </c>
      <c r="B1703">
        <v>302</v>
      </c>
      <c r="C1703" t="s">
        <v>35</v>
      </c>
      <c r="D1703" t="s">
        <v>17</v>
      </c>
      <c r="E1703" t="s">
        <v>18</v>
      </c>
      <c r="F1703" t="s">
        <v>37</v>
      </c>
      <c r="G1703">
        <v>18</v>
      </c>
      <c r="H1703">
        <v>9</v>
      </c>
      <c r="I1703">
        <v>13</v>
      </c>
      <c r="J1703">
        <v>57.01</v>
      </c>
      <c r="K1703">
        <v>210.74</v>
      </c>
      <c r="L1703">
        <v>0.63</v>
      </c>
      <c r="M1703">
        <v>54.2</v>
      </c>
      <c r="N1703">
        <v>0.95</v>
      </c>
      <c r="O1703" t="s">
        <v>20</v>
      </c>
      <c r="P1703" t="s">
        <v>21</v>
      </c>
      <c r="Q1703">
        <f t="shared" si="130"/>
        <v>14</v>
      </c>
      <c r="R1703" s="4">
        <f>RANK(N1703,$N$2:N$2800,0)</f>
        <v>1367</v>
      </c>
      <c r="S1703">
        <f t="shared" si="131"/>
        <v>1.3846153846153846</v>
      </c>
      <c r="T1703" t="str">
        <f t="shared" si="132"/>
        <v>Low</v>
      </c>
      <c r="U1703" t="str" cm="1">
        <f t="array" ref="U1703">_xlfn.LET(_xlpm.roles,_xlfn.UNIQUE(D1703:D4501),_xlpm.kills, SUMIF(D1703:D4501,_xlpm.roles,G1703:G4501),INDEX(_xlpm.roles,MATCH(MAX(_xlpm.kills),_xlpm.kills,0)))</f>
        <v>Sniper</v>
      </c>
      <c r="V1703" t="str">
        <f t="shared" si="133"/>
        <v>High Accuracy</v>
      </c>
      <c r="W1703" t="str" cm="1">
        <f t="array" ref="W1703">_xlfn.LET(_xlpm.roles,_xlfn.UNIQUE(D1703:D4501), _xlpm.counts,COUNTIF(D1703:D4501,_xlpm.roles), INDEX(_xlpm.roles,MATCH(MAX(_xlpm.counts),_xlpm.counts,0)))</f>
        <v>Sniper</v>
      </c>
      <c r="X1703" s="2">
        <f t="shared" si="134"/>
        <v>12.599585062240664</v>
      </c>
    </row>
    <row r="1704" spans="1:24" x14ac:dyDescent="0.3">
      <c r="A1704">
        <v>1384</v>
      </c>
      <c r="B1704">
        <v>302</v>
      </c>
      <c r="C1704" t="s">
        <v>35</v>
      </c>
      <c r="D1704" t="s">
        <v>28</v>
      </c>
      <c r="E1704" t="s">
        <v>18</v>
      </c>
      <c r="F1704" t="s">
        <v>26</v>
      </c>
      <c r="G1704">
        <v>15</v>
      </c>
      <c r="H1704">
        <v>4</v>
      </c>
      <c r="I1704">
        <v>8</v>
      </c>
      <c r="J1704">
        <v>40.270000000000003</v>
      </c>
      <c r="K1704">
        <v>227.51</v>
      </c>
      <c r="L1704">
        <v>0.98</v>
      </c>
      <c r="M1704">
        <v>36.340000000000003</v>
      </c>
      <c r="N1704">
        <v>0.77</v>
      </c>
      <c r="O1704" t="s">
        <v>20</v>
      </c>
      <c r="P1704" t="s">
        <v>21</v>
      </c>
      <c r="Q1704">
        <f t="shared" si="130"/>
        <v>11</v>
      </c>
      <c r="R1704" s="4">
        <f>RANK(N1704,$N$2:N$2800,0)</f>
        <v>2511</v>
      </c>
      <c r="S1704">
        <f t="shared" si="131"/>
        <v>1.875</v>
      </c>
      <c r="T1704" t="str">
        <f t="shared" si="132"/>
        <v>Low</v>
      </c>
      <c r="U1704" t="str" cm="1">
        <f t="array" ref="U1704">_xlfn.LET(_xlpm.roles,_xlfn.UNIQUE(D1704:D4502),_xlpm.kills, SUMIF(D1704:D4502,_xlpm.roles,G1704:G4502),INDEX(_xlpm.roles,MATCH(MAX(_xlpm.kills),_xlpm.kills,0)))</f>
        <v>Sniper</v>
      </c>
      <c r="V1704" t="str">
        <f t="shared" si="133"/>
        <v>Medium Accuracy</v>
      </c>
      <c r="W1704" t="str" cm="1">
        <f t="array" ref="W1704">_xlfn.LET(_xlpm.roles,_xlfn.UNIQUE(D1704:D4502), _xlpm.counts,COUNTIF(D1704:D4502,_xlpm.roles), INDEX(_xlpm.roles,MATCH(MAX(_xlpm.counts),_xlpm.counts,0)))</f>
        <v>Sniper</v>
      </c>
      <c r="X1704" s="2">
        <f t="shared" si="134"/>
        <v>12.599585062240664</v>
      </c>
    </row>
    <row r="1705" spans="1:24" x14ac:dyDescent="0.3">
      <c r="A1705">
        <v>1996</v>
      </c>
      <c r="B1705">
        <v>302</v>
      </c>
      <c r="C1705" t="s">
        <v>25</v>
      </c>
      <c r="D1705" t="s">
        <v>31</v>
      </c>
      <c r="E1705" t="s">
        <v>33</v>
      </c>
      <c r="F1705" t="s">
        <v>24</v>
      </c>
      <c r="G1705">
        <v>12</v>
      </c>
      <c r="H1705">
        <v>6</v>
      </c>
      <c r="I1705">
        <v>11</v>
      </c>
      <c r="J1705">
        <v>60.95</v>
      </c>
      <c r="K1705">
        <v>235.37</v>
      </c>
      <c r="L1705">
        <v>0.4</v>
      </c>
      <c r="M1705">
        <v>45.48</v>
      </c>
      <c r="N1705">
        <v>1</v>
      </c>
      <c r="O1705" t="s">
        <v>20</v>
      </c>
      <c r="P1705" t="s">
        <v>21</v>
      </c>
      <c r="Q1705">
        <f t="shared" si="130"/>
        <v>7</v>
      </c>
      <c r="R1705" s="4">
        <f>RANK(N1705,$N$2:N$2800,0)</f>
        <v>1</v>
      </c>
      <c r="S1705">
        <f t="shared" si="131"/>
        <v>1.0909090909090908</v>
      </c>
      <c r="T1705" t="str">
        <f t="shared" si="132"/>
        <v>Low</v>
      </c>
      <c r="U1705" t="str" cm="1">
        <f t="array" ref="U1705">_xlfn.LET(_xlpm.roles,_xlfn.UNIQUE(D1705:D4503),_xlpm.kills, SUMIF(D1705:D4503,_xlpm.roles,G1705:G4503),INDEX(_xlpm.roles,MATCH(MAX(_xlpm.kills),_xlpm.kills,0)))</f>
        <v>Sniper</v>
      </c>
      <c r="V1705" t="str">
        <f t="shared" si="133"/>
        <v>High Accuracy</v>
      </c>
      <c r="W1705" t="str" cm="1">
        <f t="array" ref="W1705">_xlfn.LET(_xlpm.roles,_xlfn.UNIQUE(D1705:D4503), _xlpm.counts,COUNTIF(D1705:D4503,_xlpm.roles), INDEX(_xlpm.roles,MATCH(MAX(_xlpm.counts),_xlpm.counts,0)))</f>
        <v>Sniper</v>
      </c>
      <c r="X1705" s="2">
        <f t="shared" si="134"/>
        <v>12.809421841541756</v>
      </c>
    </row>
    <row r="1706" spans="1:24" x14ac:dyDescent="0.3">
      <c r="A1706">
        <v>671</v>
      </c>
      <c r="B1706">
        <v>303</v>
      </c>
      <c r="C1706" t="s">
        <v>30</v>
      </c>
      <c r="D1706" t="s">
        <v>36</v>
      </c>
      <c r="E1706" t="s">
        <v>23</v>
      </c>
      <c r="F1706" t="s">
        <v>34</v>
      </c>
      <c r="G1706">
        <v>19</v>
      </c>
      <c r="H1706">
        <v>9</v>
      </c>
      <c r="I1706">
        <v>5</v>
      </c>
      <c r="J1706">
        <v>43.82</v>
      </c>
      <c r="K1706">
        <v>207.78</v>
      </c>
      <c r="L1706">
        <v>0.75</v>
      </c>
      <c r="M1706">
        <v>56.41</v>
      </c>
      <c r="N1706">
        <v>1</v>
      </c>
      <c r="O1706" t="s">
        <v>20</v>
      </c>
      <c r="P1706" t="s">
        <v>21</v>
      </c>
      <c r="Q1706">
        <f t="shared" si="130"/>
        <v>23</v>
      </c>
      <c r="R1706" s="4">
        <f>RANK(N1706,$N$2:N$2800,0)</f>
        <v>1</v>
      </c>
      <c r="S1706">
        <f t="shared" si="131"/>
        <v>3.8</v>
      </c>
      <c r="T1706" t="str">
        <f t="shared" si="132"/>
        <v>Good</v>
      </c>
      <c r="U1706" t="str" cm="1">
        <f t="array" ref="U1706">_xlfn.LET(_xlpm.roles,_xlfn.UNIQUE(D1706:D4504),_xlpm.kills, SUMIF(D1706:D4504,_xlpm.roles,G1706:G4504),INDEX(_xlpm.roles,MATCH(MAX(_xlpm.kills),_xlpm.kills,0)))</f>
        <v>Sniper</v>
      </c>
      <c r="V1706" t="str">
        <f t="shared" si="133"/>
        <v>Medium Accuracy</v>
      </c>
      <c r="W1706" t="str" cm="1">
        <f t="array" ref="W1706">_xlfn.LET(_xlpm.roles,_xlfn.UNIQUE(D1706:D4504), _xlpm.counts,COUNTIF(D1706:D4504,_xlpm.roles), INDEX(_xlpm.roles,MATCH(MAX(_xlpm.counts),_xlpm.counts,0)))</f>
        <v>Sniper</v>
      </c>
      <c r="X1706" s="2">
        <f t="shared" si="134"/>
        <v>13.135802469135802</v>
      </c>
    </row>
    <row r="1707" spans="1:24" x14ac:dyDescent="0.3">
      <c r="A1707">
        <v>981</v>
      </c>
      <c r="B1707">
        <v>303</v>
      </c>
      <c r="C1707" t="s">
        <v>30</v>
      </c>
      <c r="D1707" t="s">
        <v>22</v>
      </c>
      <c r="E1707" t="s">
        <v>32</v>
      </c>
      <c r="F1707" t="s">
        <v>26</v>
      </c>
      <c r="G1707">
        <v>17</v>
      </c>
      <c r="H1707">
        <v>7</v>
      </c>
      <c r="I1707">
        <v>7</v>
      </c>
      <c r="J1707">
        <v>54.46</v>
      </c>
      <c r="K1707">
        <v>244.1</v>
      </c>
      <c r="L1707">
        <v>0.19</v>
      </c>
      <c r="M1707">
        <v>59.33</v>
      </c>
      <c r="N1707">
        <v>1</v>
      </c>
      <c r="O1707" t="s">
        <v>20</v>
      </c>
      <c r="P1707" t="s">
        <v>21</v>
      </c>
      <c r="Q1707">
        <f t="shared" si="130"/>
        <v>17</v>
      </c>
      <c r="R1707" s="4">
        <f>RANK(N1707,$N$2:N$2800,0)</f>
        <v>1</v>
      </c>
      <c r="S1707">
        <f t="shared" si="131"/>
        <v>2.4285714285714284</v>
      </c>
      <c r="T1707" t="str">
        <f t="shared" si="132"/>
        <v>Good</v>
      </c>
      <c r="U1707" t="str" cm="1">
        <f t="array" ref="U1707">_xlfn.LET(_xlpm.roles,_xlfn.UNIQUE(D1707:D4505),_xlpm.kills, SUMIF(D1707:D4505,_xlpm.roles,G1707:G4505),INDEX(_xlpm.roles,MATCH(MAX(_xlpm.kills),_xlpm.kills,0)))</f>
        <v>Sniper</v>
      </c>
      <c r="V1707" t="str">
        <f t="shared" si="133"/>
        <v>High Accuracy</v>
      </c>
      <c r="W1707" t="str" cm="1">
        <f t="array" ref="W1707">_xlfn.LET(_xlpm.roles,_xlfn.UNIQUE(D1707:D4505), _xlpm.counts,COUNTIF(D1707:D4505,_xlpm.roles), INDEX(_xlpm.roles,MATCH(MAX(_xlpm.counts),_xlpm.counts,0)))</f>
        <v>Sniper</v>
      </c>
      <c r="X1707" s="2">
        <f t="shared" si="134"/>
        <v>13.135802469135802</v>
      </c>
    </row>
    <row r="1708" spans="1:24" x14ac:dyDescent="0.3">
      <c r="A1708">
        <v>1085</v>
      </c>
      <c r="B1708">
        <v>303</v>
      </c>
      <c r="C1708" t="s">
        <v>30</v>
      </c>
      <c r="D1708" t="s">
        <v>28</v>
      </c>
      <c r="E1708" t="s">
        <v>23</v>
      </c>
      <c r="F1708" t="s">
        <v>37</v>
      </c>
      <c r="G1708">
        <v>13</v>
      </c>
      <c r="H1708">
        <v>7</v>
      </c>
      <c r="I1708">
        <v>10</v>
      </c>
      <c r="J1708">
        <v>40.83</v>
      </c>
      <c r="K1708">
        <v>238.41</v>
      </c>
      <c r="L1708">
        <v>0.34</v>
      </c>
      <c r="M1708">
        <v>40.020000000000003</v>
      </c>
      <c r="N1708">
        <v>0.87</v>
      </c>
      <c r="O1708" t="s">
        <v>20</v>
      </c>
      <c r="P1708" t="s">
        <v>21</v>
      </c>
      <c r="Q1708">
        <f t="shared" si="130"/>
        <v>10</v>
      </c>
      <c r="R1708" s="4">
        <f>RANK(N1708,$N$2:N$2800,0)</f>
        <v>1965</v>
      </c>
      <c r="S1708">
        <f t="shared" si="131"/>
        <v>1.3</v>
      </c>
      <c r="T1708" t="str">
        <f t="shared" si="132"/>
        <v>Low</v>
      </c>
      <c r="U1708" t="str" cm="1">
        <f t="array" ref="U1708">_xlfn.LET(_xlpm.roles,_xlfn.UNIQUE(D1708:D4506),_xlpm.kills, SUMIF(D1708:D4506,_xlpm.roles,G1708:G4506),INDEX(_xlpm.roles,MATCH(MAX(_xlpm.kills),_xlpm.kills,0)))</f>
        <v>Sniper</v>
      </c>
      <c r="V1708" t="str">
        <f t="shared" si="133"/>
        <v>Medium Accuracy</v>
      </c>
      <c r="W1708" t="str" cm="1">
        <f t="array" ref="W1708">_xlfn.LET(_xlpm.roles,_xlfn.UNIQUE(D1708:D4506), _xlpm.counts,COUNTIF(D1708:D4506,_xlpm.roles), INDEX(_xlpm.roles,MATCH(MAX(_xlpm.counts),_xlpm.counts,0)))</f>
        <v>Sniper</v>
      </c>
      <c r="X1708" s="2">
        <f t="shared" si="134"/>
        <v>13.135802469135802</v>
      </c>
    </row>
    <row r="1709" spans="1:24" x14ac:dyDescent="0.3">
      <c r="A1709">
        <v>2025</v>
      </c>
      <c r="B1709">
        <v>303</v>
      </c>
      <c r="C1709" t="s">
        <v>30</v>
      </c>
      <c r="D1709" t="s">
        <v>31</v>
      </c>
      <c r="E1709" t="s">
        <v>33</v>
      </c>
      <c r="F1709" t="s">
        <v>24</v>
      </c>
      <c r="G1709">
        <v>13</v>
      </c>
      <c r="H1709">
        <v>11</v>
      </c>
      <c r="I1709">
        <v>13</v>
      </c>
      <c r="J1709">
        <v>49.47</v>
      </c>
      <c r="K1709">
        <v>220.93</v>
      </c>
      <c r="L1709">
        <v>0.61</v>
      </c>
      <c r="M1709">
        <v>42.63</v>
      </c>
      <c r="N1709">
        <v>0.93</v>
      </c>
      <c r="O1709" t="s">
        <v>20</v>
      </c>
      <c r="P1709" t="s">
        <v>21</v>
      </c>
      <c r="Q1709">
        <f t="shared" si="130"/>
        <v>11</v>
      </c>
      <c r="R1709" s="4">
        <f>RANK(N1709,$N$2:N$2800,0)</f>
        <v>1505</v>
      </c>
      <c r="S1709">
        <f t="shared" si="131"/>
        <v>1</v>
      </c>
      <c r="T1709" t="str">
        <f t="shared" si="132"/>
        <v>Low</v>
      </c>
      <c r="U1709" t="str" cm="1">
        <f t="array" ref="U1709">_xlfn.LET(_xlpm.roles,_xlfn.UNIQUE(D1709:D4507),_xlpm.kills, SUMIF(D1709:D4507,_xlpm.roles,G1709:G4507),INDEX(_xlpm.roles,MATCH(MAX(_xlpm.kills),_xlpm.kills,0)))</f>
        <v>Sniper</v>
      </c>
      <c r="V1709" t="str">
        <f t="shared" si="133"/>
        <v>Medium Accuracy</v>
      </c>
      <c r="W1709" t="str" cm="1">
        <f t="array" ref="W1709">_xlfn.LET(_xlpm.roles,_xlfn.UNIQUE(D1709:D4507), _xlpm.counts,COUNTIF(D1709:D4507,_xlpm.roles), INDEX(_xlpm.roles,MATCH(MAX(_xlpm.counts),_xlpm.counts,0)))</f>
        <v>Sniper</v>
      </c>
      <c r="X1709" s="2">
        <f t="shared" si="134"/>
        <v>13.135802469135802</v>
      </c>
    </row>
    <row r="1710" spans="1:24" x14ac:dyDescent="0.3">
      <c r="A1710">
        <v>1015</v>
      </c>
      <c r="B1710">
        <v>304</v>
      </c>
      <c r="C1710" t="s">
        <v>35</v>
      </c>
      <c r="D1710" t="s">
        <v>28</v>
      </c>
      <c r="E1710" t="s">
        <v>29</v>
      </c>
      <c r="F1710" t="s">
        <v>34</v>
      </c>
      <c r="G1710">
        <v>11</v>
      </c>
      <c r="H1710">
        <v>7</v>
      </c>
      <c r="I1710">
        <v>12</v>
      </c>
      <c r="J1710">
        <v>62.63</v>
      </c>
      <c r="K1710">
        <v>238.96</v>
      </c>
      <c r="L1710">
        <v>0.99</v>
      </c>
      <c r="M1710">
        <v>38.409999999999997</v>
      </c>
      <c r="N1710">
        <v>1</v>
      </c>
      <c r="O1710" t="s">
        <v>20</v>
      </c>
      <c r="P1710" t="s">
        <v>21</v>
      </c>
      <c r="Q1710">
        <f t="shared" si="130"/>
        <v>6</v>
      </c>
      <c r="R1710" s="4">
        <f>RANK(N1710,$N$2:N$2800,0)</f>
        <v>1</v>
      </c>
      <c r="S1710">
        <f t="shared" si="131"/>
        <v>0.91666666666666663</v>
      </c>
      <c r="T1710" t="str">
        <f t="shared" si="132"/>
        <v>Low</v>
      </c>
      <c r="U1710" t="str" cm="1">
        <f t="array" ref="U1710">_xlfn.LET(_xlpm.roles,_xlfn.UNIQUE(D1710:D4508),_xlpm.kills, SUMIF(D1710:D4508,_xlpm.roles,G1710:G4508),INDEX(_xlpm.roles,MATCH(MAX(_xlpm.kills),_xlpm.kills,0)))</f>
        <v>Sniper</v>
      </c>
      <c r="V1710" t="str">
        <f t="shared" si="133"/>
        <v>High Accuracy</v>
      </c>
      <c r="W1710" t="str" cm="1">
        <f t="array" ref="W1710">_xlfn.LET(_xlpm.roles,_xlfn.UNIQUE(D1710:D4508), _xlpm.counts,COUNTIF(D1710:D4508,_xlpm.roles), INDEX(_xlpm.roles,MATCH(MAX(_xlpm.counts),_xlpm.counts,0)))</f>
        <v>Sniper</v>
      </c>
      <c r="X1710" s="2">
        <f t="shared" si="134"/>
        <v>12.599585062240664</v>
      </c>
    </row>
    <row r="1711" spans="1:24" x14ac:dyDescent="0.3">
      <c r="A1711">
        <v>1317</v>
      </c>
      <c r="B1711">
        <v>304</v>
      </c>
      <c r="C1711" t="s">
        <v>30</v>
      </c>
      <c r="D1711" t="s">
        <v>28</v>
      </c>
      <c r="E1711" t="s">
        <v>33</v>
      </c>
      <c r="F1711" t="s">
        <v>26</v>
      </c>
      <c r="G1711">
        <v>11</v>
      </c>
      <c r="H1711">
        <v>8</v>
      </c>
      <c r="I1711">
        <v>13</v>
      </c>
      <c r="J1711">
        <v>42.99</v>
      </c>
      <c r="K1711">
        <v>176.29</v>
      </c>
      <c r="L1711">
        <v>0.69</v>
      </c>
      <c r="M1711">
        <v>31.6</v>
      </c>
      <c r="N1711">
        <v>0.88</v>
      </c>
      <c r="O1711" t="s">
        <v>20</v>
      </c>
      <c r="P1711" t="s">
        <v>21</v>
      </c>
      <c r="Q1711">
        <f t="shared" si="130"/>
        <v>6</v>
      </c>
      <c r="R1711" s="4">
        <f>RANK(N1711,$N$2:N$2800,0)</f>
        <v>1894</v>
      </c>
      <c r="S1711">
        <f t="shared" si="131"/>
        <v>0.84615384615384615</v>
      </c>
      <c r="T1711" t="str">
        <f t="shared" si="132"/>
        <v>Low</v>
      </c>
      <c r="U1711" t="str" cm="1">
        <f t="array" ref="U1711">_xlfn.LET(_xlpm.roles,_xlfn.UNIQUE(D1711:D4509),_xlpm.kills, SUMIF(D1711:D4509,_xlpm.roles,G1711:G4509),INDEX(_xlpm.roles,MATCH(MAX(_xlpm.kills),_xlpm.kills,0)))</f>
        <v>Sniper</v>
      </c>
      <c r="V1711" t="str">
        <f t="shared" si="133"/>
        <v>Medium Accuracy</v>
      </c>
      <c r="W1711" t="str" cm="1">
        <f t="array" ref="W1711">_xlfn.LET(_xlpm.roles,_xlfn.UNIQUE(D1711:D4509), _xlpm.counts,COUNTIF(D1711:D4509,_xlpm.roles), INDEX(_xlpm.roles,MATCH(MAX(_xlpm.counts),_xlpm.counts,0)))</f>
        <v>Sniper</v>
      </c>
      <c r="X1711" s="2">
        <f t="shared" si="134"/>
        <v>13.135802469135802</v>
      </c>
    </row>
    <row r="1712" spans="1:24" x14ac:dyDescent="0.3">
      <c r="A1712">
        <v>1809</v>
      </c>
      <c r="B1712">
        <v>304</v>
      </c>
      <c r="C1712" t="s">
        <v>25</v>
      </c>
      <c r="D1712" t="s">
        <v>22</v>
      </c>
      <c r="E1712" t="s">
        <v>33</v>
      </c>
      <c r="F1712" t="s">
        <v>37</v>
      </c>
      <c r="G1712">
        <v>13</v>
      </c>
      <c r="H1712">
        <v>5</v>
      </c>
      <c r="I1712">
        <v>11</v>
      </c>
      <c r="J1712">
        <v>34.520000000000003</v>
      </c>
      <c r="K1712">
        <v>218.44</v>
      </c>
      <c r="L1712">
        <v>0.1</v>
      </c>
      <c r="M1712">
        <v>36.26</v>
      </c>
      <c r="N1712">
        <v>0.83</v>
      </c>
      <c r="O1712" t="s">
        <v>20</v>
      </c>
      <c r="P1712" t="s">
        <v>21</v>
      </c>
      <c r="Q1712">
        <f t="shared" si="130"/>
        <v>7</v>
      </c>
      <c r="R1712" s="4">
        <f>RANK(N1712,$N$2:N$2800,0)</f>
        <v>2218</v>
      </c>
      <c r="S1712">
        <f t="shared" si="131"/>
        <v>1.1818181818181819</v>
      </c>
      <c r="T1712" t="str">
        <f t="shared" si="132"/>
        <v>Low</v>
      </c>
      <c r="U1712" t="str" cm="1">
        <f t="array" ref="U1712">_xlfn.LET(_xlpm.roles,_xlfn.UNIQUE(D1712:D4510),_xlpm.kills, SUMIF(D1712:D4510,_xlpm.roles,G1712:G4510),INDEX(_xlpm.roles,MATCH(MAX(_xlpm.kills),_xlpm.kills,0)))</f>
        <v>Sniper</v>
      </c>
      <c r="V1712" t="str">
        <f t="shared" si="133"/>
        <v>Medium Accuracy</v>
      </c>
      <c r="W1712" t="str" cm="1">
        <f t="array" ref="W1712">_xlfn.LET(_xlpm.roles,_xlfn.UNIQUE(D1712:D4510), _xlpm.counts,COUNTIF(D1712:D4510,_xlpm.roles), INDEX(_xlpm.roles,MATCH(MAX(_xlpm.counts),_xlpm.counts,0)))</f>
        <v>Sniper</v>
      </c>
      <c r="X1712" s="2">
        <f t="shared" si="134"/>
        <v>12.809421841541756</v>
      </c>
    </row>
    <row r="1713" spans="1:24" x14ac:dyDescent="0.3">
      <c r="A1713">
        <v>2004</v>
      </c>
      <c r="B1713">
        <v>304</v>
      </c>
      <c r="C1713" t="s">
        <v>30</v>
      </c>
      <c r="D1713" t="s">
        <v>28</v>
      </c>
      <c r="E1713" t="s">
        <v>29</v>
      </c>
      <c r="F1713" t="s">
        <v>26</v>
      </c>
      <c r="G1713">
        <v>20</v>
      </c>
      <c r="H1713">
        <v>8</v>
      </c>
      <c r="I1713">
        <v>7</v>
      </c>
      <c r="J1713">
        <v>32.380000000000003</v>
      </c>
      <c r="K1713">
        <v>218.63</v>
      </c>
      <c r="L1713">
        <v>0.08</v>
      </c>
      <c r="M1713">
        <v>56.39</v>
      </c>
      <c r="N1713">
        <v>1</v>
      </c>
      <c r="O1713" t="s">
        <v>20</v>
      </c>
      <c r="P1713" t="s">
        <v>21</v>
      </c>
      <c r="Q1713">
        <f t="shared" si="130"/>
        <v>21</v>
      </c>
      <c r="R1713" s="4">
        <f>RANK(N1713,$N$2:N$2800,0)</f>
        <v>1</v>
      </c>
      <c r="S1713">
        <f t="shared" si="131"/>
        <v>2.8571428571428572</v>
      </c>
      <c r="T1713" t="str">
        <f t="shared" si="132"/>
        <v>Good</v>
      </c>
      <c r="U1713" t="str" cm="1">
        <f t="array" ref="U1713">_xlfn.LET(_xlpm.roles,_xlfn.UNIQUE(D1713:D4511),_xlpm.kills, SUMIF(D1713:D4511,_xlpm.roles,G1713:G4511),INDEX(_xlpm.roles,MATCH(MAX(_xlpm.kills),_xlpm.kills,0)))</f>
        <v>Sniper</v>
      </c>
      <c r="V1713" t="str">
        <f t="shared" si="133"/>
        <v>Medium Accuracy</v>
      </c>
      <c r="W1713" t="str" cm="1">
        <f t="array" ref="W1713">_xlfn.LET(_xlpm.roles,_xlfn.UNIQUE(D1713:D4511), _xlpm.counts,COUNTIF(D1713:D4511,_xlpm.roles), INDEX(_xlpm.roles,MATCH(MAX(_xlpm.counts),_xlpm.counts,0)))</f>
        <v>Sniper</v>
      </c>
      <c r="X1713" s="2">
        <f t="shared" si="134"/>
        <v>13.135802469135802</v>
      </c>
    </row>
    <row r="1714" spans="1:24" x14ac:dyDescent="0.3">
      <c r="A1714">
        <v>2335</v>
      </c>
      <c r="B1714">
        <v>304</v>
      </c>
      <c r="C1714" t="s">
        <v>16</v>
      </c>
      <c r="D1714" t="s">
        <v>28</v>
      </c>
      <c r="E1714" t="s">
        <v>18</v>
      </c>
      <c r="F1714" t="s">
        <v>24</v>
      </c>
      <c r="G1714">
        <v>19</v>
      </c>
      <c r="H1714">
        <v>7</v>
      </c>
      <c r="I1714">
        <v>11</v>
      </c>
      <c r="J1714">
        <v>41.88</v>
      </c>
      <c r="K1714">
        <v>193.5</v>
      </c>
      <c r="L1714">
        <v>0.2</v>
      </c>
      <c r="M1714">
        <v>52.94</v>
      </c>
      <c r="N1714">
        <v>1</v>
      </c>
      <c r="O1714" t="s">
        <v>20</v>
      </c>
      <c r="P1714" t="s">
        <v>21</v>
      </c>
      <c r="Q1714">
        <f t="shared" si="130"/>
        <v>15</v>
      </c>
      <c r="R1714" s="4">
        <f>RANK(N1714,$N$2:N$2800,0)</f>
        <v>1</v>
      </c>
      <c r="S1714">
        <f t="shared" si="131"/>
        <v>1.7272727272727273</v>
      </c>
      <c r="T1714" t="str">
        <f t="shared" si="132"/>
        <v>Good</v>
      </c>
      <c r="U1714" t="str" cm="1">
        <f t="array" ref="U1714">_xlfn.LET(_xlpm.roles,_xlfn.UNIQUE(D1714:D4512),_xlpm.kills, SUMIF(D1714:D4512,_xlpm.roles,G1714:G4512),INDEX(_xlpm.roles,MATCH(MAX(_xlpm.kills),_xlpm.kills,0)))</f>
        <v>Sniper</v>
      </c>
      <c r="V1714" t="str">
        <f t="shared" si="133"/>
        <v>Medium Accuracy</v>
      </c>
      <c r="W1714" t="str" cm="1">
        <f t="array" ref="W1714">_xlfn.LET(_xlpm.roles,_xlfn.UNIQUE(D1714:D4512), _xlpm.counts,COUNTIF(D1714:D4512,_xlpm.roles), INDEX(_xlpm.roles,MATCH(MAX(_xlpm.counts),_xlpm.counts,0)))</f>
        <v>Sniper</v>
      </c>
      <c r="X1714" s="2">
        <f t="shared" si="134"/>
        <v>12.520971302428256</v>
      </c>
    </row>
    <row r="1715" spans="1:24" x14ac:dyDescent="0.3">
      <c r="A1715">
        <v>735</v>
      </c>
      <c r="B1715">
        <v>305</v>
      </c>
      <c r="C1715" t="s">
        <v>25</v>
      </c>
      <c r="D1715" t="s">
        <v>28</v>
      </c>
      <c r="E1715" t="s">
        <v>29</v>
      </c>
      <c r="F1715" t="s">
        <v>26</v>
      </c>
      <c r="G1715">
        <v>15</v>
      </c>
      <c r="H1715">
        <v>11</v>
      </c>
      <c r="I1715">
        <v>6</v>
      </c>
      <c r="J1715">
        <v>48.19</v>
      </c>
      <c r="K1715">
        <v>197.83</v>
      </c>
      <c r="L1715">
        <v>0.46</v>
      </c>
      <c r="M1715">
        <v>54.49</v>
      </c>
      <c r="N1715">
        <v>0.93</v>
      </c>
      <c r="O1715" t="s">
        <v>20</v>
      </c>
      <c r="P1715" t="s">
        <v>21</v>
      </c>
      <c r="Q1715">
        <f t="shared" si="130"/>
        <v>20</v>
      </c>
      <c r="R1715" s="4">
        <f>RANK(N1715,$N$2:N$2800,0)</f>
        <v>1505</v>
      </c>
      <c r="S1715">
        <f t="shared" si="131"/>
        <v>2.5</v>
      </c>
      <c r="T1715" t="str">
        <f t="shared" si="132"/>
        <v>Good</v>
      </c>
      <c r="U1715" t="str" cm="1">
        <f t="array" ref="U1715">_xlfn.LET(_xlpm.roles,_xlfn.UNIQUE(D1715:D4513),_xlpm.kills, SUMIF(D1715:D4513,_xlpm.roles,G1715:G4513),INDEX(_xlpm.roles,MATCH(MAX(_xlpm.kills),_xlpm.kills,0)))</f>
        <v>Sniper</v>
      </c>
      <c r="V1715" t="str">
        <f t="shared" si="133"/>
        <v>Medium Accuracy</v>
      </c>
      <c r="W1715" t="str" cm="1">
        <f t="array" ref="W1715">_xlfn.LET(_xlpm.roles,_xlfn.UNIQUE(D1715:D4513), _xlpm.counts,COUNTIF(D1715:D4513,_xlpm.roles), INDEX(_xlpm.roles,MATCH(MAX(_xlpm.counts),_xlpm.counts,0)))</f>
        <v>Sniper</v>
      </c>
      <c r="X1715" s="2">
        <f t="shared" si="134"/>
        <v>12.809421841541756</v>
      </c>
    </row>
    <row r="1716" spans="1:24" x14ac:dyDescent="0.3">
      <c r="A1716">
        <v>845</v>
      </c>
      <c r="B1716">
        <v>305</v>
      </c>
      <c r="C1716" t="s">
        <v>35</v>
      </c>
      <c r="D1716" t="s">
        <v>17</v>
      </c>
      <c r="E1716" t="s">
        <v>23</v>
      </c>
      <c r="F1716" t="s">
        <v>26</v>
      </c>
      <c r="G1716">
        <v>12</v>
      </c>
      <c r="H1716">
        <v>5</v>
      </c>
      <c r="I1716">
        <v>15</v>
      </c>
      <c r="J1716">
        <v>41.66</v>
      </c>
      <c r="K1716">
        <v>217.5</v>
      </c>
      <c r="L1716">
        <v>0.37</v>
      </c>
      <c r="M1716">
        <v>31.13</v>
      </c>
      <c r="N1716">
        <v>0.76</v>
      </c>
      <c r="O1716" t="s">
        <v>20</v>
      </c>
      <c r="P1716" t="s">
        <v>21</v>
      </c>
      <c r="Q1716">
        <f t="shared" si="130"/>
        <v>2</v>
      </c>
      <c r="R1716" s="4">
        <f>RANK(N1716,$N$2:N$2800,0)</f>
        <v>2547</v>
      </c>
      <c r="S1716">
        <f t="shared" si="131"/>
        <v>0.8</v>
      </c>
      <c r="T1716" t="str">
        <f t="shared" si="132"/>
        <v>Low</v>
      </c>
      <c r="U1716" t="str" cm="1">
        <f t="array" ref="U1716">_xlfn.LET(_xlpm.roles,_xlfn.UNIQUE(D1716:D4514),_xlpm.kills, SUMIF(D1716:D4514,_xlpm.roles,G1716:G4514),INDEX(_xlpm.roles,MATCH(MAX(_xlpm.kills),_xlpm.kills,0)))</f>
        <v>Sniper</v>
      </c>
      <c r="V1716" t="str">
        <f t="shared" si="133"/>
        <v>Medium Accuracy</v>
      </c>
      <c r="W1716" t="str" cm="1">
        <f t="array" ref="W1716">_xlfn.LET(_xlpm.roles,_xlfn.UNIQUE(D1716:D4514), _xlpm.counts,COUNTIF(D1716:D4514,_xlpm.roles), INDEX(_xlpm.roles,MATCH(MAX(_xlpm.counts),_xlpm.counts,0)))</f>
        <v>Sniper</v>
      </c>
      <c r="X1716" s="2">
        <f t="shared" si="134"/>
        <v>12.599585062240664</v>
      </c>
    </row>
    <row r="1717" spans="1:24" x14ac:dyDescent="0.3">
      <c r="A1717">
        <v>1023</v>
      </c>
      <c r="B1717">
        <v>305</v>
      </c>
      <c r="C1717" t="s">
        <v>35</v>
      </c>
      <c r="D1717" t="s">
        <v>22</v>
      </c>
      <c r="E1717" t="s">
        <v>23</v>
      </c>
      <c r="F1717" t="s">
        <v>19</v>
      </c>
      <c r="G1717">
        <v>13</v>
      </c>
      <c r="H1717">
        <v>9</v>
      </c>
      <c r="I1717">
        <v>11</v>
      </c>
      <c r="J1717">
        <v>26.61</v>
      </c>
      <c r="K1717">
        <v>225.09</v>
      </c>
      <c r="L1717">
        <v>0.53</v>
      </c>
      <c r="M1717">
        <v>32</v>
      </c>
      <c r="N1717">
        <v>0.65</v>
      </c>
      <c r="O1717" t="s">
        <v>20</v>
      </c>
      <c r="P1717" t="s">
        <v>21</v>
      </c>
      <c r="Q1717">
        <f t="shared" si="130"/>
        <v>11</v>
      </c>
      <c r="R1717" s="4">
        <f>RANK(N1717,$N$2:N$2800,0)</f>
        <v>2756</v>
      </c>
      <c r="S1717">
        <f t="shared" si="131"/>
        <v>1.1818181818181819</v>
      </c>
      <c r="T1717" t="str">
        <f t="shared" si="132"/>
        <v>Low</v>
      </c>
      <c r="U1717" t="str" cm="1">
        <f t="array" ref="U1717">_xlfn.LET(_xlpm.roles,_xlfn.UNIQUE(D1717:D4515),_xlpm.kills, SUMIF(D1717:D4515,_xlpm.roles,G1717:G4515),INDEX(_xlpm.roles,MATCH(MAX(_xlpm.kills),_xlpm.kills,0)))</f>
        <v>Sniper</v>
      </c>
      <c r="V1717" t="str">
        <f t="shared" si="133"/>
        <v>Low Accuracy</v>
      </c>
      <c r="W1717" t="str" cm="1">
        <f t="array" ref="W1717">_xlfn.LET(_xlpm.roles,_xlfn.UNIQUE(D1717:D4515), _xlpm.counts,COUNTIF(D1717:D4515,_xlpm.roles), INDEX(_xlpm.roles,MATCH(MAX(_xlpm.counts),_xlpm.counts,0)))</f>
        <v>Sniper</v>
      </c>
      <c r="X1717" s="2">
        <f t="shared" si="134"/>
        <v>12.599585062240664</v>
      </c>
    </row>
    <row r="1718" spans="1:24" x14ac:dyDescent="0.3">
      <c r="A1718">
        <v>1064</v>
      </c>
      <c r="B1718">
        <v>305</v>
      </c>
      <c r="C1718" t="s">
        <v>39</v>
      </c>
      <c r="D1718" t="s">
        <v>36</v>
      </c>
      <c r="E1718" t="s">
        <v>18</v>
      </c>
      <c r="F1718" t="s">
        <v>37</v>
      </c>
      <c r="G1718">
        <v>13</v>
      </c>
      <c r="H1718">
        <v>11</v>
      </c>
      <c r="I1718">
        <v>6</v>
      </c>
      <c r="J1718">
        <v>50.08</v>
      </c>
      <c r="K1718">
        <v>238.85</v>
      </c>
      <c r="L1718">
        <v>0.97</v>
      </c>
      <c r="M1718">
        <v>46.34</v>
      </c>
      <c r="N1718">
        <v>0.99</v>
      </c>
      <c r="O1718" t="s">
        <v>20</v>
      </c>
      <c r="P1718" t="s">
        <v>21</v>
      </c>
      <c r="Q1718">
        <f t="shared" si="130"/>
        <v>18</v>
      </c>
      <c r="R1718" s="4">
        <f>RANK(N1718,$N$2:N$2800,0)</f>
        <v>1080</v>
      </c>
      <c r="S1718">
        <f t="shared" si="131"/>
        <v>2.1666666666666665</v>
      </c>
      <c r="T1718" t="str">
        <f t="shared" si="132"/>
        <v>Good</v>
      </c>
      <c r="U1718" t="str" cm="1">
        <f t="array" ref="U1718">_xlfn.LET(_xlpm.roles,_xlfn.UNIQUE(D1718:D4516),_xlpm.kills, SUMIF(D1718:D4516,_xlpm.roles,G1718:G4516),INDEX(_xlpm.roles,MATCH(MAX(_xlpm.kills),_xlpm.kills,0)))</f>
        <v>Sniper</v>
      </c>
      <c r="V1718" t="str">
        <f t="shared" si="133"/>
        <v>High Accuracy</v>
      </c>
      <c r="W1718" t="str" cm="1">
        <f t="array" ref="W1718">_xlfn.LET(_xlpm.roles,_xlfn.UNIQUE(D1718:D4516), _xlpm.counts,COUNTIF(D1718:D4516,_xlpm.roles), INDEX(_xlpm.roles,MATCH(MAX(_xlpm.counts),_xlpm.counts,0)))</f>
        <v>Sniper</v>
      </c>
      <c r="X1718" s="2">
        <f t="shared" si="134"/>
        <v>13.103594080338267</v>
      </c>
    </row>
    <row r="1719" spans="1:24" x14ac:dyDescent="0.3">
      <c r="A1719">
        <v>1086</v>
      </c>
      <c r="B1719">
        <v>305</v>
      </c>
      <c r="C1719" t="s">
        <v>16</v>
      </c>
      <c r="D1719" t="s">
        <v>36</v>
      </c>
      <c r="E1719" t="s">
        <v>32</v>
      </c>
      <c r="F1719" t="s">
        <v>37</v>
      </c>
      <c r="G1719">
        <v>20</v>
      </c>
      <c r="H1719">
        <v>9</v>
      </c>
      <c r="I1719">
        <v>12</v>
      </c>
      <c r="J1719">
        <v>33.01</v>
      </c>
      <c r="K1719">
        <v>227.46</v>
      </c>
      <c r="L1719">
        <v>0.65</v>
      </c>
      <c r="M1719">
        <v>47</v>
      </c>
      <c r="N1719">
        <v>0.94</v>
      </c>
      <c r="O1719" t="s">
        <v>20</v>
      </c>
      <c r="P1719" t="s">
        <v>21</v>
      </c>
      <c r="Q1719">
        <f t="shared" si="130"/>
        <v>17</v>
      </c>
      <c r="R1719" s="4">
        <f>RANK(N1719,$N$2:N$2800,0)</f>
        <v>1431</v>
      </c>
      <c r="S1719">
        <f t="shared" si="131"/>
        <v>1.6666666666666667</v>
      </c>
      <c r="T1719" t="str">
        <f t="shared" si="132"/>
        <v>Good</v>
      </c>
      <c r="U1719" t="str" cm="1">
        <f t="array" ref="U1719">_xlfn.LET(_xlpm.roles,_xlfn.UNIQUE(D1719:D4517),_xlpm.kills, SUMIF(D1719:D4517,_xlpm.roles,G1719:G4517),INDEX(_xlpm.roles,MATCH(MAX(_xlpm.kills),_xlpm.kills,0)))</f>
        <v>Sniper</v>
      </c>
      <c r="V1719" t="str">
        <f t="shared" si="133"/>
        <v>Medium Accuracy</v>
      </c>
      <c r="W1719" t="str" cm="1">
        <f t="array" ref="W1719">_xlfn.LET(_xlpm.roles,_xlfn.UNIQUE(D1719:D4517), _xlpm.counts,COUNTIF(D1719:D4517,_xlpm.roles), INDEX(_xlpm.roles,MATCH(MAX(_xlpm.counts),_xlpm.counts,0)))</f>
        <v>Sniper</v>
      </c>
      <c r="X1719" s="2">
        <f t="shared" si="134"/>
        <v>12.520971302428256</v>
      </c>
    </row>
    <row r="1720" spans="1:24" x14ac:dyDescent="0.3">
      <c r="A1720">
        <v>1468</v>
      </c>
      <c r="B1720">
        <v>305</v>
      </c>
      <c r="C1720" t="s">
        <v>16</v>
      </c>
      <c r="D1720" t="s">
        <v>36</v>
      </c>
      <c r="E1720" t="s">
        <v>23</v>
      </c>
      <c r="F1720" t="s">
        <v>19</v>
      </c>
      <c r="G1720">
        <v>20</v>
      </c>
      <c r="H1720">
        <v>8</v>
      </c>
      <c r="I1720">
        <v>12</v>
      </c>
      <c r="J1720">
        <v>34.090000000000003</v>
      </c>
      <c r="K1720">
        <v>205.65</v>
      </c>
      <c r="L1720">
        <v>0.34</v>
      </c>
      <c r="M1720">
        <v>49.65</v>
      </c>
      <c r="N1720">
        <v>1</v>
      </c>
      <c r="O1720" t="s">
        <v>20</v>
      </c>
      <c r="P1720" t="s">
        <v>21</v>
      </c>
      <c r="Q1720">
        <f t="shared" si="130"/>
        <v>16</v>
      </c>
      <c r="R1720" s="4">
        <f>RANK(N1720,$N$2:N$2800,0)</f>
        <v>1</v>
      </c>
      <c r="S1720">
        <f t="shared" si="131"/>
        <v>1.6666666666666667</v>
      </c>
      <c r="T1720" t="str">
        <f t="shared" si="132"/>
        <v>Good</v>
      </c>
      <c r="U1720" t="str" cm="1">
        <f t="array" ref="U1720">_xlfn.LET(_xlpm.roles,_xlfn.UNIQUE(D1720:D4518),_xlpm.kills, SUMIF(D1720:D4518,_xlpm.roles,G1720:G4518),INDEX(_xlpm.roles,MATCH(MAX(_xlpm.kills),_xlpm.kills,0)))</f>
        <v>Sniper</v>
      </c>
      <c r="V1720" t="str">
        <f t="shared" si="133"/>
        <v>Medium Accuracy</v>
      </c>
      <c r="W1720" t="str" cm="1">
        <f t="array" ref="W1720">_xlfn.LET(_xlpm.roles,_xlfn.UNIQUE(D1720:D4518), _xlpm.counts,COUNTIF(D1720:D4518,_xlpm.roles), INDEX(_xlpm.roles,MATCH(MAX(_xlpm.counts),_xlpm.counts,0)))</f>
        <v>Sniper</v>
      </c>
      <c r="X1720" s="2">
        <f t="shared" si="134"/>
        <v>12.520971302428256</v>
      </c>
    </row>
    <row r="1721" spans="1:24" x14ac:dyDescent="0.3">
      <c r="A1721">
        <v>1840</v>
      </c>
      <c r="B1721">
        <v>305</v>
      </c>
      <c r="C1721" t="s">
        <v>30</v>
      </c>
      <c r="D1721" t="s">
        <v>22</v>
      </c>
      <c r="E1721" t="s">
        <v>33</v>
      </c>
      <c r="F1721" t="s">
        <v>24</v>
      </c>
      <c r="G1721">
        <v>15</v>
      </c>
      <c r="H1721">
        <v>10</v>
      </c>
      <c r="I1721">
        <v>10</v>
      </c>
      <c r="J1721">
        <v>50.16</v>
      </c>
      <c r="K1721">
        <v>189.19</v>
      </c>
      <c r="L1721">
        <v>0.22</v>
      </c>
      <c r="M1721">
        <v>52.88</v>
      </c>
      <c r="N1721">
        <v>0.95</v>
      </c>
      <c r="O1721" t="s">
        <v>20</v>
      </c>
      <c r="P1721" t="s">
        <v>21</v>
      </c>
      <c r="Q1721">
        <f t="shared" si="130"/>
        <v>15</v>
      </c>
      <c r="R1721" s="4">
        <f>RANK(N1721,$N$2:N$2800,0)</f>
        <v>1367</v>
      </c>
      <c r="S1721">
        <f t="shared" si="131"/>
        <v>1.5</v>
      </c>
      <c r="T1721" t="str">
        <f t="shared" si="132"/>
        <v>Good</v>
      </c>
      <c r="U1721" t="str" cm="1">
        <f t="array" ref="U1721">_xlfn.LET(_xlpm.roles,_xlfn.UNIQUE(D1721:D4519),_xlpm.kills, SUMIF(D1721:D4519,_xlpm.roles,G1721:G4519),INDEX(_xlpm.roles,MATCH(MAX(_xlpm.kills),_xlpm.kills,0)))</f>
        <v>Sniper</v>
      </c>
      <c r="V1721" t="str">
        <f t="shared" si="133"/>
        <v>High Accuracy</v>
      </c>
      <c r="W1721" t="str" cm="1">
        <f t="array" ref="W1721">_xlfn.LET(_xlpm.roles,_xlfn.UNIQUE(D1721:D4519), _xlpm.counts,COUNTIF(D1721:D4519,_xlpm.roles), INDEX(_xlpm.roles,MATCH(MAX(_xlpm.counts),_xlpm.counts,0)))</f>
        <v>Sniper</v>
      </c>
      <c r="X1721" s="2">
        <f t="shared" si="134"/>
        <v>13.135802469135802</v>
      </c>
    </row>
    <row r="1722" spans="1:24" x14ac:dyDescent="0.3">
      <c r="A1722">
        <v>1947</v>
      </c>
      <c r="B1722">
        <v>305</v>
      </c>
      <c r="C1722" t="s">
        <v>27</v>
      </c>
      <c r="D1722" t="s">
        <v>17</v>
      </c>
      <c r="E1722" t="s">
        <v>29</v>
      </c>
      <c r="F1722" t="s">
        <v>37</v>
      </c>
      <c r="G1722">
        <v>15</v>
      </c>
      <c r="H1722">
        <v>8</v>
      </c>
      <c r="I1722">
        <v>9</v>
      </c>
      <c r="J1722">
        <v>62.66</v>
      </c>
      <c r="K1722">
        <v>259.07</v>
      </c>
      <c r="L1722">
        <v>0.75</v>
      </c>
      <c r="M1722">
        <v>52.83</v>
      </c>
      <c r="N1722">
        <v>1</v>
      </c>
      <c r="O1722" t="s">
        <v>20</v>
      </c>
      <c r="P1722" t="s">
        <v>21</v>
      </c>
      <c r="Q1722">
        <f t="shared" si="130"/>
        <v>14</v>
      </c>
      <c r="R1722" s="4">
        <f>RANK(N1722,$N$2:N$2800,0)</f>
        <v>1</v>
      </c>
      <c r="S1722">
        <f t="shared" si="131"/>
        <v>1.6666666666666667</v>
      </c>
      <c r="T1722" t="str">
        <f t="shared" si="132"/>
        <v>Low</v>
      </c>
      <c r="U1722" t="str" cm="1">
        <f t="array" ref="U1722">_xlfn.LET(_xlpm.roles,_xlfn.UNIQUE(D1722:D4520),_xlpm.kills, SUMIF(D1722:D4520,_xlpm.roles,G1722:G4520),INDEX(_xlpm.roles,MATCH(MAX(_xlpm.kills),_xlpm.kills,0)))</f>
        <v>Sniper</v>
      </c>
      <c r="V1722" t="str">
        <f t="shared" si="133"/>
        <v>High Accuracy</v>
      </c>
      <c r="W1722" t="str" cm="1">
        <f t="array" ref="W1722">_xlfn.LET(_xlpm.roles,_xlfn.UNIQUE(D1722:D4520), _xlpm.counts,COUNTIF(D1722:D4520,_xlpm.roles), INDEX(_xlpm.roles,MATCH(MAX(_xlpm.counts),_xlpm.counts,0)))</f>
        <v>Sniper</v>
      </c>
      <c r="X1722" s="2">
        <f t="shared" si="134"/>
        <v>13.057077625570777</v>
      </c>
    </row>
    <row r="1723" spans="1:24" x14ac:dyDescent="0.3">
      <c r="A1723">
        <v>1987</v>
      </c>
      <c r="B1723">
        <v>305</v>
      </c>
      <c r="C1723" t="s">
        <v>35</v>
      </c>
      <c r="D1723" t="s">
        <v>22</v>
      </c>
      <c r="E1723" t="s">
        <v>29</v>
      </c>
      <c r="F1723" t="s">
        <v>34</v>
      </c>
      <c r="G1723">
        <v>12</v>
      </c>
      <c r="H1723">
        <v>5</v>
      </c>
      <c r="I1723">
        <v>10</v>
      </c>
      <c r="J1723">
        <v>32.67</v>
      </c>
      <c r="K1723">
        <v>150.08000000000001</v>
      </c>
      <c r="L1723">
        <v>0.14000000000000001</v>
      </c>
      <c r="M1723">
        <v>33.94</v>
      </c>
      <c r="N1723">
        <v>0.87</v>
      </c>
      <c r="O1723" t="s">
        <v>20</v>
      </c>
      <c r="P1723" t="s">
        <v>21</v>
      </c>
      <c r="Q1723">
        <f t="shared" si="130"/>
        <v>7</v>
      </c>
      <c r="R1723" s="4">
        <f>RANK(N1723,$N$2:N$2800,0)</f>
        <v>1965</v>
      </c>
      <c r="S1723">
        <f t="shared" si="131"/>
        <v>1.2</v>
      </c>
      <c r="T1723" t="str">
        <f t="shared" si="132"/>
        <v>Low</v>
      </c>
      <c r="U1723" t="str" cm="1">
        <f t="array" ref="U1723">_xlfn.LET(_xlpm.roles,_xlfn.UNIQUE(D1723:D4521),_xlpm.kills, SUMIF(D1723:D4521,_xlpm.roles,G1723:G4521),INDEX(_xlpm.roles,MATCH(MAX(_xlpm.kills),_xlpm.kills,0)))</f>
        <v>Sniper</v>
      </c>
      <c r="V1723" t="str">
        <f t="shared" si="133"/>
        <v>Medium Accuracy</v>
      </c>
      <c r="W1723" t="str" cm="1">
        <f t="array" ref="W1723">_xlfn.LET(_xlpm.roles,_xlfn.UNIQUE(D1723:D4521), _xlpm.counts,COUNTIF(D1723:D4521,_xlpm.roles), INDEX(_xlpm.roles,MATCH(MAX(_xlpm.counts),_xlpm.counts,0)))</f>
        <v>Sniper</v>
      </c>
      <c r="X1723" s="2">
        <f t="shared" si="134"/>
        <v>12.599585062240664</v>
      </c>
    </row>
    <row r="1724" spans="1:24" x14ac:dyDescent="0.3">
      <c r="A1724">
        <v>1991</v>
      </c>
      <c r="B1724">
        <v>305</v>
      </c>
      <c r="C1724" t="s">
        <v>27</v>
      </c>
      <c r="D1724" t="s">
        <v>28</v>
      </c>
      <c r="E1724" t="s">
        <v>29</v>
      </c>
      <c r="F1724" t="s">
        <v>34</v>
      </c>
      <c r="G1724">
        <v>17</v>
      </c>
      <c r="H1724">
        <v>3</v>
      </c>
      <c r="I1724">
        <v>10</v>
      </c>
      <c r="J1724">
        <v>57.64</v>
      </c>
      <c r="K1724">
        <v>253.94</v>
      </c>
      <c r="L1724">
        <v>0.03</v>
      </c>
      <c r="M1724">
        <v>55.52</v>
      </c>
      <c r="N1724">
        <v>1</v>
      </c>
      <c r="O1724" t="s">
        <v>20</v>
      </c>
      <c r="P1724" t="s">
        <v>21</v>
      </c>
      <c r="Q1724">
        <f t="shared" si="130"/>
        <v>10</v>
      </c>
      <c r="R1724" s="4">
        <f>RANK(N1724,$N$2:N$2800,0)</f>
        <v>1</v>
      </c>
      <c r="S1724">
        <f t="shared" si="131"/>
        <v>1.7</v>
      </c>
      <c r="T1724" t="str">
        <f t="shared" si="132"/>
        <v>Low</v>
      </c>
      <c r="U1724" t="str" cm="1">
        <f t="array" ref="U1724">_xlfn.LET(_xlpm.roles,_xlfn.UNIQUE(D1724:D4522),_xlpm.kills, SUMIF(D1724:D4522,_xlpm.roles,G1724:G4522),INDEX(_xlpm.roles,MATCH(MAX(_xlpm.kills),_xlpm.kills,0)))</f>
        <v>Sniper</v>
      </c>
      <c r="V1724" t="str">
        <f t="shared" si="133"/>
        <v>High Accuracy</v>
      </c>
      <c r="W1724" t="str" cm="1">
        <f t="array" ref="W1724">_xlfn.LET(_xlpm.roles,_xlfn.UNIQUE(D1724:D4522), _xlpm.counts,COUNTIF(D1724:D4522,_xlpm.roles), INDEX(_xlpm.roles,MATCH(MAX(_xlpm.counts),_xlpm.counts,0)))</f>
        <v>Sniper</v>
      </c>
      <c r="X1724" s="2">
        <f t="shared" si="134"/>
        <v>13.057077625570777</v>
      </c>
    </row>
    <row r="1725" spans="1:24" x14ac:dyDescent="0.3">
      <c r="A1725">
        <v>2083</v>
      </c>
      <c r="B1725">
        <v>305</v>
      </c>
      <c r="C1725" t="s">
        <v>27</v>
      </c>
      <c r="D1725" t="s">
        <v>28</v>
      </c>
      <c r="E1725" t="s">
        <v>23</v>
      </c>
      <c r="F1725" t="s">
        <v>37</v>
      </c>
      <c r="G1725">
        <v>19</v>
      </c>
      <c r="H1725">
        <v>6</v>
      </c>
      <c r="I1725">
        <v>7</v>
      </c>
      <c r="J1725">
        <v>59.58</v>
      </c>
      <c r="K1725">
        <v>225.35</v>
      </c>
      <c r="L1725">
        <v>0.56000000000000005</v>
      </c>
      <c r="M1725">
        <v>61.19</v>
      </c>
      <c r="N1725">
        <v>1</v>
      </c>
      <c r="O1725" t="s">
        <v>20</v>
      </c>
      <c r="P1725" t="s">
        <v>38</v>
      </c>
      <c r="Q1725">
        <f t="shared" si="130"/>
        <v>18</v>
      </c>
      <c r="R1725" s="4">
        <f>RANK(N1725,$N$2:N$2800,0)</f>
        <v>1</v>
      </c>
      <c r="S1725">
        <f t="shared" si="131"/>
        <v>2.7142857142857144</v>
      </c>
      <c r="T1725" t="str">
        <f t="shared" si="132"/>
        <v>Good</v>
      </c>
      <c r="U1725" t="str" cm="1">
        <f t="array" ref="U1725">_xlfn.LET(_xlpm.roles,_xlfn.UNIQUE(D1725:D4523),_xlpm.kills, SUMIF(D1725:D4523,_xlpm.roles,G1725:G4523),INDEX(_xlpm.roles,MATCH(MAX(_xlpm.kills),_xlpm.kills,0)))</f>
        <v>Sniper</v>
      </c>
      <c r="V1725" t="str">
        <f t="shared" si="133"/>
        <v>High Accuracy</v>
      </c>
      <c r="W1725" t="str" cm="1">
        <f t="array" ref="W1725">_xlfn.LET(_xlpm.roles,_xlfn.UNIQUE(D1725:D4523), _xlpm.counts,COUNTIF(D1725:D4523,_xlpm.roles), INDEX(_xlpm.roles,MATCH(MAX(_xlpm.counts),_xlpm.counts,0)))</f>
        <v>Sniper</v>
      </c>
      <c r="X1725" s="2">
        <f t="shared" si="134"/>
        <v>13.057077625570777</v>
      </c>
    </row>
    <row r="1726" spans="1:24" x14ac:dyDescent="0.3">
      <c r="A1726">
        <v>2296</v>
      </c>
      <c r="B1726">
        <v>305</v>
      </c>
      <c r="C1726" t="s">
        <v>27</v>
      </c>
      <c r="D1726" t="s">
        <v>36</v>
      </c>
      <c r="E1726" t="s">
        <v>32</v>
      </c>
      <c r="F1726" t="s">
        <v>37</v>
      </c>
      <c r="G1726">
        <v>16</v>
      </c>
      <c r="H1726">
        <v>4</v>
      </c>
      <c r="I1726">
        <v>9</v>
      </c>
      <c r="J1726">
        <v>37.950000000000003</v>
      </c>
      <c r="K1726">
        <v>194.17</v>
      </c>
      <c r="L1726">
        <v>0.52</v>
      </c>
      <c r="M1726">
        <v>40.770000000000003</v>
      </c>
      <c r="N1726">
        <v>1</v>
      </c>
      <c r="O1726" t="s">
        <v>20</v>
      </c>
      <c r="P1726" t="s">
        <v>21</v>
      </c>
      <c r="Q1726">
        <f t="shared" si="130"/>
        <v>11</v>
      </c>
      <c r="R1726" s="4">
        <f>RANK(N1726,$N$2:N$2800,0)</f>
        <v>1</v>
      </c>
      <c r="S1726">
        <f t="shared" si="131"/>
        <v>1.7777777777777777</v>
      </c>
      <c r="T1726" t="str">
        <f t="shared" si="132"/>
        <v>Low</v>
      </c>
      <c r="U1726" t="str" cm="1">
        <f t="array" ref="U1726">_xlfn.LET(_xlpm.roles,_xlfn.UNIQUE(D1726:D4524),_xlpm.kills, SUMIF(D1726:D4524,_xlpm.roles,G1726:G4524),INDEX(_xlpm.roles,MATCH(MAX(_xlpm.kills),_xlpm.kills,0)))</f>
        <v>Sniper</v>
      </c>
      <c r="V1726" t="str">
        <f t="shared" si="133"/>
        <v>Medium Accuracy</v>
      </c>
      <c r="W1726" t="str" cm="1">
        <f t="array" ref="W1726">_xlfn.LET(_xlpm.roles,_xlfn.UNIQUE(D1726:D4524), _xlpm.counts,COUNTIF(D1726:D4524,_xlpm.roles), INDEX(_xlpm.roles,MATCH(MAX(_xlpm.counts),_xlpm.counts,0)))</f>
        <v>Sniper</v>
      </c>
      <c r="X1726" s="2">
        <f t="shared" si="134"/>
        <v>13.057077625570777</v>
      </c>
    </row>
    <row r="1727" spans="1:24" x14ac:dyDescent="0.3">
      <c r="A1727">
        <v>2563</v>
      </c>
      <c r="B1727">
        <v>305</v>
      </c>
      <c r="C1727" t="s">
        <v>30</v>
      </c>
      <c r="D1727" t="s">
        <v>36</v>
      </c>
      <c r="E1727" t="s">
        <v>23</v>
      </c>
      <c r="F1727" t="s">
        <v>19</v>
      </c>
      <c r="G1727">
        <v>16</v>
      </c>
      <c r="H1727">
        <v>12</v>
      </c>
      <c r="I1727">
        <v>6</v>
      </c>
      <c r="J1727">
        <v>59.5</v>
      </c>
      <c r="K1727">
        <v>190.82</v>
      </c>
      <c r="L1727">
        <v>0.99</v>
      </c>
      <c r="M1727">
        <v>57.85</v>
      </c>
      <c r="N1727">
        <v>0.99</v>
      </c>
      <c r="O1727" t="s">
        <v>20</v>
      </c>
      <c r="P1727" t="s">
        <v>21</v>
      </c>
      <c r="Q1727">
        <f t="shared" si="130"/>
        <v>22</v>
      </c>
      <c r="R1727" s="4">
        <f>RANK(N1727,$N$2:N$2800,0)</f>
        <v>1080</v>
      </c>
      <c r="S1727">
        <f t="shared" si="131"/>
        <v>2.6666666666666665</v>
      </c>
      <c r="T1727" t="str">
        <f t="shared" si="132"/>
        <v>Good</v>
      </c>
      <c r="U1727" t="str" cm="1">
        <f t="array" ref="U1727">_xlfn.LET(_xlpm.roles,_xlfn.UNIQUE(D1727:D4525),_xlpm.kills, SUMIF(D1727:D4525,_xlpm.roles,G1727:G4525),INDEX(_xlpm.roles,MATCH(MAX(_xlpm.kills),_xlpm.kills,0)))</f>
        <v>Sniper</v>
      </c>
      <c r="V1727" t="str">
        <f t="shared" si="133"/>
        <v>High Accuracy</v>
      </c>
      <c r="W1727" t="str" cm="1">
        <f t="array" ref="W1727">_xlfn.LET(_xlpm.roles,_xlfn.UNIQUE(D1727:D4525), _xlpm.counts,COUNTIF(D1727:D4525,_xlpm.roles), INDEX(_xlpm.roles,MATCH(MAX(_xlpm.counts),_xlpm.counts,0)))</f>
        <v>Sniper</v>
      </c>
      <c r="X1727" s="2">
        <f t="shared" si="134"/>
        <v>13.135802469135802</v>
      </c>
    </row>
    <row r="1728" spans="1:24" x14ac:dyDescent="0.3">
      <c r="A1728">
        <v>2594</v>
      </c>
      <c r="B1728">
        <v>305</v>
      </c>
      <c r="C1728" t="s">
        <v>35</v>
      </c>
      <c r="D1728" t="s">
        <v>28</v>
      </c>
      <c r="E1728" t="s">
        <v>32</v>
      </c>
      <c r="F1728" t="s">
        <v>37</v>
      </c>
      <c r="G1728">
        <v>20</v>
      </c>
      <c r="H1728">
        <v>8</v>
      </c>
      <c r="I1728">
        <v>11</v>
      </c>
      <c r="J1728">
        <v>57.58</v>
      </c>
      <c r="K1728">
        <v>155.97</v>
      </c>
      <c r="L1728">
        <v>0.56000000000000005</v>
      </c>
      <c r="M1728">
        <v>60.19</v>
      </c>
      <c r="N1728">
        <v>1</v>
      </c>
      <c r="O1728" t="s">
        <v>20</v>
      </c>
      <c r="P1728" t="s">
        <v>38</v>
      </c>
      <c r="Q1728">
        <f t="shared" si="130"/>
        <v>17</v>
      </c>
      <c r="R1728" s="4">
        <f>RANK(N1728,$N$2:N$2800,0)</f>
        <v>1</v>
      </c>
      <c r="S1728">
        <f t="shared" si="131"/>
        <v>1.8181818181818181</v>
      </c>
      <c r="T1728" t="str">
        <f t="shared" si="132"/>
        <v>Good</v>
      </c>
      <c r="U1728" t="str" cm="1">
        <f t="array" ref="U1728">_xlfn.LET(_xlpm.roles,_xlfn.UNIQUE(D1728:D4526),_xlpm.kills, SUMIF(D1728:D4526,_xlpm.roles,G1728:G4526),INDEX(_xlpm.roles,MATCH(MAX(_xlpm.kills),_xlpm.kills,0)))</f>
        <v>Sniper</v>
      </c>
      <c r="V1728" t="str">
        <f t="shared" si="133"/>
        <v>High Accuracy</v>
      </c>
      <c r="W1728" t="str" cm="1">
        <f t="array" ref="W1728">_xlfn.LET(_xlpm.roles,_xlfn.UNIQUE(D1728:D4526), _xlpm.counts,COUNTIF(D1728:D4526,_xlpm.roles), INDEX(_xlpm.roles,MATCH(MAX(_xlpm.counts),_xlpm.counts,0)))</f>
        <v>Sniper</v>
      </c>
      <c r="X1728" s="2">
        <f t="shared" si="134"/>
        <v>12.599585062240664</v>
      </c>
    </row>
    <row r="1729" spans="1:24" x14ac:dyDescent="0.3">
      <c r="A1729">
        <v>2644</v>
      </c>
      <c r="B1729">
        <v>305</v>
      </c>
      <c r="C1729" t="s">
        <v>27</v>
      </c>
      <c r="D1729" t="s">
        <v>36</v>
      </c>
      <c r="E1729" t="s">
        <v>18</v>
      </c>
      <c r="F1729" t="s">
        <v>37</v>
      </c>
      <c r="G1729">
        <v>12</v>
      </c>
      <c r="H1729">
        <v>12</v>
      </c>
      <c r="I1729">
        <v>11</v>
      </c>
      <c r="J1729">
        <v>46.94</v>
      </c>
      <c r="K1729">
        <v>226.34</v>
      </c>
      <c r="L1729">
        <v>0.43</v>
      </c>
      <c r="M1729">
        <v>44.17</v>
      </c>
      <c r="N1729">
        <v>0.94</v>
      </c>
      <c r="O1729" t="s">
        <v>20</v>
      </c>
      <c r="P1729" t="s">
        <v>21</v>
      </c>
      <c r="Q1729">
        <f t="shared" si="130"/>
        <v>13</v>
      </c>
      <c r="R1729" s="4">
        <f>RANK(N1729,$N$2:N$2800,0)</f>
        <v>1431</v>
      </c>
      <c r="S1729">
        <f t="shared" si="131"/>
        <v>1.0909090909090908</v>
      </c>
      <c r="T1729" t="str">
        <f t="shared" si="132"/>
        <v>Low</v>
      </c>
      <c r="U1729" t="str" cm="1">
        <f t="array" ref="U1729">_xlfn.LET(_xlpm.roles,_xlfn.UNIQUE(D1729:D4527),_xlpm.kills, SUMIF(D1729:D4527,_xlpm.roles,G1729:G4527),INDEX(_xlpm.roles,MATCH(MAX(_xlpm.kills),_xlpm.kills,0)))</f>
        <v>Sniper</v>
      </c>
      <c r="V1729" t="str">
        <f t="shared" si="133"/>
        <v>Medium Accuracy</v>
      </c>
      <c r="W1729" t="str" cm="1">
        <f t="array" ref="W1729">_xlfn.LET(_xlpm.roles,_xlfn.UNIQUE(D1729:D4527), _xlpm.counts,COUNTIF(D1729:D4527,_xlpm.roles), INDEX(_xlpm.roles,MATCH(MAX(_xlpm.counts),_xlpm.counts,0)))</f>
        <v>Sniper</v>
      </c>
      <c r="X1729" s="2">
        <f t="shared" si="134"/>
        <v>13.057077625570777</v>
      </c>
    </row>
    <row r="1730" spans="1:24" x14ac:dyDescent="0.3">
      <c r="A1730">
        <v>34</v>
      </c>
      <c r="B1730">
        <v>306</v>
      </c>
      <c r="C1730" t="s">
        <v>27</v>
      </c>
      <c r="D1730" t="s">
        <v>22</v>
      </c>
      <c r="E1730" t="s">
        <v>18</v>
      </c>
      <c r="F1730" t="s">
        <v>34</v>
      </c>
      <c r="G1730">
        <v>16</v>
      </c>
      <c r="H1730">
        <v>8</v>
      </c>
      <c r="I1730">
        <v>9</v>
      </c>
      <c r="J1730">
        <v>26.58</v>
      </c>
      <c r="K1730">
        <v>195.68</v>
      </c>
      <c r="L1730">
        <v>0.38</v>
      </c>
      <c r="M1730">
        <v>40.49</v>
      </c>
      <c r="N1730">
        <v>0.81</v>
      </c>
      <c r="O1730" t="s">
        <v>20</v>
      </c>
      <c r="P1730" t="s">
        <v>21</v>
      </c>
      <c r="Q1730">
        <f t="shared" si="130"/>
        <v>15</v>
      </c>
      <c r="R1730" s="4">
        <f>RANK(N1730,$N$2:N$2800,0)</f>
        <v>2341</v>
      </c>
      <c r="S1730">
        <f t="shared" si="131"/>
        <v>1.7777777777777777</v>
      </c>
      <c r="T1730" t="str">
        <f t="shared" si="132"/>
        <v>Good</v>
      </c>
      <c r="U1730" t="str" cm="1">
        <f t="array" ref="U1730">_xlfn.LET(_xlpm.roles,_xlfn.UNIQUE(D1730:D4528),_xlpm.kills, SUMIF(D1730:D4528,_xlpm.roles,G1730:G4528),INDEX(_xlpm.roles,MATCH(MAX(_xlpm.kills),_xlpm.kills,0)))</f>
        <v>Sniper</v>
      </c>
      <c r="V1730" t="str">
        <f t="shared" si="133"/>
        <v>Low Accuracy</v>
      </c>
      <c r="W1730" t="str" cm="1">
        <f t="array" ref="W1730">_xlfn.LET(_xlpm.roles,_xlfn.UNIQUE(D1730:D4528), _xlpm.counts,COUNTIF(D1730:D4528,_xlpm.roles), INDEX(_xlpm.roles,MATCH(MAX(_xlpm.counts),_xlpm.counts,0)))</f>
        <v>Sniper</v>
      </c>
      <c r="X1730" s="2">
        <f t="shared" si="134"/>
        <v>13.057077625570777</v>
      </c>
    </row>
    <row r="1731" spans="1:24" x14ac:dyDescent="0.3">
      <c r="A1731">
        <v>44</v>
      </c>
      <c r="B1731">
        <v>306</v>
      </c>
      <c r="C1731" t="s">
        <v>27</v>
      </c>
      <c r="D1731" t="s">
        <v>28</v>
      </c>
      <c r="E1731" t="s">
        <v>32</v>
      </c>
      <c r="F1731" t="s">
        <v>37</v>
      </c>
      <c r="G1731">
        <v>13</v>
      </c>
      <c r="H1731">
        <v>3</v>
      </c>
      <c r="I1731">
        <v>15</v>
      </c>
      <c r="J1731">
        <v>43.93</v>
      </c>
      <c r="K1731">
        <v>258.10000000000002</v>
      </c>
      <c r="L1731">
        <v>0.45</v>
      </c>
      <c r="M1731">
        <v>31.47</v>
      </c>
      <c r="N1731">
        <v>0.73</v>
      </c>
      <c r="O1731" t="s">
        <v>20</v>
      </c>
      <c r="P1731" t="s">
        <v>21</v>
      </c>
      <c r="Q1731">
        <f t="shared" ref="Q1731:Q1794" si="135">G1731+H1731-I1731</f>
        <v>1</v>
      </c>
      <c r="R1731" s="4">
        <f>RANK(N1731,$N$2:N$2800,0)</f>
        <v>2642</v>
      </c>
      <c r="S1731">
        <f t="shared" ref="S1731:S1794" si="136">G1731/I1731</f>
        <v>0.8666666666666667</v>
      </c>
      <c r="T1731" t="str">
        <f t="shared" ref="T1731:T1794" si="137">IF(Q1731&lt;15,"Low",IF(Q1731&lt;25,"Good","Excellent"))</f>
        <v>Low</v>
      </c>
      <c r="U1731" t="str" cm="1">
        <f t="array" ref="U1731">_xlfn.LET(_xlpm.roles,_xlfn.UNIQUE(D1731:D4529),_xlpm.kills, SUMIF(D1731:D4529,_xlpm.roles,G1731:G4529),INDEX(_xlpm.roles,MATCH(MAX(_xlpm.kills),_xlpm.kills,0)))</f>
        <v>Sniper</v>
      </c>
      <c r="V1731" t="str">
        <f t="shared" ref="V1731:V1794" si="138">IF(J1731&gt;=50,"High Accuracy",IF(J1731&gt;=30,"Medium Accuracy","Low Accuracy"))</f>
        <v>Medium Accuracy</v>
      </c>
      <c r="W1731" t="str" cm="1">
        <f t="array" ref="W1731">_xlfn.LET(_xlpm.roles,_xlfn.UNIQUE(D1731:D4529), _xlpm.counts,COUNTIF(D1731:D4529,_xlpm.roles), INDEX(_xlpm.roles,MATCH(MAX(_xlpm.counts),_xlpm.counts,0)))</f>
        <v>Sniper</v>
      </c>
      <c r="X1731" s="2">
        <f t="shared" ref="X1731:X1794" si="139">AVERAGEIF($C$2:$C$2800,C1731,$Q$2:$Q$2800)</f>
        <v>13.057077625570777</v>
      </c>
    </row>
    <row r="1732" spans="1:24" x14ac:dyDescent="0.3">
      <c r="A1732">
        <v>908</v>
      </c>
      <c r="B1732">
        <v>306</v>
      </c>
      <c r="C1732" t="s">
        <v>16</v>
      </c>
      <c r="D1732" t="s">
        <v>22</v>
      </c>
      <c r="E1732" t="s">
        <v>29</v>
      </c>
      <c r="F1732" t="s">
        <v>26</v>
      </c>
      <c r="G1732">
        <v>15</v>
      </c>
      <c r="H1732">
        <v>18</v>
      </c>
      <c r="I1732">
        <v>7</v>
      </c>
      <c r="J1732">
        <v>42.06</v>
      </c>
      <c r="K1732">
        <v>203.14</v>
      </c>
      <c r="L1732">
        <v>0.31</v>
      </c>
      <c r="M1732">
        <v>58.93</v>
      </c>
      <c r="N1732">
        <v>1</v>
      </c>
      <c r="O1732" t="s">
        <v>20</v>
      </c>
      <c r="P1732" t="s">
        <v>21</v>
      </c>
      <c r="Q1732">
        <f t="shared" si="135"/>
        <v>26</v>
      </c>
      <c r="R1732" s="4">
        <f>RANK(N1732,$N$2:N$2800,0)</f>
        <v>1</v>
      </c>
      <c r="S1732">
        <f t="shared" si="136"/>
        <v>2.1428571428571428</v>
      </c>
      <c r="T1732" t="str">
        <f t="shared" si="137"/>
        <v>Excellent</v>
      </c>
      <c r="U1732" t="str" cm="1">
        <f t="array" ref="U1732">_xlfn.LET(_xlpm.roles,_xlfn.UNIQUE(D1732:D4530),_xlpm.kills, SUMIF(D1732:D4530,_xlpm.roles,G1732:G4530),INDEX(_xlpm.roles,MATCH(MAX(_xlpm.kills),_xlpm.kills,0)))</f>
        <v>Sniper</v>
      </c>
      <c r="V1732" t="str">
        <f t="shared" si="138"/>
        <v>Medium Accuracy</v>
      </c>
      <c r="W1732" t="str" cm="1">
        <f t="array" ref="W1732">_xlfn.LET(_xlpm.roles,_xlfn.UNIQUE(D1732:D4530), _xlpm.counts,COUNTIF(D1732:D4530,_xlpm.roles), INDEX(_xlpm.roles,MATCH(MAX(_xlpm.counts),_xlpm.counts,0)))</f>
        <v>Sniper</v>
      </c>
      <c r="X1732" s="2">
        <f t="shared" si="139"/>
        <v>12.520971302428256</v>
      </c>
    </row>
    <row r="1733" spans="1:24" x14ac:dyDescent="0.3">
      <c r="A1733">
        <v>963</v>
      </c>
      <c r="B1733">
        <v>306</v>
      </c>
      <c r="C1733" t="s">
        <v>16</v>
      </c>
      <c r="D1733" t="s">
        <v>36</v>
      </c>
      <c r="E1733" t="s">
        <v>32</v>
      </c>
      <c r="F1733" t="s">
        <v>37</v>
      </c>
      <c r="G1733">
        <v>15</v>
      </c>
      <c r="H1733">
        <v>8</v>
      </c>
      <c r="I1733">
        <v>8</v>
      </c>
      <c r="J1733">
        <v>41.44</v>
      </c>
      <c r="K1733">
        <v>194.62</v>
      </c>
      <c r="L1733">
        <v>0.59</v>
      </c>
      <c r="M1733">
        <v>44.82</v>
      </c>
      <c r="N1733">
        <v>0.94</v>
      </c>
      <c r="O1733" t="s">
        <v>20</v>
      </c>
      <c r="P1733" t="s">
        <v>21</v>
      </c>
      <c r="Q1733">
        <f t="shared" si="135"/>
        <v>15</v>
      </c>
      <c r="R1733" s="4">
        <f>RANK(N1733,$N$2:N$2800,0)</f>
        <v>1431</v>
      </c>
      <c r="S1733">
        <f t="shared" si="136"/>
        <v>1.875</v>
      </c>
      <c r="T1733" t="str">
        <f t="shared" si="137"/>
        <v>Good</v>
      </c>
      <c r="U1733" t="str" cm="1">
        <f t="array" ref="U1733">_xlfn.LET(_xlpm.roles,_xlfn.UNIQUE(D1733:D4531),_xlpm.kills, SUMIF(D1733:D4531,_xlpm.roles,G1733:G4531),INDEX(_xlpm.roles,MATCH(MAX(_xlpm.kills),_xlpm.kills,0)))</f>
        <v>Sniper</v>
      </c>
      <c r="V1733" t="str">
        <f t="shared" si="138"/>
        <v>Medium Accuracy</v>
      </c>
      <c r="W1733" t="str" cm="1">
        <f t="array" ref="W1733">_xlfn.LET(_xlpm.roles,_xlfn.UNIQUE(D1733:D4531), _xlpm.counts,COUNTIF(D1733:D4531,_xlpm.roles), INDEX(_xlpm.roles,MATCH(MAX(_xlpm.counts),_xlpm.counts,0)))</f>
        <v>Sniper</v>
      </c>
      <c r="X1733" s="2">
        <f t="shared" si="139"/>
        <v>12.520971302428256</v>
      </c>
    </row>
    <row r="1734" spans="1:24" x14ac:dyDescent="0.3">
      <c r="A1734">
        <v>1816</v>
      </c>
      <c r="B1734">
        <v>306</v>
      </c>
      <c r="C1734" t="s">
        <v>30</v>
      </c>
      <c r="D1734" t="s">
        <v>31</v>
      </c>
      <c r="E1734" t="s">
        <v>33</v>
      </c>
      <c r="F1734" t="s">
        <v>37</v>
      </c>
      <c r="G1734">
        <v>15</v>
      </c>
      <c r="H1734">
        <v>7</v>
      </c>
      <c r="I1734">
        <v>9</v>
      </c>
      <c r="J1734">
        <v>52.06</v>
      </c>
      <c r="K1734">
        <v>247.39</v>
      </c>
      <c r="L1734">
        <v>7.0000000000000007E-2</v>
      </c>
      <c r="M1734">
        <v>53.33</v>
      </c>
      <c r="N1734">
        <v>1</v>
      </c>
      <c r="O1734" t="s">
        <v>20</v>
      </c>
      <c r="P1734" t="s">
        <v>21</v>
      </c>
      <c r="Q1734">
        <f t="shared" si="135"/>
        <v>13</v>
      </c>
      <c r="R1734" s="4">
        <f>RANK(N1734,$N$2:N$2800,0)</f>
        <v>1</v>
      </c>
      <c r="S1734">
        <f t="shared" si="136"/>
        <v>1.6666666666666667</v>
      </c>
      <c r="T1734" t="str">
        <f t="shared" si="137"/>
        <v>Low</v>
      </c>
      <c r="U1734" t="str" cm="1">
        <f t="array" ref="U1734">_xlfn.LET(_xlpm.roles,_xlfn.UNIQUE(D1734:D4532),_xlpm.kills, SUMIF(D1734:D4532,_xlpm.roles,G1734:G4532),INDEX(_xlpm.roles,MATCH(MAX(_xlpm.kills),_xlpm.kills,0)))</f>
        <v>Sniper</v>
      </c>
      <c r="V1734" t="str">
        <f t="shared" si="138"/>
        <v>High Accuracy</v>
      </c>
      <c r="W1734" t="str" cm="1">
        <f t="array" ref="W1734">_xlfn.LET(_xlpm.roles,_xlfn.UNIQUE(D1734:D4532), _xlpm.counts,COUNTIF(D1734:D4532,_xlpm.roles), INDEX(_xlpm.roles,MATCH(MAX(_xlpm.counts),_xlpm.counts,0)))</f>
        <v>Sniper</v>
      </c>
      <c r="X1734" s="2">
        <f t="shared" si="139"/>
        <v>13.135802469135802</v>
      </c>
    </row>
    <row r="1735" spans="1:24" x14ac:dyDescent="0.3">
      <c r="A1735">
        <v>2774</v>
      </c>
      <c r="B1735">
        <v>306</v>
      </c>
      <c r="C1735" t="s">
        <v>35</v>
      </c>
      <c r="D1735" t="s">
        <v>36</v>
      </c>
      <c r="E1735" t="s">
        <v>23</v>
      </c>
      <c r="F1735" t="s">
        <v>26</v>
      </c>
      <c r="G1735">
        <v>7</v>
      </c>
      <c r="H1735">
        <v>3</v>
      </c>
      <c r="I1735">
        <v>7</v>
      </c>
      <c r="J1735">
        <v>39.39</v>
      </c>
      <c r="K1735">
        <v>190.07</v>
      </c>
      <c r="L1735">
        <v>0.37</v>
      </c>
      <c r="M1735">
        <v>26</v>
      </c>
      <c r="N1735">
        <v>0.81</v>
      </c>
      <c r="O1735" t="s">
        <v>20</v>
      </c>
      <c r="P1735" t="s">
        <v>21</v>
      </c>
      <c r="Q1735">
        <f t="shared" si="135"/>
        <v>3</v>
      </c>
      <c r="R1735" s="4">
        <f>RANK(N1735,$N$2:N$2800,0)</f>
        <v>2341</v>
      </c>
      <c r="S1735">
        <f t="shared" si="136"/>
        <v>1</v>
      </c>
      <c r="T1735" t="str">
        <f t="shared" si="137"/>
        <v>Low</v>
      </c>
      <c r="U1735" t="str" cm="1">
        <f t="array" ref="U1735">_xlfn.LET(_xlpm.roles,_xlfn.UNIQUE(D1735:D4533),_xlpm.kills, SUMIF(D1735:D4533,_xlpm.roles,G1735:G4533),INDEX(_xlpm.roles,MATCH(MAX(_xlpm.kills),_xlpm.kills,0)))</f>
        <v>Sniper</v>
      </c>
      <c r="V1735" t="str">
        <f t="shared" si="138"/>
        <v>Medium Accuracy</v>
      </c>
      <c r="W1735" t="str" cm="1">
        <f t="array" ref="W1735">_xlfn.LET(_xlpm.roles,_xlfn.UNIQUE(D1735:D4533), _xlpm.counts,COUNTIF(D1735:D4533,_xlpm.roles), INDEX(_xlpm.roles,MATCH(MAX(_xlpm.counts),_xlpm.counts,0)))</f>
        <v>Sniper</v>
      </c>
      <c r="X1735" s="2">
        <f t="shared" si="139"/>
        <v>12.599585062240664</v>
      </c>
    </row>
    <row r="1736" spans="1:24" x14ac:dyDescent="0.3">
      <c r="A1736">
        <v>661</v>
      </c>
      <c r="B1736">
        <v>307</v>
      </c>
      <c r="C1736" t="s">
        <v>16</v>
      </c>
      <c r="D1736" t="s">
        <v>22</v>
      </c>
      <c r="E1736" t="s">
        <v>23</v>
      </c>
      <c r="F1736" t="s">
        <v>34</v>
      </c>
      <c r="G1736">
        <v>14</v>
      </c>
      <c r="H1736">
        <v>7</v>
      </c>
      <c r="I1736">
        <v>10</v>
      </c>
      <c r="J1736">
        <v>53.2</v>
      </c>
      <c r="K1736">
        <v>255.06</v>
      </c>
      <c r="L1736">
        <v>0.28999999999999998</v>
      </c>
      <c r="M1736">
        <v>48.7</v>
      </c>
      <c r="N1736">
        <v>1</v>
      </c>
      <c r="O1736" t="s">
        <v>20</v>
      </c>
      <c r="P1736" t="s">
        <v>21</v>
      </c>
      <c r="Q1736">
        <f t="shared" si="135"/>
        <v>11</v>
      </c>
      <c r="R1736" s="4">
        <f>RANK(N1736,$N$2:N$2800,0)</f>
        <v>1</v>
      </c>
      <c r="S1736">
        <f t="shared" si="136"/>
        <v>1.4</v>
      </c>
      <c r="T1736" t="str">
        <f t="shared" si="137"/>
        <v>Low</v>
      </c>
      <c r="U1736" t="str" cm="1">
        <f t="array" ref="U1736">_xlfn.LET(_xlpm.roles,_xlfn.UNIQUE(D1736:D4534),_xlpm.kills, SUMIF(D1736:D4534,_xlpm.roles,G1736:G4534),INDEX(_xlpm.roles,MATCH(MAX(_xlpm.kills),_xlpm.kills,0)))</f>
        <v>Sniper</v>
      </c>
      <c r="V1736" t="str">
        <f t="shared" si="138"/>
        <v>High Accuracy</v>
      </c>
      <c r="W1736" t="str" cm="1">
        <f t="array" ref="W1736">_xlfn.LET(_xlpm.roles,_xlfn.UNIQUE(D1736:D4534), _xlpm.counts,COUNTIF(D1736:D4534,_xlpm.roles), INDEX(_xlpm.roles,MATCH(MAX(_xlpm.counts),_xlpm.counts,0)))</f>
        <v>Sniper</v>
      </c>
      <c r="X1736" s="2">
        <f t="shared" si="139"/>
        <v>12.520971302428256</v>
      </c>
    </row>
    <row r="1737" spans="1:24" x14ac:dyDescent="0.3">
      <c r="A1737">
        <v>936</v>
      </c>
      <c r="B1737">
        <v>307</v>
      </c>
      <c r="C1737" t="s">
        <v>27</v>
      </c>
      <c r="D1737" t="s">
        <v>31</v>
      </c>
      <c r="E1737" t="s">
        <v>29</v>
      </c>
      <c r="F1737" t="s">
        <v>37</v>
      </c>
      <c r="G1737">
        <v>9</v>
      </c>
      <c r="H1737">
        <v>6</v>
      </c>
      <c r="I1737">
        <v>6</v>
      </c>
      <c r="J1737">
        <v>54.35</v>
      </c>
      <c r="K1737">
        <v>223.31</v>
      </c>
      <c r="L1737">
        <v>0.28999999999999998</v>
      </c>
      <c r="M1737">
        <v>42.27</v>
      </c>
      <c r="N1737">
        <v>1</v>
      </c>
      <c r="O1737" t="s">
        <v>20</v>
      </c>
      <c r="P1737" t="s">
        <v>21</v>
      </c>
      <c r="Q1737">
        <f t="shared" si="135"/>
        <v>9</v>
      </c>
      <c r="R1737" s="4">
        <f>RANK(N1737,$N$2:N$2800,0)</f>
        <v>1</v>
      </c>
      <c r="S1737">
        <f t="shared" si="136"/>
        <v>1.5</v>
      </c>
      <c r="T1737" t="str">
        <f t="shared" si="137"/>
        <v>Low</v>
      </c>
      <c r="U1737" t="str" cm="1">
        <f t="array" ref="U1737">_xlfn.LET(_xlpm.roles,_xlfn.UNIQUE(D1737:D4535),_xlpm.kills, SUMIF(D1737:D4535,_xlpm.roles,G1737:G4535),INDEX(_xlpm.roles,MATCH(MAX(_xlpm.kills),_xlpm.kills,0)))</f>
        <v>Sniper</v>
      </c>
      <c r="V1737" t="str">
        <f t="shared" si="138"/>
        <v>High Accuracy</v>
      </c>
      <c r="W1737" t="str" cm="1">
        <f t="array" ref="W1737">_xlfn.LET(_xlpm.roles,_xlfn.UNIQUE(D1737:D4535), _xlpm.counts,COUNTIF(D1737:D4535,_xlpm.roles), INDEX(_xlpm.roles,MATCH(MAX(_xlpm.counts),_xlpm.counts,0)))</f>
        <v>Sniper</v>
      </c>
      <c r="X1737" s="2">
        <f t="shared" si="139"/>
        <v>13.057077625570777</v>
      </c>
    </row>
    <row r="1738" spans="1:24" x14ac:dyDescent="0.3">
      <c r="A1738">
        <v>1142</v>
      </c>
      <c r="B1738">
        <v>307</v>
      </c>
      <c r="C1738" t="s">
        <v>30</v>
      </c>
      <c r="D1738" t="s">
        <v>36</v>
      </c>
      <c r="E1738" t="s">
        <v>33</v>
      </c>
      <c r="F1738" t="s">
        <v>37</v>
      </c>
      <c r="G1738">
        <v>13</v>
      </c>
      <c r="H1738">
        <v>10</v>
      </c>
      <c r="I1738">
        <v>5</v>
      </c>
      <c r="J1738">
        <v>48.86</v>
      </c>
      <c r="K1738">
        <v>246.45</v>
      </c>
      <c r="L1738">
        <v>0.66</v>
      </c>
      <c r="M1738">
        <v>48.83</v>
      </c>
      <c r="N1738">
        <v>1</v>
      </c>
      <c r="O1738" t="s">
        <v>20</v>
      </c>
      <c r="P1738" t="s">
        <v>21</v>
      </c>
      <c r="Q1738">
        <f t="shared" si="135"/>
        <v>18</v>
      </c>
      <c r="R1738" s="4">
        <f>RANK(N1738,$N$2:N$2800,0)</f>
        <v>1</v>
      </c>
      <c r="S1738">
        <f t="shared" si="136"/>
        <v>2.6</v>
      </c>
      <c r="T1738" t="str">
        <f t="shared" si="137"/>
        <v>Good</v>
      </c>
      <c r="U1738" t="str" cm="1">
        <f t="array" ref="U1738">_xlfn.LET(_xlpm.roles,_xlfn.UNIQUE(D1738:D4536),_xlpm.kills, SUMIF(D1738:D4536,_xlpm.roles,G1738:G4536),INDEX(_xlpm.roles,MATCH(MAX(_xlpm.kills),_xlpm.kills,0)))</f>
        <v>Sniper</v>
      </c>
      <c r="V1738" t="str">
        <f t="shared" si="138"/>
        <v>Medium Accuracy</v>
      </c>
      <c r="W1738" t="str" cm="1">
        <f t="array" ref="W1738">_xlfn.LET(_xlpm.roles,_xlfn.UNIQUE(D1738:D4536), _xlpm.counts,COUNTIF(D1738:D4536,_xlpm.roles), INDEX(_xlpm.roles,MATCH(MAX(_xlpm.counts),_xlpm.counts,0)))</f>
        <v>Sniper</v>
      </c>
      <c r="X1738" s="2">
        <f t="shared" si="139"/>
        <v>13.135802469135802</v>
      </c>
    </row>
    <row r="1739" spans="1:24" x14ac:dyDescent="0.3">
      <c r="A1739">
        <v>1334</v>
      </c>
      <c r="B1739">
        <v>307</v>
      </c>
      <c r="C1739" t="s">
        <v>30</v>
      </c>
      <c r="D1739" t="s">
        <v>17</v>
      </c>
      <c r="E1739" t="s">
        <v>33</v>
      </c>
      <c r="F1739" t="s">
        <v>26</v>
      </c>
      <c r="G1739">
        <v>14</v>
      </c>
      <c r="H1739">
        <v>7</v>
      </c>
      <c r="I1739">
        <v>10</v>
      </c>
      <c r="J1739">
        <v>52.54</v>
      </c>
      <c r="K1739">
        <v>223.75</v>
      </c>
      <c r="L1739">
        <v>0.33</v>
      </c>
      <c r="M1739">
        <v>47.97</v>
      </c>
      <c r="N1739">
        <v>0.89</v>
      </c>
      <c r="O1739" t="s">
        <v>20</v>
      </c>
      <c r="P1739" t="s">
        <v>21</v>
      </c>
      <c r="Q1739">
        <f t="shared" si="135"/>
        <v>11</v>
      </c>
      <c r="R1739" s="4">
        <f>RANK(N1739,$N$2:N$2800,0)</f>
        <v>1815</v>
      </c>
      <c r="S1739">
        <f t="shared" si="136"/>
        <v>1.4</v>
      </c>
      <c r="T1739" t="str">
        <f t="shared" si="137"/>
        <v>Low</v>
      </c>
      <c r="U1739" t="str" cm="1">
        <f t="array" ref="U1739">_xlfn.LET(_xlpm.roles,_xlfn.UNIQUE(D1739:D4537),_xlpm.kills, SUMIF(D1739:D4537,_xlpm.roles,G1739:G4537),INDEX(_xlpm.roles,MATCH(MAX(_xlpm.kills),_xlpm.kills,0)))</f>
        <v>Sniper</v>
      </c>
      <c r="V1739" t="str">
        <f t="shared" si="138"/>
        <v>High Accuracy</v>
      </c>
      <c r="W1739" t="str" cm="1">
        <f t="array" ref="W1739">_xlfn.LET(_xlpm.roles,_xlfn.UNIQUE(D1739:D4537), _xlpm.counts,COUNTIF(D1739:D4537,_xlpm.roles), INDEX(_xlpm.roles,MATCH(MAX(_xlpm.counts),_xlpm.counts,0)))</f>
        <v>Sniper</v>
      </c>
      <c r="X1739" s="2">
        <f t="shared" si="139"/>
        <v>13.135802469135802</v>
      </c>
    </row>
    <row r="1740" spans="1:24" x14ac:dyDescent="0.3">
      <c r="A1740">
        <v>2452</v>
      </c>
      <c r="B1740">
        <v>307</v>
      </c>
      <c r="C1740" t="s">
        <v>27</v>
      </c>
      <c r="D1740" t="s">
        <v>22</v>
      </c>
      <c r="E1740" t="s">
        <v>33</v>
      </c>
      <c r="F1740" t="s">
        <v>19</v>
      </c>
      <c r="G1740">
        <v>17</v>
      </c>
      <c r="H1740">
        <v>9</v>
      </c>
      <c r="I1740">
        <v>17</v>
      </c>
      <c r="J1740">
        <v>46.73</v>
      </c>
      <c r="K1740">
        <v>198.65</v>
      </c>
      <c r="L1740">
        <v>0.24</v>
      </c>
      <c r="M1740">
        <v>46.96</v>
      </c>
      <c r="N1740">
        <v>0.85</v>
      </c>
      <c r="O1740" t="s">
        <v>20</v>
      </c>
      <c r="P1740" t="s">
        <v>21</v>
      </c>
      <c r="Q1740">
        <f t="shared" si="135"/>
        <v>9</v>
      </c>
      <c r="R1740" s="4">
        <f>RANK(N1740,$N$2:N$2800,0)</f>
        <v>2105</v>
      </c>
      <c r="S1740">
        <f t="shared" si="136"/>
        <v>1</v>
      </c>
      <c r="T1740" t="str">
        <f t="shared" si="137"/>
        <v>Low</v>
      </c>
      <c r="U1740" t="str" cm="1">
        <f t="array" ref="U1740">_xlfn.LET(_xlpm.roles,_xlfn.UNIQUE(D1740:D4538),_xlpm.kills, SUMIF(D1740:D4538,_xlpm.roles,G1740:G4538),INDEX(_xlpm.roles,MATCH(MAX(_xlpm.kills),_xlpm.kills,0)))</f>
        <v>Sniper</v>
      </c>
      <c r="V1740" t="str">
        <f t="shared" si="138"/>
        <v>Medium Accuracy</v>
      </c>
      <c r="W1740" t="str" cm="1">
        <f t="array" ref="W1740">_xlfn.LET(_xlpm.roles,_xlfn.UNIQUE(D1740:D4538), _xlpm.counts,COUNTIF(D1740:D4538,_xlpm.roles), INDEX(_xlpm.roles,MATCH(MAX(_xlpm.counts),_xlpm.counts,0)))</f>
        <v>Sniper</v>
      </c>
      <c r="X1740" s="2">
        <f t="shared" si="139"/>
        <v>13.057077625570777</v>
      </c>
    </row>
    <row r="1741" spans="1:24" x14ac:dyDescent="0.3">
      <c r="A1741">
        <v>918</v>
      </c>
      <c r="B1741">
        <v>308</v>
      </c>
      <c r="C1741" t="s">
        <v>35</v>
      </c>
      <c r="D1741" t="s">
        <v>17</v>
      </c>
      <c r="E1741" t="s">
        <v>29</v>
      </c>
      <c r="F1741" t="s">
        <v>24</v>
      </c>
      <c r="G1741">
        <v>14</v>
      </c>
      <c r="H1741">
        <v>8</v>
      </c>
      <c r="I1741">
        <v>7</v>
      </c>
      <c r="J1741">
        <v>39.49</v>
      </c>
      <c r="K1741">
        <v>247.95</v>
      </c>
      <c r="L1741">
        <v>0.23</v>
      </c>
      <c r="M1741">
        <v>46.45</v>
      </c>
      <c r="N1741">
        <v>1</v>
      </c>
      <c r="O1741" t="s">
        <v>20</v>
      </c>
      <c r="P1741" t="s">
        <v>21</v>
      </c>
      <c r="Q1741">
        <f t="shared" si="135"/>
        <v>15</v>
      </c>
      <c r="R1741" s="4">
        <f>RANK(N1741,$N$2:N$2800,0)</f>
        <v>1</v>
      </c>
      <c r="S1741">
        <f t="shared" si="136"/>
        <v>2</v>
      </c>
      <c r="T1741" t="str">
        <f t="shared" si="137"/>
        <v>Good</v>
      </c>
      <c r="U1741" t="str" cm="1">
        <f t="array" ref="U1741">_xlfn.LET(_xlpm.roles,_xlfn.UNIQUE(D1741:D4539),_xlpm.kills, SUMIF(D1741:D4539,_xlpm.roles,G1741:G4539),INDEX(_xlpm.roles,MATCH(MAX(_xlpm.kills),_xlpm.kills,0)))</f>
        <v>Sniper</v>
      </c>
      <c r="V1741" t="str">
        <f t="shared" si="138"/>
        <v>Medium Accuracy</v>
      </c>
      <c r="W1741" t="str" cm="1">
        <f t="array" ref="W1741">_xlfn.LET(_xlpm.roles,_xlfn.UNIQUE(D1741:D4539), _xlpm.counts,COUNTIF(D1741:D4539,_xlpm.roles), INDEX(_xlpm.roles,MATCH(MAX(_xlpm.counts),_xlpm.counts,0)))</f>
        <v>Sniper</v>
      </c>
      <c r="X1741" s="2">
        <f t="shared" si="139"/>
        <v>12.599585062240664</v>
      </c>
    </row>
    <row r="1742" spans="1:24" x14ac:dyDescent="0.3">
      <c r="A1742">
        <v>2771</v>
      </c>
      <c r="B1742">
        <v>308</v>
      </c>
      <c r="C1742" t="s">
        <v>27</v>
      </c>
      <c r="D1742" t="s">
        <v>22</v>
      </c>
      <c r="E1742" t="s">
        <v>23</v>
      </c>
      <c r="F1742" t="s">
        <v>26</v>
      </c>
      <c r="G1742">
        <v>13</v>
      </c>
      <c r="H1742">
        <v>9</v>
      </c>
      <c r="I1742">
        <v>12</v>
      </c>
      <c r="J1742">
        <v>49.77</v>
      </c>
      <c r="K1742">
        <v>204.73</v>
      </c>
      <c r="L1742">
        <v>0.39</v>
      </c>
      <c r="M1742">
        <v>43.99</v>
      </c>
      <c r="N1742">
        <v>1</v>
      </c>
      <c r="O1742" t="s">
        <v>20</v>
      </c>
      <c r="P1742" t="s">
        <v>21</v>
      </c>
      <c r="Q1742">
        <f t="shared" si="135"/>
        <v>10</v>
      </c>
      <c r="R1742" s="4">
        <f>RANK(N1742,$N$2:N$2800,0)</f>
        <v>1</v>
      </c>
      <c r="S1742">
        <f t="shared" si="136"/>
        <v>1.0833333333333333</v>
      </c>
      <c r="T1742" t="str">
        <f t="shared" si="137"/>
        <v>Low</v>
      </c>
      <c r="U1742" t="str" cm="1">
        <f t="array" ref="U1742">_xlfn.LET(_xlpm.roles,_xlfn.UNIQUE(D1742:D4540),_xlpm.kills, SUMIF(D1742:D4540,_xlpm.roles,G1742:G4540),INDEX(_xlpm.roles,MATCH(MAX(_xlpm.kills),_xlpm.kills,0)))</f>
        <v>Sniper</v>
      </c>
      <c r="V1742" t="str">
        <f t="shared" si="138"/>
        <v>Medium Accuracy</v>
      </c>
      <c r="W1742" t="str" cm="1">
        <f t="array" ref="W1742">_xlfn.LET(_xlpm.roles,_xlfn.UNIQUE(D1742:D4540), _xlpm.counts,COUNTIF(D1742:D4540,_xlpm.roles), INDEX(_xlpm.roles,MATCH(MAX(_xlpm.counts),_xlpm.counts,0)))</f>
        <v>Sniper</v>
      </c>
      <c r="X1742" s="2">
        <f t="shared" si="139"/>
        <v>13.057077625570777</v>
      </c>
    </row>
    <row r="1743" spans="1:24" x14ac:dyDescent="0.3">
      <c r="A1743">
        <v>359</v>
      </c>
      <c r="B1743">
        <v>309</v>
      </c>
      <c r="C1743" t="s">
        <v>16</v>
      </c>
      <c r="D1743" t="s">
        <v>36</v>
      </c>
      <c r="E1743" t="s">
        <v>32</v>
      </c>
      <c r="F1743" t="s">
        <v>26</v>
      </c>
      <c r="G1743">
        <v>9</v>
      </c>
      <c r="H1743">
        <v>7</v>
      </c>
      <c r="I1743">
        <v>8</v>
      </c>
      <c r="J1743">
        <v>32.92</v>
      </c>
      <c r="K1743">
        <v>213.38</v>
      </c>
      <c r="L1743">
        <v>0.93</v>
      </c>
      <c r="M1743">
        <v>24.16</v>
      </c>
      <c r="N1743">
        <v>0.64</v>
      </c>
      <c r="O1743" t="s">
        <v>20</v>
      </c>
      <c r="P1743" t="s">
        <v>21</v>
      </c>
      <c r="Q1743">
        <f t="shared" si="135"/>
        <v>8</v>
      </c>
      <c r="R1743" s="4">
        <f>RANK(N1743,$N$2:N$2800,0)</f>
        <v>2767</v>
      </c>
      <c r="S1743">
        <f t="shared" si="136"/>
        <v>1.125</v>
      </c>
      <c r="T1743" t="str">
        <f t="shared" si="137"/>
        <v>Low</v>
      </c>
      <c r="U1743" t="str" cm="1">
        <f t="array" ref="U1743">_xlfn.LET(_xlpm.roles,_xlfn.UNIQUE(D1743:D4541),_xlpm.kills, SUMIF(D1743:D4541,_xlpm.roles,G1743:G4541),INDEX(_xlpm.roles,MATCH(MAX(_xlpm.kills),_xlpm.kills,0)))</f>
        <v>Sniper</v>
      </c>
      <c r="V1743" t="str">
        <f t="shared" si="138"/>
        <v>Medium Accuracy</v>
      </c>
      <c r="W1743" t="str" cm="1">
        <f t="array" ref="W1743">_xlfn.LET(_xlpm.roles,_xlfn.UNIQUE(D1743:D4541), _xlpm.counts,COUNTIF(D1743:D4541,_xlpm.roles), INDEX(_xlpm.roles,MATCH(MAX(_xlpm.counts),_xlpm.counts,0)))</f>
        <v>Sniper</v>
      </c>
      <c r="X1743" s="2">
        <f t="shared" si="139"/>
        <v>12.520971302428256</v>
      </c>
    </row>
    <row r="1744" spans="1:24" x14ac:dyDescent="0.3">
      <c r="A1744">
        <v>365</v>
      </c>
      <c r="B1744">
        <v>309</v>
      </c>
      <c r="C1744" t="s">
        <v>30</v>
      </c>
      <c r="D1744" t="s">
        <v>36</v>
      </c>
      <c r="E1744" t="s">
        <v>32</v>
      </c>
      <c r="F1744" t="s">
        <v>19</v>
      </c>
      <c r="G1744">
        <v>21</v>
      </c>
      <c r="H1744">
        <v>6</v>
      </c>
      <c r="I1744">
        <v>4</v>
      </c>
      <c r="J1744">
        <v>53.74</v>
      </c>
      <c r="K1744">
        <v>175.71</v>
      </c>
      <c r="L1744">
        <v>0.28000000000000003</v>
      </c>
      <c r="M1744">
        <v>68.069999999999993</v>
      </c>
      <c r="N1744">
        <v>1</v>
      </c>
      <c r="O1744" t="s">
        <v>20</v>
      </c>
      <c r="P1744" t="s">
        <v>38</v>
      </c>
      <c r="Q1744">
        <f t="shared" si="135"/>
        <v>23</v>
      </c>
      <c r="R1744" s="4">
        <f>RANK(N1744,$N$2:N$2800,0)</f>
        <v>1</v>
      </c>
      <c r="S1744">
        <f t="shared" si="136"/>
        <v>5.25</v>
      </c>
      <c r="T1744" t="str">
        <f t="shared" si="137"/>
        <v>Good</v>
      </c>
      <c r="U1744" t="str" cm="1">
        <f t="array" ref="U1744">_xlfn.LET(_xlpm.roles,_xlfn.UNIQUE(D1744:D4542),_xlpm.kills, SUMIF(D1744:D4542,_xlpm.roles,G1744:G4542),INDEX(_xlpm.roles,MATCH(MAX(_xlpm.kills),_xlpm.kills,0)))</f>
        <v>Sniper</v>
      </c>
      <c r="V1744" t="str">
        <f t="shared" si="138"/>
        <v>High Accuracy</v>
      </c>
      <c r="W1744" t="str" cm="1">
        <f t="array" ref="W1744">_xlfn.LET(_xlpm.roles,_xlfn.UNIQUE(D1744:D4542), _xlpm.counts,COUNTIF(D1744:D4542,_xlpm.roles), INDEX(_xlpm.roles,MATCH(MAX(_xlpm.counts),_xlpm.counts,0)))</f>
        <v>Sniper</v>
      </c>
      <c r="X1744" s="2">
        <f t="shared" si="139"/>
        <v>13.135802469135802</v>
      </c>
    </row>
    <row r="1745" spans="1:24" x14ac:dyDescent="0.3">
      <c r="A1745">
        <v>412</v>
      </c>
      <c r="B1745">
        <v>309</v>
      </c>
      <c r="C1745" t="s">
        <v>30</v>
      </c>
      <c r="D1745" t="s">
        <v>28</v>
      </c>
      <c r="E1745" t="s">
        <v>32</v>
      </c>
      <c r="F1745" t="s">
        <v>24</v>
      </c>
      <c r="G1745">
        <v>21</v>
      </c>
      <c r="H1745">
        <v>6</v>
      </c>
      <c r="I1745">
        <v>13</v>
      </c>
      <c r="J1745">
        <v>45.75</v>
      </c>
      <c r="K1745">
        <v>241.19</v>
      </c>
      <c r="L1745">
        <v>0.21</v>
      </c>
      <c r="M1745">
        <v>55.77</v>
      </c>
      <c r="N1745">
        <v>1</v>
      </c>
      <c r="O1745" t="s">
        <v>20</v>
      </c>
      <c r="P1745" t="s">
        <v>21</v>
      </c>
      <c r="Q1745">
        <f t="shared" si="135"/>
        <v>14</v>
      </c>
      <c r="R1745" s="4">
        <f>RANK(N1745,$N$2:N$2800,0)</f>
        <v>1</v>
      </c>
      <c r="S1745">
        <f t="shared" si="136"/>
        <v>1.6153846153846154</v>
      </c>
      <c r="T1745" t="str">
        <f t="shared" si="137"/>
        <v>Low</v>
      </c>
      <c r="U1745" t="str" cm="1">
        <f t="array" ref="U1745">_xlfn.LET(_xlpm.roles,_xlfn.UNIQUE(D1745:D4543),_xlpm.kills, SUMIF(D1745:D4543,_xlpm.roles,G1745:G4543),INDEX(_xlpm.roles,MATCH(MAX(_xlpm.kills),_xlpm.kills,0)))</f>
        <v>Sniper</v>
      </c>
      <c r="V1745" t="str">
        <f t="shared" si="138"/>
        <v>Medium Accuracy</v>
      </c>
      <c r="W1745" t="str" cm="1">
        <f t="array" ref="W1745">_xlfn.LET(_xlpm.roles,_xlfn.UNIQUE(D1745:D4543), _xlpm.counts,COUNTIF(D1745:D4543,_xlpm.roles), INDEX(_xlpm.roles,MATCH(MAX(_xlpm.counts),_xlpm.counts,0)))</f>
        <v>Sniper</v>
      </c>
      <c r="X1745" s="2">
        <f t="shared" si="139"/>
        <v>13.135802469135802</v>
      </c>
    </row>
    <row r="1746" spans="1:24" x14ac:dyDescent="0.3">
      <c r="A1746">
        <v>579</v>
      </c>
      <c r="B1746">
        <v>309</v>
      </c>
      <c r="C1746" t="s">
        <v>25</v>
      </c>
      <c r="D1746" t="s">
        <v>22</v>
      </c>
      <c r="E1746" t="s">
        <v>33</v>
      </c>
      <c r="F1746" t="s">
        <v>19</v>
      </c>
      <c r="G1746">
        <v>8</v>
      </c>
      <c r="H1746">
        <v>9</v>
      </c>
      <c r="I1746">
        <v>9</v>
      </c>
      <c r="J1746">
        <v>60.49</v>
      </c>
      <c r="K1746">
        <v>224.08</v>
      </c>
      <c r="L1746">
        <v>0.06</v>
      </c>
      <c r="M1746">
        <v>45.65</v>
      </c>
      <c r="N1746">
        <v>1</v>
      </c>
      <c r="O1746" t="s">
        <v>20</v>
      </c>
      <c r="P1746" t="s">
        <v>21</v>
      </c>
      <c r="Q1746">
        <f t="shared" si="135"/>
        <v>8</v>
      </c>
      <c r="R1746" s="4">
        <f>RANK(N1746,$N$2:N$2800,0)</f>
        <v>1</v>
      </c>
      <c r="S1746">
        <f t="shared" si="136"/>
        <v>0.88888888888888884</v>
      </c>
      <c r="T1746" t="str">
        <f t="shared" si="137"/>
        <v>Low</v>
      </c>
      <c r="U1746" t="str" cm="1">
        <f t="array" ref="U1746">_xlfn.LET(_xlpm.roles,_xlfn.UNIQUE(D1746:D4544),_xlpm.kills, SUMIF(D1746:D4544,_xlpm.roles,G1746:G4544),INDEX(_xlpm.roles,MATCH(MAX(_xlpm.kills),_xlpm.kills,0)))</f>
        <v>Sniper</v>
      </c>
      <c r="V1746" t="str">
        <f t="shared" si="138"/>
        <v>High Accuracy</v>
      </c>
      <c r="W1746" t="str" cm="1">
        <f t="array" ref="W1746">_xlfn.LET(_xlpm.roles,_xlfn.UNIQUE(D1746:D4544), _xlpm.counts,COUNTIF(D1746:D4544,_xlpm.roles), INDEX(_xlpm.roles,MATCH(MAX(_xlpm.counts),_xlpm.counts,0)))</f>
        <v>Sniper</v>
      </c>
      <c r="X1746" s="2">
        <f t="shared" si="139"/>
        <v>12.809421841541756</v>
      </c>
    </row>
    <row r="1747" spans="1:24" x14ac:dyDescent="0.3">
      <c r="A1747">
        <v>2040</v>
      </c>
      <c r="B1747">
        <v>309</v>
      </c>
      <c r="C1747" t="s">
        <v>35</v>
      </c>
      <c r="D1747" t="s">
        <v>28</v>
      </c>
      <c r="E1747" t="s">
        <v>18</v>
      </c>
      <c r="F1747" t="s">
        <v>37</v>
      </c>
      <c r="G1747">
        <v>22</v>
      </c>
      <c r="H1747">
        <v>8</v>
      </c>
      <c r="I1747">
        <v>11</v>
      </c>
      <c r="J1747">
        <v>71.790000000000006</v>
      </c>
      <c r="K1747">
        <v>259.64999999999998</v>
      </c>
      <c r="L1747">
        <v>0.12</v>
      </c>
      <c r="M1747">
        <v>75.7</v>
      </c>
      <c r="N1747">
        <v>1</v>
      </c>
      <c r="O1747" t="s">
        <v>20</v>
      </c>
      <c r="P1747" t="s">
        <v>38</v>
      </c>
      <c r="Q1747">
        <f t="shared" si="135"/>
        <v>19</v>
      </c>
      <c r="R1747" s="4">
        <f>RANK(N1747,$N$2:N$2800,0)</f>
        <v>1</v>
      </c>
      <c r="S1747">
        <f t="shared" si="136"/>
        <v>2</v>
      </c>
      <c r="T1747" t="str">
        <f t="shared" si="137"/>
        <v>Good</v>
      </c>
      <c r="U1747" t="str" cm="1">
        <f t="array" ref="U1747">_xlfn.LET(_xlpm.roles,_xlfn.UNIQUE(D1747:D4545),_xlpm.kills, SUMIF(D1747:D4545,_xlpm.roles,G1747:G4545),INDEX(_xlpm.roles,MATCH(MAX(_xlpm.kills),_xlpm.kills,0)))</f>
        <v>Sniper</v>
      </c>
      <c r="V1747" t="str">
        <f t="shared" si="138"/>
        <v>High Accuracy</v>
      </c>
      <c r="W1747" t="str" cm="1">
        <f t="array" ref="W1747">_xlfn.LET(_xlpm.roles,_xlfn.UNIQUE(D1747:D4545), _xlpm.counts,COUNTIF(D1747:D4545,_xlpm.roles), INDEX(_xlpm.roles,MATCH(MAX(_xlpm.counts),_xlpm.counts,0)))</f>
        <v>Sniper</v>
      </c>
      <c r="X1747" s="2">
        <f t="shared" si="139"/>
        <v>12.599585062240664</v>
      </c>
    </row>
    <row r="1748" spans="1:24" x14ac:dyDescent="0.3">
      <c r="A1748">
        <v>2348</v>
      </c>
      <c r="B1748">
        <v>309</v>
      </c>
      <c r="C1748" t="s">
        <v>25</v>
      </c>
      <c r="D1748" t="s">
        <v>36</v>
      </c>
      <c r="E1748" t="s">
        <v>23</v>
      </c>
      <c r="F1748" t="s">
        <v>19</v>
      </c>
      <c r="G1748">
        <v>19</v>
      </c>
      <c r="H1748">
        <v>11</v>
      </c>
      <c r="I1748">
        <v>13</v>
      </c>
      <c r="J1748">
        <v>38.979999999999997</v>
      </c>
      <c r="K1748">
        <v>184.83</v>
      </c>
      <c r="L1748">
        <v>0.09</v>
      </c>
      <c r="M1748">
        <v>54.59</v>
      </c>
      <c r="N1748">
        <v>1</v>
      </c>
      <c r="O1748" t="s">
        <v>20</v>
      </c>
      <c r="P1748" t="s">
        <v>21</v>
      </c>
      <c r="Q1748">
        <f t="shared" si="135"/>
        <v>17</v>
      </c>
      <c r="R1748" s="4">
        <f>RANK(N1748,$N$2:N$2800,0)</f>
        <v>1</v>
      </c>
      <c r="S1748">
        <f t="shared" si="136"/>
        <v>1.4615384615384615</v>
      </c>
      <c r="T1748" t="str">
        <f t="shared" si="137"/>
        <v>Good</v>
      </c>
      <c r="U1748" t="str" cm="1">
        <f t="array" ref="U1748">_xlfn.LET(_xlpm.roles,_xlfn.UNIQUE(D1748:D4546),_xlpm.kills, SUMIF(D1748:D4546,_xlpm.roles,G1748:G4546),INDEX(_xlpm.roles,MATCH(MAX(_xlpm.kills),_xlpm.kills,0)))</f>
        <v>Sniper</v>
      </c>
      <c r="V1748" t="str">
        <f t="shared" si="138"/>
        <v>Medium Accuracy</v>
      </c>
      <c r="W1748" t="str" cm="1">
        <f t="array" ref="W1748">_xlfn.LET(_xlpm.roles,_xlfn.UNIQUE(D1748:D4546), _xlpm.counts,COUNTIF(D1748:D4546,_xlpm.roles), INDEX(_xlpm.roles,MATCH(MAX(_xlpm.counts),_xlpm.counts,0)))</f>
        <v>Sniper</v>
      </c>
      <c r="X1748" s="2">
        <f t="shared" si="139"/>
        <v>12.809421841541756</v>
      </c>
    </row>
    <row r="1749" spans="1:24" x14ac:dyDescent="0.3">
      <c r="A1749">
        <v>2447</v>
      </c>
      <c r="B1749">
        <v>309</v>
      </c>
      <c r="C1749" t="s">
        <v>39</v>
      </c>
      <c r="D1749" t="s">
        <v>22</v>
      </c>
      <c r="E1749" t="s">
        <v>23</v>
      </c>
      <c r="F1749" t="s">
        <v>26</v>
      </c>
      <c r="G1749">
        <v>19</v>
      </c>
      <c r="H1749">
        <v>6</v>
      </c>
      <c r="I1749">
        <v>8</v>
      </c>
      <c r="J1749">
        <v>40.520000000000003</v>
      </c>
      <c r="K1749">
        <v>180.24</v>
      </c>
      <c r="L1749">
        <v>0.94</v>
      </c>
      <c r="M1749">
        <v>46.86</v>
      </c>
      <c r="N1749">
        <v>0.99</v>
      </c>
      <c r="O1749" t="s">
        <v>20</v>
      </c>
      <c r="P1749" t="s">
        <v>21</v>
      </c>
      <c r="Q1749">
        <f t="shared" si="135"/>
        <v>17</v>
      </c>
      <c r="R1749" s="4">
        <f>RANK(N1749,$N$2:N$2800,0)</f>
        <v>1080</v>
      </c>
      <c r="S1749">
        <f t="shared" si="136"/>
        <v>2.375</v>
      </c>
      <c r="T1749" t="str">
        <f t="shared" si="137"/>
        <v>Good</v>
      </c>
      <c r="U1749" t="str" cm="1">
        <f t="array" ref="U1749">_xlfn.LET(_xlpm.roles,_xlfn.UNIQUE(D1749:D4547),_xlpm.kills, SUMIF(D1749:D4547,_xlpm.roles,G1749:G4547),INDEX(_xlpm.roles,MATCH(MAX(_xlpm.kills),_xlpm.kills,0)))</f>
        <v>Sniper</v>
      </c>
      <c r="V1749" t="str">
        <f t="shared" si="138"/>
        <v>Medium Accuracy</v>
      </c>
      <c r="W1749" t="str" cm="1">
        <f t="array" ref="W1749">_xlfn.LET(_xlpm.roles,_xlfn.UNIQUE(D1749:D4547), _xlpm.counts,COUNTIF(D1749:D4547,_xlpm.roles), INDEX(_xlpm.roles,MATCH(MAX(_xlpm.counts),_xlpm.counts,0)))</f>
        <v>Sniper</v>
      </c>
      <c r="X1749" s="2">
        <f t="shared" si="139"/>
        <v>13.103594080338267</v>
      </c>
    </row>
    <row r="1750" spans="1:24" x14ac:dyDescent="0.3">
      <c r="A1750">
        <v>2574</v>
      </c>
      <c r="B1750">
        <v>309</v>
      </c>
      <c r="C1750" t="s">
        <v>39</v>
      </c>
      <c r="D1750" t="s">
        <v>22</v>
      </c>
      <c r="E1750" t="s">
        <v>18</v>
      </c>
      <c r="F1750" t="s">
        <v>34</v>
      </c>
      <c r="G1750">
        <v>9</v>
      </c>
      <c r="H1750">
        <v>6</v>
      </c>
      <c r="I1750">
        <v>5</v>
      </c>
      <c r="J1750">
        <v>54.74</v>
      </c>
      <c r="K1750">
        <v>238.3</v>
      </c>
      <c r="L1750">
        <v>0.69</v>
      </c>
      <c r="M1750">
        <v>39.47</v>
      </c>
      <c r="N1750">
        <v>0.99</v>
      </c>
      <c r="O1750" t="s">
        <v>20</v>
      </c>
      <c r="P1750" t="s">
        <v>21</v>
      </c>
      <c r="Q1750">
        <f t="shared" si="135"/>
        <v>10</v>
      </c>
      <c r="R1750" s="4">
        <f>RANK(N1750,$N$2:N$2800,0)</f>
        <v>1080</v>
      </c>
      <c r="S1750">
        <f t="shared" si="136"/>
        <v>1.8</v>
      </c>
      <c r="T1750" t="str">
        <f t="shared" si="137"/>
        <v>Low</v>
      </c>
      <c r="U1750" t="str" cm="1">
        <f t="array" ref="U1750">_xlfn.LET(_xlpm.roles,_xlfn.UNIQUE(D1750:D4548),_xlpm.kills, SUMIF(D1750:D4548,_xlpm.roles,G1750:G4548),INDEX(_xlpm.roles,MATCH(MAX(_xlpm.kills),_xlpm.kills,0)))</f>
        <v>Sniper</v>
      </c>
      <c r="V1750" t="str">
        <f t="shared" si="138"/>
        <v>High Accuracy</v>
      </c>
      <c r="W1750" t="str" cm="1">
        <f t="array" ref="W1750">_xlfn.LET(_xlpm.roles,_xlfn.UNIQUE(D1750:D4548), _xlpm.counts,COUNTIF(D1750:D4548,_xlpm.roles), INDEX(_xlpm.roles,MATCH(MAX(_xlpm.counts),_xlpm.counts,0)))</f>
        <v>Sniper</v>
      </c>
      <c r="X1750" s="2">
        <f t="shared" si="139"/>
        <v>13.103594080338267</v>
      </c>
    </row>
    <row r="1751" spans="1:24" x14ac:dyDescent="0.3">
      <c r="A1751">
        <v>823</v>
      </c>
      <c r="B1751">
        <v>310</v>
      </c>
      <c r="C1751" t="s">
        <v>27</v>
      </c>
      <c r="D1751" t="s">
        <v>22</v>
      </c>
      <c r="E1751" t="s">
        <v>18</v>
      </c>
      <c r="F1751" t="s">
        <v>24</v>
      </c>
      <c r="G1751">
        <v>15</v>
      </c>
      <c r="H1751">
        <v>6</v>
      </c>
      <c r="I1751">
        <v>11</v>
      </c>
      <c r="J1751">
        <v>32.71</v>
      </c>
      <c r="K1751">
        <v>272.74</v>
      </c>
      <c r="L1751">
        <v>0.3</v>
      </c>
      <c r="M1751">
        <v>38.36</v>
      </c>
      <c r="N1751">
        <v>0.97</v>
      </c>
      <c r="O1751" t="s">
        <v>20</v>
      </c>
      <c r="P1751" t="s">
        <v>21</v>
      </c>
      <c r="Q1751">
        <f t="shared" si="135"/>
        <v>10</v>
      </c>
      <c r="R1751" s="4">
        <f>RANK(N1751,$N$2:N$2800,0)</f>
        <v>1243</v>
      </c>
      <c r="S1751">
        <f t="shared" si="136"/>
        <v>1.3636363636363635</v>
      </c>
      <c r="T1751" t="str">
        <f t="shared" si="137"/>
        <v>Low</v>
      </c>
      <c r="U1751" t="str" cm="1">
        <f t="array" ref="U1751">_xlfn.LET(_xlpm.roles,_xlfn.UNIQUE(D1751:D4549),_xlpm.kills, SUMIF(D1751:D4549,_xlpm.roles,G1751:G4549),INDEX(_xlpm.roles,MATCH(MAX(_xlpm.kills),_xlpm.kills,0)))</f>
        <v>Sniper</v>
      </c>
      <c r="V1751" t="str">
        <f t="shared" si="138"/>
        <v>Medium Accuracy</v>
      </c>
      <c r="W1751" t="str" cm="1">
        <f t="array" ref="W1751">_xlfn.LET(_xlpm.roles,_xlfn.UNIQUE(D1751:D4549), _xlpm.counts,COUNTIF(D1751:D4549,_xlpm.roles), INDEX(_xlpm.roles,MATCH(MAX(_xlpm.counts),_xlpm.counts,0)))</f>
        <v>Sniper</v>
      </c>
      <c r="X1751" s="2">
        <f t="shared" si="139"/>
        <v>13.057077625570777</v>
      </c>
    </row>
    <row r="1752" spans="1:24" x14ac:dyDescent="0.3">
      <c r="A1752">
        <v>2053</v>
      </c>
      <c r="B1752">
        <v>310</v>
      </c>
      <c r="C1752" t="s">
        <v>25</v>
      </c>
      <c r="D1752" t="s">
        <v>36</v>
      </c>
      <c r="E1752" t="s">
        <v>29</v>
      </c>
      <c r="F1752" t="s">
        <v>37</v>
      </c>
      <c r="G1752">
        <v>23</v>
      </c>
      <c r="H1752">
        <v>7</v>
      </c>
      <c r="I1752">
        <v>15</v>
      </c>
      <c r="J1752">
        <v>54.91</v>
      </c>
      <c r="K1752">
        <v>149.05000000000001</v>
      </c>
      <c r="L1752">
        <v>0.23</v>
      </c>
      <c r="M1752">
        <v>63.16</v>
      </c>
      <c r="N1752">
        <v>1</v>
      </c>
      <c r="O1752" t="s">
        <v>20</v>
      </c>
      <c r="P1752" t="s">
        <v>38</v>
      </c>
      <c r="Q1752">
        <f t="shared" si="135"/>
        <v>15</v>
      </c>
      <c r="R1752" s="4">
        <f>RANK(N1752,$N$2:N$2800,0)</f>
        <v>1</v>
      </c>
      <c r="S1752">
        <f t="shared" si="136"/>
        <v>1.5333333333333334</v>
      </c>
      <c r="T1752" t="str">
        <f t="shared" si="137"/>
        <v>Good</v>
      </c>
      <c r="U1752" t="str" cm="1">
        <f t="array" ref="U1752">_xlfn.LET(_xlpm.roles,_xlfn.UNIQUE(D1752:D4550),_xlpm.kills, SUMIF(D1752:D4550,_xlpm.roles,G1752:G4550),INDEX(_xlpm.roles,MATCH(MAX(_xlpm.kills),_xlpm.kills,0)))</f>
        <v>Sniper</v>
      </c>
      <c r="V1752" t="str">
        <f t="shared" si="138"/>
        <v>High Accuracy</v>
      </c>
      <c r="W1752" t="str" cm="1">
        <f t="array" ref="W1752">_xlfn.LET(_xlpm.roles,_xlfn.UNIQUE(D1752:D4550), _xlpm.counts,COUNTIF(D1752:D4550,_xlpm.roles), INDEX(_xlpm.roles,MATCH(MAX(_xlpm.counts),_xlpm.counts,0)))</f>
        <v>Sniper</v>
      </c>
      <c r="X1752" s="2">
        <f t="shared" si="139"/>
        <v>12.809421841541756</v>
      </c>
    </row>
    <row r="1753" spans="1:24" x14ac:dyDescent="0.3">
      <c r="A1753">
        <v>2132</v>
      </c>
      <c r="B1753">
        <v>310</v>
      </c>
      <c r="C1753" t="s">
        <v>16</v>
      </c>
      <c r="D1753" t="s">
        <v>31</v>
      </c>
      <c r="E1753" t="s">
        <v>23</v>
      </c>
      <c r="F1753" t="s">
        <v>34</v>
      </c>
      <c r="G1753">
        <v>14</v>
      </c>
      <c r="H1753">
        <v>9</v>
      </c>
      <c r="I1753">
        <v>9</v>
      </c>
      <c r="J1753">
        <v>44.29</v>
      </c>
      <c r="K1753">
        <v>222.31</v>
      </c>
      <c r="L1753">
        <v>0.49</v>
      </c>
      <c r="M1753">
        <v>45.24</v>
      </c>
      <c r="N1753">
        <v>0.96</v>
      </c>
      <c r="O1753" t="s">
        <v>20</v>
      </c>
      <c r="P1753" t="s">
        <v>21</v>
      </c>
      <c r="Q1753">
        <f t="shared" si="135"/>
        <v>14</v>
      </c>
      <c r="R1753" s="4">
        <f>RANK(N1753,$N$2:N$2800,0)</f>
        <v>1301</v>
      </c>
      <c r="S1753">
        <f t="shared" si="136"/>
        <v>1.5555555555555556</v>
      </c>
      <c r="T1753" t="str">
        <f t="shared" si="137"/>
        <v>Low</v>
      </c>
      <c r="U1753" t="str" cm="1">
        <f t="array" ref="U1753">_xlfn.LET(_xlpm.roles,_xlfn.UNIQUE(D1753:D4551),_xlpm.kills, SUMIF(D1753:D4551,_xlpm.roles,G1753:G4551),INDEX(_xlpm.roles,MATCH(MAX(_xlpm.kills),_xlpm.kills,0)))</f>
        <v>Sniper</v>
      </c>
      <c r="V1753" t="str">
        <f t="shared" si="138"/>
        <v>Medium Accuracy</v>
      </c>
      <c r="W1753" t="str" cm="1">
        <f t="array" ref="W1753">_xlfn.LET(_xlpm.roles,_xlfn.UNIQUE(D1753:D4551), _xlpm.counts,COUNTIF(D1753:D4551,_xlpm.roles), INDEX(_xlpm.roles,MATCH(MAX(_xlpm.counts),_xlpm.counts,0)))</f>
        <v>Sniper</v>
      </c>
      <c r="X1753" s="2">
        <f t="shared" si="139"/>
        <v>12.520971302428256</v>
      </c>
    </row>
    <row r="1754" spans="1:24" x14ac:dyDescent="0.3">
      <c r="A1754">
        <v>2318</v>
      </c>
      <c r="B1754">
        <v>310</v>
      </c>
      <c r="C1754" t="s">
        <v>27</v>
      </c>
      <c r="D1754" t="s">
        <v>31</v>
      </c>
      <c r="E1754" t="s">
        <v>23</v>
      </c>
      <c r="F1754" t="s">
        <v>37</v>
      </c>
      <c r="G1754">
        <v>12</v>
      </c>
      <c r="H1754">
        <v>12</v>
      </c>
      <c r="I1754">
        <v>15</v>
      </c>
      <c r="J1754">
        <v>44.83</v>
      </c>
      <c r="K1754">
        <v>221.16</v>
      </c>
      <c r="L1754">
        <v>0.52</v>
      </c>
      <c r="M1754">
        <v>38.21</v>
      </c>
      <c r="N1754">
        <v>0.99</v>
      </c>
      <c r="O1754" t="s">
        <v>20</v>
      </c>
      <c r="P1754" t="s">
        <v>21</v>
      </c>
      <c r="Q1754">
        <f t="shared" si="135"/>
        <v>9</v>
      </c>
      <c r="R1754" s="4">
        <f>RANK(N1754,$N$2:N$2800,0)</f>
        <v>1080</v>
      </c>
      <c r="S1754">
        <f t="shared" si="136"/>
        <v>0.8</v>
      </c>
      <c r="T1754" t="str">
        <f t="shared" si="137"/>
        <v>Low</v>
      </c>
      <c r="U1754" t="str" cm="1">
        <f t="array" ref="U1754">_xlfn.LET(_xlpm.roles,_xlfn.UNIQUE(D1754:D4552),_xlpm.kills, SUMIF(D1754:D4552,_xlpm.roles,G1754:G4552),INDEX(_xlpm.roles,MATCH(MAX(_xlpm.kills),_xlpm.kills,0)))</f>
        <v>Sniper</v>
      </c>
      <c r="V1754" t="str">
        <f t="shared" si="138"/>
        <v>Medium Accuracy</v>
      </c>
      <c r="W1754" t="str" cm="1">
        <f t="array" ref="W1754">_xlfn.LET(_xlpm.roles,_xlfn.UNIQUE(D1754:D4552), _xlpm.counts,COUNTIF(D1754:D4552,_xlpm.roles), INDEX(_xlpm.roles,MATCH(MAX(_xlpm.counts),_xlpm.counts,0)))</f>
        <v>Sniper</v>
      </c>
      <c r="X1754" s="2">
        <f t="shared" si="139"/>
        <v>13.057077625570777</v>
      </c>
    </row>
    <row r="1755" spans="1:24" x14ac:dyDescent="0.3">
      <c r="A1755">
        <v>2344</v>
      </c>
      <c r="B1755">
        <v>310</v>
      </c>
      <c r="C1755" t="s">
        <v>27</v>
      </c>
      <c r="D1755" t="s">
        <v>22</v>
      </c>
      <c r="E1755" t="s">
        <v>18</v>
      </c>
      <c r="F1755" t="s">
        <v>37</v>
      </c>
      <c r="G1755">
        <v>14</v>
      </c>
      <c r="H1755">
        <v>7</v>
      </c>
      <c r="I1755">
        <v>8</v>
      </c>
      <c r="J1755">
        <v>35.79</v>
      </c>
      <c r="K1755">
        <v>163.29</v>
      </c>
      <c r="L1755">
        <v>0.41</v>
      </c>
      <c r="M1755">
        <v>40.79</v>
      </c>
      <c r="N1755">
        <v>0.74</v>
      </c>
      <c r="O1755" t="s">
        <v>20</v>
      </c>
      <c r="P1755" t="s">
        <v>21</v>
      </c>
      <c r="Q1755">
        <f t="shared" si="135"/>
        <v>13</v>
      </c>
      <c r="R1755" s="4">
        <f>RANK(N1755,$N$2:N$2800,0)</f>
        <v>2613</v>
      </c>
      <c r="S1755">
        <f t="shared" si="136"/>
        <v>1.75</v>
      </c>
      <c r="T1755" t="str">
        <f t="shared" si="137"/>
        <v>Low</v>
      </c>
      <c r="U1755" t="str" cm="1">
        <f t="array" ref="U1755">_xlfn.LET(_xlpm.roles,_xlfn.UNIQUE(D1755:D4553),_xlpm.kills, SUMIF(D1755:D4553,_xlpm.roles,G1755:G4553),INDEX(_xlpm.roles,MATCH(MAX(_xlpm.kills),_xlpm.kills,0)))</f>
        <v>Sniper</v>
      </c>
      <c r="V1755" t="str">
        <f t="shared" si="138"/>
        <v>Medium Accuracy</v>
      </c>
      <c r="W1755" t="str" cm="1">
        <f t="array" ref="W1755">_xlfn.LET(_xlpm.roles,_xlfn.UNIQUE(D1755:D4553), _xlpm.counts,COUNTIF(D1755:D4553,_xlpm.roles), INDEX(_xlpm.roles,MATCH(MAX(_xlpm.counts),_xlpm.counts,0)))</f>
        <v>Sniper</v>
      </c>
      <c r="X1755" s="2">
        <f t="shared" si="139"/>
        <v>13.057077625570777</v>
      </c>
    </row>
    <row r="1756" spans="1:24" x14ac:dyDescent="0.3">
      <c r="A1756">
        <v>266</v>
      </c>
      <c r="B1756">
        <v>311</v>
      </c>
      <c r="C1756" t="s">
        <v>16</v>
      </c>
      <c r="D1756" t="s">
        <v>31</v>
      </c>
      <c r="E1756" t="s">
        <v>29</v>
      </c>
      <c r="F1756" t="s">
        <v>26</v>
      </c>
      <c r="G1756">
        <v>13</v>
      </c>
      <c r="H1756">
        <v>7</v>
      </c>
      <c r="I1756">
        <v>14</v>
      </c>
      <c r="J1756">
        <v>57.22</v>
      </c>
      <c r="K1756">
        <v>236.13</v>
      </c>
      <c r="L1756">
        <v>0.18</v>
      </c>
      <c r="M1756">
        <v>45.81</v>
      </c>
      <c r="N1756">
        <v>1</v>
      </c>
      <c r="O1756" t="s">
        <v>20</v>
      </c>
      <c r="P1756" t="s">
        <v>21</v>
      </c>
      <c r="Q1756">
        <f t="shared" si="135"/>
        <v>6</v>
      </c>
      <c r="R1756" s="4">
        <f>RANK(N1756,$N$2:N$2800,0)</f>
        <v>1</v>
      </c>
      <c r="S1756">
        <f t="shared" si="136"/>
        <v>0.9285714285714286</v>
      </c>
      <c r="T1756" t="str">
        <f t="shared" si="137"/>
        <v>Low</v>
      </c>
      <c r="U1756" t="str" cm="1">
        <f t="array" ref="U1756">_xlfn.LET(_xlpm.roles,_xlfn.UNIQUE(D1756:D4554),_xlpm.kills, SUMIF(D1756:D4554,_xlpm.roles,G1756:G4554),INDEX(_xlpm.roles,MATCH(MAX(_xlpm.kills),_xlpm.kills,0)))</f>
        <v>Sniper</v>
      </c>
      <c r="V1756" t="str">
        <f t="shared" si="138"/>
        <v>High Accuracy</v>
      </c>
      <c r="W1756" t="str" cm="1">
        <f t="array" ref="W1756">_xlfn.LET(_xlpm.roles,_xlfn.UNIQUE(D1756:D4554), _xlpm.counts,COUNTIF(D1756:D4554,_xlpm.roles), INDEX(_xlpm.roles,MATCH(MAX(_xlpm.counts),_xlpm.counts,0)))</f>
        <v>Sniper</v>
      </c>
      <c r="X1756" s="2">
        <f t="shared" si="139"/>
        <v>12.520971302428256</v>
      </c>
    </row>
    <row r="1757" spans="1:24" x14ac:dyDescent="0.3">
      <c r="A1757">
        <v>739</v>
      </c>
      <c r="B1757">
        <v>311</v>
      </c>
      <c r="C1757" t="s">
        <v>39</v>
      </c>
      <c r="D1757" t="s">
        <v>36</v>
      </c>
      <c r="E1757" t="s">
        <v>18</v>
      </c>
      <c r="F1757" t="s">
        <v>37</v>
      </c>
      <c r="G1757">
        <v>25</v>
      </c>
      <c r="H1757">
        <v>9</v>
      </c>
      <c r="I1757">
        <v>14</v>
      </c>
      <c r="J1757">
        <v>52.55</v>
      </c>
      <c r="K1757">
        <v>225.85</v>
      </c>
      <c r="L1757">
        <v>0.47</v>
      </c>
      <c r="M1757">
        <v>66.58</v>
      </c>
      <c r="N1757">
        <v>1</v>
      </c>
      <c r="O1757" t="s">
        <v>20</v>
      </c>
      <c r="P1757" t="s">
        <v>38</v>
      </c>
      <c r="Q1757">
        <f t="shared" si="135"/>
        <v>20</v>
      </c>
      <c r="R1757" s="4">
        <f>RANK(N1757,$N$2:N$2800,0)</f>
        <v>1</v>
      </c>
      <c r="S1757">
        <f t="shared" si="136"/>
        <v>1.7857142857142858</v>
      </c>
      <c r="T1757" t="str">
        <f t="shared" si="137"/>
        <v>Good</v>
      </c>
      <c r="U1757" t="str" cm="1">
        <f t="array" ref="U1757">_xlfn.LET(_xlpm.roles,_xlfn.UNIQUE(D1757:D4555),_xlpm.kills, SUMIF(D1757:D4555,_xlpm.roles,G1757:G4555),INDEX(_xlpm.roles,MATCH(MAX(_xlpm.kills),_xlpm.kills,0)))</f>
        <v>Sniper</v>
      </c>
      <c r="V1757" t="str">
        <f t="shared" si="138"/>
        <v>High Accuracy</v>
      </c>
      <c r="W1757" t="str" cm="1">
        <f t="array" ref="W1757">_xlfn.LET(_xlpm.roles,_xlfn.UNIQUE(D1757:D4555), _xlpm.counts,COUNTIF(D1757:D4555,_xlpm.roles), INDEX(_xlpm.roles,MATCH(MAX(_xlpm.counts),_xlpm.counts,0)))</f>
        <v>Sniper</v>
      </c>
      <c r="X1757" s="2">
        <f t="shared" si="139"/>
        <v>13.103594080338267</v>
      </c>
    </row>
    <row r="1758" spans="1:24" x14ac:dyDescent="0.3">
      <c r="A1758">
        <v>1436</v>
      </c>
      <c r="B1758">
        <v>311</v>
      </c>
      <c r="C1758" t="s">
        <v>35</v>
      </c>
      <c r="D1758" t="s">
        <v>36</v>
      </c>
      <c r="E1758" t="s">
        <v>23</v>
      </c>
      <c r="F1758" t="s">
        <v>34</v>
      </c>
      <c r="G1758">
        <v>16</v>
      </c>
      <c r="H1758">
        <v>9</v>
      </c>
      <c r="I1758">
        <v>12</v>
      </c>
      <c r="J1758">
        <v>44.43</v>
      </c>
      <c r="K1758">
        <v>235.14</v>
      </c>
      <c r="L1758">
        <v>0.67</v>
      </c>
      <c r="M1758">
        <v>44.52</v>
      </c>
      <c r="N1758">
        <v>0.88</v>
      </c>
      <c r="O1758" t="s">
        <v>20</v>
      </c>
      <c r="P1758" t="s">
        <v>21</v>
      </c>
      <c r="Q1758">
        <f t="shared" si="135"/>
        <v>13</v>
      </c>
      <c r="R1758" s="4">
        <f>RANK(N1758,$N$2:N$2800,0)</f>
        <v>1894</v>
      </c>
      <c r="S1758">
        <f t="shared" si="136"/>
        <v>1.3333333333333333</v>
      </c>
      <c r="T1758" t="str">
        <f t="shared" si="137"/>
        <v>Low</v>
      </c>
      <c r="U1758" t="str" cm="1">
        <f t="array" ref="U1758">_xlfn.LET(_xlpm.roles,_xlfn.UNIQUE(D1758:D4556),_xlpm.kills, SUMIF(D1758:D4556,_xlpm.roles,G1758:G4556),INDEX(_xlpm.roles,MATCH(MAX(_xlpm.kills),_xlpm.kills,0)))</f>
        <v>Sniper</v>
      </c>
      <c r="V1758" t="str">
        <f t="shared" si="138"/>
        <v>Medium Accuracy</v>
      </c>
      <c r="W1758" t="str" cm="1">
        <f t="array" ref="W1758">_xlfn.LET(_xlpm.roles,_xlfn.UNIQUE(D1758:D4556), _xlpm.counts,COUNTIF(D1758:D4556,_xlpm.roles), INDEX(_xlpm.roles,MATCH(MAX(_xlpm.counts),_xlpm.counts,0)))</f>
        <v>Sniper</v>
      </c>
      <c r="X1758" s="2">
        <f t="shared" si="139"/>
        <v>12.599585062240664</v>
      </c>
    </row>
    <row r="1759" spans="1:24" x14ac:dyDescent="0.3">
      <c r="A1759">
        <v>1502</v>
      </c>
      <c r="B1759">
        <v>311</v>
      </c>
      <c r="C1759" t="s">
        <v>39</v>
      </c>
      <c r="D1759" t="s">
        <v>22</v>
      </c>
      <c r="E1759" t="s">
        <v>33</v>
      </c>
      <c r="F1759" t="s">
        <v>26</v>
      </c>
      <c r="G1759">
        <v>17</v>
      </c>
      <c r="H1759">
        <v>6</v>
      </c>
      <c r="I1759">
        <v>14</v>
      </c>
      <c r="J1759">
        <v>48.23</v>
      </c>
      <c r="K1759">
        <v>239.1</v>
      </c>
      <c r="L1759">
        <v>0.82</v>
      </c>
      <c r="M1759">
        <v>41.91</v>
      </c>
      <c r="N1759">
        <v>0.98</v>
      </c>
      <c r="O1759" t="s">
        <v>20</v>
      </c>
      <c r="P1759" t="s">
        <v>21</v>
      </c>
      <c r="Q1759">
        <f t="shared" si="135"/>
        <v>9</v>
      </c>
      <c r="R1759" s="4">
        <f>RANK(N1759,$N$2:N$2800,0)</f>
        <v>1157</v>
      </c>
      <c r="S1759">
        <f t="shared" si="136"/>
        <v>1.2142857142857142</v>
      </c>
      <c r="T1759" t="str">
        <f t="shared" si="137"/>
        <v>Low</v>
      </c>
      <c r="U1759" t="str" cm="1">
        <f t="array" ref="U1759">_xlfn.LET(_xlpm.roles,_xlfn.UNIQUE(D1759:D4557),_xlpm.kills, SUMIF(D1759:D4557,_xlpm.roles,G1759:G4557),INDEX(_xlpm.roles,MATCH(MAX(_xlpm.kills),_xlpm.kills,0)))</f>
        <v>Sniper</v>
      </c>
      <c r="V1759" t="str">
        <f t="shared" si="138"/>
        <v>Medium Accuracy</v>
      </c>
      <c r="W1759" t="str" cm="1">
        <f t="array" ref="W1759">_xlfn.LET(_xlpm.roles,_xlfn.UNIQUE(D1759:D4557), _xlpm.counts,COUNTIF(D1759:D4557,_xlpm.roles), INDEX(_xlpm.roles,MATCH(MAX(_xlpm.counts),_xlpm.counts,0)))</f>
        <v>Sniper</v>
      </c>
      <c r="X1759" s="2">
        <f t="shared" si="139"/>
        <v>13.103594080338267</v>
      </c>
    </row>
    <row r="1760" spans="1:24" x14ac:dyDescent="0.3">
      <c r="A1760">
        <v>1646</v>
      </c>
      <c r="B1760">
        <v>311</v>
      </c>
      <c r="C1760" t="s">
        <v>39</v>
      </c>
      <c r="D1760" t="s">
        <v>17</v>
      </c>
      <c r="E1760" t="s">
        <v>32</v>
      </c>
      <c r="F1760" t="s">
        <v>19</v>
      </c>
      <c r="G1760">
        <v>14</v>
      </c>
      <c r="H1760">
        <v>11</v>
      </c>
      <c r="I1760">
        <v>13</v>
      </c>
      <c r="J1760">
        <v>50.05</v>
      </c>
      <c r="K1760">
        <v>263.92</v>
      </c>
      <c r="L1760">
        <v>0.74</v>
      </c>
      <c r="M1760">
        <v>43.62</v>
      </c>
      <c r="N1760">
        <v>1</v>
      </c>
      <c r="O1760" t="s">
        <v>20</v>
      </c>
      <c r="P1760" t="s">
        <v>21</v>
      </c>
      <c r="Q1760">
        <f t="shared" si="135"/>
        <v>12</v>
      </c>
      <c r="R1760" s="4">
        <f>RANK(N1760,$N$2:N$2800,0)</f>
        <v>1</v>
      </c>
      <c r="S1760">
        <f t="shared" si="136"/>
        <v>1.0769230769230769</v>
      </c>
      <c r="T1760" t="str">
        <f t="shared" si="137"/>
        <v>Low</v>
      </c>
      <c r="U1760" t="str" cm="1">
        <f t="array" ref="U1760">_xlfn.LET(_xlpm.roles,_xlfn.UNIQUE(D1760:D4558),_xlpm.kills, SUMIF(D1760:D4558,_xlpm.roles,G1760:G4558),INDEX(_xlpm.roles,MATCH(MAX(_xlpm.kills),_xlpm.kills,0)))</f>
        <v>Sniper</v>
      </c>
      <c r="V1760" t="str">
        <f t="shared" si="138"/>
        <v>High Accuracy</v>
      </c>
      <c r="W1760" t="str" cm="1">
        <f t="array" ref="W1760">_xlfn.LET(_xlpm.roles,_xlfn.UNIQUE(D1760:D4558), _xlpm.counts,COUNTIF(D1760:D4558,_xlpm.roles), INDEX(_xlpm.roles,MATCH(MAX(_xlpm.counts),_xlpm.counts,0)))</f>
        <v>Sniper</v>
      </c>
      <c r="X1760" s="2">
        <f t="shared" si="139"/>
        <v>13.103594080338267</v>
      </c>
    </row>
    <row r="1761" spans="1:24" x14ac:dyDescent="0.3">
      <c r="A1761">
        <v>2518</v>
      </c>
      <c r="B1761">
        <v>311</v>
      </c>
      <c r="C1761" t="s">
        <v>25</v>
      </c>
      <c r="D1761" t="s">
        <v>36</v>
      </c>
      <c r="E1761" t="s">
        <v>18</v>
      </c>
      <c r="F1761" t="s">
        <v>37</v>
      </c>
      <c r="G1761">
        <v>25</v>
      </c>
      <c r="H1761">
        <v>8</v>
      </c>
      <c r="I1761">
        <v>12</v>
      </c>
      <c r="J1761">
        <v>36.520000000000003</v>
      </c>
      <c r="K1761">
        <v>193</v>
      </c>
      <c r="L1761">
        <v>0.59</v>
      </c>
      <c r="M1761">
        <v>58.36</v>
      </c>
      <c r="N1761">
        <v>1</v>
      </c>
      <c r="O1761" t="s">
        <v>20</v>
      </c>
      <c r="P1761" t="s">
        <v>21</v>
      </c>
      <c r="Q1761">
        <f t="shared" si="135"/>
        <v>21</v>
      </c>
      <c r="R1761" s="4">
        <f>RANK(N1761,$N$2:N$2800,0)</f>
        <v>1</v>
      </c>
      <c r="S1761">
        <f t="shared" si="136"/>
        <v>2.0833333333333335</v>
      </c>
      <c r="T1761" t="str">
        <f t="shared" si="137"/>
        <v>Good</v>
      </c>
      <c r="U1761" t="str" cm="1">
        <f t="array" ref="U1761">_xlfn.LET(_xlpm.roles,_xlfn.UNIQUE(D1761:D4559),_xlpm.kills, SUMIF(D1761:D4559,_xlpm.roles,G1761:G4559),INDEX(_xlpm.roles,MATCH(MAX(_xlpm.kills),_xlpm.kills,0)))</f>
        <v>Sniper</v>
      </c>
      <c r="V1761" t="str">
        <f t="shared" si="138"/>
        <v>Medium Accuracy</v>
      </c>
      <c r="W1761" t="str" cm="1">
        <f t="array" ref="W1761">_xlfn.LET(_xlpm.roles,_xlfn.UNIQUE(D1761:D4559), _xlpm.counts,COUNTIF(D1761:D4559,_xlpm.roles), INDEX(_xlpm.roles,MATCH(MAX(_xlpm.counts),_xlpm.counts,0)))</f>
        <v>Sniper</v>
      </c>
      <c r="X1761" s="2">
        <f t="shared" si="139"/>
        <v>12.809421841541756</v>
      </c>
    </row>
    <row r="1762" spans="1:24" x14ac:dyDescent="0.3">
      <c r="A1762">
        <v>2541</v>
      </c>
      <c r="B1762">
        <v>311</v>
      </c>
      <c r="C1762" t="s">
        <v>16</v>
      </c>
      <c r="D1762" t="s">
        <v>28</v>
      </c>
      <c r="E1762" t="s">
        <v>23</v>
      </c>
      <c r="F1762" t="s">
        <v>26</v>
      </c>
      <c r="G1762">
        <v>19</v>
      </c>
      <c r="H1762">
        <v>8</v>
      </c>
      <c r="I1762">
        <v>9</v>
      </c>
      <c r="J1762">
        <v>58.49</v>
      </c>
      <c r="K1762">
        <v>138.55000000000001</v>
      </c>
      <c r="L1762">
        <v>0.99</v>
      </c>
      <c r="M1762">
        <v>56.35</v>
      </c>
      <c r="N1762">
        <v>1</v>
      </c>
      <c r="O1762" t="s">
        <v>20</v>
      </c>
      <c r="P1762" t="s">
        <v>21</v>
      </c>
      <c r="Q1762">
        <f t="shared" si="135"/>
        <v>18</v>
      </c>
      <c r="R1762" s="4">
        <f>RANK(N1762,$N$2:N$2800,0)</f>
        <v>1</v>
      </c>
      <c r="S1762">
        <f t="shared" si="136"/>
        <v>2.1111111111111112</v>
      </c>
      <c r="T1762" t="str">
        <f t="shared" si="137"/>
        <v>Good</v>
      </c>
      <c r="U1762" t="str" cm="1">
        <f t="array" ref="U1762">_xlfn.LET(_xlpm.roles,_xlfn.UNIQUE(D1762:D4560),_xlpm.kills, SUMIF(D1762:D4560,_xlpm.roles,G1762:G4560),INDEX(_xlpm.roles,MATCH(MAX(_xlpm.kills),_xlpm.kills,0)))</f>
        <v>Sniper</v>
      </c>
      <c r="V1762" t="str">
        <f t="shared" si="138"/>
        <v>High Accuracy</v>
      </c>
      <c r="W1762" t="str" cm="1">
        <f t="array" ref="W1762">_xlfn.LET(_xlpm.roles,_xlfn.UNIQUE(D1762:D4560), _xlpm.counts,COUNTIF(D1762:D4560,_xlpm.roles), INDEX(_xlpm.roles,MATCH(MAX(_xlpm.counts),_xlpm.counts,0)))</f>
        <v>Sniper</v>
      </c>
      <c r="X1762" s="2">
        <f t="shared" si="139"/>
        <v>12.520971302428256</v>
      </c>
    </row>
    <row r="1763" spans="1:24" x14ac:dyDescent="0.3">
      <c r="A1763">
        <v>1279</v>
      </c>
      <c r="B1763">
        <v>312</v>
      </c>
      <c r="C1763" t="s">
        <v>16</v>
      </c>
      <c r="D1763" t="s">
        <v>28</v>
      </c>
      <c r="E1763" t="s">
        <v>23</v>
      </c>
      <c r="F1763" t="s">
        <v>37</v>
      </c>
      <c r="G1763">
        <v>14</v>
      </c>
      <c r="H1763">
        <v>7</v>
      </c>
      <c r="I1763">
        <v>12</v>
      </c>
      <c r="J1763">
        <v>35.799999999999997</v>
      </c>
      <c r="K1763">
        <v>213.07</v>
      </c>
      <c r="L1763">
        <v>0.41</v>
      </c>
      <c r="M1763">
        <v>36.799999999999997</v>
      </c>
      <c r="N1763">
        <v>0.9</v>
      </c>
      <c r="O1763" t="s">
        <v>20</v>
      </c>
      <c r="P1763" t="s">
        <v>21</v>
      </c>
      <c r="Q1763">
        <f t="shared" si="135"/>
        <v>9</v>
      </c>
      <c r="R1763" s="4">
        <f>RANK(N1763,$N$2:N$2800,0)</f>
        <v>1738</v>
      </c>
      <c r="S1763">
        <f t="shared" si="136"/>
        <v>1.1666666666666667</v>
      </c>
      <c r="T1763" t="str">
        <f t="shared" si="137"/>
        <v>Low</v>
      </c>
      <c r="U1763" t="str" cm="1">
        <f t="array" ref="U1763">_xlfn.LET(_xlpm.roles,_xlfn.UNIQUE(D1763:D4561),_xlpm.kills, SUMIF(D1763:D4561,_xlpm.roles,G1763:G4561),INDEX(_xlpm.roles,MATCH(MAX(_xlpm.kills),_xlpm.kills,0)))</f>
        <v>Sniper</v>
      </c>
      <c r="V1763" t="str">
        <f t="shared" si="138"/>
        <v>Medium Accuracy</v>
      </c>
      <c r="W1763" t="str" cm="1">
        <f t="array" ref="W1763">_xlfn.LET(_xlpm.roles,_xlfn.UNIQUE(D1763:D4561), _xlpm.counts,COUNTIF(D1763:D4561,_xlpm.roles), INDEX(_xlpm.roles,MATCH(MAX(_xlpm.counts),_xlpm.counts,0)))</f>
        <v>Sniper</v>
      </c>
      <c r="X1763" s="2">
        <f t="shared" si="139"/>
        <v>12.520971302428256</v>
      </c>
    </row>
    <row r="1764" spans="1:24" x14ac:dyDescent="0.3">
      <c r="A1764">
        <v>1315</v>
      </c>
      <c r="B1764">
        <v>312</v>
      </c>
      <c r="C1764" t="s">
        <v>35</v>
      </c>
      <c r="D1764" t="s">
        <v>31</v>
      </c>
      <c r="E1764" t="s">
        <v>23</v>
      </c>
      <c r="F1764" t="s">
        <v>19</v>
      </c>
      <c r="G1764">
        <v>15</v>
      </c>
      <c r="H1764">
        <v>12</v>
      </c>
      <c r="I1764">
        <v>3</v>
      </c>
      <c r="J1764">
        <v>47.83</v>
      </c>
      <c r="K1764">
        <v>225.69</v>
      </c>
      <c r="L1764">
        <v>0.64</v>
      </c>
      <c r="M1764">
        <v>56.52</v>
      </c>
      <c r="N1764">
        <v>1</v>
      </c>
      <c r="O1764" t="s">
        <v>20</v>
      </c>
      <c r="P1764" t="s">
        <v>21</v>
      </c>
      <c r="Q1764">
        <f t="shared" si="135"/>
        <v>24</v>
      </c>
      <c r="R1764" s="4">
        <f>RANK(N1764,$N$2:N$2800,0)</f>
        <v>1</v>
      </c>
      <c r="S1764">
        <f t="shared" si="136"/>
        <v>5</v>
      </c>
      <c r="T1764" t="str">
        <f t="shared" si="137"/>
        <v>Good</v>
      </c>
      <c r="U1764" t="str" cm="1">
        <f t="array" ref="U1764">_xlfn.LET(_xlpm.roles,_xlfn.UNIQUE(D1764:D4562),_xlpm.kills, SUMIF(D1764:D4562,_xlpm.roles,G1764:G4562),INDEX(_xlpm.roles,MATCH(MAX(_xlpm.kills),_xlpm.kills,0)))</f>
        <v>Sniper</v>
      </c>
      <c r="V1764" t="str">
        <f t="shared" si="138"/>
        <v>Medium Accuracy</v>
      </c>
      <c r="W1764" t="str" cm="1">
        <f t="array" ref="W1764">_xlfn.LET(_xlpm.roles,_xlfn.UNIQUE(D1764:D4562), _xlpm.counts,COUNTIF(D1764:D4562,_xlpm.roles), INDEX(_xlpm.roles,MATCH(MAX(_xlpm.counts),_xlpm.counts,0)))</f>
        <v>Sniper</v>
      </c>
      <c r="X1764" s="2">
        <f t="shared" si="139"/>
        <v>12.599585062240664</v>
      </c>
    </row>
    <row r="1765" spans="1:24" x14ac:dyDescent="0.3">
      <c r="A1765">
        <v>2568</v>
      </c>
      <c r="B1765">
        <v>312</v>
      </c>
      <c r="C1765" t="s">
        <v>16</v>
      </c>
      <c r="D1765" t="s">
        <v>22</v>
      </c>
      <c r="E1765" t="s">
        <v>23</v>
      </c>
      <c r="F1765" t="s">
        <v>37</v>
      </c>
      <c r="G1765">
        <v>13</v>
      </c>
      <c r="H1765">
        <v>6</v>
      </c>
      <c r="I1765">
        <v>12</v>
      </c>
      <c r="J1765">
        <v>41.37</v>
      </c>
      <c r="K1765">
        <v>174.2</v>
      </c>
      <c r="L1765">
        <v>0.15</v>
      </c>
      <c r="M1765">
        <v>39.19</v>
      </c>
      <c r="N1765">
        <v>0.74</v>
      </c>
      <c r="O1765" t="s">
        <v>20</v>
      </c>
      <c r="P1765" t="s">
        <v>21</v>
      </c>
      <c r="Q1765">
        <f t="shared" si="135"/>
        <v>7</v>
      </c>
      <c r="R1765" s="4">
        <f>RANK(N1765,$N$2:N$2800,0)</f>
        <v>2613</v>
      </c>
      <c r="S1765">
        <f t="shared" si="136"/>
        <v>1.0833333333333333</v>
      </c>
      <c r="T1765" t="str">
        <f t="shared" si="137"/>
        <v>Low</v>
      </c>
      <c r="U1765" t="str" cm="1">
        <f t="array" ref="U1765">_xlfn.LET(_xlpm.roles,_xlfn.UNIQUE(D1765:D4563),_xlpm.kills, SUMIF(D1765:D4563,_xlpm.roles,G1765:G4563),INDEX(_xlpm.roles,MATCH(MAX(_xlpm.kills),_xlpm.kills,0)))</f>
        <v>Sniper</v>
      </c>
      <c r="V1765" t="str">
        <f t="shared" si="138"/>
        <v>Medium Accuracy</v>
      </c>
      <c r="W1765" t="str" cm="1">
        <f t="array" ref="W1765">_xlfn.LET(_xlpm.roles,_xlfn.UNIQUE(D1765:D4563), _xlpm.counts,COUNTIF(D1765:D4563,_xlpm.roles), INDEX(_xlpm.roles,MATCH(MAX(_xlpm.counts),_xlpm.counts,0)))</f>
        <v>Sniper</v>
      </c>
      <c r="X1765" s="2">
        <f t="shared" si="139"/>
        <v>12.520971302428256</v>
      </c>
    </row>
    <row r="1766" spans="1:24" x14ac:dyDescent="0.3">
      <c r="A1766">
        <v>2679</v>
      </c>
      <c r="B1766">
        <v>312</v>
      </c>
      <c r="C1766" t="s">
        <v>25</v>
      </c>
      <c r="D1766" t="s">
        <v>22</v>
      </c>
      <c r="E1766" t="s">
        <v>23</v>
      </c>
      <c r="F1766" t="s">
        <v>19</v>
      </c>
      <c r="G1766">
        <v>26</v>
      </c>
      <c r="H1766">
        <v>10</v>
      </c>
      <c r="I1766">
        <v>10</v>
      </c>
      <c r="J1766">
        <v>57.23</v>
      </c>
      <c r="K1766">
        <v>236.64</v>
      </c>
      <c r="L1766">
        <v>0.73</v>
      </c>
      <c r="M1766">
        <v>73.31</v>
      </c>
      <c r="N1766">
        <v>1</v>
      </c>
      <c r="O1766" t="s">
        <v>20</v>
      </c>
      <c r="P1766" t="s">
        <v>38</v>
      </c>
      <c r="Q1766">
        <f t="shared" si="135"/>
        <v>26</v>
      </c>
      <c r="R1766" s="4">
        <f>RANK(N1766,$N$2:N$2800,0)</f>
        <v>1</v>
      </c>
      <c r="S1766">
        <f t="shared" si="136"/>
        <v>2.6</v>
      </c>
      <c r="T1766" t="str">
        <f t="shared" si="137"/>
        <v>Excellent</v>
      </c>
      <c r="U1766" t="str" cm="1">
        <f t="array" ref="U1766">_xlfn.LET(_xlpm.roles,_xlfn.UNIQUE(D1766:D4564),_xlpm.kills, SUMIF(D1766:D4564,_xlpm.roles,G1766:G4564),INDEX(_xlpm.roles,MATCH(MAX(_xlpm.kills),_xlpm.kills,0)))</f>
        <v>Sniper</v>
      </c>
      <c r="V1766" t="str">
        <f t="shared" si="138"/>
        <v>High Accuracy</v>
      </c>
      <c r="W1766" t="str" cm="1">
        <f t="array" ref="W1766">_xlfn.LET(_xlpm.roles,_xlfn.UNIQUE(D1766:D4564), _xlpm.counts,COUNTIF(D1766:D4564,_xlpm.roles), INDEX(_xlpm.roles,MATCH(MAX(_xlpm.counts),_xlpm.counts,0)))</f>
        <v>Sniper</v>
      </c>
      <c r="X1766" s="2">
        <f t="shared" si="139"/>
        <v>12.809421841541756</v>
      </c>
    </row>
    <row r="1767" spans="1:24" x14ac:dyDescent="0.3">
      <c r="A1767">
        <v>691</v>
      </c>
      <c r="B1767">
        <v>313</v>
      </c>
      <c r="C1767" t="s">
        <v>30</v>
      </c>
      <c r="D1767" t="s">
        <v>36</v>
      </c>
      <c r="E1767" t="s">
        <v>33</v>
      </c>
      <c r="F1767" t="s">
        <v>19</v>
      </c>
      <c r="G1767">
        <v>11</v>
      </c>
      <c r="H1767">
        <v>5</v>
      </c>
      <c r="I1767">
        <v>12</v>
      </c>
      <c r="J1767">
        <v>61.41</v>
      </c>
      <c r="K1767">
        <v>194.43</v>
      </c>
      <c r="L1767">
        <v>0.83</v>
      </c>
      <c r="M1767">
        <v>37.409999999999997</v>
      </c>
      <c r="N1767">
        <v>1</v>
      </c>
      <c r="O1767" t="s">
        <v>20</v>
      </c>
      <c r="P1767" t="s">
        <v>21</v>
      </c>
      <c r="Q1767">
        <f t="shared" si="135"/>
        <v>4</v>
      </c>
      <c r="R1767" s="4">
        <f>RANK(N1767,$N$2:N$2800,0)</f>
        <v>1</v>
      </c>
      <c r="S1767">
        <f t="shared" si="136"/>
        <v>0.91666666666666663</v>
      </c>
      <c r="T1767" t="str">
        <f t="shared" si="137"/>
        <v>Low</v>
      </c>
      <c r="U1767" t="str" cm="1">
        <f t="array" ref="U1767">_xlfn.LET(_xlpm.roles,_xlfn.UNIQUE(D1767:D4565),_xlpm.kills, SUMIF(D1767:D4565,_xlpm.roles,G1767:G4565),INDEX(_xlpm.roles,MATCH(MAX(_xlpm.kills),_xlpm.kills,0)))</f>
        <v>Sniper</v>
      </c>
      <c r="V1767" t="str">
        <f t="shared" si="138"/>
        <v>High Accuracy</v>
      </c>
      <c r="W1767" t="str" cm="1">
        <f t="array" ref="W1767">_xlfn.LET(_xlpm.roles,_xlfn.UNIQUE(D1767:D4565), _xlpm.counts,COUNTIF(D1767:D4565,_xlpm.roles), INDEX(_xlpm.roles,MATCH(MAX(_xlpm.counts),_xlpm.counts,0)))</f>
        <v>Sniper</v>
      </c>
      <c r="X1767" s="2">
        <f t="shared" si="139"/>
        <v>13.135802469135802</v>
      </c>
    </row>
    <row r="1768" spans="1:24" x14ac:dyDescent="0.3">
      <c r="A1768">
        <v>853</v>
      </c>
      <c r="B1768">
        <v>313</v>
      </c>
      <c r="C1768" t="s">
        <v>35</v>
      </c>
      <c r="D1768" t="s">
        <v>31</v>
      </c>
      <c r="E1768" t="s">
        <v>29</v>
      </c>
      <c r="F1768" t="s">
        <v>24</v>
      </c>
      <c r="G1768">
        <v>11</v>
      </c>
      <c r="H1768">
        <v>7</v>
      </c>
      <c r="I1768">
        <v>4</v>
      </c>
      <c r="J1768">
        <v>38.450000000000003</v>
      </c>
      <c r="K1768">
        <v>195.87</v>
      </c>
      <c r="L1768">
        <v>0.99</v>
      </c>
      <c r="M1768">
        <v>34.33</v>
      </c>
      <c r="N1768">
        <v>0.91</v>
      </c>
      <c r="O1768" t="s">
        <v>20</v>
      </c>
      <c r="P1768" t="s">
        <v>21</v>
      </c>
      <c r="Q1768">
        <f t="shared" si="135"/>
        <v>14</v>
      </c>
      <c r="R1768" s="4">
        <f>RANK(N1768,$N$2:N$2800,0)</f>
        <v>1665</v>
      </c>
      <c r="S1768">
        <f t="shared" si="136"/>
        <v>2.75</v>
      </c>
      <c r="T1768" t="str">
        <f t="shared" si="137"/>
        <v>Low</v>
      </c>
      <c r="U1768" t="str" cm="1">
        <f t="array" ref="U1768">_xlfn.LET(_xlpm.roles,_xlfn.UNIQUE(D1768:D4566),_xlpm.kills, SUMIF(D1768:D4566,_xlpm.roles,G1768:G4566),INDEX(_xlpm.roles,MATCH(MAX(_xlpm.kills),_xlpm.kills,0)))</f>
        <v>Sniper</v>
      </c>
      <c r="V1768" t="str">
        <f t="shared" si="138"/>
        <v>Medium Accuracy</v>
      </c>
      <c r="W1768" t="str" cm="1">
        <f t="array" ref="W1768">_xlfn.LET(_xlpm.roles,_xlfn.UNIQUE(D1768:D4566), _xlpm.counts,COUNTIF(D1768:D4566,_xlpm.roles), INDEX(_xlpm.roles,MATCH(MAX(_xlpm.counts),_xlpm.counts,0)))</f>
        <v>Sniper</v>
      </c>
      <c r="X1768" s="2">
        <f t="shared" si="139"/>
        <v>12.599585062240664</v>
      </c>
    </row>
    <row r="1769" spans="1:24" x14ac:dyDescent="0.3">
      <c r="A1769">
        <v>1806</v>
      </c>
      <c r="B1769">
        <v>313</v>
      </c>
      <c r="C1769" t="s">
        <v>27</v>
      </c>
      <c r="D1769" t="s">
        <v>36</v>
      </c>
      <c r="E1769" t="s">
        <v>23</v>
      </c>
      <c r="F1769" t="s">
        <v>26</v>
      </c>
      <c r="G1769">
        <v>13</v>
      </c>
      <c r="H1769">
        <v>5</v>
      </c>
      <c r="I1769">
        <v>9</v>
      </c>
      <c r="J1769">
        <v>38.43</v>
      </c>
      <c r="K1769">
        <v>220.91</v>
      </c>
      <c r="L1769">
        <v>0.23</v>
      </c>
      <c r="M1769">
        <v>38.92</v>
      </c>
      <c r="N1769">
        <v>0.78</v>
      </c>
      <c r="O1769" t="s">
        <v>20</v>
      </c>
      <c r="P1769" t="s">
        <v>21</v>
      </c>
      <c r="Q1769">
        <f t="shared" si="135"/>
        <v>9</v>
      </c>
      <c r="R1769" s="4">
        <f>RANK(N1769,$N$2:N$2800,0)</f>
        <v>2469</v>
      </c>
      <c r="S1769">
        <f t="shared" si="136"/>
        <v>1.4444444444444444</v>
      </c>
      <c r="T1769" t="str">
        <f t="shared" si="137"/>
        <v>Low</v>
      </c>
      <c r="U1769" t="str" cm="1">
        <f t="array" ref="U1769">_xlfn.LET(_xlpm.roles,_xlfn.UNIQUE(D1769:D4567),_xlpm.kills, SUMIF(D1769:D4567,_xlpm.roles,G1769:G4567),INDEX(_xlpm.roles,MATCH(MAX(_xlpm.kills),_xlpm.kills,0)))</f>
        <v>Sniper</v>
      </c>
      <c r="V1769" t="str">
        <f t="shared" si="138"/>
        <v>Medium Accuracy</v>
      </c>
      <c r="W1769" t="str" cm="1">
        <f t="array" ref="W1769">_xlfn.LET(_xlpm.roles,_xlfn.UNIQUE(D1769:D4567), _xlpm.counts,COUNTIF(D1769:D4567,_xlpm.roles), INDEX(_xlpm.roles,MATCH(MAX(_xlpm.counts),_xlpm.counts,0)))</f>
        <v>Sniper</v>
      </c>
      <c r="X1769" s="2">
        <f t="shared" si="139"/>
        <v>13.057077625570777</v>
      </c>
    </row>
    <row r="1770" spans="1:24" x14ac:dyDescent="0.3">
      <c r="A1770">
        <v>2186</v>
      </c>
      <c r="B1770">
        <v>313</v>
      </c>
      <c r="C1770" t="s">
        <v>35</v>
      </c>
      <c r="D1770" t="s">
        <v>31</v>
      </c>
      <c r="E1770" t="s">
        <v>29</v>
      </c>
      <c r="F1770" t="s">
        <v>24</v>
      </c>
      <c r="G1770">
        <v>17</v>
      </c>
      <c r="H1770">
        <v>14</v>
      </c>
      <c r="I1770">
        <v>12</v>
      </c>
      <c r="J1770">
        <v>54.14</v>
      </c>
      <c r="K1770">
        <v>218.57</v>
      </c>
      <c r="L1770">
        <v>0.32</v>
      </c>
      <c r="M1770">
        <v>59.87</v>
      </c>
      <c r="N1770">
        <v>1</v>
      </c>
      <c r="O1770" t="s">
        <v>20</v>
      </c>
      <c r="P1770" t="s">
        <v>21</v>
      </c>
      <c r="Q1770">
        <f t="shared" si="135"/>
        <v>19</v>
      </c>
      <c r="R1770" s="4">
        <f>RANK(N1770,$N$2:N$2800,0)</f>
        <v>1</v>
      </c>
      <c r="S1770">
        <f t="shared" si="136"/>
        <v>1.4166666666666667</v>
      </c>
      <c r="T1770" t="str">
        <f t="shared" si="137"/>
        <v>Good</v>
      </c>
      <c r="U1770" t="str" cm="1">
        <f t="array" ref="U1770">_xlfn.LET(_xlpm.roles,_xlfn.UNIQUE(D1770:D4568),_xlpm.kills, SUMIF(D1770:D4568,_xlpm.roles,G1770:G4568),INDEX(_xlpm.roles,MATCH(MAX(_xlpm.kills),_xlpm.kills,0)))</f>
        <v>Sniper</v>
      </c>
      <c r="V1770" t="str">
        <f t="shared" si="138"/>
        <v>High Accuracy</v>
      </c>
      <c r="W1770" t="str" cm="1">
        <f t="array" ref="W1770">_xlfn.LET(_xlpm.roles,_xlfn.UNIQUE(D1770:D4568), _xlpm.counts,COUNTIF(D1770:D4568,_xlpm.roles), INDEX(_xlpm.roles,MATCH(MAX(_xlpm.counts),_xlpm.counts,0)))</f>
        <v>Sniper</v>
      </c>
      <c r="X1770" s="2">
        <f t="shared" si="139"/>
        <v>12.599585062240664</v>
      </c>
    </row>
    <row r="1771" spans="1:24" x14ac:dyDescent="0.3">
      <c r="A1771">
        <v>2402</v>
      </c>
      <c r="B1771">
        <v>313</v>
      </c>
      <c r="C1771" t="s">
        <v>30</v>
      </c>
      <c r="D1771" t="s">
        <v>17</v>
      </c>
      <c r="E1771" t="s">
        <v>29</v>
      </c>
      <c r="F1771" t="s">
        <v>34</v>
      </c>
      <c r="G1771">
        <v>22</v>
      </c>
      <c r="H1771">
        <v>6</v>
      </c>
      <c r="I1771">
        <v>10</v>
      </c>
      <c r="J1771">
        <v>58.96</v>
      </c>
      <c r="K1771">
        <v>194.49</v>
      </c>
      <c r="L1771">
        <v>0.64</v>
      </c>
      <c r="M1771">
        <v>63.08</v>
      </c>
      <c r="N1771">
        <v>1</v>
      </c>
      <c r="O1771" t="s">
        <v>20</v>
      </c>
      <c r="P1771" t="s">
        <v>38</v>
      </c>
      <c r="Q1771">
        <f t="shared" si="135"/>
        <v>18</v>
      </c>
      <c r="R1771" s="4">
        <f>RANK(N1771,$N$2:N$2800,0)</f>
        <v>1</v>
      </c>
      <c r="S1771">
        <f t="shared" si="136"/>
        <v>2.2000000000000002</v>
      </c>
      <c r="T1771" t="str">
        <f t="shared" si="137"/>
        <v>Good</v>
      </c>
      <c r="U1771" t="str" cm="1">
        <f t="array" ref="U1771">_xlfn.LET(_xlpm.roles,_xlfn.UNIQUE(D1771:D4569),_xlpm.kills, SUMIF(D1771:D4569,_xlpm.roles,G1771:G4569),INDEX(_xlpm.roles,MATCH(MAX(_xlpm.kills),_xlpm.kills,0)))</f>
        <v>Sniper</v>
      </c>
      <c r="V1771" t="str">
        <f t="shared" si="138"/>
        <v>High Accuracy</v>
      </c>
      <c r="W1771" t="str" cm="1">
        <f t="array" ref="W1771">_xlfn.LET(_xlpm.roles,_xlfn.UNIQUE(D1771:D4569), _xlpm.counts,COUNTIF(D1771:D4569,_xlpm.roles), INDEX(_xlpm.roles,MATCH(MAX(_xlpm.counts),_xlpm.counts,0)))</f>
        <v>Sniper</v>
      </c>
      <c r="X1771" s="2">
        <f t="shared" si="139"/>
        <v>13.135802469135802</v>
      </c>
    </row>
    <row r="1772" spans="1:24" x14ac:dyDescent="0.3">
      <c r="A1772">
        <v>515</v>
      </c>
      <c r="B1772">
        <v>314</v>
      </c>
      <c r="C1772" t="s">
        <v>27</v>
      </c>
      <c r="D1772" t="s">
        <v>17</v>
      </c>
      <c r="E1772" t="s">
        <v>18</v>
      </c>
      <c r="F1772" t="s">
        <v>26</v>
      </c>
      <c r="G1772">
        <v>12</v>
      </c>
      <c r="H1772">
        <v>4</v>
      </c>
      <c r="I1772">
        <v>9</v>
      </c>
      <c r="J1772">
        <v>36.22</v>
      </c>
      <c r="K1772">
        <v>209.15</v>
      </c>
      <c r="L1772">
        <v>0.4</v>
      </c>
      <c r="M1772">
        <v>33.11</v>
      </c>
      <c r="N1772">
        <v>0.89</v>
      </c>
      <c r="O1772" t="s">
        <v>20</v>
      </c>
      <c r="P1772" t="s">
        <v>21</v>
      </c>
      <c r="Q1772">
        <f t="shared" si="135"/>
        <v>7</v>
      </c>
      <c r="R1772" s="4">
        <f>RANK(N1772,$N$2:N$2800,0)</f>
        <v>1815</v>
      </c>
      <c r="S1772">
        <f t="shared" si="136"/>
        <v>1.3333333333333333</v>
      </c>
      <c r="T1772" t="str">
        <f t="shared" si="137"/>
        <v>Low</v>
      </c>
      <c r="U1772" t="str" cm="1">
        <f t="array" ref="U1772">_xlfn.LET(_xlpm.roles,_xlfn.UNIQUE(D1772:D4570),_xlpm.kills, SUMIF(D1772:D4570,_xlpm.roles,G1772:G4570),INDEX(_xlpm.roles,MATCH(MAX(_xlpm.kills),_xlpm.kills,0)))</f>
        <v>Sniper</v>
      </c>
      <c r="V1772" t="str">
        <f t="shared" si="138"/>
        <v>Medium Accuracy</v>
      </c>
      <c r="W1772" t="str" cm="1">
        <f t="array" ref="W1772">_xlfn.LET(_xlpm.roles,_xlfn.UNIQUE(D1772:D4570), _xlpm.counts,COUNTIF(D1772:D4570,_xlpm.roles), INDEX(_xlpm.roles,MATCH(MAX(_xlpm.counts),_xlpm.counts,0)))</f>
        <v>Sniper</v>
      </c>
      <c r="X1772" s="2">
        <f t="shared" si="139"/>
        <v>13.057077625570777</v>
      </c>
    </row>
    <row r="1773" spans="1:24" x14ac:dyDescent="0.3">
      <c r="A1773">
        <v>805</v>
      </c>
      <c r="B1773">
        <v>314</v>
      </c>
      <c r="C1773" t="s">
        <v>35</v>
      </c>
      <c r="D1773" t="s">
        <v>17</v>
      </c>
      <c r="E1773" t="s">
        <v>23</v>
      </c>
      <c r="F1773" t="s">
        <v>19</v>
      </c>
      <c r="G1773">
        <v>14</v>
      </c>
      <c r="H1773">
        <v>4</v>
      </c>
      <c r="I1773">
        <v>13</v>
      </c>
      <c r="J1773">
        <v>47.35</v>
      </c>
      <c r="K1773">
        <v>206.18</v>
      </c>
      <c r="L1773">
        <v>0.31</v>
      </c>
      <c r="M1773">
        <v>39.57</v>
      </c>
      <c r="N1773">
        <v>0.9</v>
      </c>
      <c r="O1773" t="s">
        <v>20</v>
      </c>
      <c r="P1773" t="s">
        <v>21</v>
      </c>
      <c r="Q1773">
        <f t="shared" si="135"/>
        <v>5</v>
      </c>
      <c r="R1773" s="4">
        <f>RANK(N1773,$N$2:N$2800,0)</f>
        <v>1738</v>
      </c>
      <c r="S1773">
        <f t="shared" si="136"/>
        <v>1.0769230769230769</v>
      </c>
      <c r="T1773" t="str">
        <f t="shared" si="137"/>
        <v>Low</v>
      </c>
      <c r="U1773" t="str" cm="1">
        <f t="array" ref="U1773">_xlfn.LET(_xlpm.roles,_xlfn.UNIQUE(D1773:D4571),_xlpm.kills, SUMIF(D1773:D4571,_xlpm.roles,G1773:G4571),INDEX(_xlpm.roles,MATCH(MAX(_xlpm.kills),_xlpm.kills,0)))</f>
        <v>Sniper</v>
      </c>
      <c r="V1773" t="str">
        <f t="shared" si="138"/>
        <v>Medium Accuracy</v>
      </c>
      <c r="W1773" t="str" cm="1">
        <f t="array" ref="W1773">_xlfn.LET(_xlpm.roles,_xlfn.UNIQUE(D1773:D4571), _xlpm.counts,COUNTIF(D1773:D4571,_xlpm.roles), INDEX(_xlpm.roles,MATCH(MAX(_xlpm.counts),_xlpm.counts,0)))</f>
        <v>Sniper</v>
      </c>
      <c r="X1773" s="2">
        <f t="shared" si="139"/>
        <v>12.599585062240664</v>
      </c>
    </row>
    <row r="1774" spans="1:24" x14ac:dyDescent="0.3">
      <c r="A1774">
        <v>832</v>
      </c>
      <c r="B1774">
        <v>314</v>
      </c>
      <c r="C1774" t="s">
        <v>25</v>
      </c>
      <c r="D1774" t="s">
        <v>22</v>
      </c>
      <c r="E1774" t="s">
        <v>33</v>
      </c>
      <c r="F1774" t="s">
        <v>26</v>
      </c>
      <c r="G1774">
        <v>16</v>
      </c>
      <c r="H1774">
        <v>4</v>
      </c>
      <c r="I1774">
        <v>9</v>
      </c>
      <c r="J1774">
        <v>30.4</v>
      </c>
      <c r="K1774">
        <v>223.13</v>
      </c>
      <c r="L1774">
        <v>0.55000000000000004</v>
      </c>
      <c r="M1774">
        <v>36.700000000000003</v>
      </c>
      <c r="N1774">
        <v>0.81</v>
      </c>
      <c r="O1774" t="s">
        <v>20</v>
      </c>
      <c r="P1774" t="s">
        <v>21</v>
      </c>
      <c r="Q1774">
        <f t="shared" si="135"/>
        <v>11</v>
      </c>
      <c r="R1774" s="4">
        <f>RANK(N1774,$N$2:N$2800,0)</f>
        <v>2341</v>
      </c>
      <c r="S1774">
        <f t="shared" si="136"/>
        <v>1.7777777777777777</v>
      </c>
      <c r="T1774" t="str">
        <f t="shared" si="137"/>
        <v>Low</v>
      </c>
      <c r="U1774" t="str" cm="1">
        <f t="array" ref="U1774">_xlfn.LET(_xlpm.roles,_xlfn.UNIQUE(D1774:D4572),_xlpm.kills, SUMIF(D1774:D4572,_xlpm.roles,G1774:G4572),INDEX(_xlpm.roles,MATCH(MAX(_xlpm.kills),_xlpm.kills,0)))</f>
        <v>Sniper</v>
      </c>
      <c r="V1774" t="str">
        <f t="shared" si="138"/>
        <v>Medium Accuracy</v>
      </c>
      <c r="W1774" t="str" cm="1">
        <f t="array" ref="W1774">_xlfn.LET(_xlpm.roles,_xlfn.UNIQUE(D1774:D4572), _xlpm.counts,COUNTIF(D1774:D4572,_xlpm.roles), INDEX(_xlpm.roles,MATCH(MAX(_xlpm.counts),_xlpm.counts,0)))</f>
        <v>Sniper</v>
      </c>
      <c r="X1774" s="2">
        <f t="shared" si="139"/>
        <v>12.809421841541756</v>
      </c>
    </row>
    <row r="1775" spans="1:24" x14ac:dyDescent="0.3">
      <c r="A1775">
        <v>1597</v>
      </c>
      <c r="B1775">
        <v>314</v>
      </c>
      <c r="C1775" t="s">
        <v>16</v>
      </c>
      <c r="D1775" t="s">
        <v>36</v>
      </c>
      <c r="E1775" t="s">
        <v>18</v>
      </c>
      <c r="F1775" t="s">
        <v>26</v>
      </c>
      <c r="G1775">
        <v>12</v>
      </c>
      <c r="H1775">
        <v>5</v>
      </c>
      <c r="I1775">
        <v>8</v>
      </c>
      <c r="J1775">
        <v>46.56</v>
      </c>
      <c r="K1775">
        <v>231.87</v>
      </c>
      <c r="L1775">
        <v>0.94</v>
      </c>
      <c r="M1775">
        <v>34.880000000000003</v>
      </c>
      <c r="N1775">
        <v>0.89</v>
      </c>
      <c r="O1775" t="s">
        <v>20</v>
      </c>
      <c r="P1775" t="s">
        <v>21</v>
      </c>
      <c r="Q1775">
        <f t="shared" si="135"/>
        <v>9</v>
      </c>
      <c r="R1775" s="4">
        <f>RANK(N1775,$N$2:N$2800,0)</f>
        <v>1815</v>
      </c>
      <c r="S1775">
        <f t="shared" si="136"/>
        <v>1.5</v>
      </c>
      <c r="T1775" t="str">
        <f t="shared" si="137"/>
        <v>Low</v>
      </c>
      <c r="U1775" t="str" cm="1">
        <f t="array" ref="U1775">_xlfn.LET(_xlpm.roles,_xlfn.UNIQUE(D1775:D4573),_xlpm.kills, SUMIF(D1775:D4573,_xlpm.roles,G1775:G4573),INDEX(_xlpm.roles,MATCH(MAX(_xlpm.kills),_xlpm.kills,0)))</f>
        <v>Sniper</v>
      </c>
      <c r="V1775" t="str">
        <f t="shared" si="138"/>
        <v>Medium Accuracy</v>
      </c>
      <c r="W1775" t="str" cm="1">
        <f t="array" ref="W1775">_xlfn.LET(_xlpm.roles,_xlfn.UNIQUE(D1775:D4573), _xlpm.counts,COUNTIF(D1775:D4573,_xlpm.roles), INDEX(_xlpm.roles,MATCH(MAX(_xlpm.counts),_xlpm.counts,0)))</f>
        <v>Sniper</v>
      </c>
      <c r="X1775" s="2">
        <f t="shared" si="139"/>
        <v>12.520971302428256</v>
      </c>
    </row>
    <row r="1776" spans="1:24" x14ac:dyDescent="0.3">
      <c r="A1776">
        <v>2510</v>
      </c>
      <c r="B1776">
        <v>314</v>
      </c>
      <c r="C1776" t="s">
        <v>16</v>
      </c>
      <c r="D1776" t="s">
        <v>36</v>
      </c>
      <c r="E1776" t="s">
        <v>29</v>
      </c>
      <c r="F1776" t="s">
        <v>37</v>
      </c>
      <c r="G1776">
        <v>24</v>
      </c>
      <c r="H1776">
        <v>15</v>
      </c>
      <c r="I1776">
        <v>12</v>
      </c>
      <c r="J1776">
        <v>37.58</v>
      </c>
      <c r="K1776">
        <v>219.44</v>
      </c>
      <c r="L1776">
        <v>1</v>
      </c>
      <c r="M1776">
        <v>59.79</v>
      </c>
      <c r="N1776">
        <v>1</v>
      </c>
      <c r="O1776" t="s">
        <v>20</v>
      </c>
      <c r="P1776" t="s">
        <v>21</v>
      </c>
      <c r="Q1776">
        <f t="shared" si="135"/>
        <v>27</v>
      </c>
      <c r="R1776" s="4">
        <f>RANK(N1776,$N$2:N$2800,0)</f>
        <v>1</v>
      </c>
      <c r="S1776">
        <f t="shared" si="136"/>
        <v>2</v>
      </c>
      <c r="T1776" t="str">
        <f t="shared" si="137"/>
        <v>Excellent</v>
      </c>
      <c r="U1776" t="str" cm="1">
        <f t="array" ref="U1776">_xlfn.LET(_xlpm.roles,_xlfn.UNIQUE(D1776:D4574),_xlpm.kills, SUMIF(D1776:D4574,_xlpm.roles,G1776:G4574),INDEX(_xlpm.roles,MATCH(MAX(_xlpm.kills),_xlpm.kills,0)))</f>
        <v>Sniper</v>
      </c>
      <c r="V1776" t="str">
        <f t="shared" si="138"/>
        <v>Medium Accuracy</v>
      </c>
      <c r="W1776" t="str" cm="1">
        <f t="array" ref="W1776">_xlfn.LET(_xlpm.roles,_xlfn.UNIQUE(D1776:D4574), _xlpm.counts,COUNTIF(D1776:D4574,_xlpm.roles), INDEX(_xlpm.roles,MATCH(MAX(_xlpm.counts),_xlpm.counts,0)))</f>
        <v>Sniper</v>
      </c>
      <c r="X1776" s="2">
        <f t="shared" si="139"/>
        <v>12.520971302428256</v>
      </c>
    </row>
    <row r="1777" spans="1:24" x14ac:dyDescent="0.3">
      <c r="A1777">
        <v>15</v>
      </c>
      <c r="B1777">
        <v>315</v>
      </c>
      <c r="C1777" t="s">
        <v>30</v>
      </c>
      <c r="D1777" t="s">
        <v>22</v>
      </c>
      <c r="E1777" t="s">
        <v>33</v>
      </c>
      <c r="F1777" t="s">
        <v>37</v>
      </c>
      <c r="G1777">
        <v>15</v>
      </c>
      <c r="H1777">
        <v>9</v>
      </c>
      <c r="I1777">
        <v>10</v>
      </c>
      <c r="J1777">
        <v>50.49</v>
      </c>
      <c r="K1777">
        <v>171.62</v>
      </c>
      <c r="L1777">
        <v>0.03</v>
      </c>
      <c r="M1777">
        <v>53.95</v>
      </c>
      <c r="N1777">
        <v>0.95</v>
      </c>
      <c r="O1777" t="s">
        <v>20</v>
      </c>
      <c r="P1777" t="s">
        <v>21</v>
      </c>
      <c r="Q1777">
        <f t="shared" si="135"/>
        <v>14</v>
      </c>
      <c r="R1777" s="4">
        <f>RANK(N1777,$N$2:N$2800,0)</f>
        <v>1367</v>
      </c>
      <c r="S1777">
        <f t="shared" si="136"/>
        <v>1.5</v>
      </c>
      <c r="T1777" t="str">
        <f t="shared" si="137"/>
        <v>Low</v>
      </c>
      <c r="U1777" t="str" cm="1">
        <f t="array" ref="U1777">_xlfn.LET(_xlpm.roles,_xlfn.UNIQUE(D1777:D4575),_xlpm.kills, SUMIF(D1777:D4575,_xlpm.roles,G1777:G4575),INDEX(_xlpm.roles,MATCH(MAX(_xlpm.kills),_xlpm.kills,0)))</f>
        <v>Sniper</v>
      </c>
      <c r="V1777" t="str">
        <f t="shared" si="138"/>
        <v>High Accuracy</v>
      </c>
      <c r="W1777" t="str" cm="1">
        <f t="array" ref="W1777">_xlfn.LET(_xlpm.roles,_xlfn.UNIQUE(D1777:D4575), _xlpm.counts,COUNTIF(D1777:D4575,_xlpm.roles), INDEX(_xlpm.roles,MATCH(MAX(_xlpm.counts),_xlpm.counts,0)))</f>
        <v>Sniper</v>
      </c>
      <c r="X1777" s="2">
        <f t="shared" si="139"/>
        <v>13.135802469135802</v>
      </c>
    </row>
    <row r="1778" spans="1:24" x14ac:dyDescent="0.3">
      <c r="A1778">
        <v>212</v>
      </c>
      <c r="B1778">
        <v>315</v>
      </c>
      <c r="C1778" t="s">
        <v>25</v>
      </c>
      <c r="D1778" t="s">
        <v>36</v>
      </c>
      <c r="E1778" t="s">
        <v>18</v>
      </c>
      <c r="F1778" t="s">
        <v>19</v>
      </c>
      <c r="G1778">
        <v>13</v>
      </c>
      <c r="H1778">
        <v>4</v>
      </c>
      <c r="I1778">
        <v>9</v>
      </c>
      <c r="J1778">
        <v>37.83</v>
      </c>
      <c r="K1778">
        <v>240.19</v>
      </c>
      <c r="L1778">
        <v>0.16</v>
      </c>
      <c r="M1778">
        <v>38.31</v>
      </c>
      <c r="N1778">
        <v>0.65</v>
      </c>
      <c r="O1778" t="s">
        <v>20</v>
      </c>
      <c r="P1778" t="s">
        <v>21</v>
      </c>
      <c r="Q1778">
        <f t="shared" si="135"/>
        <v>8</v>
      </c>
      <c r="R1778" s="4">
        <f>RANK(N1778,$N$2:N$2800,0)</f>
        <v>2756</v>
      </c>
      <c r="S1778">
        <f t="shared" si="136"/>
        <v>1.4444444444444444</v>
      </c>
      <c r="T1778" t="str">
        <f t="shared" si="137"/>
        <v>Low</v>
      </c>
      <c r="U1778" t="str" cm="1">
        <f t="array" ref="U1778">_xlfn.LET(_xlpm.roles,_xlfn.UNIQUE(D1778:D4576),_xlpm.kills, SUMIF(D1778:D4576,_xlpm.roles,G1778:G4576),INDEX(_xlpm.roles,MATCH(MAX(_xlpm.kills),_xlpm.kills,0)))</f>
        <v>Sniper</v>
      </c>
      <c r="V1778" t="str">
        <f t="shared" si="138"/>
        <v>Medium Accuracy</v>
      </c>
      <c r="W1778" t="str" cm="1">
        <f t="array" ref="W1778">_xlfn.LET(_xlpm.roles,_xlfn.UNIQUE(D1778:D4576), _xlpm.counts,COUNTIF(D1778:D4576,_xlpm.roles), INDEX(_xlpm.roles,MATCH(MAX(_xlpm.counts),_xlpm.counts,0)))</f>
        <v>Sniper</v>
      </c>
      <c r="X1778" s="2">
        <f t="shared" si="139"/>
        <v>12.809421841541756</v>
      </c>
    </row>
    <row r="1779" spans="1:24" x14ac:dyDescent="0.3">
      <c r="A1779">
        <v>596</v>
      </c>
      <c r="B1779">
        <v>315</v>
      </c>
      <c r="C1779" t="s">
        <v>39</v>
      </c>
      <c r="D1779" t="s">
        <v>28</v>
      </c>
      <c r="E1779" t="s">
        <v>33</v>
      </c>
      <c r="F1779" t="s">
        <v>19</v>
      </c>
      <c r="G1779">
        <v>10</v>
      </c>
      <c r="H1779">
        <v>12</v>
      </c>
      <c r="I1779">
        <v>9</v>
      </c>
      <c r="J1779">
        <v>35.04</v>
      </c>
      <c r="K1779">
        <v>249.07</v>
      </c>
      <c r="L1779">
        <v>0.04</v>
      </c>
      <c r="M1779">
        <v>40.119999999999997</v>
      </c>
      <c r="N1779">
        <v>1</v>
      </c>
      <c r="O1779" t="s">
        <v>20</v>
      </c>
      <c r="P1779" t="s">
        <v>21</v>
      </c>
      <c r="Q1779">
        <f t="shared" si="135"/>
        <v>13</v>
      </c>
      <c r="R1779" s="4">
        <f>RANK(N1779,$N$2:N$2800,0)</f>
        <v>1</v>
      </c>
      <c r="S1779">
        <f t="shared" si="136"/>
        <v>1.1111111111111112</v>
      </c>
      <c r="T1779" t="str">
        <f t="shared" si="137"/>
        <v>Low</v>
      </c>
      <c r="U1779" t="str" cm="1">
        <f t="array" ref="U1779">_xlfn.LET(_xlpm.roles,_xlfn.UNIQUE(D1779:D4577),_xlpm.kills, SUMIF(D1779:D4577,_xlpm.roles,G1779:G4577),INDEX(_xlpm.roles,MATCH(MAX(_xlpm.kills),_xlpm.kills,0)))</f>
        <v>Sniper</v>
      </c>
      <c r="V1779" t="str">
        <f t="shared" si="138"/>
        <v>Medium Accuracy</v>
      </c>
      <c r="W1779" t="str" cm="1">
        <f t="array" ref="W1779">_xlfn.LET(_xlpm.roles,_xlfn.UNIQUE(D1779:D4577), _xlpm.counts,COUNTIF(D1779:D4577,_xlpm.roles), INDEX(_xlpm.roles,MATCH(MAX(_xlpm.counts),_xlpm.counts,0)))</f>
        <v>Sniper</v>
      </c>
      <c r="X1779" s="2">
        <f t="shared" si="139"/>
        <v>13.103594080338267</v>
      </c>
    </row>
    <row r="1780" spans="1:24" x14ac:dyDescent="0.3">
      <c r="A1780">
        <v>723</v>
      </c>
      <c r="B1780">
        <v>315</v>
      </c>
      <c r="C1780" t="s">
        <v>25</v>
      </c>
      <c r="D1780" t="s">
        <v>28</v>
      </c>
      <c r="E1780" t="s">
        <v>33</v>
      </c>
      <c r="F1780" t="s">
        <v>34</v>
      </c>
      <c r="G1780">
        <v>12</v>
      </c>
      <c r="H1780">
        <v>8</v>
      </c>
      <c r="I1780">
        <v>8</v>
      </c>
      <c r="J1780">
        <v>36.96</v>
      </c>
      <c r="K1780">
        <v>286.89</v>
      </c>
      <c r="L1780">
        <v>0.41</v>
      </c>
      <c r="M1780">
        <v>38.380000000000003</v>
      </c>
      <c r="N1780">
        <v>0.83</v>
      </c>
      <c r="O1780" t="s">
        <v>20</v>
      </c>
      <c r="P1780" t="s">
        <v>21</v>
      </c>
      <c r="Q1780">
        <f t="shared" si="135"/>
        <v>12</v>
      </c>
      <c r="R1780" s="4">
        <f>RANK(N1780,$N$2:N$2800,0)</f>
        <v>2218</v>
      </c>
      <c r="S1780">
        <f t="shared" si="136"/>
        <v>1.5</v>
      </c>
      <c r="T1780" t="str">
        <f t="shared" si="137"/>
        <v>Low</v>
      </c>
      <c r="U1780" t="str" cm="1">
        <f t="array" ref="U1780">_xlfn.LET(_xlpm.roles,_xlfn.UNIQUE(D1780:D4578),_xlpm.kills, SUMIF(D1780:D4578,_xlpm.roles,G1780:G4578),INDEX(_xlpm.roles,MATCH(MAX(_xlpm.kills),_xlpm.kills,0)))</f>
        <v>Sniper</v>
      </c>
      <c r="V1780" t="str">
        <f t="shared" si="138"/>
        <v>Medium Accuracy</v>
      </c>
      <c r="W1780" t="str" cm="1">
        <f t="array" ref="W1780">_xlfn.LET(_xlpm.roles,_xlfn.UNIQUE(D1780:D4578), _xlpm.counts,COUNTIF(D1780:D4578,_xlpm.roles), INDEX(_xlpm.roles,MATCH(MAX(_xlpm.counts),_xlpm.counts,0)))</f>
        <v>Sniper</v>
      </c>
      <c r="X1780" s="2">
        <f t="shared" si="139"/>
        <v>12.809421841541756</v>
      </c>
    </row>
    <row r="1781" spans="1:24" x14ac:dyDescent="0.3">
      <c r="A1781">
        <v>953</v>
      </c>
      <c r="B1781">
        <v>315</v>
      </c>
      <c r="C1781" t="s">
        <v>39</v>
      </c>
      <c r="D1781" t="s">
        <v>36</v>
      </c>
      <c r="E1781" t="s">
        <v>29</v>
      </c>
      <c r="F1781" t="s">
        <v>37</v>
      </c>
      <c r="G1781">
        <v>13</v>
      </c>
      <c r="H1781">
        <v>16</v>
      </c>
      <c r="I1781">
        <v>12</v>
      </c>
      <c r="J1781">
        <v>49.65</v>
      </c>
      <c r="K1781">
        <v>280.02</v>
      </c>
      <c r="L1781">
        <v>0.88</v>
      </c>
      <c r="M1781">
        <v>46.03</v>
      </c>
      <c r="N1781">
        <v>0.89</v>
      </c>
      <c r="O1781" t="s">
        <v>20</v>
      </c>
      <c r="P1781" t="s">
        <v>21</v>
      </c>
      <c r="Q1781">
        <f t="shared" si="135"/>
        <v>17</v>
      </c>
      <c r="R1781" s="4">
        <f>RANK(N1781,$N$2:N$2800,0)</f>
        <v>1815</v>
      </c>
      <c r="S1781">
        <f t="shared" si="136"/>
        <v>1.0833333333333333</v>
      </c>
      <c r="T1781" t="str">
        <f t="shared" si="137"/>
        <v>Good</v>
      </c>
      <c r="U1781" t="str" cm="1">
        <f t="array" ref="U1781">_xlfn.LET(_xlpm.roles,_xlfn.UNIQUE(D1781:D4579),_xlpm.kills, SUMIF(D1781:D4579,_xlpm.roles,G1781:G4579),INDEX(_xlpm.roles,MATCH(MAX(_xlpm.kills),_xlpm.kills,0)))</f>
        <v>Sniper</v>
      </c>
      <c r="V1781" t="str">
        <f t="shared" si="138"/>
        <v>Medium Accuracy</v>
      </c>
      <c r="W1781" t="str" cm="1">
        <f t="array" ref="W1781">_xlfn.LET(_xlpm.roles,_xlfn.UNIQUE(D1781:D4579), _xlpm.counts,COUNTIF(D1781:D4579,_xlpm.roles), INDEX(_xlpm.roles,MATCH(MAX(_xlpm.counts),_xlpm.counts,0)))</f>
        <v>Sniper</v>
      </c>
      <c r="X1781" s="2">
        <f t="shared" si="139"/>
        <v>13.103594080338267</v>
      </c>
    </row>
    <row r="1782" spans="1:24" x14ac:dyDescent="0.3">
      <c r="A1782">
        <v>1018</v>
      </c>
      <c r="B1782">
        <v>315</v>
      </c>
      <c r="C1782" t="s">
        <v>30</v>
      </c>
      <c r="D1782" t="s">
        <v>36</v>
      </c>
      <c r="E1782" t="s">
        <v>29</v>
      </c>
      <c r="F1782" t="s">
        <v>24</v>
      </c>
      <c r="G1782">
        <v>10</v>
      </c>
      <c r="H1782">
        <v>12</v>
      </c>
      <c r="I1782">
        <v>13</v>
      </c>
      <c r="J1782">
        <v>52</v>
      </c>
      <c r="K1782">
        <v>200.15</v>
      </c>
      <c r="L1782">
        <v>0.38</v>
      </c>
      <c r="M1782">
        <v>41.2</v>
      </c>
      <c r="N1782">
        <v>0.8</v>
      </c>
      <c r="O1782" t="s">
        <v>20</v>
      </c>
      <c r="P1782" t="s">
        <v>21</v>
      </c>
      <c r="Q1782">
        <f t="shared" si="135"/>
        <v>9</v>
      </c>
      <c r="R1782" s="4">
        <f>RANK(N1782,$N$2:N$2800,0)</f>
        <v>2393</v>
      </c>
      <c r="S1782">
        <f t="shared" si="136"/>
        <v>0.76923076923076927</v>
      </c>
      <c r="T1782" t="str">
        <f t="shared" si="137"/>
        <v>Low</v>
      </c>
      <c r="U1782" t="str" cm="1">
        <f t="array" ref="U1782">_xlfn.LET(_xlpm.roles,_xlfn.UNIQUE(D1782:D4580),_xlpm.kills, SUMIF(D1782:D4580,_xlpm.roles,G1782:G4580),INDEX(_xlpm.roles,MATCH(MAX(_xlpm.kills),_xlpm.kills,0)))</f>
        <v>Sniper</v>
      </c>
      <c r="V1782" t="str">
        <f t="shared" si="138"/>
        <v>High Accuracy</v>
      </c>
      <c r="W1782" t="str" cm="1">
        <f t="array" ref="W1782">_xlfn.LET(_xlpm.roles,_xlfn.UNIQUE(D1782:D4580), _xlpm.counts,COUNTIF(D1782:D4580,_xlpm.roles), INDEX(_xlpm.roles,MATCH(MAX(_xlpm.counts),_xlpm.counts,0)))</f>
        <v>Sniper</v>
      </c>
      <c r="X1782" s="2">
        <f t="shared" si="139"/>
        <v>13.135802469135802</v>
      </c>
    </row>
    <row r="1783" spans="1:24" x14ac:dyDescent="0.3">
      <c r="A1783">
        <v>1192</v>
      </c>
      <c r="B1783">
        <v>315</v>
      </c>
      <c r="C1783" t="s">
        <v>39</v>
      </c>
      <c r="D1783" t="s">
        <v>31</v>
      </c>
      <c r="E1783" t="s">
        <v>29</v>
      </c>
      <c r="F1783" t="s">
        <v>26</v>
      </c>
      <c r="G1783">
        <v>18</v>
      </c>
      <c r="H1783">
        <v>10</v>
      </c>
      <c r="I1783">
        <v>9</v>
      </c>
      <c r="J1783">
        <v>44.48</v>
      </c>
      <c r="K1783">
        <v>178.47</v>
      </c>
      <c r="L1783">
        <v>0.16</v>
      </c>
      <c r="M1783">
        <v>57.64</v>
      </c>
      <c r="N1783">
        <v>1</v>
      </c>
      <c r="O1783" t="s">
        <v>20</v>
      </c>
      <c r="P1783" t="s">
        <v>21</v>
      </c>
      <c r="Q1783">
        <f t="shared" si="135"/>
        <v>19</v>
      </c>
      <c r="R1783" s="4">
        <f>RANK(N1783,$N$2:N$2800,0)</f>
        <v>1</v>
      </c>
      <c r="S1783">
        <f t="shared" si="136"/>
        <v>2</v>
      </c>
      <c r="T1783" t="str">
        <f t="shared" si="137"/>
        <v>Good</v>
      </c>
      <c r="U1783" t="str" cm="1">
        <f t="array" ref="U1783">_xlfn.LET(_xlpm.roles,_xlfn.UNIQUE(D1783:D4581),_xlpm.kills, SUMIF(D1783:D4581,_xlpm.roles,G1783:G4581),INDEX(_xlpm.roles,MATCH(MAX(_xlpm.kills),_xlpm.kills,0)))</f>
        <v>Sniper</v>
      </c>
      <c r="V1783" t="str">
        <f t="shared" si="138"/>
        <v>Medium Accuracy</v>
      </c>
      <c r="W1783" t="str" cm="1">
        <f t="array" ref="W1783">_xlfn.LET(_xlpm.roles,_xlfn.UNIQUE(D1783:D4581), _xlpm.counts,COUNTIF(D1783:D4581,_xlpm.roles), INDEX(_xlpm.roles,MATCH(MAX(_xlpm.counts),_xlpm.counts,0)))</f>
        <v>Sniper</v>
      </c>
      <c r="X1783" s="2">
        <f t="shared" si="139"/>
        <v>13.103594080338267</v>
      </c>
    </row>
    <row r="1784" spans="1:24" x14ac:dyDescent="0.3">
      <c r="A1784">
        <v>1617</v>
      </c>
      <c r="B1784">
        <v>315</v>
      </c>
      <c r="C1784" t="s">
        <v>35</v>
      </c>
      <c r="D1784" t="s">
        <v>28</v>
      </c>
      <c r="E1784" t="s">
        <v>23</v>
      </c>
      <c r="F1784" t="s">
        <v>19</v>
      </c>
      <c r="G1784">
        <v>8</v>
      </c>
      <c r="H1784">
        <v>11</v>
      </c>
      <c r="I1784">
        <v>11</v>
      </c>
      <c r="J1784">
        <v>57.09</v>
      </c>
      <c r="K1784">
        <v>224.43</v>
      </c>
      <c r="L1784">
        <v>0.25</v>
      </c>
      <c r="M1784">
        <v>42.05</v>
      </c>
      <c r="N1784">
        <v>0.97</v>
      </c>
      <c r="O1784" t="s">
        <v>20</v>
      </c>
      <c r="P1784" t="s">
        <v>21</v>
      </c>
      <c r="Q1784">
        <f t="shared" si="135"/>
        <v>8</v>
      </c>
      <c r="R1784" s="4">
        <f>RANK(N1784,$N$2:N$2800,0)</f>
        <v>1243</v>
      </c>
      <c r="S1784">
        <f t="shared" si="136"/>
        <v>0.72727272727272729</v>
      </c>
      <c r="T1784" t="str">
        <f t="shared" si="137"/>
        <v>Low</v>
      </c>
      <c r="U1784" t="str" cm="1">
        <f t="array" ref="U1784">_xlfn.LET(_xlpm.roles,_xlfn.UNIQUE(D1784:D4582),_xlpm.kills, SUMIF(D1784:D4582,_xlpm.roles,G1784:G4582),INDEX(_xlpm.roles,MATCH(MAX(_xlpm.kills),_xlpm.kills,0)))</f>
        <v>Sniper</v>
      </c>
      <c r="V1784" t="str">
        <f t="shared" si="138"/>
        <v>High Accuracy</v>
      </c>
      <c r="W1784" t="str" cm="1">
        <f t="array" ref="W1784">_xlfn.LET(_xlpm.roles,_xlfn.UNIQUE(D1784:D4582), _xlpm.counts,COUNTIF(D1784:D4582,_xlpm.roles), INDEX(_xlpm.roles,MATCH(MAX(_xlpm.counts),_xlpm.counts,0)))</f>
        <v>Sniper</v>
      </c>
      <c r="X1784" s="2">
        <f t="shared" si="139"/>
        <v>12.599585062240664</v>
      </c>
    </row>
    <row r="1785" spans="1:24" x14ac:dyDescent="0.3">
      <c r="A1785">
        <v>1797</v>
      </c>
      <c r="B1785">
        <v>315</v>
      </c>
      <c r="C1785" t="s">
        <v>16</v>
      </c>
      <c r="D1785" t="s">
        <v>28</v>
      </c>
      <c r="E1785" t="s">
        <v>33</v>
      </c>
      <c r="F1785" t="s">
        <v>26</v>
      </c>
      <c r="G1785">
        <v>15</v>
      </c>
      <c r="H1785">
        <v>11</v>
      </c>
      <c r="I1785">
        <v>11</v>
      </c>
      <c r="J1785">
        <v>44.07</v>
      </c>
      <c r="K1785">
        <v>227.65</v>
      </c>
      <c r="L1785">
        <v>0.21</v>
      </c>
      <c r="M1785">
        <v>49.93</v>
      </c>
      <c r="N1785">
        <v>0.89</v>
      </c>
      <c r="O1785" t="s">
        <v>20</v>
      </c>
      <c r="P1785" t="s">
        <v>21</v>
      </c>
      <c r="Q1785">
        <f t="shared" si="135"/>
        <v>15</v>
      </c>
      <c r="R1785" s="4">
        <f>RANK(N1785,$N$2:N$2800,0)</f>
        <v>1815</v>
      </c>
      <c r="S1785">
        <f t="shared" si="136"/>
        <v>1.3636363636363635</v>
      </c>
      <c r="T1785" t="str">
        <f t="shared" si="137"/>
        <v>Good</v>
      </c>
      <c r="U1785" t="str" cm="1">
        <f t="array" ref="U1785">_xlfn.LET(_xlpm.roles,_xlfn.UNIQUE(D1785:D4583),_xlpm.kills, SUMIF(D1785:D4583,_xlpm.roles,G1785:G4583),INDEX(_xlpm.roles,MATCH(MAX(_xlpm.kills),_xlpm.kills,0)))</f>
        <v>Sniper</v>
      </c>
      <c r="V1785" t="str">
        <f t="shared" si="138"/>
        <v>Medium Accuracy</v>
      </c>
      <c r="W1785" t="str" cm="1">
        <f t="array" ref="W1785">_xlfn.LET(_xlpm.roles,_xlfn.UNIQUE(D1785:D4583), _xlpm.counts,COUNTIF(D1785:D4583,_xlpm.roles), INDEX(_xlpm.roles,MATCH(MAX(_xlpm.counts),_xlpm.counts,0)))</f>
        <v>Sniper</v>
      </c>
      <c r="X1785" s="2">
        <f t="shared" si="139"/>
        <v>12.520971302428256</v>
      </c>
    </row>
    <row r="1786" spans="1:24" x14ac:dyDescent="0.3">
      <c r="A1786">
        <v>2342</v>
      </c>
      <c r="B1786">
        <v>315</v>
      </c>
      <c r="C1786" t="s">
        <v>39</v>
      </c>
      <c r="D1786" t="s">
        <v>36</v>
      </c>
      <c r="E1786" t="s">
        <v>18</v>
      </c>
      <c r="F1786" t="s">
        <v>26</v>
      </c>
      <c r="G1786">
        <v>12</v>
      </c>
      <c r="H1786">
        <v>7</v>
      </c>
      <c r="I1786">
        <v>14</v>
      </c>
      <c r="J1786">
        <v>34.31</v>
      </c>
      <c r="K1786">
        <v>242.8</v>
      </c>
      <c r="L1786">
        <v>0.28999999999999998</v>
      </c>
      <c r="M1786">
        <v>31.26</v>
      </c>
      <c r="N1786">
        <v>0.85</v>
      </c>
      <c r="O1786" t="s">
        <v>20</v>
      </c>
      <c r="P1786" t="s">
        <v>21</v>
      </c>
      <c r="Q1786">
        <f t="shared" si="135"/>
        <v>5</v>
      </c>
      <c r="R1786" s="4">
        <f>RANK(N1786,$N$2:N$2800,0)</f>
        <v>2105</v>
      </c>
      <c r="S1786">
        <f t="shared" si="136"/>
        <v>0.8571428571428571</v>
      </c>
      <c r="T1786" t="str">
        <f t="shared" si="137"/>
        <v>Low</v>
      </c>
      <c r="U1786" t="str" cm="1">
        <f t="array" ref="U1786">_xlfn.LET(_xlpm.roles,_xlfn.UNIQUE(D1786:D4584),_xlpm.kills, SUMIF(D1786:D4584,_xlpm.roles,G1786:G4584),INDEX(_xlpm.roles,MATCH(MAX(_xlpm.kills),_xlpm.kills,0)))</f>
        <v>Sniper</v>
      </c>
      <c r="V1786" t="str">
        <f t="shared" si="138"/>
        <v>Medium Accuracy</v>
      </c>
      <c r="W1786" t="str" cm="1">
        <f t="array" ref="W1786">_xlfn.LET(_xlpm.roles,_xlfn.UNIQUE(D1786:D4584), _xlpm.counts,COUNTIF(D1786:D4584,_xlpm.roles), INDEX(_xlpm.roles,MATCH(MAX(_xlpm.counts),_xlpm.counts,0)))</f>
        <v>Sniper</v>
      </c>
      <c r="X1786" s="2">
        <f t="shared" si="139"/>
        <v>13.103594080338267</v>
      </c>
    </row>
    <row r="1787" spans="1:24" x14ac:dyDescent="0.3">
      <c r="A1787">
        <v>2534</v>
      </c>
      <c r="B1787">
        <v>315</v>
      </c>
      <c r="C1787" t="s">
        <v>30</v>
      </c>
      <c r="D1787" t="s">
        <v>36</v>
      </c>
      <c r="E1787" t="s">
        <v>29</v>
      </c>
      <c r="F1787" t="s">
        <v>19</v>
      </c>
      <c r="G1787">
        <v>11</v>
      </c>
      <c r="H1787">
        <v>3</v>
      </c>
      <c r="I1787">
        <v>15</v>
      </c>
      <c r="J1787">
        <v>40.44</v>
      </c>
      <c r="K1787">
        <v>249.55</v>
      </c>
      <c r="L1787">
        <v>0.28000000000000003</v>
      </c>
      <c r="M1787">
        <v>27.42</v>
      </c>
      <c r="N1787">
        <v>0.84</v>
      </c>
      <c r="O1787" t="s">
        <v>20</v>
      </c>
      <c r="P1787" t="s">
        <v>21</v>
      </c>
      <c r="Q1787">
        <f t="shared" si="135"/>
        <v>-1</v>
      </c>
      <c r="R1787" s="4">
        <f>RANK(N1787,$N$2:N$2800,0)</f>
        <v>2156</v>
      </c>
      <c r="S1787">
        <f t="shared" si="136"/>
        <v>0.73333333333333328</v>
      </c>
      <c r="T1787" t="str">
        <f t="shared" si="137"/>
        <v>Low</v>
      </c>
      <c r="U1787" t="str" cm="1">
        <f t="array" ref="U1787">_xlfn.LET(_xlpm.roles,_xlfn.UNIQUE(D1787:D4585),_xlpm.kills, SUMIF(D1787:D4585,_xlpm.roles,G1787:G4585),INDEX(_xlpm.roles,MATCH(MAX(_xlpm.kills),_xlpm.kills,0)))</f>
        <v>Sniper</v>
      </c>
      <c r="V1787" t="str">
        <f t="shared" si="138"/>
        <v>Medium Accuracy</v>
      </c>
      <c r="W1787" t="str" cm="1">
        <f t="array" ref="W1787">_xlfn.LET(_xlpm.roles,_xlfn.UNIQUE(D1787:D4585), _xlpm.counts,COUNTIF(D1787:D4585,_xlpm.roles), INDEX(_xlpm.roles,MATCH(MAX(_xlpm.counts),_xlpm.counts,0)))</f>
        <v>Sniper</v>
      </c>
      <c r="X1787" s="2">
        <f t="shared" si="139"/>
        <v>13.135802469135802</v>
      </c>
    </row>
    <row r="1788" spans="1:24" x14ac:dyDescent="0.3">
      <c r="A1788">
        <v>38</v>
      </c>
      <c r="B1788">
        <v>316</v>
      </c>
      <c r="C1788" t="s">
        <v>30</v>
      </c>
      <c r="D1788" t="s">
        <v>28</v>
      </c>
      <c r="E1788" t="s">
        <v>33</v>
      </c>
      <c r="F1788" t="s">
        <v>24</v>
      </c>
      <c r="G1788">
        <v>13</v>
      </c>
      <c r="H1788">
        <v>9</v>
      </c>
      <c r="I1788">
        <v>6</v>
      </c>
      <c r="J1788">
        <v>45.38</v>
      </c>
      <c r="K1788">
        <v>222.6</v>
      </c>
      <c r="L1788">
        <v>0.56999999999999995</v>
      </c>
      <c r="M1788">
        <v>45.99</v>
      </c>
      <c r="N1788">
        <v>0.94</v>
      </c>
      <c r="O1788" t="s">
        <v>20</v>
      </c>
      <c r="P1788" t="s">
        <v>21</v>
      </c>
      <c r="Q1788">
        <f t="shared" si="135"/>
        <v>16</v>
      </c>
      <c r="R1788" s="4">
        <f>RANK(N1788,$N$2:N$2800,0)</f>
        <v>1431</v>
      </c>
      <c r="S1788">
        <f t="shared" si="136"/>
        <v>2.1666666666666665</v>
      </c>
      <c r="T1788" t="str">
        <f t="shared" si="137"/>
        <v>Good</v>
      </c>
      <c r="U1788" t="str" cm="1">
        <f t="array" ref="U1788">_xlfn.LET(_xlpm.roles,_xlfn.UNIQUE(D1788:D4586),_xlpm.kills, SUMIF(D1788:D4586,_xlpm.roles,G1788:G4586),INDEX(_xlpm.roles,MATCH(MAX(_xlpm.kills),_xlpm.kills,0)))</f>
        <v>Sniper</v>
      </c>
      <c r="V1788" t="str">
        <f t="shared" si="138"/>
        <v>Medium Accuracy</v>
      </c>
      <c r="W1788" t="str" cm="1">
        <f t="array" ref="W1788">_xlfn.LET(_xlpm.roles,_xlfn.UNIQUE(D1788:D4586), _xlpm.counts,COUNTIF(D1788:D4586,_xlpm.roles), INDEX(_xlpm.roles,MATCH(MAX(_xlpm.counts),_xlpm.counts,0)))</f>
        <v>Sniper</v>
      </c>
      <c r="X1788" s="2">
        <f t="shared" si="139"/>
        <v>13.135802469135802</v>
      </c>
    </row>
    <row r="1789" spans="1:24" x14ac:dyDescent="0.3">
      <c r="A1789">
        <v>383</v>
      </c>
      <c r="B1789">
        <v>316</v>
      </c>
      <c r="C1789" t="s">
        <v>27</v>
      </c>
      <c r="D1789" t="s">
        <v>22</v>
      </c>
      <c r="E1789" t="s">
        <v>23</v>
      </c>
      <c r="F1789" t="s">
        <v>37</v>
      </c>
      <c r="G1789">
        <v>16</v>
      </c>
      <c r="H1789">
        <v>9</v>
      </c>
      <c r="I1789">
        <v>9</v>
      </c>
      <c r="J1789">
        <v>36.94</v>
      </c>
      <c r="K1789">
        <v>221.43</v>
      </c>
      <c r="L1789">
        <v>0.93</v>
      </c>
      <c r="M1789">
        <v>41.17</v>
      </c>
      <c r="N1789">
        <v>0.85</v>
      </c>
      <c r="O1789" t="s">
        <v>20</v>
      </c>
      <c r="P1789" t="s">
        <v>21</v>
      </c>
      <c r="Q1789">
        <f t="shared" si="135"/>
        <v>16</v>
      </c>
      <c r="R1789" s="4">
        <f>RANK(N1789,$N$2:N$2800,0)</f>
        <v>2105</v>
      </c>
      <c r="S1789">
        <f t="shared" si="136"/>
        <v>1.7777777777777777</v>
      </c>
      <c r="T1789" t="str">
        <f t="shared" si="137"/>
        <v>Good</v>
      </c>
      <c r="U1789" t="str" cm="1">
        <f t="array" ref="U1789">_xlfn.LET(_xlpm.roles,_xlfn.UNIQUE(D1789:D4587),_xlpm.kills, SUMIF(D1789:D4587,_xlpm.roles,G1789:G4587),INDEX(_xlpm.roles,MATCH(MAX(_xlpm.kills),_xlpm.kills,0)))</f>
        <v>Sniper</v>
      </c>
      <c r="V1789" t="str">
        <f t="shared" si="138"/>
        <v>Medium Accuracy</v>
      </c>
      <c r="W1789" t="str" cm="1">
        <f t="array" ref="W1789">_xlfn.LET(_xlpm.roles,_xlfn.UNIQUE(D1789:D4587), _xlpm.counts,COUNTIF(D1789:D4587,_xlpm.roles), INDEX(_xlpm.roles,MATCH(MAX(_xlpm.counts),_xlpm.counts,0)))</f>
        <v>Sniper</v>
      </c>
      <c r="X1789" s="2">
        <f t="shared" si="139"/>
        <v>13.057077625570777</v>
      </c>
    </row>
    <row r="1790" spans="1:24" x14ac:dyDescent="0.3">
      <c r="A1790">
        <v>1022</v>
      </c>
      <c r="B1790">
        <v>316</v>
      </c>
      <c r="C1790" t="s">
        <v>16</v>
      </c>
      <c r="D1790" t="s">
        <v>36</v>
      </c>
      <c r="E1790" t="s">
        <v>29</v>
      </c>
      <c r="F1790" t="s">
        <v>37</v>
      </c>
      <c r="G1790">
        <v>16</v>
      </c>
      <c r="H1790">
        <v>9</v>
      </c>
      <c r="I1790">
        <v>9</v>
      </c>
      <c r="J1790">
        <v>46.52</v>
      </c>
      <c r="K1790">
        <v>208.54</v>
      </c>
      <c r="L1790">
        <v>0.61</v>
      </c>
      <c r="M1790">
        <v>49.16</v>
      </c>
      <c r="N1790">
        <v>1</v>
      </c>
      <c r="O1790" t="s">
        <v>20</v>
      </c>
      <c r="P1790" t="s">
        <v>21</v>
      </c>
      <c r="Q1790">
        <f t="shared" si="135"/>
        <v>16</v>
      </c>
      <c r="R1790" s="4">
        <f>RANK(N1790,$N$2:N$2800,0)</f>
        <v>1</v>
      </c>
      <c r="S1790">
        <f t="shared" si="136"/>
        <v>1.7777777777777777</v>
      </c>
      <c r="T1790" t="str">
        <f t="shared" si="137"/>
        <v>Good</v>
      </c>
      <c r="U1790" t="str" cm="1">
        <f t="array" ref="U1790">_xlfn.LET(_xlpm.roles,_xlfn.UNIQUE(D1790:D4588),_xlpm.kills, SUMIF(D1790:D4588,_xlpm.roles,G1790:G4588),INDEX(_xlpm.roles,MATCH(MAX(_xlpm.kills),_xlpm.kills,0)))</f>
        <v>Sniper</v>
      </c>
      <c r="V1790" t="str">
        <f t="shared" si="138"/>
        <v>Medium Accuracy</v>
      </c>
      <c r="W1790" t="str" cm="1">
        <f t="array" ref="W1790">_xlfn.LET(_xlpm.roles,_xlfn.UNIQUE(D1790:D4588), _xlpm.counts,COUNTIF(D1790:D4588,_xlpm.roles), INDEX(_xlpm.roles,MATCH(MAX(_xlpm.counts),_xlpm.counts,0)))</f>
        <v>Sniper</v>
      </c>
      <c r="X1790" s="2">
        <f t="shared" si="139"/>
        <v>12.520971302428256</v>
      </c>
    </row>
    <row r="1791" spans="1:24" x14ac:dyDescent="0.3">
      <c r="A1791">
        <v>1605</v>
      </c>
      <c r="B1791">
        <v>316</v>
      </c>
      <c r="C1791" t="s">
        <v>25</v>
      </c>
      <c r="D1791" t="s">
        <v>22</v>
      </c>
      <c r="E1791" t="s">
        <v>33</v>
      </c>
      <c r="F1791" t="s">
        <v>26</v>
      </c>
      <c r="G1791">
        <v>10</v>
      </c>
      <c r="H1791">
        <v>11</v>
      </c>
      <c r="I1791">
        <v>12</v>
      </c>
      <c r="J1791">
        <v>42.07</v>
      </c>
      <c r="K1791">
        <v>266.88</v>
      </c>
      <c r="L1791">
        <v>0.55000000000000004</v>
      </c>
      <c r="M1791">
        <v>34.53</v>
      </c>
      <c r="N1791">
        <v>0.78</v>
      </c>
      <c r="O1791" t="s">
        <v>20</v>
      </c>
      <c r="P1791" t="s">
        <v>21</v>
      </c>
      <c r="Q1791">
        <f t="shared" si="135"/>
        <v>9</v>
      </c>
      <c r="R1791" s="4">
        <f>RANK(N1791,$N$2:N$2800,0)</f>
        <v>2469</v>
      </c>
      <c r="S1791">
        <f t="shared" si="136"/>
        <v>0.83333333333333337</v>
      </c>
      <c r="T1791" t="str">
        <f t="shared" si="137"/>
        <v>Low</v>
      </c>
      <c r="U1791" t="str" cm="1">
        <f t="array" ref="U1791">_xlfn.LET(_xlpm.roles,_xlfn.UNIQUE(D1791:D4589),_xlpm.kills, SUMIF(D1791:D4589,_xlpm.roles,G1791:G4589),INDEX(_xlpm.roles,MATCH(MAX(_xlpm.kills),_xlpm.kills,0)))</f>
        <v>Sniper</v>
      </c>
      <c r="V1791" t="str">
        <f t="shared" si="138"/>
        <v>Medium Accuracy</v>
      </c>
      <c r="W1791" t="str" cm="1">
        <f t="array" ref="W1791">_xlfn.LET(_xlpm.roles,_xlfn.UNIQUE(D1791:D4589), _xlpm.counts,COUNTIF(D1791:D4589,_xlpm.roles), INDEX(_xlpm.roles,MATCH(MAX(_xlpm.counts),_xlpm.counts,0)))</f>
        <v>Sniper</v>
      </c>
      <c r="X1791" s="2">
        <f t="shared" si="139"/>
        <v>12.809421841541756</v>
      </c>
    </row>
    <row r="1792" spans="1:24" x14ac:dyDescent="0.3">
      <c r="A1792">
        <v>2682</v>
      </c>
      <c r="B1792">
        <v>316</v>
      </c>
      <c r="C1792" t="s">
        <v>16</v>
      </c>
      <c r="D1792" t="s">
        <v>17</v>
      </c>
      <c r="E1792" t="s">
        <v>32</v>
      </c>
      <c r="F1792" t="s">
        <v>37</v>
      </c>
      <c r="G1792">
        <v>22</v>
      </c>
      <c r="H1792">
        <v>11</v>
      </c>
      <c r="I1792">
        <v>9</v>
      </c>
      <c r="J1792">
        <v>47.31</v>
      </c>
      <c r="K1792">
        <v>225.5</v>
      </c>
      <c r="L1792">
        <v>0.94</v>
      </c>
      <c r="M1792">
        <v>60.26</v>
      </c>
      <c r="N1792">
        <v>1</v>
      </c>
      <c r="O1792" t="s">
        <v>20</v>
      </c>
      <c r="P1792" t="s">
        <v>38</v>
      </c>
      <c r="Q1792">
        <f t="shared" si="135"/>
        <v>24</v>
      </c>
      <c r="R1792" s="4">
        <f>RANK(N1792,$N$2:N$2800,0)</f>
        <v>1</v>
      </c>
      <c r="S1792">
        <f t="shared" si="136"/>
        <v>2.4444444444444446</v>
      </c>
      <c r="T1792" t="str">
        <f t="shared" si="137"/>
        <v>Good</v>
      </c>
      <c r="U1792" t="str" cm="1">
        <f t="array" ref="U1792">_xlfn.LET(_xlpm.roles,_xlfn.UNIQUE(D1792:D4590),_xlpm.kills, SUMIF(D1792:D4590,_xlpm.roles,G1792:G4590),INDEX(_xlpm.roles,MATCH(MAX(_xlpm.kills),_xlpm.kills,0)))</f>
        <v>Sniper</v>
      </c>
      <c r="V1792" t="str">
        <f t="shared" si="138"/>
        <v>Medium Accuracy</v>
      </c>
      <c r="W1792" t="str" cm="1">
        <f t="array" ref="W1792">_xlfn.LET(_xlpm.roles,_xlfn.UNIQUE(D1792:D4590), _xlpm.counts,COUNTIF(D1792:D4590,_xlpm.roles), INDEX(_xlpm.roles,MATCH(MAX(_xlpm.counts),_xlpm.counts,0)))</f>
        <v>Sniper</v>
      </c>
      <c r="X1792" s="2">
        <f t="shared" si="139"/>
        <v>12.520971302428256</v>
      </c>
    </row>
    <row r="1793" spans="1:24" x14ac:dyDescent="0.3">
      <c r="A1793">
        <v>1567</v>
      </c>
      <c r="B1793">
        <v>317</v>
      </c>
      <c r="C1793" t="s">
        <v>16</v>
      </c>
      <c r="D1793" t="s">
        <v>36</v>
      </c>
      <c r="E1793" t="s">
        <v>23</v>
      </c>
      <c r="F1793" t="s">
        <v>37</v>
      </c>
      <c r="G1793">
        <v>12</v>
      </c>
      <c r="H1793">
        <v>10</v>
      </c>
      <c r="I1793">
        <v>5</v>
      </c>
      <c r="J1793">
        <v>44.7</v>
      </c>
      <c r="K1793">
        <v>149.56</v>
      </c>
      <c r="L1793">
        <v>0.62</v>
      </c>
      <c r="M1793">
        <v>45.15</v>
      </c>
      <c r="N1793">
        <v>0.94</v>
      </c>
      <c r="O1793" t="s">
        <v>20</v>
      </c>
      <c r="P1793" t="s">
        <v>21</v>
      </c>
      <c r="Q1793">
        <f t="shared" si="135"/>
        <v>17</v>
      </c>
      <c r="R1793" s="4">
        <f>RANK(N1793,$N$2:N$2800,0)</f>
        <v>1431</v>
      </c>
      <c r="S1793">
        <f t="shared" si="136"/>
        <v>2.4</v>
      </c>
      <c r="T1793" t="str">
        <f t="shared" si="137"/>
        <v>Good</v>
      </c>
      <c r="U1793" t="str" cm="1">
        <f t="array" ref="U1793">_xlfn.LET(_xlpm.roles,_xlfn.UNIQUE(D1793:D4591),_xlpm.kills, SUMIF(D1793:D4591,_xlpm.roles,G1793:G4591),INDEX(_xlpm.roles,MATCH(MAX(_xlpm.kills),_xlpm.kills,0)))</f>
        <v>Sniper</v>
      </c>
      <c r="V1793" t="str">
        <f t="shared" si="138"/>
        <v>Medium Accuracy</v>
      </c>
      <c r="W1793" t="str" cm="1">
        <f t="array" ref="W1793">_xlfn.LET(_xlpm.roles,_xlfn.UNIQUE(D1793:D4591), _xlpm.counts,COUNTIF(D1793:D4591,_xlpm.roles), INDEX(_xlpm.roles,MATCH(MAX(_xlpm.counts),_xlpm.counts,0)))</f>
        <v>Sniper</v>
      </c>
      <c r="X1793" s="2">
        <f t="shared" si="139"/>
        <v>12.520971302428256</v>
      </c>
    </row>
    <row r="1794" spans="1:24" x14ac:dyDescent="0.3">
      <c r="A1794">
        <v>1585</v>
      </c>
      <c r="B1794">
        <v>317</v>
      </c>
      <c r="C1794" t="s">
        <v>27</v>
      </c>
      <c r="D1794" t="s">
        <v>36</v>
      </c>
      <c r="E1794" t="s">
        <v>33</v>
      </c>
      <c r="F1794" t="s">
        <v>19</v>
      </c>
      <c r="G1794">
        <v>11</v>
      </c>
      <c r="H1794">
        <v>10</v>
      </c>
      <c r="I1794">
        <v>5</v>
      </c>
      <c r="J1794">
        <v>38.57</v>
      </c>
      <c r="K1794">
        <v>243.18</v>
      </c>
      <c r="L1794">
        <v>0.02</v>
      </c>
      <c r="M1794">
        <v>46.08</v>
      </c>
      <c r="N1794">
        <v>0.92</v>
      </c>
      <c r="O1794" t="s">
        <v>20</v>
      </c>
      <c r="P1794" t="s">
        <v>21</v>
      </c>
      <c r="Q1794">
        <f t="shared" si="135"/>
        <v>16</v>
      </c>
      <c r="R1794" s="4">
        <f>RANK(N1794,$N$2:N$2800,0)</f>
        <v>1585</v>
      </c>
      <c r="S1794">
        <f t="shared" si="136"/>
        <v>2.2000000000000002</v>
      </c>
      <c r="T1794" t="str">
        <f t="shared" si="137"/>
        <v>Good</v>
      </c>
      <c r="U1794" t="str" cm="1">
        <f t="array" ref="U1794">_xlfn.LET(_xlpm.roles,_xlfn.UNIQUE(D1794:D4592),_xlpm.kills, SUMIF(D1794:D4592,_xlpm.roles,G1794:G4592),INDEX(_xlpm.roles,MATCH(MAX(_xlpm.kills),_xlpm.kills,0)))</f>
        <v>Sniper</v>
      </c>
      <c r="V1794" t="str">
        <f t="shared" si="138"/>
        <v>Medium Accuracy</v>
      </c>
      <c r="W1794" t="str" cm="1">
        <f t="array" ref="W1794">_xlfn.LET(_xlpm.roles,_xlfn.UNIQUE(D1794:D4592), _xlpm.counts,COUNTIF(D1794:D4592,_xlpm.roles), INDEX(_xlpm.roles,MATCH(MAX(_xlpm.counts),_xlpm.counts,0)))</f>
        <v>Sniper</v>
      </c>
      <c r="X1794" s="2">
        <f t="shared" si="139"/>
        <v>13.057077625570777</v>
      </c>
    </row>
    <row r="1795" spans="1:24" x14ac:dyDescent="0.3">
      <c r="A1795">
        <v>2351</v>
      </c>
      <c r="B1795">
        <v>317</v>
      </c>
      <c r="C1795" t="s">
        <v>16</v>
      </c>
      <c r="D1795" t="s">
        <v>31</v>
      </c>
      <c r="E1795" t="s">
        <v>18</v>
      </c>
      <c r="F1795" t="s">
        <v>24</v>
      </c>
      <c r="G1795">
        <v>17</v>
      </c>
      <c r="H1795">
        <v>10</v>
      </c>
      <c r="I1795">
        <v>9</v>
      </c>
      <c r="J1795">
        <v>40.85</v>
      </c>
      <c r="K1795">
        <v>253.66</v>
      </c>
      <c r="L1795">
        <v>0.65</v>
      </c>
      <c r="M1795">
        <v>48.92</v>
      </c>
      <c r="N1795">
        <v>1</v>
      </c>
      <c r="O1795" t="s">
        <v>20</v>
      </c>
      <c r="P1795" t="s">
        <v>21</v>
      </c>
      <c r="Q1795">
        <f t="shared" ref="Q1795:Q1858" si="140">G1795+H1795-I1795</f>
        <v>18</v>
      </c>
      <c r="R1795" s="4">
        <f>RANK(N1795,$N$2:N$2800,0)</f>
        <v>1</v>
      </c>
      <c r="S1795">
        <f t="shared" ref="S1795:S1858" si="141">G1795/I1795</f>
        <v>1.8888888888888888</v>
      </c>
      <c r="T1795" t="str">
        <f t="shared" ref="T1795:T1858" si="142">IF(Q1795&lt;15,"Low",IF(Q1795&lt;25,"Good","Excellent"))</f>
        <v>Good</v>
      </c>
      <c r="U1795" t="str" cm="1">
        <f t="array" ref="U1795">_xlfn.LET(_xlpm.roles,_xlfn.UNIQUE(D1795:D4593),_xlpm.kills, SUMIF(D1795:D4593,_xlpm.roles,G1795:G4593),INDEX(_xlpm.roles,MATCH(MAX(_xlpm.kills),_xlpm.kills,0)))</f>
        <v>Sniper</v>
      </c>
      <c r="V1795" t="str">
        <f t="shared" ref="V1795:V1858" si="143">IF(J1795&gt;=50,"High Accuracy",IF(J1795&gt;=30,"Medium Accuracy","Low Accuracy"))</f>
        <v>Medium Accuracy</v>
      </c>
      <c r="W1795" t="str" cm="1">
        <f t="array" ref="W1795">_xlfn.LET(_xlpm.roles,_xlfn.UNIQUE(D1795:D4593), _xlpm.counts,COUNTIF(D1795:D4593,_xlpm.roles), INDEX(_xlpm.roles,MATCH(MAX(_xlpm.counts),_xlpm.counts,0)))</f>
        <v>Sniper</v>
      </c>
      <c r="X1795" s="2">
        <f t="shared" ref="X1795:X1858" si="144">AVERAGEIF($C$2:$C$2800,C1795,$Q$2:$Q$2800)</f>
        <v>12.520971302428256</v>
      </c>
    </row>
    <row r="1796" spans="1:24" x14ac:dyDescent="0.3">
      <c r="A1796">
        <v>2430</v>
      </c>
      <c r="B1796">
        <v>317</v>
      </c>
      <c r="C1796" t="s">
        <v>30</v>
      </c>
      <c r="D1796" t="s">
        <v>17</v>
      </c>
      <c r="E1796" t="s">
        <v>33</v>
      </c>
      <c r="F1796" t="s">
        <v>26</v>
      </c>
      <c r="G1796">
        <v>12</v>
      </c>
      <c r="H1796">
        <v>3</v>
      </c>
      <c r="I1796">
        <v>10</v>
      </c>
      <c r="J1796">
        <v>56.31</v>
      </c>
      <c r="K1796">
        <v>176.62</v>
      </c>
      <c r="L1796">
        <v>0.87</v>
      </c>
      <c r="M1796">
        <v>36.450000000000003</v>
      </c>
      <c r="N1796">
        <v>0.74</v>
      </c>
      <c r="O1796" t="s">
        <v>20</v>
      </c>
      <c r="P1796" t="s">
        <v>21</v>
      </c>
      <c r="Q1796">
        <f t="shared" si="140"/>
        <v>5</v>
      </c>
      <c r="R1796" s="4">
        <f>RANK(N1796,$N$2:N$2800,0)</f>
        <v>2613</v>
      </c>
      <c r="S1796">
        <f t="shared" si="141"/>
        <v>1.2</v>
      </c>
      <c r="T1796" t="str">
        <f t="shared" si="142"/>
        <v>Low</v>
      </c>
      <c r="U1796" t="str" cm="1">
        <f t="array" ref="U1796">_xlfn.LET(_xlpm.roles,_xlfn.UNIQUE(D1796:D4594),_xlpm.kills, SUMIF(D1796:D4594,_xlpm.roles,G1796:G4594),INDEX(_xlpm.roles,MATCH(MAX(_xlpm.kills),_xlpm.kills,0)))</f>
        <v>Sniper</v>
      </c>
      <c r="V1796" t="str">
        <f t="shared" si="143"/>
        <v>High Accuracy</v>
      </c>
      <c r="W1796" t="str" cm="1">
        <f t="array" ref="W1796">_xlfn.LET(_xlpm.roles,_xlfn.UNIQUE(D1796:D4594), _xlpm.counts,COUNTIF(D1796:D4594,_xlpm.roles), INDEX(_xlpm.roles,MATCH(MAX(_xlpm.counts),_xlpm.counts,0)))</f>
        <v>Sniper</v>
      </c>
      <c r="X1796" s="2">
        <f t="shared" si="144"/>
        <v>13.135802469135802</v>
      </c>
    </row>
    <row r="1797" spans="1:24" x14ac:dyDescent="0.3">
      <c r="A1797">
        <v>867</v>
      </c>
      <c r="B1797">
        <v>318</v>
      </c>
      <c r="C1797" t="s">
        <v>25</v>
      </c>
      <c r="D1797" t="s">
        <v>31</v>
      </c>
      <c r="E1797" t="s">
        <v>18</v>
      </c>
      <c r="F1797" t="s">
        <v>34</v>
      </c>
      <c r="G1797">
        <v>18</v>
      </c>
      <c r="H1797">
        <v>5</v>
      </c>
      <c r="I1797">
        <v>4</v>
      </c>
      <c r="J1797">
        <v>52.86</v>
      </c>
      <c r="K1797">
        <v>207.08</v>
      </c>
      <c r="L1797">
        <v>0.36</v>
      </c>
      <c r="M1797">
        <v>59.83</v>
      </c>
      <c r="N1797">
        <v>1</v>
      </c>
      <c r="O1797" t="s">
        <v>20</v>
      </c>
      <c r="P1797" t="s">
        <v>21</v>
      </c>
      <c r="Q1797">
        <f t="shared" si="140"/>
        <v>19</v>
      </c>
      <c r="R1797" s="4">
        <f>RANK(N1797,$N$2:N$2800,0)</f>
        <v>1</v>
      </c>
      <c r="S1797">
        <f t="shared" si="141"/>
        <v>4.5</v>
      </c>
      <c r="T1797" t="str">
        <f t="shared" si="142"/>
        <v>Good</v>
      </c>
      <c r="U1797" t="str" cm="1">
        <f t="array" ref="U1797">_xlfn.LET(_xlpm.roles,_xlfn.UNIQUE(D1797:D4595),_xlpm.kills, SUMIF(D1797:D4595,_xlpm.roles,G1797:G4595),INDEX(_xlpm.roles,MATCH(MAX(_xlpm.kills),_xlpm.kills,0)))</f>
        <v>Sniper</v>
      </c>
      <c r="V1797" t="str">
        <f t="shared" si="143"/>
        <v>High Accuracy</v>
      </c>
      <c r="W1797" t="str" cm="1">
        <f t="array" ref="W1797">_xlfn.LET(_xlpm.roles,_xlfn.UNIQUE(D1797:D4595), _xlpm.counts,COUNTIF(D1797:D4595,_xlpm.roles), INDEX(_xlpm.roles,MATCH(MAX(_xlpm.counts),_xlpm.counts,0)))</f>
        <v>Sniper</v>
      </c>
      <c r="X1797" s="2">
        <f t="shared" si="144"/>
        <v>12.809421841541756</v>
      </c>
    </row>
    <row r="1798" spans="1:24" x14ac:dyDescent="0.3">
      <c r="A1798">
        <v>1970</v>
      </c>
      <c r="B1798">
        <v>318</v>
      </c>
      <c r="C1798" t="s">
        <v>30</v>
      </c>
      <c r="D1798" t="s">
        <v>22</v>
      </c>
      <c r="E1798" t="s">
        <v>29</v>
      </c>
      <c r="F1798" t="s">
        <v>24</v>
      </c>
      <c r="G1798">
        <v>13</v>
      </c>
      <c r="H1798">
        <v>12</v>
      </c>
      <c r="I1798">
        <v>13</v>
      </c>
      <c r="J1798">
        <v>35.020000000000003</v>
      </c>
      <c r="K1798">
        <v>220.02</v>
      </c>
      <c r="L1798">
        <v>0.23</v>
      </c>
      <c r="M1798">
        <v>40.21</v>
      </c>
      <c r="N1798">
        <v>0.99</v>
      </c>
      <c r="O1798" t="s">
        <v>20</v>
      </c>
      <c r="P1798" t="s">
        <v>21</v>
      </c>
      <c r="Q1798">
        <f t="shared" si="140"/>
        <v>12</v>
      </c>
      <c r="R1798" s="4">
        <f>RANK(N1798,$N$2:N$2800,0)</f>
        <v>1080</v>
      </c>
      <c r="S1798">
        <f t="shared" si="141"/>
        <v>1</v>
      </c>
      <c r="T1798" t="str">
        <f t="shared" si="142"/>
        <v>Low</v>
      </c>
      <c r="U1798" t="str" cm="1">
        <f t="array" ref="U1798">_xlfn.LET(_xlpm.roles,_xlfn.UNIQUE(D1798:D4596),_xlpm.kills, SUMIF(D1798:D4596,_xlpm.roles,G1798:G4596),INDEX(_xlpm.roles,MATCH(MAX(_xlpm.kills),_xlpm.kills,0)))</f>
        <v>Sniper</v>
      </c>
      <c r="V1798" t="str">
        <f t="shared" si="143"/>
        <v>Medium Accuracy</v>
      </c>
      <c r="W1798" t="str" cm="1">
        <f t="array" ref="W1798">_xlfn.LET(_xlpm.roles,_xlfn.UNIQUE(D1798:D4596), _xlpm.counts,COUNTIF(D1798:D4596,_xlpm.roles), INDEX(_xlpm.roles,MATCH(MAX(_xlpm.counts),_xlpm.counts,0)))</f>
        <v>Sniper</v>
      </c>
      <c r="X1798" s="2">
        <f t="shared" si="144"/>
        <v>13.135802469135802</v>
      </c>
    </row>
    <row r="1799" spans="1:24" x14ac:dyDescent="0.3">
      <c r="A1799">
        <v>2708</v>
      </c>
      <c r="B1799">
        <v>318</v>
      </c>
      <c r="C1799" t="s">
        <v>35</v>
      </c>
      <c r="D1799" t="s">
        <v>17</v>
      </c>
      <c r="E1799" t="s">
        <v>32</v>
      </c>
      <c r="F1799" t="s">
        <v>37</v>
      </c>
      <c r="G1799">
        <v>23</v>
      </c>
      <c r="H1799">
        <v>3</v>
      </c>
      <c r="I1799">
        <v>6</v>
      </c>
      <c r="J1799">
        <v>45.13</v>
      </c>
      <c r="K1799">
        <v>236.51</v>
      </c>
      <c r="L1799">
        <v>0.56000000000000005</v>
      </c>
      <c r="M1799">
        <v>59.96</v>
      </c>
      <c r="N1799">
        <v>1</v>
      </c>
      <c r="O1799" t="s">
        <v>20</v>
      </c>
      <c r="P1799" t="s">
        <v>21</v>
      </c>
      <c r="Q1799">
        <f t="shared" si="140"/>
        <v>20</v>
      </c>
      <c r="R1799" s="4">
        <f>RANK(N1799,$N$2:N$2800,0)</f>
        <v>1</v>
      </c>
      <c r="S1799">
        <f t="shared" si="141"/>
        <v>3.8333333333333335</v>
      </c>
      <c r="T1799" t="str">
        <f t="shared" si="142"/>
        <v>Good</v>
      </c>
      <c r="U1799" t="str" cm="1">
        <f t="array" ref="U1799">_xlfn.LET(_xlpm.roles,_xlfn.UNIQUE(D1799:D4597),_xlpm.kills, SUMIF(D1799:D4597,_xlpm.roles,G1799:G4597),INDEX(_xlpm.roles,MATCH(MAX(_xlpm.kills),_xlpm.kills,0)))</f>
        <v>Sniper</v>
      </c>
      <c r="V1799" t="str">
        <f t="shared" si="143"/>
        <v>Medium Accuracy</v>
      </c>
      <c r="W1799" t="str" cm="1">
        <f t="array" ref="W1799">_xlfn.LET(_xlpm.roles,_xlfn.UNIQUE(D1799:D4597), _xlpm.counts,COUNTIF(D1799:D4597,_xlpm.roles), INDEX(_xlpm.roles,MATCH(MAX(_xlpm.counts),_xlpm.counts,0)))</f>
        <v>Sniper</v>
      </c>
      <c r="X1799" s="2">
        <f t="shared" si="144"/>
        <v>12.599585062240664</v>
      </c>
    </row>
    <row r="1800" spans="1:24" x14ac:dyDescent="0.3">
      <c r="A1800">
        <v>2758</v>
      </c>
      <c r="B1800">
        <v>318</v>
      </c>
      <c r="C1800" t="s">
        <v>35</v>
      </c>
      <c r="D1800" t="s">
        <v>22</v>
      </c>
      <c r="E1800" t="s">
        <v>23</v>
      </c>
      <c r="F1800" t="s">
        <v>19</v>
      </c>
      <c r="G1800">
        <v>16</v>
      </c>
      <c r="H1800">
        <v>8</v>
      </c>
      <c r="I1800">
        <v>20</v>
      </c>
      <c r="J1800">
        <v>42.3</v>
      </c>
      <c r="K1800">
        <v>159.06</v>
      </c>
      <c r="L1800">
        <v>0.11</v>
      </c>
      <c r="M1800">
        <v>40.049999999999997</v>
      </c>
      <c r="N1800">
        <v>0.93</v>
      </c>
      <c r="O1800" t="s">
        <v>20</v>
      </c>
      <c r="P1800" t="s">
        <v>21</v>
      </c>
      <c r="Q1800">
        <f t="shared" si="140"/>
        <v>4</v>
      </c>
      <c r="R1800" s="4">
        <f>RANK(N1800,$N$2:N$2800,0)</f>
        <v>1505</v>
      </c>
      <c r="S1800">
        <f t="shared" si="141"/>
        <v>0.8</v>
      </c>
      <c r="T1800" t="str">
        <f t="shared" si="142"/>
        <v>Low</v>
      </c>
      <c r="U1800" t="str" cm="1">
        <f t="array" ref="U1800">_xlfn.LET(_xlpm.roles,_xlfn.UNIQUE(D1800:D4598),_xlpm.kills, SUMIF(D1800:D4598,_xlpm.roles,G1800:G4598),INDEX(_xlpm.roles,MATCH(MAX(_xlpm.kills),_xlpm.kills,0)))</f>
        <v>Sniper</v>
      </c>
      <c r="V1800" t="str">
        <f t="shared" si="143"/>
        <v>Medium Accuracy</v>
      </c>
      <c r="W1800" t="str" cm="1">
        <f t="array" ref="W1800">_xlfn.LET(_xlpm.roles,_xlfn.UNIQUE(D1800:D4598), _xlpm.counts,COUNTIF(D1800:D4598,_xlpm.roles), INDEX(_xlpm.roles,MATCH(MAX(_xlpm.counts),_xlpm.counts,0)))</f>
        <v>Sniper</v>
      </c>
      <c r="X1800" s="2">
        <f t="shared" si="144"/>
        <v>12.599585062240664</v>
      </c>
    </row>
    <row r="1801" spans="1:24" x14ac:dyDescent="0.3">
      <c r="A1801">
        <v>943</v>
      </c>
      <c r="B1801">
        <v>319</v>
      </c>
      <c r="C1801" t="s">
        <v>30</v>
      </c>
      <c r="D1801" t="s">
        <v>36</v>
      </c>
      <c r="E1801" t="s">
        <v>32</v>
      </c>
      <c r="F1801" t="s">
        <v>19</v>
      </c>
      <c r="G1801">
        <v>12</v>
      </c>
      <c r="H1801">
        <v>6</v>
      </c>
      <c r="I1801">
        <v>7</v>
      </c>
      <c r="J1801">
        <v>44.87</v>
      </c>
      <c r="K1801">
        <v>211.87</v>
      </c>
      <c r="L1801">
        <v>0.43</v>
      </c>
      <c r="M1801">
        <v>41.14</v>
      </c>
      <c r="N1801">
        <v>1</v>
      </c>
      <c r="O1801" t="s">
        <v>20</v>
      </c>
      <c r="P1801" t="s">
        <v>21</v>
      </c>
      <c r="Q1801">
        <f t="shared" si="140"/>
        <v>11</v>
      </c>
      <c r="R1801" s="4">
        <f>RANK(N1801,$N$2:N$2800,0)</f>
        <v>1</v>
      </c>
      <c r="S1801">
        <f t="shared" si="141"/>
        <v>1.7142857142857142</v>
      </c>
      <c r="T1801" t="str">
        <f t="shared" si="142"/>
        <v>Low</v>
      </c>
      <c r="U1801" t="str" cm="1">
        <f t="array" ref="U1801">_xlfn.LET(_xlpm.roles,_xlfn.UNIQUE(D1801:D4599),_xlpm.kills, SUMIF(D1801:D4599,_xlpm.roles,G1801:G4599),INDEX(_xlpm.roles,MATCH(MAX(_xlpm.kills),_xlpm.kills,0)))</f>
        <v>Sniper</v>
      </c>
      <c r="V1801" t="str">
        <f t="shared" si="143"/>
        <v>Medium Accuracy</v>
      </c>
      <c r="W1801" t="str" cm="1">
        <f t="array" ref="W1801">_xlfn.LET(_xlpm.roles,_xlfn.UNIQUE(D1801:D4599), _xlpm.counts,COUNTIF(D1801:D4599,_xlpm.roles), INDEX(_xlpm.roles,MATCH(MAX(_xlpm.counts),_xlpm.counts,0)))</f>
        <v>Sniper</v>
      </c>
      <c r="X1801" s="2">
        <f t="shared" si="144"/>
        <v>13.135802469135802</v>
      </c>
    </row>
    <row r="1802" spans="1:24" x14ac:dyDescent="0.3">
      <c r="A1802">
        <v>966</v>
      </c>
      <c r="B1802">
        <v>319</v>
      </c>
      <c r="C1802" t="s">
        <v>30</v>
      </c>
      <c r="D1802" t="s">
        <v>28</v>
      </c>
      <c r="E1802" t="s">
        <v>23</v>
      </c>
      <c r="F1802" t="s">
        <v>19</v>
      </c>
      <c r="G1802">
        <v>24</v>
      </c>
      <c r="H1802">
        <v>7</v>
      </c>
      <c r="I1802">
        <v>15</v>
      </c>
      <c r="J1802">
        <v>37.44</v>
      </c>
      <c r="K1802">
        <v>199.97</v>
      </c>
      <c r="L1802">
        <v>0.83</v>
      </c>
      <c r="M1802">
        <v>50.42</v>
      </c>
      <c r="N1802">
        <v>0.78</v>
      </c>
      <c r="O1802" t="s">
        <v>20</v>
      </c>
      <c r="P1802" t="s">
        <v>21</v>
      </c>
      <c r="Q1802">
        <f t="shared" si="140"/>
        <v>16</v>
      </c>
      <c r="R1802" s="4">
        <f>RANK(N1802,$N$2:N$2800,0)</f>
        <v>2469</v>
      </c>
      <c r="S1802">
        <f t="shared" si="141"/>
        <v>1.6</v>
      </c>
      <c r="T1802" t="str">
        <f t="shared" si="142"/>
        <v>Good</v>
      </c>
      <c r="U1802" t="str" cm="1">
        <f t="array" ref="U1802">_xlfn.LET(_xlpm.roles,_xlfn.UNIQUE(D1802:D4600),_xlpm.kills, SUMIF(D1802:D4600,_xlpm.roles,G1802:G4600),INDEX(_xlpm.roles,MATCH(MAX(_xlpm.kills),_xlpm.kills,0)))</f>
        <v>Sniper</v>
      </c>
      <c r="V1802" t="str">
        <f t="shared" si="143"/>
        <v>Medium Accuracy</v>
      </c>
      <c r="W1802" t="str" cm="1">
        <f t="array" ref="W1802">_xlfn.LET(_xlpm.roles,_xlfn.UNIQUE(D1802:D4600), _xlpm.counts,COUNTIF(D1802:D4600,_xlpm.roles), INDEX(_xlpm.roles,MATCH(MAX(_xlpm.counts),_xlpm.counts,0)))</f>
        <v>Sniper</v>
      </c>
      <c r="X1802" s="2">
        <f t="shared" si="144"/>
        <v>13.135802469135802</v>
      </c>
    </row>
    <row r="1803" spans="1:24" x14ac:dyDescent="0.3">
      <c r="A1803">
        <v>1113</v>
      </c>
      <c r="B1803">
        <v>319</v>
      </c>
      <c r="C1803" t="s">
        <v>25</v>
      </c>
      <c r="D1803" t="s">
        <v>31</v>
      </c>
      <c r="E1803" t="s">
        <v>33</v>
      </c>
      <c r="F1803" t="s">
        <v>24</v>
      </c>
      <c r="G1803">
        <v>16</v>
      </c>
      <c r="H1803">
        <v>3</v>
      </c>
      <c r="I1803">
        <v>11</v>
      </c>
      <c r="J1803">
        <v>37.729999999999997</v>
      </c>
      <c r="K1803">
        <v>267.88</v>
      </c>
      <c r="L1803">
        <v>0.77</v>
      </c>
      <c r="M1803">
        <v>35.159999999999997</v>
      </c>
      <c r="N1803">
        <v>0.89</v>
      </c>
      <c r="O1803" t="s">
        <v>20</v>
      </c>
      <c r="P1803" t="s">
        <v>21</v>
      </c>
      <c r="Q1803">
        <f t="shared" si="140"/>
        <v>8</v>
      </c>
      <c r="R1803" s="4">
        <f>RANK(N1803,$N$2:N$2800,0)</f>
        <v>1815</v>
      </c>
      <c r="S1803">
        <f t="shared" si="141"/>
        <v>1.4545454545454546</v>
      </c>
      <c r="T1803" t="str">
        <f t="shared" si="142"/>
        <v>Low</v>
      </c>
      <c r="U1803" t="str" cm="1">
        <f t="array" ref="U1803">_xlfn.LET(_xlpm.roles,_xlfn.UNIQUE(D1803:D4601),_xlpm.kills, SUMIF(D1803:D4601,_xlpm.roles,G1803:G4601),INDEX(_xlpm.roles,MATCH(MAX(_xlpm.kills),_xlpm.kills,0)))</f>
        <v>Sniper</v>
      </c>
      <c r="V1803" t="str">
        <f t="shared" si="143"/>
        <v>Medium Accuracy</v>
      </c>
      <c r="W1803" t="str" cm="1">
        <f t="array" ref="W1803">_xlfn.LET(_xlpm.roles,_xlfn.UNIQUE(D1803:D4601), _xlpm.counts,COUNTIF(D1803:D4601,_xlpm.roles), INDEX(_xlpm.roles,MATCH(MAX(_xlpm.counts),_xlpm.counts,0)))</f>
        <v>Sniper</v>
      </c>
      <c r="X1803" s="2">
        <f t="shared" si="144"/>
        <v>12.809421841541756</v>
      </c>
    </row>
    <row r="1804" spans="1:24" x14ac:dyDescent="0.3">
      <c r="A1804">
        <v>1672</v>
      </c>
      <c r="B1804">
        <v>319</v>
      </c>
      <c r="C1804" t="s">
        <v>30</v>
      </c>
      <c r="D1804" t="s">
        <v>31</v>
      </c>
      <c r="E1804" t="s">
        <v>33</v>
      </c>
      <c r="F1804" t="s">
        <v>26</v>
      </c>
      <c r="G1804">
        <v>18</v>
      </c>
      <c r="H1804">
        <v>7</v>
      </c>
      <c r="I1804">
        <v>5</v>
      </c>
      <c r="J1804">
        <v>42.03</v>
      </c>
      <c r="K1804">
        <v>211.08</v>
      </c>
      <c r="L1804">
        <v>0.74</v>
      </c>
      <c r="M1804">
        <v>51.62</v>
      </c>
      <c r="N1804">
        <v>1</v>
      </c>
      <c r="O1804" t="s">
        <v>20</v>
      </c>
      <c r="P1804" t="s">
        <v>21</v>
      </c>
      <c r="Q1804">
        <f t="shared" si="140"/>
        <v>20</v>
      </c>
      <c r="R1804" s="4">
        <f>RANK(N1804,$N$2:N$2800,0)</f>
        <v>1</v>
      </c>
      <c r="S1804">
        <f t="shared" si="141"/>
        <v>3.6</v>
      </c>
      <c r="T1804" t="str">
        <f t="shared" si="142"/>
        <v>Good</v>
      </c>
      <c r="U1804" t="str" cm="1">
        <f t="array" ref="U1804">_xlfn.LET(_xlpm.roles,_xlfn.UNIQUE(D1804:D4602),_xlpm.kills, SUMIF(D1804:D4602,_xlpm.roles,G1804:G4602),INDEX(_xlpm.roles,MATCH(MAX(_xlpm.kills),_xlpm.kills,0)))</f>
        <v>Sniper</v>
      </c>
      <c r="V1804" t="str">
        <f t="shared" si="143"/>
        <v>Medium Accuracy</v>
      </c>
      <c r="W1804" t="str" cm="1">
        <f t="array" ref="W1804">_xlfn.LET(_xlpm.roles,_xlfn.UNIQUE(D1804:D4602), _xlpm.counts,COUNTIF(D1804:D4602,_xlpm.roles), INDEX(_xlpm.roles,MATCH(MAX(_xlpm.counts),_xlpm.counts,0)))</f>
        <v>Sniper</v>
      </c>
      <c r="X1804" s="2">
        <f t="shared" si="144"/>
        <v>13.135802469135802</v>
      </c>
    </row>
    <row r="1805" spans="1:24" x14ac:dyDescent="0.3">
      <c r="A1805">
        <v>2638</v>
      </c>
      <c r="B1805">
        <v>319</v>
      </c>
      <c r="C1805" t="s">
        <v>16</v>
      </c>
      <c r="D1805" t="s">
        <v>22</v>
      </c>
      <c r="E1805" t="s">
        <v>29</v>
      </c>
      <c r="F1805" t="s">
        <v>37</v>
      </c>
      <c r="G1805">
        <v>14</v>
      </c>
      <c r="H1805">
        <v>4</v>
      </c>
      <c r="I1805">
        <v>10</v>
      </c>
      <c r="J1805">
        <v>40.32</v>
      </c>
      <c r="K1805">
        <v>184.67</v>
      </c>
      <c r="L1805">
        <v>0.56999999999999995</v>
      </c>
      <c r="M1805">
        <v>36.46</v>
      </c>
      <c r="N1805">
        <v>0.94</v>
      </c>
      <c r="O1805" t="s">
        <v>20</v>
      </c>
      <c r="P1805" t="s">
        <v>21</v>
      </c>
      <c r="Q1805">
        <f t="shared" si="140"/>
        <v>8</v>
      </c>
      <c r="R1805" s="4">
        <f>RANK(N1805,$N$2:N$2800,0)</f>
        <v>1431</v>
      </c>
      <c r="S1805">
        <f t="shared" si="141"/>
        <v>1.4</v>
      </c>
      <c r="T1805" t="str">
        <f t="shared" si="142"/>
        <v>Low</v>
      </c>
      <c r="U1805" t="str" cm="1">
        <f t="array" ref="U1805">_xlfn.LET(_xlpm.roles,_xlfn.UNIQUE(D1805:D4603),_xlpm.kills, SUMIF(D1805:D4603,_xlpm.roles,G1805:G4603),INDEX(_xlpm.roles,MATCH(MAX(_xlpm.kills),_xlpm.kills,0)))</f>
        <v>Sniper</v>
      </c>
      <c r="V1805" t="str">
        <f t="shared" si="143"/>
        <v>Medium Accuracy</v>
      </c>
      <c r="W1805" t="str" cm="1">
        <f t="array" ref="W1805">_xlfn.LET(_xlpm.roles,_xlfn.UNIQUE(D1805:D4603), _xlpm.counts,COUNTIF(D1805:D4603,_xlpm.roles), INDEX(_xlpm.roles,MATCH(MAX(_xlpm.counts),_xlpm.counts,0)))</f>
        <v>Sniper</v>
      </c>
      <c r="X1805" s="2">
        <f t="shared" si="144"/>
        <v>12.520971302428256</v>
      </c>
    </row>
    <row r="1806" spans="1:24" x14ac:dyDescent="0.3">
      <c r="A1806">
        <v>485</v>
      </c>
      <c r="B1806">
        <v>320</v>
      </c>
      <c r="C1806" t="s">
        <v>35</v>
      </c>
      <c r="D1806" t="s">
        <v>36</v>
      </c>
      <c r="E1806" t="s">
        <v>18</v>
      </c>
      <c r="F1806" t="s">
        <v>24</v>
      </c>
      <c r="G1806">
        <v>20</v>
      </c>
      <c r="H1806">
        <v>10</v>
      </c>
      <c r="I1806">
        <v>13</v>
      </c>
      <c r="J1806">
        <v>42.7</v>
      </c>
      <c r="K1806">
        <v>189.09</v>
      </c>
      <c r="L1806">
        <v>0.98</v>
      </c>
      <c r="M1806">
        <v>48.55</v>
      </c>
      <c r="N1806">
        <v>1</v>
      </c>
      <c r="O1806" t="s">
        <v>20</v>
      </c>
      <c r="P1806" t="s">
        <v>21</v>
      </c>
      <c r="Q1806">
        <f t="shared" si="140"/>
        <v>17</v>
      </c>
      <c r="R1806" s="4">
        <f>RANK(N1806,$N$2:N$2800,0)</f>
        <v>1</v>
      </c>
      <c r="S1806">
        <f t="shared" si="141"/>
        <v>1.5384615384615385</v>
      </c>
      <c r="T1806" t="str">
        <f t="shared" si="142"/>
        <v>Good</v>
      </c>
      <c r="U1806" t="str" cm="1">
        <f t="array" ref="U1806">_xlfn.LET(_xlpm.roles,_xlfn.UNIQUE(D1806:D4604),_xlpm.kills, SUMIF(D1806:D4604,_xlpm.roles,G1806:G4604),INDEX(_xlpm.roles,MATCH(MAX(_xlpm.kills),_xlpm.kills,0)))</f>
        <v>Sniper</v>
      </c>
      <c r="V1806" t="str">
        <f t="shared" si="143"/>
        <v>Medium Accuracy</v>
      </c>
      <c r="W1806" t="str" cm="1">
        <f t="array" ref="W1806">_xlfn.LET(_xlpm.roles,_xlfn.UNIQUE(D1806:D4604), _xlpm.counts,COUNTIF(D1806:D4604,_xlpm.roles), INDEX(_xlpm.roles,MATCH(MAX(_xlpm.counts),_xlpm.counts,0)))</f>
        <v>Sniper</v>
      </c>
      <c r="X1806" s="2">
        <f t="shared" si="144"/>
        <v>12.599585062240664</v>
      </c>
    </row>
    <row r="1807" spans="1:24" x14ac:dyDescent="0.3">
      <c r="A1807">
        <v>1633</v>
      </c>
      <c r="B1807">
        <v>320</v>
      </c>
      <c r="C1807" t="s">
        <v>30</v>
      </c>
      <c r="D1807" t="s">
        <v>17</v>
      </c>
      <c r="E1807" t="s">
        <v>29</v>
      </c>
      <c r="F1807" t="s">
        <v>37</v>
      </c>
      <c r="G1807">
        <v>22</v>
      </c>
      <c r="H1807">
        <v>9</v>
      </c>
      <c r="I1807">
        <v>11</v>
      </c>
      <c r="J1807">
        <v>54.01</v>
      </c>
      <c r="K1807">
        <v>175.4</v>
      </c>
      <c r="L1807">
        <v>0.13</v>
      </c>
      <c r="M1807">
        <v>67.7</v>
      </c>
      <c r="N1807">
        <v>1</v>
      </c>
      <c r="O1807" t="s">
        <v>20</v>
      </c>
      <c r="P1807" t="s">
        <v>38</v>
      </c>
      <c r="Q1807">
        <f t="shared" si="140"/>
        <v>20</v>
      </c>
      <c r="R1807" s="4">
        <f>RANK(N1807,$N$2:N$2800,0)</f>
        <v>1</v>
      </c>
      <c r="S1807">
        <f t="shared" si="141"/>
        <v>2</v>
      </c>
      <c r="T1807" t="str">
        <f t="shared" si="142"/>
        <v>Good</v>
      </c>
      <c r="U1807" t="str" cm="1">
        <f t="array" ref="U1807">_xlfn.LET(_xlpm.roles,_xlfn.UNIQUE(D1807:D4605),_xlpm.kills, SUMIF(D1807:D4605,_xlpm.roles,G1807:G4605),INDEX(_xlpm.roles,MATCH(MAX(_xlpm.kills),_xlpm.kills,0)))</f>
        <v>Sniper</v>
      </c>
      <c r="V1807" t="str">
        <f t="shared" si="143"/>
        <v>High Accuracy</v>
      </c>
      <c r="W1807" t="str" cm="1">
        <f t="array" ref="W1807">_xlfn.LET(_xlpm.roles,_xlfn.UNIQUE(D1807:D4605), _xlpm.counts,COUNTIF(D1807:D4605,_xlpm.roles), INDEX(_xlpm.roles,MATCH(MAX(_xlpm.counts),_xlpm.counts,0)))</f>
        <v>Sniper</v>
      </c>
      <c r="X1807" s="2">
        <f t="shared" si="144"/>
        <v>13.135802469135802</v>
      </c>
    </row>
    <row r="1808" spans="1:24" x14ac:dyDescent="0.3">
      <c r="A1808">
        <v>2575</v>
      </c>
      <c r="B1808">
        <v>320</v>
      </c>
      <c r="C1808" t="s">
        <v>39</v>
      </c>
      <c r="D1808" t="s">
        <v>31</v>
      </c>
      <c r="E1808" t="s">
        <v>33</v>
      </c>
      <c r="F1808" t="s">
        <v>24</v>
      </c>
      <c r="G1808">
        <v>22</v>
      </c>
      <c r="H1808">
        <v>7</v>
      </c>
      <c r="I1808">
        <v>11</v>
      </c>
      <c r="J1808">
        <v>53.18</v>
      </c>
      <c r="K1808">
        <v>215.68</v>
      </c>
      <c r="L1808">
        <v>0.79</v>
      </c>
      <c r="M1808">
        <v>58.69</v>
      </c>
      <c r="N1808">
        <v>1</v>
      </c>
      <c r="O1808" t="s">
        <v>20</v>
      </c>
      <c r="P1808" t="s">
        <v>21</v>
      </c>
      <c r="Q1808">
        <f t="shared" si="140"/>
        <v>18</v>
      </c>
      <c r="R1808" s="4">
        <f>RANK(N1808,$N$2:N$2800,0)</f>
        <v>1</v>
      </c>
      <c r="S1808">
        <f t="shared" si="141"/>
        <v>2</v>
      </c>
      <c r="T1808" t="str">
        <f t="shared" si="142"/>
        <v>Good</v>
      </c>
      <c r="U1808" t="str" cm="1">
        <f t="array" ref="U1808">_xlfn.LET(_xlpm.roles,_xlfn.UNIQUE(D1808:D4606),_xlpm.kills, SUMIF(D1808:D4606,_xlpm.roles,G1808:G4606),INDEX(_xlpm.roles,MATCH(MAX(_xlpm.kills),_xlpm.kills,0)))</f>
        <v>Sniper</v>
      </c>
      <c r="V1808" t="str">
        <f t="shared" si="143"/>
        <v>High Accuracy</v>
      </c>
      <c r="W1808" t="str" cm="1">
        <f t="array" ref="W1808">_xlfn.LET(_xlpm.roles,_xlfn.UNIQUE(D1808:D4606), _xlpm.counts,COUNTIF(D1808:D4606,_xlpm.roles), INDEX(_xlpm.roles,MATCH(MAX(_xlpm.counts),_xlpm.counts,0)))</f>
        <v>Sniper</v>
      </c>
      <c r="X1808" s="2">
        <f t="shared" si="144"/>
        <v>13.103594080338267</v>
      </c>
    </row>
    <row r="1809" spans="1:24" x14ac:dyDescent="0.3">
      <c r="A1809">
        <v>162</v>
      </c>
      <c r="B1809">
        <v>321</v>
      </c>
      <c r="C1809" t="s">
        <v>35</v>
      </c>
      <c r="D1809" t="s">
        <v>31</v>
      </c>
      <c r="E1809" t="s">
        <v>18</v>
      </c>
      <c r="F1809" t="s">
        <v>24</v>
      </c>
      <c r="G1809">
        <v>11</v>
      </c>
      <c r="H1809">
        <v>6</v>
      </c>
      <c r="I1809">
        <v>17</v>
      </c>
      <c r="J1809">
        <v>39.799999999999997</v>
      </c>
      <c r="K1809">
        <v>225.92</v>
      </c>
      <c r="L1809">
        <v>0.62</v>
      </c>
      <c r="M1809">
        <v>24.7</v>
      </c>
      <c r="N1809">
        <v>0.67</v>
      </c>
      <c r="O1809" t="s">
        <v>20</v>
      </c>
      <c r="P1809" t="s">
        <v>21</v>
      </c>
      <c r="Q1809">
        <f t="shared" si="140"/>
        <v>0</v>
      </c>
      <c r="R1809" s="4">
        <f>RANK(N1809,$N$2:N$2800,0)</f>
        <v>2731</v>
      </c>
      <c r="S1809">
        <f t="shared" si="141"/>
        <v>0.6470588235294118</v>
      </c>
      <c r="T1809" t="str">
        <f t="shared" si="142"/>
        <v>Low</v>
      </c>
      <c r="U1809" t="str" cm="1">
        <f t="array" ref="U1809">_xlfn.LET(_xlpm.roles,_xlfn.UNIQUE(D1809:D4607),_xlpm.kills, SUMIF(D1809:D4607,_xlpm.roles,G1809:G4607),INDEX(_xlpm.roles,MATCH(MAX(_xlpm.kills),_xlpm.kills,0)))</f>
        <v>Sniper</v>
      </c>
      <c r="V1809" t="str">
        <f t="shared" si="143"/>
        <v>Medium Accuracy</v>
      </c>
      <c r="W1809" t="str" cm="1">
        <f t="array" ref="W1809">_xlfn.LET(_xlpm.roles,_xlfn.UNIQUE(D1809:D4607), _xlpm.counts,COUNTIF(D1809:D4607,_xlpm.roles), INDEX(_xlpm.roles,MATCH(MAX(_xlpm.counts),_xlpm.counts,0)))</f>
        <v>Sniper</v>
      </c>
      <c r="X1809" s="2">
        <f t="shared" si="144"/>
        <v>12.599585062240664</v>
      </c>
    </row>
    <row r="1810" spans="1:24" x14ac:dyDescent="0.3">
      <c r="A1810">
        <v>608</v>
      </c>
      <c r="B1810">
        <v>321</v>
      </c>
      <c r="C1810" t="s">
        <v>39</v>
      </c>
      <c r="D1810" t="s">
        <v>17</v>
      </c>
      <c r="E1810" t="s">
        <v>29</v>
      </c>
      <c r="F1810" t="s">
        <v>24</v>
      </c>
      <c r="G1810">
        <v>13</v>
      </c>
      <c r="H1810">
        <v>10</v>
      </c>
      <c r="I1810">
        <v>7</v>
      </c>
      <c r="J1810">
        <v>38.020000000000003</v>
      </c>
      <c r="K1810">
        <v>219.12</v>
      </c>
      <c r="L1810">
        <v>0.82</v>
      </c>
      <c r="M1810">
        <v>39.81</v>
      </c>
      <c r="N1810">
        <v>0.94</v>
      </c>
      <c r="O1810" t="s">
        <v>20</v>
      </c>
      <c r="P1810" t="s">
        <v>21</v>
      </c>
      <c r="Q1810">
        <f t="shared" si="140"/>
        <v>16</v>
      </c>
      <c r="R1810" s="4">
        <f>RANK(N1810,$N$2:N$2800,0)</f>
        <v>1431</v>
      </c>
      <c r="S1810">
        <f t="shared" si="141"/>
        <v>1.8571428571428572</v>
      </c>
      <c r="T1810" t="str">
        <f t="shared" si="142"/>
        <v>Good</v>
      </c>
      <c r="U1810" t="str" cm="1">
        <f t="array" ref="U1810">_xlfn.LET(_xlpm.roles,_xlfn.UNIQUE(D1810:D4608),_xlpm.kills, SUMIF(D1810:D4608,_xlpm.roles,G1810:G4608),INDEX(_xlpm.roles,MATCH(MAX(_xlpm.kills),_xlpm.kills,0)))</f>
        <v>Sniper</v>
      </c>
      <c r="V1810" t="str">
        <f t="shared" si="143"/>
        <v>Medium Accuracy</v>
      </c>
      <c r="W1810" t="str" cm="1">
        <f t="array" ref="W1810">_xlfn.LET(_xlpm.roles,_xlfn.UNIQUE(D1810:D4608), _xlpm.counts,COUNTIF(D1810:D4608,_xlpm.roles), INDEX(_xlpm.roles,MATCH(MAX(_xlpm.counts),_xlpm.counts,0)))</f>
        <v>Sniper</v>
      </c>
      <c r="X1810" s="2">
        <f t="shared" si="144"/>
        <v>13.103594080338267</v>
      </c>
    </row>
    <row r="1811" spans="1:24" x14ac:dyDescent="0.3">
      <c r="A1811">
        <v>846</v>
      </c>
      <c r="B1811">
        <v>321</v>
      </c>
      <c r="C1811" t="s">
        <v>35</v>
      </c>
      <c r="D1811" t="s">
        <v>28</v>
      </c>
      <c r="E1811" t="s">
        <v>33</v>
      </c>
      <c r="F1811" t="s">
        <v>37</v>
      </c>
      <c r="G1811">
        <v>20</v>
      </c>
      <c r="H1811">
        <v>7</v>
      </c>
      <c r="I1811">
        <v>5</v>
      </c>
      <c r="J1811">
        <v>39.340000000000003</v>
      </c>
      <c r="K1811">
        <v>193.81</v>
      </c>
      <c r="L1811">
        <v>0.81</v>
      </c>
      <c r="M1811">
        <v>53.57</v>
      </c>
      <c r="N1811">
        <v>0.99</v>
      </c>
      <c r="O1811" t="s">
        <v>20</v>
      </c>
      <c r="P1811" t="s">
        <v>21</v>
      </c>
      <c r="Q1811">
        <f t="shared" si="140"/>
        <v>22</v>
      </c>
      <c r="R1811" s="4">
        <f>RANK(N1811,$N$2:N$2800,0)</f>
        <v>1080</v>
      </c>
      <c r="S1811">
        <f t="shared" si="141"/>
        <v>4</v>
      </c>
      <c r="T1811" t="str">
        <f t="shared" si="142"/>
        <v>Good</v>
      </c>
      <c r="U1811" t="str" cm="1">
        <f t="array" ref="U1811">_xlfn.LET(_xlpm.roles,_xlfn.UNIQUE(D1811:D4609),_xlpm.kills, SUMIF(D1811:D4609,_xlpm.roles,G1811:G4609),INDEX(_xlpm.roles,MATCH(MAX(_xlpm.kills),_xlpm.kills,0)))</f>
        <v>Sniper</v>
      </c>
      <c r="V1811" t="str">
        <f t="shared" si="143"/>
        <v>Medium Accuracy</v>
      </c>
      <c r="W1811" t="str" cm="1">
        <f t="array" ref="W1811">_xlfn.LET(_xlpm.roles,_xlfn.UNIQUE(D1811:D4609), _xlpm.counts,COUNTIF(D1811:D4609,_xlpm.roles), INDEX(_xlpm.roles,MATCH(MAX(_xlpm.counts),_xlpm.counts,0)))</f>
        <v>Sniper</v>
      </c>
      <c r="X1811" s="2">
        <f t="shared" si="144"/>
        <v>12.599585062240664</v>
      </c>
    </row>
    <row r="1812" spans="1:24" x14ac:dyDescent="0.3">
      <c r="A1812">
        <v>1581</v>
      </c>
      <c r="B1812">
        <v>321</v>
      </c>
      <c r="C1812" t="s">
        <v>35</v>
      </c>
      <c r="D1812" t="s">
        <v>17</v>
      </c>
      <c r="E1812" t="s">
        <v>33</v>
      </c>
      <c r="F1812" t="s">
        <v>19</v>
      </c>
      <c r="G1812">
        <v>17</v>
      </c>
      <c r="H1812">
        <v>7</v>
      </c>
      <c r="I1812">
        <v>12</v>
      </c>
      <c r="J1812">
        <v>44.32</v>
      </c>
      <c r="K1812">
        <v>238.05</v>
      </c>
      <c r="L1812">
        <v>0.43</v>
      </c>
      <c r="M1812">
        <v>46.86</v>
      </c>
      <c r="N1812">
        <v>1</v>
      </c>
      <c r="O1812" t="s">
        <v>20</v>
      </c>
      <c r="P1812" t="s">
        <v>21</v>
      </c>
      <c r="Q1812">
        <f t="shared" si="140"/>
        <v>12</v>
      </c>
      <c r="R1812" s="4">
        <f>RANK(N1812,$N$2:N$2800,0)</f>
        <v>1</v>
      </c>
      <c r="S1812">
        <f t="shared" si="141"/>
        <v>1.4166666666666667</v>
      </c>
      <c r="T1812" t="str">
        <f t="shared" si="142"/>
        <v>Low</v>
      </c>
      <c r="U1812" t="str" cm="1">
        <f t="array" ref="U1812">_xlfn.LET(_xlpm.roles,_xlfn.UNIQUE(D1812:D4610),_xlpm.kills, SUMIF(D1812:D4610,_xlpm.roles,G1812:G4610),INDEX(_xlpm.roles,MATCH(MAX(_xlpm.kills),_xlpm.kills,0)))</f>
        <v>Sniper</v>
      </c>
      <c r="V1812" t="str">
        <f t="shared" si="143"/>
        <v>Medium Accuracy</v>
      </c>
      <c r="W1812" t="str" cm="1">
        <f t="array" ref="W1812">_xlfn.LET(_xlpm.roles,_xlfn.UNIQUE(D1812:D4610), _xlpm.counts,COUNTIF(D1812:D4610,_xlpm.roles), INDEX(_xlpm.roles,MATCH(MAX(_xlpm.counts),_xlpm.counts,0)))</f>
        <v>Sniper</v>
      </c>
      <c r="X1812" s="2">
        <f t="shared" si="144"/>
        <v>12.599585062240664</v>
      </c>
    </row>
    <row r="1813" spans="1:24" x14ac:dyDescent="0.3">
      <c r="A1813">
        <v>2604</v>
      </c>
      <c r="B1813">
        <v>321</v>
      </c>
      <c r="C1813" t="s">
        <v>39</v>
      </c>
      <c r="D1813" t="s">
        <v>22</v>
      </c>
      <c r="E1813" t="s">
        <v>23</v>
      </c>
      <c r="F1813" t="s">
        <v>19</v>
      </c>
      <c r="G1813">
        <v>18</v>
      </c>
      <c r="H1813">
        <v>9</v>
      </c>
      <c r="I1813">
        <v>16</v>
      </c>
      <c r="J1813">
        <v>45.76</v>
      </c>
      <c r="K1813">
        <v>267.3</v>
      </c>
      <c r="L1813">
        <v>0.78</v>
      </c>
      <c r="M1813">
        <v>44.08</v>
      </c>
      <c r="N1813">
        <v>0.79</v>
      </c>
      <c r="O1813" t="s">
        <v>20</v>
      </c>
      <c r="P1813" t="s">
        <v>21</v>
      </c>
      <c r="Q1813">
        <f t="shared" si="140"/>
        <v>11</v>
      </c>
      <c r="R1813" s="4">
        <f>RANK(N1813,$N$2:N$2800,0)</f>
        <v>2436</v>
      </c>
      <c r="S1813">
        <f t="shared" si="141"/>
        <v>1.125</v>
      </c>
      <c r="T1813" t="str">
        <f t="shared" si="142"/>
        <v>Low</v>
      </c>
      <c r="U1813" t="str" cm="1">
        <f t="array" ref="U1813">_xlfn.LET(_xlpm.roles,_xlfn.UNIQUE(D1813:D4611),_xlpm.kills, SUMIF(D1813:D4611,_xlpm.roles,G1813:G4611),INDEX(_xlpm.roles,MATCH(MAX(_xlpm.kills),_xlpm.kills,0)))</f>
        <v>Sniper</v>
      </c>
      <c r="V1813" t="str">
        <f t="shared" si="143"/>
        <v>Medium Accuracy</v>
      </c>
      <c r="W1813" t="str" cm="1">
        <f t="array" ref="W1813">_xlfn.LET(_xlpm.roles,_xlfn.UNIQUE(D1813:D4611), _xlpm.counts,COUNTIF(D1813:D4611,_xlpm.roles), INDEX(_xlpm.roles,MATCH(MAX(_xlpm.counts),_xlpm.counts,0)))</f>
        <v>Sniper</v>
      </c>
      <c r="X1813" s="2">
        <f t="shared" si="144"/>
        <v>13.103594080338267</v>
      </c>
    </row>
    <row r="1814" spans="1:24" x14ac:dyDescent="0.3">
      <c r="A1814">
        <v>632</v>
      </c>
      <c r="B1814">
        <v>322</v>
      </c>
      <c r="C1814" t="s">
        <v>35</v>
      </c>
      <c r="D1814" t="s">
        <v>31</v>
      </c>
      <c r="E1814" t="s">
        <v>32</v>
      </c>
      <c r="F1814" t="s">
        <v>34</v>
      </c>
      <c r="G1814">
        <v>7</v>
      </c>
      <c r="H1814">
        <v>6</v>
      </c>
      <c r="I1814">
        <v>12</v>
      </c>
      <c r="J1814">
        <v>37.32</v>
      </c>
      <c r="K1814">
        <v>250.81</v>
      </c>
      <c r="L1814">
        <v>0.78</v>
      </c>
      <c r="M1814">
        <v>18.86</v>
      </c>
      <c r="N1814">
        <v>0.77</v>
      </c>
      <c r="O1814" t="s">
        <v>20</v>
      </c>
      <c r="P1814" t="s">
        <v>21</v>
      </c>
      <c r="Q1814">
        <f t="shared" si="140"/>
        <v>1</v>
      </c>
      <c r="R1814" s="4">
        <f>RANK(N1814,$N$2:N$2800,0)</f>
        <v>2511</v>
      </c>
      <c r="S1814">
        <f t="shared" si="141"/>
        <v>0.58333333333333337</v>
      </c>
      <c r="T1814" t="str">
        <f t="shared" si="142"/>
        <v>Low</v>
      </c>
      <c r="U1814" t="str" cm="1">
        <f t="array" ref="U1814">_xlfn.LET(_xlpm.roles,_xlfn.UNIQUE(D1814:D4612),_xlpm.kills, SUMIF(D1814:D4612,_xlpm.roles,G1814:G4612),INDEX(_xlpm.roles,MATCH(MAX(_xlpm.kills),_xlpm.kills,0)))</f>
        <v>Sniper</v>
      </c>
      <c r="V1814" t="str">
        <f t="shared" si="143"/>
        <v>Medium Accuracy</v>
      </c>
      <c r="W1814" t="str" cm="1">
        <f t="array" ref="W1814">_xlfn.LET(_xlpm.roles,_xlfn.UNIQUE(D1814:D4612), _xlpm.counts,COUNTIF(D1814:D4612,_xlpm.roles), INDEX(_xlpm.roles,MATCH(MAX(_xlpm.counts),_xlpm.counts,0)))</f>
        <v>Sniper</v>
      </c>
      <c r="X1814" s="2">
        <f t="shared" si="144"/>
        <v>12.599585062240664</v>
      </c>
    </row>
    <row r="1815" spans="1:24" x14ac:dyDescent="0.3">
      <c r="A1815">
        <v>1491</v>
      </c>
      <c r="B1815">
        <v>322</v>
      </c>
      <c r="C1815" t="s">
        <v>30</v>
      </c>
      <c r="D1815" t="s">
        <v>22</v>
      </c>
      <c r="E1815" t="s">
        <v>23</v>
      </c>
      <c r="F1815" t="s">
        <v>34</v>
      </c>
      <c r="G1815">
        <v>17</v>
      </c>
      <c r="H1815">
        <v>7</v>
      </c>
      <c r="I1815">
        <v>15</v>
      </c>
      <c r="J1815">
        <v>48.3</v>
      </c>
      <c r="K1815">
        <v>215.17</v>
      </c>
      <c r="L1815">
        <v>0.65</v>
      </c>
      <c r="M1815">
        <v>43.65</v>
      </c>
      <c r="N1815">
        <v>0.79</v>
      </c>
      <c r="O1815" t="s">
        <v>20</v>
      </c>
      <c r="P1815" t="s">
        <v>21</v>
      </c>
      <c r="Q1815">
        <f t="shared" si="140"/>
        <v>9</v>
      </c>
      <c r="R1815" s="4">
        <f>RANK(N1815,$N$2:N$2800,0)</f>
        <v>2436</v>
      </c>
      <c r="S1815">
        <f t="shared" si="141"/>
        <v>1.1333333333333333</v>
      </c>
      <c r="T1815" t="str">
        <f t="shared" si="142"/>
        <v>Low</v>
      </c>
      <c r="U1815" t="str" cm="1">
        <f t="array" ref="U1815">_xlfn.LET(_xlpm.roles,_xlfn.UNIQUE(D1815:D4613),_xlpm.kills, SUMIF(D1815:D4613,_xlpm.roles,G1815:G4613),INDEX(_xlpm.roles,MATCH(MAX(_xlpm.kills),_xlpm.kills,0)))</f>
        <v>Sniper</v>
      </c>
      <c r="V1815" t="str">
        <f t="shared" si="143"/>
        <v>Medium Accuracy</v>
      </c>
      <c r="W1815" t="str" cm="1">
        <f t="array" ref="W1815">_xlfn.LET(_xlpm.roles,_xlfn.UNIQUE(D1815:D4613), _xlpm.counts,COUNTIF(D1815:D4613,_xlpm.roles), INDEX(_xlpm.roles,MATCH(MAX(_xlpm.counts),_xlpm.counts,0)))</f>
        <v>Sniper</v>
      </c>
      <c r="X1815" s="2">
        <f t="shared" si="144"/>
        <v>13.135802469135802</v>
      </c>
    </row>
    <row r="1816" spans="1:24" x14ac:dyDescent="0.3">
      <c r="A1816">
        <v>2313</v>
      </c>
      <c r="B1816">
        <v>322</v>
      </c>
      <c r="C1816" t="s">
        <v>39</v>
      </c>
      <c r="D1816" t="s">
        <v>28</v>
      </c>
      <c r="E1816" t="s">
        <v>29</v>
      </c>
      <c r="F1816" t="s">
        <v>37</v>
      </c>
      <c r="G1816">
        <v>16</v>
      </c>
      <c r="H1816">
        <v>9</v>
      </c>
      <c r="I1816">
        <v>7</v>
      </c>
      <c r="J1816">
        <v>41</v>
      </c>
      <c r="K1816">
        <v>204.22</v>
      </c>
      <c r="L1816">
        <v>0.22</v>
      </c>
      <c r="M1816">
        <v>52.3</v>
      </c>
      <c r="N1816">
        <v>0.99</v>
      </c>
      <c r="O1816" t="s">
        <v>20</v>
      </c>
      <c r="P1816" t="s">
        <v>21</v>
      </c>
      <c r="Q1816">
        <f t="shared" si="140"/>
        <v>18</v>
      </c>
      <c r="R1816" s="4">
        <f>RANK(N1816,$N$2:N$2800,0)</f>
        <v>1080</v>
      </c>
      <c r="S1816">
        <f t="shared" si="141"/>
        <v>2.2857142857142856</v>
      </c>
      <c r="T1816" t="str">
        <f t="shared" si="142"/>
        <v>Good</v>
      </c>
      <c r="U1816" t="str" cm="1">
        <f t="array" ref="U1816">_xlfn.LET(_xlpm.roles,_xlfn.UNIQUE(D1816:D4614),_xlpm.kills, SUMIF(D1816:D4614,_xlpm.roles,G1816:G4614),INDEX(_xlpm.roles,MATCH(MAX(_xlpm.kills),_xlpm.kills,0)))</f>
        <v>Sniper</v>
      </c>
      <c r="V1816" t="str">
        <f t="shared" si="143"/>
        <v>Medium Accuracy</v>
      </c>
      <c r="W1816" t="str" cm="1">
        <f t="array" ref="W1816">_xlfn.LET(_xlpm.roles,_xlfn.UNIQUE(D1816:D4614), _xlpm.counts,COUNTIF(D1816:D4614,_xlpm.roles), INDEX(_xlpm.roles,MATCH(MAX(_xlpm.counts),_xlpm.counts,0)))</f>
        <v>Sniper</v>
      </c>
      <c r="X1816" s="2">
        <f t="shared" si="144"/>
        <v>13.103594080338267</v>
      </c>
    </row>
    <row r="1817" spans="1:24" x14ac:dyDescent="0.3">
      <c r="A1817">
        <v>1227</v>
      </c>
      <c r="B1817">
        <v>323</v>
      </c>
      <c r="C1817" t="s">
        <v>39</v>
      </c>
      <c r="D1817" t="s">
        <v>31</v>
      </c>
      <c r="E1817" t="s">
        <v>29</v>
      </c>
      <c r="F1817" t="s">
        <v>37</v>
      </c>
      <c r="G1817">
        <v>10</v>
      </c>
      <c r="H1817">
        <v>12</v>
      </c>
      <c r="I1817">
        <v>13</v>
      </c>
      <c r="J1817">
        <v>39.549999999999997</v>
      </c>
      <c r="K1817">
        <v>220.54</v>
      </c>
      <c r="L1817">
        <v>0.56999999999999995</v>
      </c>
      <c r="M1817">
        <v>33.08</v>
      </c>
      <c r="N1817">
        <v>0.85</v>
      </c>
      <c r="O1817" t="s">
        <v>20</v>
      </c>
      <c r="P1817" t="s">
        <v>21</v>
      </c>
      <c r="Q1817">
        <f t="shared" si="140"/>
        <v>9</v>
      </c>
      <c r="R1817" s="4">
        <f>RANK(N1817,$N$2:N$2800,0)</f>
        <v>2105</v>
      </c>
      <c r="S1817">
        <f t="shared" si="141"/>
        <v>0.76923076923076927</v>
      </c>
      <c r="T1817" t="str">
        <f t="shared" si="142"/>
        <v>Low</v>
      </c>
      <c r="U1817" t="str" cm="1">
        <f t="array" ref="U1817">_xlfn.LET(_xlpm.roles,_xlfn.UNIQUE(D1817:D4615),_xlpm.kills, SUMIF(D1817:D4615,_xlpm.roles,G1817:G4615),INDEX(_xlpm.roles,MATCH(MAX(_xlpm.kills),_xlpm.kills,0)))</f>
        <v>Sniper</v>
      </c>
      <c r="V1817" t="str">
        <f t="shared" si="143"/>
        <v>Medium Accuracy</v>
      </c>
      <c r="W1817" t="str" cm="1">
        <f t="array" ref="W1817">_xlfn.LET(_xlpm.roles,_xlfn.UNIQUE(D1817:D4615), _xlpm.counts,COUNTIF(D1817:D4615,_xlpm.roles), INDEX(_xlpm.roles,MATCH(MAX(_xlpm.counts),_xlpm.counts,0)))</f>
        <v>Sniper</v>
      </c>
      <c r="X1817" s="2">
        <f t="shared" si="144"/>
        <v>13.103594080338267</v>
      </c>
    </row>
    <row r="1818" spans="1:24" x14ac:dyDescent="0.3">
      <c r="A1818">
        <v>1671</v>
      </c>
      <c r="B1818">
        <v>323</v>
      </c>
      <c r="C1818" t="s">
        <v>39</v>
      </c>
      <c r="D1818" t="s">
        <v>31</v>
      </c>
      <c r="E1818" t="s">
        <v>29</v>
      </c>
      <c r="F1818" t="s">
        <v>37</v>
      </c>
      <c r="G1818">
        <v>15</v>
      </c>
      <c r="H1818">
        <v>8</v>
      </c>
      <c r="I1818">
        <v>13</v>
      </c>
      <c r="J1818">
        <v>50.84</v>
      </c>
      <c r="K1818">
        <v>190.63</v>
      </c>
      <c r="L1818">
        <v>0.41</v>
      </c>
      <c r="M1818">
        <v>46.32</v>
      </c>
      <c r="N1818">
        <v>1</v>
      </c>
      <c r="O1818" t="s">
        <v>20</v>
      </c>
      <c r="P1818" t="s">
        <v>21</v>
      </c>
      <c r="Q1818">
        <f t="shared" si="140"/>
        <v>10</v>
      </c>
      <c r="R1818" s="4">
        <f>RANK(N1818,$N$2:N$2800,0)</f>
        <v>1</v>
      </c>
      <c r="S1818">
        <f t="shared" si="141"/>
        <v>1.1538461538461537</v>
      </c>
      <c r="T1818" t="str">
        <f t="shared" si="142"/>
        <v>Low</v>
      </c>
      <c r="U1818" t="str" cm="1">
        <f t="array" ref="U1818">_xlfn.LET(_xlpm.roles,_xlfn.UNIQUE(D1818:D4616),_xlpm.kills, SUMIF(D1818:D4616,_xlpm.roles,G1818:G4616),INDEX(_xlpm.roles,MATCH(MAX(_xlpm.kills),_xlpm.kills,0)))</f>
        <v>Sniper</v>
      </c>
      <c r="V1818" t="str">
        <f t="shared" si="143"/>
        <v>High Accuracy</v>
      </c>
      <c r="W1818" t="str" cm="1">
        <f t="array" ref="W1818">_xlfn.LET(_xlpm.roles,_xlfn.UNIQUE(D1818:D4616), _xlpm.counts,COUNTIF(D1818:D4616,_xlpm.roles), INDEX(_xlpm.roles,MATCH(MAX(_xlpm.counts),_xlpm.counts,0)))</f>
        <v>Sniper</v>
      </c>
      <c r="X1818" s="2">
        <f t="shared" si="144"/>
        <v>13.103594080338267</v>
      </c>
    </row>
    <row r="1819" spans="1:24" x14ac:dyDescent="0.3">
      <c r="A1819">
        <v>2421</v>
      </c>
      <c r="B1819">
        <v>323</v>
      </c>
      <c r="C1819" t="s">
        <v>27</v>
      </c>
      <c r="D1819" t="s">
        <v>31</v>
      </c>
      <c r="E1819" t="s">
        <v>29</v>
      </c>
      <c r="F1819" t="s">
        <v>26</v>
      </c>
      <c r="G1819">
        <v>14</v>
      </c>
      <c r="H1819">
        <v>5</v>
      </c>
      <c r="I1819">
        <v>6</v>
      </c>
      <c r="J1819">
        <v>35.69</v>
      </c>
      <c r="K1819">
        <v>185.81</v>
      </c>
      <c r="L1819">
        <v>1</v>
      </c>
      <c r="M1819">
        <v>34.840000000000003</v>
      </c>
      <c r="N1819">
        <v>0.78</v>
      </c>
      <c r="O1819" t="s">
        <v>20</v>
      </c>
      <c r="P1819" t="s">
        <v>21</v>
      </c>
      <c r="Q1819">
        <f t="shared" si="140"/>
        <v>13</v>
      </c>
      <c r="R1819" s="4">
        <f>RANK(N1819,$N$2:N$2800,0)</f>
        <v>2469</v>
      </c>
      <c r="S1819">
        <f t="shared" si="141"/>
        <v>2.3333333333333335</v>
      </c>
      <c r="T1819" t="str">
        <f t="shared" si="142"/>
        <v>Low</v>
      </c>
      <c r="U1819" t="str" cm="1">
        <f t="array" ref="U1819">_xlfn.LET(_xlpm.roles,_xlfn.UNIQUE(D1819:D4617),_xlpm.kills, SUMIF(D1819:D4617,_xlpm.roles,G1819:G4617),INDEX(_xlpm.roles,MATCH(MAX(_xlpm.kills),_xlpm.kills,0)))</f>
        <v>Sniper</v>
      </c>
      <c r="V1819" t="str">
        <f t="shared" si="143"/>
        <v>Medium Accuracy</v>
      </c>
      <c r="W1819" t="str" cm="1">
        <f t="array" ref="W1819">_xlfn.LET(_xlpm.roles,_xlfn.UNIQUE(D1819:D4617), _xlpm.counts,COUNTIF(D1819:D4617,_xlpm.roles), INDEX(_xlpm.roles,MATCH(MAX(_xlpm.counts),_xlpm.counts,0)))</f>
        <v>Sniper</v>
      </c>
      <c r="X1819" s="2">
        <f t="shared" si="144"/>
        <v>13.057077625570777</v>
      </c>
    </row>
    <row r="1820" spans="1:24" x14ac:dyDescent="0.3">
      <c r="A1820">
        <v>2524</v>
      </c>
      <c r="B1820">
        <v>323</v>
      </c>
      <c r="C1820" t="s">
        <v>30</v>
      </c>
      <c r="D1820" t="s">
        <v>17</v>
      </c>
      <c r="E1820" t="s">
        <v>29</v>
      </c>
      <c r="F1820" t="s">
        <v>24</v>
      </c>
      <c r="G1820">
        <v>15</v>
      </c>
      <c r="H1820">
        <v>9</v>
      </c>
      <c r="I1820">
        <v>9</v>
      </c>
      <c r="J1820">
        <v>34.99</v>
      </c>
      <c r="K1820">
        <v>199.77</v>
      </c>
      <c r="L1820">
        <v>0.91</v>
      </c>
      <c r="M1820">
        <v>38.4</v>
      </c>
      <c r="N1820">
        <v>0.77</v>
      </c>
      <c r="O1820" t="s">
        <v>20</v>
      </c>
      <c r="P1820" t="s">
        <v>21</v>
      </c>
      <c r="Q1820">
        <f t="shared" si="140"/>
        <v>15</v>
      </c>
      <c r="R1820" s="4">
        <f>RANK(N1820,$N$2:N$2800,0)</f>
        <v>2511</v>
      </c>
      <c r="S1820">
        <f t="shared" si="141"/>
        <v>1.6666666666666667</v>
      </c>
      <c r="T1820" t="str">
        <f t="shared" si="142"/>
        <v>Good</v>
      </c>
      <c r="U1820" t="str" cm="1">
        <f t="array" ref="U1820">_xlfn.LET(_xlpm.roles,_xlfn.UNIQUE(D1820:D4618),_xlpm.kills, SUMIF(D1820:D4618,_xlpm.roles,G1820:G4618),INDEX(_xlpm.roles,MATCH(MAX(_xlpm.kills),_xlpm.kills,0)))</f>
        <v>Sniper</v>
      </c>
      <c r="V1820" t="str">
        <f t="shared" si="143"/>
        <v>Medium Accuracy</v>
      </c>
      <c r="W1820" t="str" cm="1">
        <f t="array" ref="W1820">_xlfn.LET(_xlpm.roles,_xlfn.UNIQUE(D1820:D4618), _xlpm.counts,COUNTIF(D1820:D4618,_xlpm.roles), INDEX(_xlpm.roles,MATCH(MAX(_xlpm.counts),_xlpm.counts,0)))</f>
        <v>Sniper</v>
      </c>
      <c r="X1820" s="2">
        <f t="shared" si="144"/>
        <v>13.135802469135802</v>
      </c>
    </row>
    <row r="1821" spans="1:24" x14ac:dyDescent="0.3">
      <c r="A1821">
        <v>2559</v>
      </c>
      <c r="B1821">
        <v>323</v>
      </c>
      <c r="C1821" t="s">
        <v>39</v>
      </c>
      <c r="D1821" t="s">
        <v>17</v>
      </c>
      <c r="E1821" t="s">
        <v>33</v>
      </c>
      <c r="F1821" t="s">
        <v>34</v>
      </c>
      <c r="G1821">
        <v>17</v>
      </c>
      <c r="H1821">
        <v>5</v>
      </c>
      <c r="I1821">
        <v>8</v>
      </c>
      <c r="J1821">
        <v>47.34</v>
      </c>
      <c r="K1821">
        <v>252.36</v>
      </c>
      <c r="L1821">
        <v>0.48</v>
      </c>
      <c r="M1821">
        <v>49.87</v>
      </c>
      <c r="N1821">
        <v>0.97</v>
      </c>
      <c r="O1821" t="s">
        <v>20</v>
      </c>
      <c r="P1821" t="s">
        <v>21</v>
      </c>
      <c r="Q1821">
        <f t="shared" si="140"/>
        <v>14</v>
      </c>
      <c r="R1821" s="4">
        <f>RANK(N1821,$N$2:N$2800,0)</f>
        <v>1243</v>
      </c>
      <c r="S1821">
        <f t="shared" si="141"/>
        <v>2.125</v>
      </c>
      <c r="T1821" t="str">
        <f t="shared" si="142"/>
        <v>Low</v>
      </c>
      <c r="U1821" t="str" cm="1">
        <f t="array" ref="U1821">_xlfn.LET(_xlpm.roles,_xlfn.UNIQUE(D1821:D4619),_xlpm.kills, SUMIF(D1821:D4619,_xlpm.roles,G1821:G4619),INDEX(_xlpm.roles,MATCH(MAX(_xlpm.kills),_xlpm.kills,0)))</f>
        <v>Sniper</v>
      </c>
      <c r="V1821" t="str">
        <f t="shared" si="143"/>
        <v>Medium Accuracy</v>
      </c>
      <c r="W1821" t="str" cm="1">
        <f t="array" ref="W1821">_xlfn.LET(_xlpm.roles,_xlfn.UNIQUE(D1821:D4619), _xlpm.counts,COUNTIF(D1821:D4619,_xlpm.roles), INDEX(_xlpm.roles,MATCH(MAX(_xlpm.counts),_xlpm.counts,0)))</f>
        <v>Sniper</v>
      </c>
      <c r="X1821" s="2">
        <f t="shared" si="144"/>
        <v>13.103594080338267</v>
      </c>
    </row>
    <row r="1822" spans="1:24" x14ac:dyDescent="0.3">
      <c r="A1822">
        <v>2560</v>
      </c>
      <c r="B1822">
        <v>323</v>
      </c>
      <c r="C1822" t="s">
        <v>25</v>
      </c>
      <c r="D1822" t="s">
        <v>36</v>
      </c>
      <c r="E1822" t="s">
        <v>33</v>
      </c>
      <c r="F1822" t="s">
        <v>37</v>
      </c>
      <c r="G1822">
        <v>15</v>
      </c>
      <c r="H1822">
        <v>8</v>
      </c>
      <c r="I1822">
        <v>12</v>
      </c>
      <c r="J1822">
        <v>41.59</v>
      </c>
      <c r="K1822">
        <v>219.39</v>
      </c>
      <c r="L1822">
        <v>0.62</v>
      </c>
      <c r="M1822">
        <v>40.590000000000003</v>
      </c>
      <c r="N1822">
        <v>1</v>
      </c>
      <c r="O1822" t="s">
        <v>20</v>
      </c>
      <c r="P1822" t="s">
        <v>21</v>
      </c>
      <c r="Q1822">
        <f t="shared" si="140"/>
        <v>11</v>
      </c>
      <c r="R1822" s="4">
        <f>RANK(N1822,$N$2:N$2800,0)</f>
        <v>1</v>
      </c>
      <c r="S1822">
        <f t="shared" si="141"/>
        <v>1.25</v>
      </c>
      <c r="T1822" t="str">
        <f t="shared" si="142"/>
        <v>Low</v>
      </c>
      <c r="U1822" t="str" cm="1">
        <f t="array" ref="U1822">_xlfn.LET(_xlpm.roles,_xlfn.UNIQUE(D1822:D4620),_xlpm.kills, SUMIF(D1822:D4620,_xlpm.roles,G1822:G4620),INDEX(_xlpm.roles,MATCH(MAX(_xlpm.kills),_xlpm.kills,0)))</f>
        <v>Sniper</v>
      </c>
      <c r="V1822" t="str">
        <f t="shared" si="143"/>
        <v>Medium Accuracy</v>
      </c>
      <c r="W1822" t="str" cm="1">
        <f t="array" ref="W1822">_xlfn.LET(_xlpm.roles,_xlfn.UNIQUE(D1822:D4620), _xlpm.counts,COUNTIF(D1822:D4620,_xlpm.roles), INDEX(_xlpm.roles,MATCH(MAX(_xlpm.counts),_xlpm.counts,0)))</f>
        <v>Sniper</v>
      </c>
      <c r="X1822" s="2">
        <f t="shared" si="144"/>
        <v>12.809421841541756</v>
      </c>
    </row>
    <row r="1823" spans="1:24" x14ac:dyDescent="0.3">
      <c r="A1823">
        <v>623</v>
      </c>
      <c r="B1823">
        <v>324</v>
      </c>
      <c r="C1823" t="s">
        <v>16</v>
      </c>
      <c r="D1823" t="s">
        <v>22</v>
      </c>
      <c r="E1823" t="s">
        <v>29</v>
      </c>
      <c r="F1823" t="s">
        <v>24</v>
      </c>
      <c r="G1823">
        <v>14</v>
      </c>
      <c r="H1823">
        <v>5</v>
      </c>
      <c r="I1823">
        <v>14</v>
      </c>
      <c r="J1823">
        <v>59.07</v>
      </c>
      <c r="K1823">
        <v>274.82</v>
      </c>
      <c r="L1823">
        <v>0.41</v>
      </c>
      <c r="M1823">
        <v>44.43</v>
      </c>
      <c r="N1823">
        <v>1</v>
      </c>
      <c r="O1823" t="s">
        <v>20</v>
      </c>
      <c r="P1823" t="s">
        <v>21</v>
      </c>
      <c r="Q1823">
        <f t="shared" si="140"/>
        <v>5</v>
      </c>
      <c r="R1823" s="4">
        <f>RANK(N1823,$N$2:N$2800,0)</f>
        <v>1</v>
      </c>
      <c r="S1823">
        <f t="shared" si="141"/>
        <v>1</v>
      </c>
      <c r="T1823" t="str">
        <f t="shared" si="142"/>
        <v>Low</v>
      </c>
      <c r="U1823" t="str" cm="1">
        <f t="array" ref="U1823">_xlfn.LET(_xlpm.roles,_xlfn.UNIQUE(D1823:D4621),_xlpm.kills, SUMIF(D1823:D4621,_xlpm.roles,G1823:G4621),INDEX(_xlpm.roles,MATCH(MAX(_xlpm.kills),_xlpm.kills,0)))</f>
        <v>Sniper</v>
      </c>
      <c r="V1823" t="str">
        <f t="shared" si="143"/>
        <v>High Accuracy</v>
      </c>
      <c r="W1823" t="str" cm="1">
        <f t="array" ref="W1823">_xlfn.LET(_xlpm.roles,_xlfn.UNIQUE(D1823:D4621), _xlpm.counts,COUNTIF(D1823:D4621,_xlpm.roles), INDEX(_xlpm.roles,MATCH(MAX(_xlpm.counts),_xlpm.counts,0)))</f>
        <v>Sniper</v>
      </c>
      <c r="X1823" s="2">
        <f t="shared" si="144"/>
        <v>12.520971302428256</v>
      </c>
    </row>
    <row r="1824" spans="1:24" x14ac:dyDescent="0.3">
      <c r="A1824">
        <v>676</v>
      </c>
      <c r="B1824">
        <v>324</v>
      </c>
      <c r="C1824" t="s">
        <v>16</v>
      </c>
      <c r="D1824" t="s">
        <v>31</v>
      </c>
      <c r="E1824" t="s">
        <v>29</v>
      </c>
      <c r="F1824" t="s">
        <v>24</v>
      </c>
      <c r="G1824">
        <v>13</v>
      </c>
      <c r="H1824">
        <v>10</v>
      </c>
      <c r="I1824">
        <v>9</v>
      </c>
      <c r="J1824">
        <v>48.67</v>
      </c>
      <c r="K1824">
        <v>184.82</v>
      </c>
      <c r="L1824">
        <v>0.38</v>
      </c>
      <c r="M1824">
        <v>47.54</v>
      </c>
      <c r="N1824">
        <v>1</v>
      </c>
      <c r="O1824" t="s">
        <v>20</v>
      </c>
      <c r="P1824" t="s">
        <v>21</v>
      </c>
      <c r="Q1824">
        <f t="shared" si="140"/>
        <v>14</v>
      </c>
      <c r="R1824" s="4">
        <f>RANK(N1824,$N$2:N$2800,0)</f>
        <v>1</v>
      </c>
      <c r="S1824">
        <f t="shared" si="141"/>
        <v>1.4444444444444444</v>
      </c>
      <c r="T1824" t="str">
        <f t="shared" si="142"/>
        <v>Low</v>
      </c>
      <c r="U1824" t="str" cm="1">
        <f t="array" ref="U1824">_xlfn.LET(_xlpm.roles,_xlfn.UNIQUE(D1824:D4622),_xlpm.kills, SUMIF(D1824:D4622,_xlpm.roles,G1824:G4622),INDEX(_xlpm.roles,MATCH(MAX(_xlpm.kills),_xlpm.kills,0)))</f>
        <v>Sniper</v>
      </c>
      <c r="V1824" t="str">
        <f t="shared" si="143"/>
        <v>Medium Accuracy</v>
      </c>
      <c r="W1824" t="str" cm="1">
        <f t="array" ref="W1824">_xlfn.LET(_xlpm.roles,_xlfn.UNIQUE(D1824:D4622), _xlpm.counts,COUNTIF(D1824:D4622,_xlpm.roles), INDEX(_xlpm.roles,MATCH(MAX(_xlpm.counts),_xlpm.counts,0)))</f>
        <v>Sniper</v>
      </c>
      <c r="X1824" s="2">
        <f t="shared" si="144"/>
        <v>12.520971302428256</v>
      </c>
    </row>
    <row r="1825" spans="1:24" x14ac:dyDescent="0.3">
      <c r="A1825">
        <v>784</v>
      </c>
      <c r="B1825">
        <v>324</v>
      </c>
      <c r="C1825" t="s">
        <v>27</v>
      </c>
      <c r="D1825" t="s">
        <v>22</v>
      </c>
      <c r="E1825" t="s">
        <v>33</v>
      </c>
      <c r="F1825" t="s">
        <v>37</v>
      </c>
      <c r="G1825">
        <v>22</v>
      </c>
      <c r="H1825">
        <v>10</v>
      </c>
      <c r="I1825">
        <v>17</v>
      </c>
      <c r="J1825">
        <v>46.44</v>
      </c>
      <c r="K1825">
        <v>176.32</v>
      </c>
      <c r="L1825">
        <v>0.77</v>
      </c>
      <c r="M1825">
        <v>52.52</v>
      </c>
      <c r="N1825">
        <v>1</v>
      </c>
      <c r="O1825" t="s">
        <v>20</v>
      </c>
      <c r="P1825" t="s">
        <v>21</v>
      </c>
      <c r="Q1825">
        <f t="shared" si="140"/>
        <v>15</v>
      </c>
      <c r="R1825" s="4">
        <f>RANK(N1825,$N$2:N$2800,0)</f>
        <v>1</v>
      </c>
      <c r="S1825">
        <f t="shared" si="141"/>
        <v>1.2941176470588236</v>
      </c>
      <c r="T1825" t="str">
        <f t="shared" si="142"/>
        <v>Good</v>
      </c>
      <c r="U1825" t="str" cm="1">
        <f t="array" ref="U1825">_xlfn.LET(_xlpm.roles,_xlfn.UNIQUE(D1825:D4623),_xlpm.kills, SUMIF(D1825:D4623,_xlpm.roles,G1825:G4623),INDEX(_xlpm.roles,MATCH(MAX(_xlpm.kills),_xlpm.kills,0)))</f>
        <v>Sniper</v>
      </c>
      <c r="V1825" t="str">
        <f t="shared" si="143"/>
        <v>Medium Accuracy</v>
      </c>
      <c r="W1825" t="str" cm="1">
        <f t="array" ref="W1825">_xlfn.LET(_xlpm.roles,_xlfn.UNIQUE(D1825:D4623), _xlpm.counts,COUNTIF(D1825:D4623,_xlpm.roles), INDEX(_xlpm.roles,MATCH(MAX(_xlpm.counts),_xlpm.counts,0)))</f>
        <v>Sniper</v>
      </c>
      <c r="X1825" s="2">
        <f t="shared" si="144"/>
        <v>13.057077625570777</v>
      </c>
    </row>
    <row r="1826" spans="1:24" x14ac:dyDescent="0.3">
      <c r="A1826">
        <v>1151</v>
      </c>
      <c r="B1826">
        <v>324</v>
      </c>
      <c r="C1826" t="s">
        <v>27</v>
      </c>
      <c r="D1826" t="s">
        <v>22</v>
      </c>
      <c r="E1826" t="s">
        <v>23</v>
      </c>
      <c r="F1826" t="s">
        <v>37</v>
      </c>
      <c r="G1826">
        <v>12</v>
      </c>
      <c r="H1826">
        <v>12</v>
      </c>
      <c r="I1826">
        <v>9</v>
      </c>
      <c r="J1826">
        <v>45.37</v>
      </c>
      <c r="K1826">
        <v>199.01</v>
      </c>
      <c r="L1826">
        <v>0.04</v>
      </c>
      <c r="M1826">
        <v>49.29</v>
      </c>
      <c r="N1826">
        <v>1</v>
      </c>
      <c r="O1826" t="s">
        <v>20</v>
      </c>
      <c r="P1826" t="s">
        <v>21</v>
      </c>
      <c r="Q1826">
        <f t="shared" si="140"/>
        <v>15</v>
      </c>
      <c r="R1826" s="4">
        <f>RANK(N1826,$N$2:N$2800,0)</f>
        <v>1</v>
      </c>
      <c r="S1826">
        <f t="shared" si="141"/>
        <v>1.3333333333333333</v>
      </c>
      <c r="T1826" t="str">
        <f t="shared" si="142"/>
        <v>Good</v>
      </c>
      <c r="U1826" t="str" cm="1">
        <f t="array" ref="U1826">_xlfn.LET(_xlpm.roles,_xlfn.UNIQUE(D1826:D4624),_xlpm.kills, SUMIF(D1826:D4624,_xlpm.roles,G1826:G4624),INDEX(_xlpm.roles,MATCH(MAX(_xlpm.kills),_xlpm.kills,0)))</f>
        <v>Sniper</v>
      </c>
      <c r="V1826" t="str">
        <f t="shared" si="143"/>
        <v>Medium Accuracy</v>
      </c>
      <c r="W1826" t="str" cm="1">
        <f t="array" ref="W1826">_xlfn.LET(_xlpm.roles,_xlfn.UNIQUE(D1826:D4624), _xlpm.counts,COUNTIF(D1826:D4624,_xlpm.roles), INDEX(_xlpm.roles,MATCH(MAX(_xlpm.counts),_xlpm.counts,0)))</f>
        <v>Sniper</v>
      </c>
      <c r="X1826" s="2">
        <f t="shared" si="144"/>
        <v>13.057077625570777</v>
      </c>
    </row>
    <row r="1827" spans="1:24" x14ac:dyDescent="0.3">
      <c r="A1827">
        <v>1693</v>
      </c>
      <c r="B1827">
        <v>324</v>
      </c>
      <c r="C1827" t="s">
        <v>35</v>
      </c>
      <c r="D1827" t="s">
        <v>22</v>
      </c>
      <c r="E1827" t="s">
        <v>29</v>
      </c>
      <c r="F1827" t="s">
        <v>37</v>
      </c>
      <c r="G1827">
        <v>20</v>
      </c>
      <c r="H1827">
        <v>11</v>
      </c>
      <c r="I1827">
        <v>9</v>
      </c>
      <c r="J1827">
        <v>62.89</v>
      </c>
      <c r="K1827">
        <v>187.89</v>
      </c>
      <c r="L1827">
        <v>0.41</v>
      </c>
      <c r="M1827">
        <v>69.34</v>
      </c>
      <c r="N1827">
        <v>1</v>
      </c>
      <c r="O1827" t="s">
        <v>20</v>
      </c>
      <c r="P1827" t="s">
        <v>38</v>
      </c>
      <c r="Q1827">
        <f t="shared" si="140"/>
        <v>22</v>
      </c>
      <c r="R1827" s="4">
        <f>RANK(N1827,$N$2:N$2800,0)</f>
        <v>1</v>
      </c>
      <c r="S1827">
        <f t="shared" si="141"/>
        <v>2.2222222222222223</v>
      </c>
      <c r="T1827" t="str">
        <f t="shared" si="142"/>
        <v>Good</v>
      </c>
      <c r="U1827" t="str" cm="1">
        <f t="array" ref="U1827">_xlfn.LET(_xlpm.roles,_xlfn.UNIQUE(D1827:D4625),_xlpm.kills, SUMIF(D1827:D4625,_xlpm.roles,G1827:G4625),INDEX(_xlpm.roles,MATCH(MAX(_xlpm.kills),_xlpm.kills,0)))</f>
        <v>Sniper</v>
      </c>
      <c r="V1827" t="str">
        <f t="shared" si="143"/>
        <v>High Accuracy</v>
      </c>
      <c r="W1827" t="str" cm="1">
        <f t="array" ref="W1827">_xlfn.LET(_xlpm.roles,_xlfn.UNIQUE(D1827:D4625), _xlpm.counts,COUNTIF(D1827:D4625,_xlpm.roles), INDEX(_xlpm.roles,MATCH(MAX(_xlpm.counts),_xlpm.counts,0)))</f>
        <v>Sniper</v>
      </c>
      <c r="X1827" s="2">
        <f t="shared" si="144"/>
        <v>12.599585062240664</v>
      </c>
    </row>
    <row r="1828" spans="1:24" x14ac:dyDescent="0.3">
      <c r="A1828">
        <v>1885</v>
      </c>
      <c r="B1828">
        <v>324</v>
      </c>
      <c r="C1828" t="s">
        <v>27</v>
      </c>
      <c r="D1828" t="s">
        <v>36</v>
      </c>
      <c r="E1828" t="s">
        <v>18</v>
      </c>
      <c r="F1828" t="s">
        <v>37</v>
      </c>
      <c r="G1828">
        <v>12</v>
      </c>
      <c r="H1828">
        <v>6</v>
      </c>
      <c r="I1828">
        <v>7</v>
      </c>
      <c r="J1828">
        <v>34.06</v>
      </c>
      <c r="K1828">
        <v>225.41</v>
      </c>
      <c r="L1828">
        <v>0.86</v>
      </c>
      <c r="M1828">
        <v>31.43</v>
      </c>
      <c r="N1828">
        <v>0.7</v>
      </c>
      <c r="O1828" t="s">
        <v>20</v>
      </c>
      <c r="P1828" t="s">
        <v>21</v>
      </c>
      <c r="Q1828">
        <f t="shared" si="140"/>
        <v>11</v>
      </c>
      <c r="R1828" s="4">
        <f>RANK(N1828,$N$2:N$2800,0)</f>
        <v>2702</v>
      </c>
      <c r="S1828">
        <f t="shared" si="141"/>
        <v>1.7142857142857142</v>
      </c>
      <c r="T1828" t="str">
        <f t="shared" si="142"/>
        <v>Low</v>
      </c>
      <c r="U1828" t="str" cm="1">
        <f t="array" ref="U1828">_xlfn.LET(_xlpm.roles,_xlfn.UNIQUE(D1828:D4626),_xlpm.kills, SUMIF(D1828:D4626,_xlpm.roles,G1828:G4626),INDEX(_xlpm.roles,MATCH(MAX(_xlpm.kills),_xlpm.kills,0)))</f>
        <v>Sniper</v>
      </c>
      <c r="V1828" t="str">
        <f t="shared" si="143"/>
        <v>Medium Accuracy</v>
      </c>
      <c r="W1828" t="str" cm="1">
        <f t="array" ref="W1828">_xlfn.LET(_xlpm.roles,_xlfn.UNIQUE(D1828:D4626), _xlpm.counts,COUNTIF(D1828:D4626,_xlpm.roles), INDEX(_xlpm.roles,MATCH(MAX(_xlpm.counts),_xlpm.counts,0)))</f>
        <v>Sniper</v>
      </c>
      <c r="X1828" s="2">
        <f t="shared" si="144"/>
        <v>13.057077625570777</v>
      </c>
    </row>
    <row r="1829" spans="1:24" x14ac:dyDescent="0.3">
      <c r="A1829">
        <v>2078</v>
      </c>
      <c r="B1829">
        <v>324</v>
      </c>
      <c r="C1829" t="s">
        <v>39</v>
      </c>
      <c r="D1829" t="s">
        <v>17</v>
      </c>
      <c r="E1829" t="s">
        <v>29</v>
      </c>
      <c r="F1829" t="s">
        <v>19</v>
      </c>
      <c r="G1829">
        <v>5</v>
      </c>
      <c r="H1829">
        <v>6</v>
      </c>
      <c r="I1829">
        <v>7</v>
      </c>
      <c r="J1829">
        <v>36.24</v>
      </c>
      <c r="K1829">
        <v>224.66</v>
      </c>
      <c r="L1829">
        <v>0.25</v>
      </c>
      <c r="M1829">
        <v>24.62</v>
      </c>
      <c r="N1829">
        <v>0.86</v>
      </c>
      <c r="O1829" t="s">
        <v>20</v>
      </c>
      <c r="P1829" t="s">
        <v>21</v>
      </c>
      <c r="Q1829">
        <f t="shared" si="140"/>
        <v>4</v>
      </c>
      <c r="R1829" s="4">
        <f>RANK(N1829,$N$2:N$2800,0)</f>
        <v>2040</v>
      </c>
      <c r="S1829">
        <f t="shared" si="141"/>
        <v>0.7142857142857143</v>
      </c>
      <c r="T1829" t="str">
        <f t="shared" si="142"/>
        <v>Low</v>
      </c>
      <c r="U1829" t="str" cm="1">
        <f t="array" ref="U1829">_xlfn.LET(_xlpm.roles,_xlfn.UNIQUE(D1829:D4627),_xlpm.kills, SUMIF(D1829:D4627,_xlpm.roles,G1829:G4627),INDEX(_xlpm.roles,MATCH(MAX(_xlpm.kills),_xlpm.kills,0)))</f>
        <v>Sniper</v>
      </c>
      <c r="V1829" t="str">
        <f t="shared" si="143"/>
        <v>Medium Accuracy</v>
      </c>
      <c r="W1829" t="str" cm="1">
        <f t="array" ref="W1829">_xlfn.LET(_xlpm.roles,_xlfn.UNIQUE(D1829:D4627), _xlpm.counts,COUNTIF(D1829:D4627,_xlpm.roles), INDEX(_xlpm.roles,MATCH(MAX(_xlpm.counts),_xlpm.counts,0)))</f>
        <v>Sniper</v>
      </c>
      <c r="X1829" s="2">
        <f t="shared" si="144"/>
        <v>13.103594080338267</v>
      </c>
    </row>
    <row r="1830" spans="1:24" x14ac:dyDescent="0.3">
      <c r="A1830">
        <v>2091</v>
      </c>
      <c r="B1830">
        <v>324</v>
      </c>
      <c r="C1830" t="s">
        <v>39</v>
      </c>
      <c r="D1830" t="s">
        <v>17</v>
      </c>
      <c r="E1830" t="s">
        <v>32</v>
      </c>
      <c r="F1830" t="s">
        <v>34</v>
      </c>
      <c r="G1830">
        <v>15</v>
      </c>
      <c r="H1830">
        <v>2</v>
      </c>
      <c r="I1830">
        <v>6</v>
      </c>
      <c r="J1830">
        <v>42.29</v>
      </c>
      <c r="K1830">
        <v>212.4</v>
      </c>
      <c r="L1830">
        <v>0.36</v>
      </c>
      <c r="M1830">
        <v>43.54</v>
      </c>
      <c r="N1830">
        <v>1</v>
      </c>
      <c r="O1830" t="s">
        <v>20</v>
      </c>
      <c r="P1830" t="s">
        <v>21</v>
      </c>
      <c r="Q1830">
        <f t="shared" si="140"/>
        <v>11</v>
      </c>
      <c r="R1830" s="4">
        <f>RANK(N1830,$N$2:N$2800,0)</f>
        <v>1</v>
      </c>
      <c r="S1830">
        <f t="shared" si="141"/>
        <v>2.5</v>
      </c>
      <c r="T1830" t="str">
        <f t="shared" si="142"/>
        <v>Low</v>
      </c>
      <c r="U1830" t="str" cm="1">
        <f t="array" ref="U1830">_xlfn.LET(_xlpm.roles,_xlfn.UNIQUE(D1830:D4628),_xlpm.kills, SUMIF(D1830:D4628,_xlpm.roles,G1830:G4628),INDEX(_xlpm.roles,MATCH(MAX(_xlpm.kills),_xlpm.kills,0)))</f>
        <v>Sniper</v>
      </c>
      <c r="V1830" t="str">
        <f t="shared" si="143"/>
        <v>Medium Accuracy</v>
      </c>
      <c r="W1830" t="str" cm="1">
        <f t="array" ref="W1830">_xlfn.LET(_xlpm.roles,_xlfn.UNIQUE(D1830:D4628), _xlpm.counts,COUNTIF(D1830:D4628,_xlpm.roles), INDEX(_xlpm.roles,MATCH(MAX(_xlpm.counts),_xlpm.counts,0)))</f>
        <v>Sniper</v>
      </c>
      <c r="X1830" s="2">
        <f t="shared" si="144"/>
        <v>13.103594080338267</v>
      </c>
    </row>
    <row r="1831" spans="1:24" x14ac:dyDescent="0.3">
      <c r="A1831">
        <v>725</v>
      </c>
      <c r="B1831">
        <v>325</v>
      </c>
      <c r="C1831" t="s">
        <v>25</v>
      </c>
      <c r="D1831" t="s">
        <v>22</v>
      </c>
      <c r="E1831" t="s">
        <v>18</v>
      </c>
      <c r="F1831" t="s">
        <v>26</v>
      </c>
      <c r="G1831">
        <v>12</v>
      </c>
      <c r="H1831">
        <v>8</v>
      </c>
      <c r="I1831">
        <v>11</v>
      </c>
      <c r="J1831">
        <v>53.46</v>
      </c>
      <c r="K1831">
        <v>217.58</v>
      </c>
      <c r="L1831">
        <v>0.44</v>
      </c>
      <c r="M1831">
        <v>43.33</v>
      </c>
      <c r="N1831">
        <v>0.99</v>
      </c>
      <c r="O1831" t="s">
        <v>20</v>
      </c>
      <c r="P1831" t="s">
        <v>21</v>
      </c>
      <c r="Q1831">
        <f t="shared" si="140"/>
        <v>9</v>
      </c>
      <c r="R1831" s="4">
        <f>RANK(N1831,$N$2:N$2800,0)</f>
        <v>1080</v>
      </c>
      <c r="S1831">
        <f t="shared" si="141"/>
        <v>1.0909090909090908</v>
      </c>
      <c r="T1831" t="str">
        <f t="shared" si="142"/>
        <v>Low</v>
      </c>
      <c r="U1831" t="str" cm="1">
        <f t="array" ref="U1831">_xlfn.LET(_xlpm.roles,_xlfn.UNIQUE(D1831:D4629),_xlpm.kills, SUMIF(D1831:D4629,_xlpm.roles,G1831:G4629),INDEX(_xlpm.roles,MATCH(MAX(_xlpm.kills),_xlpm.kills,0)))</f>
        <v>Sniper</v>
      </c>
      <c r="V1831" t="str">
        <f t="shared" si="143"/>
        <v>High Accuracy</v>
      </c>
      <c r="W1831" t="str" cm="1">
        <f t="array" ref="W1831">_xlfn.LET(_xlpm.roles,_xlfn.UNIQUE(D1831:D4629), _xlpm.counts,COUNTIF(D1831:D4629,_xlpm.roles), INDEX(_xlpm.roles,MATCH(MAX(_xlpm.counts),_xlpm.counts,0)))</f>
        <v>Sniper</v>
      </c>
      <c r="X1831" s="2">
        <f t="shared" si="144"/>
        <v>12.809421841541756</v>
      </c>
    </row>
    <row r="1832" spans="1:24" x14ac:dyDescent="0.3">
      <c r="A1832">
        <v>2184</v>
      </c>
      <c r="B1832">
        <v>325</v>
      </c>
      <c r="C1832" t="s">
        <v>27</v>
      </c>
      <c r="D1832" t="s">
        <v>28</v>
      </c>
      <c r="E1832" t="s">
        <v>23</v>
      </c>
      <c r="F1832" t="s">
        <v>26</v>
      </c>
      <c r="G1832">
        <v>13</v>
      </c>
      <c r="H1832">
        <v>8</v>
      </c>
      <c r="I1832">
        <v>7</v>
      </c>
      <c r="J1832">
        <v>47.43</v>
      </c>
      <c r="K1832">
        <v>262.07</v>
      </c>
      <c r="L1832">
        <v>0.5</v>
      </c>
      <c r="M1832">
        <v>45.72</v>
      </c>
      <c r="N1832">
        <v>0.97</v>
      </c>
      <c r="O1832" t="s">
        <v>20</v>
      </c>
      <c r="P1832" t="s">
        <v>21</v>
      </c>
      <c r="Q1832">
        <f t="shared" si="140"/>
        <v>14</v>
      </c>
      <c r="R1832" s="4">
        <f>RANK(N1832,$N$2:N$2800,0)</f>
        <v>1243</v>
      </c>
      <c r="S1832">
        <f t="shared" si="141"/>
        <v>1.8571428571428572</v>
      </c>
      <c r="T1832" t="str">
        <f t="shared" si="142"/>
        <v>Low</v>
      </c>
      <c r="U1832" t="str" cm="1">
        <f t="array" ref="U1832">_xlfn.LET(_xlpm.roles,_xlfn.UNIQUE(D1832:D4630),_xlpm.kills, SUMIF(D1832:D4630,_xlpm.roles,G1832:G4630),INDEX(_xlpm.roles,MATCH(MAX(_xlpm.kills),_xlpm.kills,0)))</f>
        <v>Sniper</v>
      </c>
      <c r="V1832" t="str">
        <f t="shared" si="143"/>
        <v>Medium Accuracy</v>
      </c>
      <c r="W1832" t="str" cm="1">
        <f t="array" ref="W1832">_xlfn.LET(_xlpm.roles,_xlfn.UNIQUE(D1832:D4630), _xlpm.counts,COUNTIF(D1832:D4630,_xlpm.roles), INDEX(_xlpm.roles,MATCH(MAX(_xlpm.counts),_xlpm.counts,0)))</f>
        <v>Sniper</v>
      </c>
      <c r="X1832" s="2">
        <f t="shared" si="144"/>
        <v>13.057077625570777</v>
      </c>
    </row>
    <row r="1833" spans="1:24" x14ac:dyDescent="0.3">
      <c r="A1833">
        <v>1006</v>
      </c>
      <c r="B1833">
        <v>326</v>
      </c>
      <c r="C1833" t="s">
        <v>30</v>
      </c>
      <c r="D1833" t="s">
        <v>22</v>
      </c>
      <c r="E1833" t="s">
        <v>18</v>
      </c>
      <c r="F1833" t="s">
        <v>24</v>
      </c>
      <c r="G1833">
        <v>6</v>
      </c>
      <c r="H1833">
        <v>4</v>
      </c>
      <c r="I1833">
        <v>9</v>
      </c>
      <c r="J1833">
        <v>52.42</v>
      </c>
      <c r="K1833">
        <v>145.57</v>
      </c>
      <c r="L1833">
        <v>0.64</v>
      </c>
      <c r="M1833">
        <v>26.81</v>
      </c>
      <c r="N1833">
        <v>0.65</v>
      </c>
      <c r="O1833" t="s">
        <v>20</v>
      </c>
      <c r="P1833" t="s">
        <v>21</v>
      </c>
      <c r="Q1833">
        <f t="shared" si="140"/>
        <v>1</v>
      </c>
      <c r="R1833" s="4">
        <f>RANK(N1833,$N$2:N$2800,0)</f>
        <v>2756</v>
      </c>
      <c r="S1833">
        <f t="shared" si="141"/>
        <v>0.66666666666666663</v>
      </c>
      <c r="T1833" t="str">
        <f t="shared" si="142"/>
        <v>Low</v>
      </c>
      <c r="U1833" t="str" cm="1">
        <f t="array" ref="U1833">_xlfn.LET(_xlpm.roles,_xlfn.UNIQUE(D1833:D4631),_xlpm.kills, SUMIF(D1833:D4631,_xlpm.roles,G1833:G4631),INDEX(_xlpm.roles,MATCH(MAX(_xlpm.kills),_xlpm.kills,0)))</f>
        <v>Sniper</v>
      </c>
      <c r="V1833" t="str">
        <f t="shared" si="143"/>
        <v>High Accuracy</v>
      </c>
      <c r="W1833" t="str" cm="1">
        <f t="array" ref="W1833">_xlfn.LET(_xlpm.roles,_xlfn.UNIQUE(D1833:D4631), _xlpm.counts,COUNTIF(D1833:D4631,_xlpm.roles), INDEX(_xlpm.roles,MATCH(MAX(_xlpm.counts),_xlpm.counts,0)))</f>
        <v>Sniper</v>
      </c>
      <c r="X1833" s="2">
        <f t="shared" si="144"/>
        <v>13.135802469135802</v>
      </c>
    </row>
    <row r="1834" spans="1:24" x14ac:dyDescent="0.3">
      <c r="A1834">
        <v>1134</v>
      </c>
      <c r="B1834">
        <v>326</v>
      </c>
      <c r="C1834" t="s">
        <v>39</v>
      </c>
      <c r="D1834" t="s">
        <v>31</v>
      </c>
      <c r="E1834" t="s">
        <v>33</v>
      </c>
      <c r="F1834" t="s">
        <v>24</v>
      </c>
      <c r="G1834">
        <v>19</v>
      </c>
      <c r="H1834">
        <v>6</v>
      </c>
      <c r="I1834">
        <v>7</v>
      </c>
      <c r="J1834">
        <v>43.66</v>
      </c>
      <c r="K1834">
        <v>196.56</v>
      </c>
      <c r="L1834">
        <v>0.6</v>
      </c>
      <c r="M1834">
        <v>52.83</v>
      </c>
      <c r="N1834">
        <v>1</v>
      </c>
      <c r="O1834" t="s">
        <v>20</v>
      </c>
      <c r="P1834" t="s">
        <v>21</v>
      </c>
      <c r="Q1834">
        <f t="shared" si="140"/>
        <v>18</v>
      </c>
      <c r="R1834" s="4">
        <f>RANK(N1834,$N$2:N$2800,0)</f>
        <v>1</v>
      </c>
      <c r="S1834">
        <f t="shared" si="141"/>
        <v>2.7142857142857144</v>
      </c>
      <c r="T1834" t="str">
        <f t="shared" si="142"/>
        <v>Good</v>
      </c>
      <c r="U1834" t="str" cm="1">
        <f t="array" ref="U1834">_xlfn.LET(_xlpm.roles,_xlfn.UNIQUE(D1834:D4632),_xlpm.kills, SUMIF(D1834:D4632,_xlpm.roles,G1834:G4632),INDEX(_xlpm.roles,MATCH(MAX(_xlpm.kills),_xlpm.kills,0)))</f>
        <v>Sniper</v>
      </c>
      <c r="V1834" t="str">
        <f t="shared" si="143"/>
        <v>Medium Accuracy</v>
      </c>
      <c r="W1834" t="str" cm="1">
        <f t="array" ref="W1834">_xlfn.LET(_xlpm.roles,_xlfn.UNIQUE(D1834:D4632), _xlpm.counts,COUNTIF(D1834:D4632,_xlpm.roles), INDEX(_xlpm.roles,MATCH(MAX(_xlpm.counts),_xlpm.counts,0)))</f>
        <v>Sniper</v>
      </c>
      <c r="X1834" s="2">
        <f t="shared" si="144"/>
        <v>13.103594080338267</v>
      </c>
    </row>
    <row r="1835" spans="1:24" x14ac:dyDescent="0.3">
      <c r="A1835">
        <v>1326</v>
      </c>
      <c r="B1835">
        <v>326</v>
      </c>
      <c r="C1835" t="s">
        <v>25</v>
      </c>
      <c r="D1835" t="s">
        <v>31</v>
      </c>
      <c r="E1835" t="s">
        <v>18</v>
      </c>
      <c r="F1835" t="s">
        <v>34</v>
      </c>
      <c r="G1835">
        <v>15</v>
      </c>
      <c r="H1835">
        <v>5</v>
      </c>
      <c r="I1835">
        <v>12</v>
      </c>
      <c r="J1835">
        <v>49.55</v>
      </c>
      <c r="K1835">
        <v>241.57</v>
      </c>
      <c r="L1835">
        <v>7.0000000000000007E-2</v>
      </c>
      <c r="M1835">
        <v>47.07</v>
      </c>
      <c r="N1835">
        <v>0.84</v>
      </c>
      <c r="O1835" t="s">
        <v>20</v>
      </c>
      <c r="P1835" t="s">
        <v>21</v>
      </c>
      <c r="Q1835">
        <f t="shared" si="140"/>
        <v>8</v>
      </c>
      <c r="R1835" s="4">
        <f>RANK(N1835,$N$2:N$2800,0)</f>
        <v>2156</v>
      </c>
      <c r="S1835">
        <f t="shared" si="141"/>
        <v>1.25</v>
      </c>
      <c r="T1835" t="str">
        <f t="shared" si="142"/>
        <v>Low</v>
      </c>
      <c r="U1835" t="str" cm="1">
        <f t="array" ref="U1835">_xlfn.LET(_xlpm.roles,_xlfn.UNIQUE(D1835:D4633),_xlpm.kills, SUMIF(D1835:D4633,_xlpm.roles,G1835:G4633),INDEX(_xlpm.roles,MATCH(MAX(_xlpm.kills),_xlpm.kills,0)))</f>
        <v>Sniper</v>
      </c>
      <c r="V1835" t="str">
        <f t="shared" si="143"/>
        <v>Medium Accuracy</v>
      </c>
      <c r="W1835" t="str" cm="1">
        <f t="array" ref="W1835">_xlfn.LET(_xlpm.roles,_xlfn.UNIQUE(D1835:D4633), _xlpm.counts,COUNTIF(D1835:D4633,_xlpm.roles), INDEX(_xlpm.roles,MATCH(MAX(_xlpm.counts),_xlpm.counts,0)))</f>
        <v>Sniper</v>
      </c>
      <c r="X1835" s="2">
        <f t="shared" si="144"/>
        <v>12.809421841541756</v>
      </c>
    </row>
    <row r="1836" spans="1:24" x14ac:dyDescent="0.3">
      <c r="A1836">
        <v>1381</v>
      </c>
      <c r="B1836">
        <v>326</v>
      </c>
      <c r="C1836" t="s">
        <v>25</v>
      </c>
      <c r="D1836" t="s">
        <v>22</v>
      </c>
      <c r="E1836" t="s">
        <v>23</v>
      </c>
      <c r="F1836" t="s">
        <v>19</v>
      </c>
      <c r="G1836">
        <v>18</v>
      </c>
      <c r="H1836">
        <v>5</v>
      </c>
      <c r="I1836">
        <v>11</v>
      </c>
      <c r="J1836">
        <v>45.93</v>
      </c>
      <c r="K1836">
        <v>218.94</v>
      </c>
      <c r="L1836">
        <v>0.22</v>
      </c>
      <c r="M1836">
        <v>50.77</v>
      </c>
      <c r="N1836">
        <v>0.8</v>
      </c>
      <c r="O1836" t="s">
        <v>20</v>
      </c>
      <c r="P1836" t="s">
        <v>21</v>
      </c>
      <c r="Q1836">
        <f t="shared" si="140"/>
        <v>12</v>
      </c>
      <c r="R1836" s="4">
        <f>RANK(N1836,$N$2:N$2800,0)</f>
        <v>2393</v>
      </c>
      <c r="S1836">
        <f t="shared" si="141"/>
        <v>1.6363636363636365</v>
      </c>
      <c r="T1836" t="str">
        <f t="shared" si="142"/>
        <v>Low</v>
      </c>
      <c r="U1836" t="str" cm="1">
        <f t="array" ref="U1836">_xlfn.LET(_xlpm.roles,_xlfn.UNIQUE(D1836:D4634),_xlpm.kills, SUMIF(D1836:D4634,_xlpm.roles,G1836:G4634),INDEX(_xlpm.roles,MATCH(MAX(_xlpm.kills),_xlpm.kills,0)))</f>
        <v>Sniper</v>
      </c>
      <c r="V1836" t="str">
        <f t="shared" si="143"/>
        <v>Medium Accuracy</v>
      </c>
      <c r="W1836" t="str" cm="1">
        <f t="array" ref="W1836">_xlfn.LET(_xlpm.roles,_xlfn.UNIQUE(D1836:D4634), _xlpm.counts,COUNTIF(D1836:D4634,_xlpm.roles), INDEX(_xlpm.roles,MATCH(MAX(_xlpm.counts),_xlpm.counts,0)))</f>
        <v>Sniper</v>
      </c>
      <c r="X1836" s="2">
        <f t="shared" si="144"/>
        <v>12.809421841541756</v>
      </c>
    </row>
    <row r="1837" spans="1:24" x14ac:dyDescent="0.3">
      <c r="A1837">
        <v>1480</v>
      </c>
      <c r="B1837">
        <v>326</v>
      </c>
      <c r="C1837" t="s">
        <v>25</v>
      </c>
      <c r="D1837" t="s">
        <v>22</v>
      </c>
      <c r="E1837" t="s">
        <v>23</v>
      </c>
      <c r="F1837" t="s">
        <v>34</v>
      </c>
      <c r="G1837">
        <v>13</v>
      </c>
      <c r="H1837">
        <v>6</v>
      </c>
      <c r="I1837">
        <v>6</v>
      </c>
      <c r="J1837">
        <v>51.34</v>
      </c>
      <c r="K1837">
        <v>201.01</v>
      </c>
      <c r="L1837">
        <v>0.28000000000000003</v>
      </c>
      <c r="M1837">
        <v>48.87</v>
      </c>
      <c r="N1837">
        <v>1</v>
      </c>
      <c r="O1837" t="s">
        <v>20</v>
      </c>
      <c r="P1837" t="s">
        <v>21</v>
      </c>
      <c r="Q1837">
        <f t="shared" si="140"/>
        <v>13</v>
      </c>
      <c r="R1837" s="4">
        <f>RANK(N1837,$N$2:N$2800,0)</f>
        <v>1</v>
      </c>
      <c r="S1837">
        <f t="shared" si="141"/>
        <v>2.1666666666666665</v>
      </c>
      <c r="T1837" t="str">
        <f t="shared" si="142"/>
        <v>Low</v>
      </c>
      <c r="U1837" t="str" cm="1">
        <f t="array" ref="U1837">_xlfn.LET(_xlpm.roles,_xlfn.UNIQUE(D1837:D4635),_xlpm.kills, SUMIF(D1837:D4635,_xlpm.roles,G1837:G4635),INDEX(_xlpm.roles,MATCH(MAX(_xlpm.kills),_xlpm.kills,0)))</f>
        <v>Sniper</v>
      </c>
      <c r="V1837" t="str">
        <f t="shared" si="143"/>
        <v>High Accuracy</v>
      </c>
      <c r="W1837" t="str" cm="1">
        <f t="array" ref="W1837">_xlfn.LET(_xlpm.roles,_xlfn.UNIQUE(D1837:D4635), _xlpm.counts,COUNTIF(D1837:D4635,_xlpm.roles), INDEX(_xlpm.roles,MATCH(MAX(_xlpm.counts),_xlpm.counts,0)))</f>
        <v>Sniper</v>
      </c>
      <c r="X1837" s="2">
        <f t="shared" si="144"/>
        <v>12.809421841541756</v>
      </c>
    </row>
    <row r="1838" spans="1:24" x14ac:dyDescent="0.3">
      <c r="A1838">
        <v>2341</v>
      </c>
      <c r="B1838">
        <v>326</v>
      </c>
      <c r="C1838" t="s">
        <v>39</v>
      </c>
      <c r="D1838" t="s">
        <v>17</v>
      </c>
      <c r="E1838" t="s">
        <v>23</v>
      </c>
      <c r="F1838" t="s">
        <v>37</v>
      </c>
      <c r="G1838">
        <v>9</v>
      </c>
      <c r="H1838">
        <v>7</v>
      </c>
      <c r="I1838">
        <v>11</v>
      </c>
      <c r="J1838">
        <v>55.48</v>
      </c>
      <c r="K1838">
        <v>258.56</v>
      </c>
      <c r="L1838">
        <v>0.25</v>
      </c>
      <c r="M1838">
        <v>39.24</v>
      </c>
      <c r="N1838">
        <v>0.82</v>
      </c>
      <c r="O1838" t="s">
        <v>20</v>
      </c>
      <c r="P1838" t="s">
        <v>21</v>
      </c>
      <c r="Q1838">
        <f t="shared" si="140"/>
        <v>5</v>
      </c>
      <c r="R1838" s="4">
        <f>RANK(N1838,$N$2:N$2800,0)</f>
        <v>2275</v>
      </c>
      <c r="S1838">
        <f t="shared" si="141"/>
        <v>0.81818181818181823</v>
      </c>
      <c r="T1838" t="str">
        <f t="shared" si="142"/>
        <v>Low</v>
      </c>
      <c r="U1838" t="str" cm="1">
        <f t="array" ref="U1838">_xlfn.LET(_xlpm.roles,_xlfn.UNIQUE(D1838:D4636),_xlpm.kills, SUMIF(D1838:D4636,_xlpm.roles,G1838:G4636),INDEX(_xlpm.roles,MATCH(MAX(_xlpm.kills),_xlpm.kills,0)))</f>
        <v>Sniper</v>
      </c>
      <c r="V1838" t="str">
        <f t="shared" si="143"/>
        <v>High Accuracy</v>
      </c>
      <c r="W1838" t="str" cm="1">
        <f t="array" ref="W1838">_xlfn.LET(_xlpm.roles,_xlfn.UNIQUE(D1838:D4636), _xlpm.counts,COUNTIF(D1838:D4636,_xlpm.roles), INDEX(_xlpm.roles,MATCH(MAX(_xlpm.counts),_xlpm.counts,0)))</f>
        <v>Sniper</v>
      </c>
      <c r="X1838" s="2">
        <f t="shared" si="144"/>
        <v>13.103594080338267</v>
      </c>
    </row>
    <row r="1839" spans="1:24" x14ac:dyDescent="0.3">
      <c r="A1839">
        <v>168</v>
      </c>
      <c r="B1839">
        <v>327</v>
      </c>
      <c r="C1839" t="s">
        <v>39</v>
      </c>
      <c r="D1839" t="s">
        <v>36</v>
      </c>
      <c r="E1839" t="s">
        <v>18</v>
      </c>
      <c r="F1839" t="s">
        <v>37</v>
      </c>
      <c r="G1839">
        <v>15</v>
      </c>
      <c r="H1839">
        <v>6</v>
      </c>
      <c r="I1839">
        <v>4</v>
      </c>
      <c r="J1839">
        <v>45.03</v>
      </c>
      <c r="K1839">
        <v>243.71</v>
      </c>
      <c r="L1839">
        <v>0.81</v>
      </c>
      <c r="M1839">
        <v>46.41</v>
      </c>
      <c r="N1839">
        <v>1</v>
      </c>
      <c r="O1839" t="s">
        <v>20</v>
      </c>
      <c r="P1839" t="s">
        <v>21</v>
      </c>
      <c r="Q1839">
        <f t="shared" si="140"/>
        <v>17</v>
      </c>
      <c r="R1839" s="4">
        <f>RANK(N1839,$N$2:N$2800,0)</f>
        <v>1</v>
      </c>
      <c r="S1839">
        <f t="shared" si="141"/>
        <v>3.75</v>
      </c>
      <c r="T1839" t="str">
        <f t="shared" si="142"/>
        <v>Good</v>
      </c>
      <c r="U1839" t="str" cm="1">
        <f t="array" ref="U1839">_xlfn.LET(_xlpm.roles,_xlfn.UNIQUE(D1839:D4637),_xlpm.kills, SUMIF(D1839:D4637,_xlpm.roles,G1839:G4637),INDEX(_xlpm.roles,MATCH(MAX(_xlpm.kills),_xlpm.kills,0)))</f>
        <v>Sniper</v>
      </c>
      <c r="V1839" t="str">
        <f t="shared" si="143"/>
        <v>Medium Accuracy</v>
      </c>
      <c r="W1839" t="str" cm="1">
        <f t="array" ref="W1839">_xlfn.LET(_xlpm.roles,_xlfn.UNIQUE(D1839:D4637), _xlpm.counts,COUNTIF(D1839:D4637,_xlpm.roles), INDEX(_xlpm.roles,MATCH(MAX(_xlpm.counts),_xlpm.counts,0)))</f>
        <v>Sniper</v>
      </c>
      <c r="X1839" s="2">
        <f t="shared" si="144"/>
        <v>13.103594080338267</v>
      </c>
    </row>
    <row r="1840" spans="1:24" x14ac:dyDescent="0.3">
      <c r="A1840">
        <v>511</v>
      </c>
      <c r="B1840">
        <v>327</v>
      </c>
      <c r="C1840" t="s">
        <v>35</v>
      </c>
      <c r="D1840" t="s">
        <v>31</v>
      </c>
      <c r="E1840" t="s">
        <v>29</v>
      </c>
      <c r="F1840" t="s">
        <v>24</v>
      </c>
      <c r="G1840">
        <v>14</v>
      </c>
      <c r="H1840">
        <v>5</v>
      </c>
      <c r="I1840">
        <v>13</v>
      </c>
      <c r="J1840">
        <v>46</v>
      </c>
      <c r="K1840">
        <v>208.9</v>
      </c>
      <c r="L1840">
        <v>0.77</v>
      </c>
      <c r="M1840">
        <v>35.299999999999997</v>
      </c>
      <c r="N1840">
        <v>0.85</v>
      </c>
      <c r="O1840" t="s">
        <v>20</v>
      </c>
      <c r="P1840" t="s">
        <v>21</v>
      </c>
      <c r="Q1840">
        <f t="shared" si="140"/>
        <v>6</v>
      </c>
      <c r="R1840" s="4">
        <f>RANK(N1840,$N$2:N$2800,0)</f>
        <v>2105</v>
      </c>
      <c r="S1840">
        <f t="shared" si="141"/>
        <v>1.0769230769230769</v>
      </c>
      <c r="T1840" t="str">
        <f t="shared" si="142"/>
        <v>Low</v>
      </c>
      <c r="U1840" t="str" cm="1">
        <f t="array" ref="U1840">_xlfn.LET(_xlpm.roles,_xlfn.UNIQUE(D1840:D4638),_xlpm.kills, SUMIF(D1840:D4638,_xlpm.roles,G1840:G4638),INDEX(_xlpm.roles,MATCH(MAX(_xlpm.kills),_xlpm.kills,0)))</f>
        <v>Sniper</v>
      </c>
      <c r="V1840" t="str">
        <f t="shared" si="143"/>
        <v>Medium Accuracy</v>
      </c>
      <c r="W1840" t="str" cm="1">
        <f t="array" ref="W1840">_xlfn.LET(_xlpm.roles,_xlfn.UNIQUE(D1840:D4638), _xlpm.counts,COUNTIF(D1840:D4638,_xlpm.roles), INDEX(_xlpm.roles,MATCH(MAX(_xlpm.counts),_xlpm.counts,0)))</f>
        <v>Sniper</v>
      </c>
      <c r="X1840" s="2">
        <f t="shared" si="144"/>
        <v>12.599585062240664</v>
      </c>
    </row>
    <row r="1841" spans="1:24" x14ac:dyDescent="0.3">
      <c r="A1841">
        <v>947</v>
      </c>
      <c r="B1841">
        <v>327</v>
      </c>
      <c r="C1841" t="s">
        <v>30</v>
      </c>
      <c r="D1841" t="s">
        <v>22</v>
      </c>
      <c r="E1841" t="s">
        <v>29</v>
      </c>
      <c r="F1841" t="s">
        <v>24</v>
      </c>
      <c r="G1841">
        <v>21</v>
      </c>
      <c r="H1841">
        <v>7</v>
      </c>
      <c r="I1841">
        <v>5</v>
      </c>
      <c r="J1841">
        <v>54.34</v>
      </c>
      <c r="K1841">
        <v>205.28</v>
      </c>
      <c r="L1841">
        <v>0.27</v>
      </c>
      <c r="M1841">
        <v>68.47</v>
      </c>
      <c r="N1841">
        <v>1</v>
      </c>
      <c r="O1841" t="s">
        <v>20</v>
      </c>
      <c r="P1841" t="s">
        <v>38</v>
      </c>
      <c r="Q1841">
        <f t="shared" si="140"/>
        <v>23</v>
      </c>
      <c r="R1841" s="4">
        <f>RANK(N1841,$N$2:N$2800,0)</f>
        <v>1</v>
      </c>
      <c r="S1841">
        <f t="shared" si="141"/>
        <v>4.2</v>
      </c>
      <c r="T1841" t="str">
        <f t="shared" si="142"/>
        <v>Good</v>
      </c>
      <c r="U1841" t="str" cm="1">
        <f t="array" ref="U1841">_xlfn.LET(_xlpm.roles,_xlfn.UNIQUE(D1841:D4639),_xlpm.kills, SUMIF(D1841:D4639,_xlpm.roles,G1841:G4639),INDEX(_xlpm.roles,MATCH(MAX(_xlpm.kills),_xlpm.kills,0)))</f>
        <v>Sniper</v>
      </c>
      <c r="V1841" t="str">
        <f t="shared" si="143"/>
        <v>High Accuracy</v>
      </c>
      <c r="W1841" t="str" cm="1">
        <f t="array" ref="W1841">_xlfn.LET(_xlpm.roles,_xlfn.UNIQUE(D1841:D4639), _xlpm.counts,COUNTIF(D1841:D4639,_xlpm.roles), INDEX(_xlpm.roles,MATCH(MAX(_xlpm.counts),_xlpm.counts,0)))</f>
        <v>Sniper</v>
      </c>
      <c r="X1841" s="2">
        <f t="shared" si="144"/>
        <v>13.135802469135802</v>
      </c>
    </row>
    <row r="1842" spans="1:24" x14ac:dyDescent="0.3">
      <c r="A1842">
        <v>868</v>
      </c>
      <c r="B1842">
        <v>328</v>
      </c>
      <c r="C1842" t="s">
        <v>25</v>
      </c>
      <c r="D1842" t="s">
        <v>36</v>
      </c>
      <c r="E1842" t="s">
        <v>32</v>
      </c>
      <c r="F1842" t="s">
        <v>26</v>
      </c>
      <c r="G1842">
        <v>13</v>
      </c>
      <c r="H1842">
        <v>7</v>
      </c>
      <c r="I1842">
        <v>9</v>
      </c>
      <c r="J1842">
        <v>41.55</v>
      </c>
      <c r="K1842">
        <v>206.24</v>
      </c>
      <c r="L1842">
        <v>0.48</v>
      </c>
      <c r="M1842">
        <v>39.979999999999997</v>
      </c>
      <c r="N1842">
        <v>0.86</v>
      </c>
      <c r="O1842" t="s">
        <v>20</v>
      </c>
      <c r="P1842" t="s">
        <v>21</v>
      </c>
      <c r="Q1842">
        <f t="shared" si="140"/>
        <v>11</v>
      </c>
      <c r="R1842" s="4">
        <f>RANK(N1842,$N$2:N$2800,0)</f>
        <v>2040</v>
      </c>
      <c r="S1842">
        <f t="shared" si="141"/>
        <v>1.4444444444444444</v>
      </c>
      <c r="T1842" t="str">
        <f t="shared" si="142"/>
        <v>Low</v>
      </c>
      <c r="U1842" t="str" cm="1">
        <f t="array" ref="U1842">_xlfn.LET(_xlpm.roles,_xlfn.UNIQUE(D1842:D4640),_xlpm.kills, SUMIF(D1842:D4640,_xlpm.roles,G1842:G4640),INDEX(_xlpm.roles,MATCH(MAX(_xlpm.kills),_xlpm.kills,0)))</f>
        <v>Sniper</v>
      </c>
      <c r="V1842" t="str">
        <f t="shared" si="143"/>
        <v>Medium Accuracy</v>
      </c>
      <c r="W1842" t="str" cm="1">
        <f t="array" ref="W1842">_xlfn.LET(_xlpm.roles,_xlfn.UNIQUE(D1842:D4640), _xlpm.counts,COUNTIF(D1842:D4640,_xlpm.roles), INDEX(_xlpm.roles,MATCH(MAX(_xlpm.counts),_xlpm.counts,0)))</f>
        <v>Sniper</v>
      </c>
      <c r="X1842" s="2">
        <f t="shared" si="144"/>
        <v>12.809421841541756</v>
      </c>
    </row>
    <row r="1843" spans="1:24" x14ac:dyDescent="0.3">
      <c r="A1843">
        <v>874</v>
      </c>
      <c r="B1843">
        <v>328</v>
      </c>
      <c r="C1843" t="s">
        <v>27</v>
      </c>
      <c r="D1843" t="s">
        <v>22</v>
      </c>
      <c r="E1843" t="s">
        <v>23</v>
      </c>
      <c r="F1843" t="s">
        <v>19</v>
      </c>
      <c r="G1843">
        <v>13</v>
      </c>
      <c r="H1843">
        <v>5</v>
      </c>
      <c r="I1843">
        <v>6</v>
      </c>
      <c r="J1843">
        <v>35.85</v>
      </c>
      <c r="K1843">
        <v>209.72</v>
      </c>
      <c r="L1843">
        <v>0.71</v>
      </c>
      <c r="M1843">
        <v>35.82</v>
      </c>
      <c r="N1843">
        <v>0.93</v>
      </c>
      <c r="O1843" t="s">
        <v>20</v>
      </c>
      <c r="P1843" t="s">
        <v>21</v>
      </c>
      <c r="Q1843">
        <f t="shared" si="140"/>
        <v>12</v>
      </c>
      <c r="R1843" s="4">
        <f>RANK(N1843,$N$2:N$2800,0)</f>
        <v>1505</v>
      </c>
      <c r="S1843">
        <f t="shared" si="141"/>
        <v>2.1666666666666665</v>
      </c>
      <c r="T1843" t="str">
        <f t="shared" si="142"/>
        <v>Low</v>
      </c>
      <c r="U1843" t="str" cm="1">
        <f t="array" ref="U1843">_xlfn.LET(_xlpm.roles,_xlfn.UNIQUE(D1843:D4641),_xlpm.kills, SUMIF(D1843:D4641,_xlpm.roles,G1843:G4641),INDEX(_xlpm.roles,MATCH(MAX(_xlpm.kills),_xlpm.kills,0)))</f>
        <v>Sniper</v>
      </c>
      <c r="V1843" t="str">
        <f t="shared" si="143"/>
        <v>Medium Accuracy</v>
      </c>
      <c r="W1843" t="str" cm="1">
        <f t="array" ref="W1843">_xlfn.LET(_xlpm.roles,_xlfn.UNIQUE(D1843:D4641), _xlpm.counts,COUNTIF(D1843:D4641,_xlpm.roles), INDEX(_xlpm.roles,MATCH(MAX(_xlpm.counts),_xlpm.counts,0)))</f>
        <v>Sniper</v>
      </c>
      <c r="X1843" s="2">
        <f t="shared" si="144"/>
        <v>13.057077625570777</v>
      </c>
    </row>
    <row r="1844" spans="1:24" x14ac:dyDescent="0.3">
      <c r="A1844">
        <v>1677</v>
      </c>
      <c r="B1844">
        <v>328</v>
      </c>
      <c r="C1844" t="s">
        <v>27</v>
      </c>
      <c r="D1844" t="s">
        <v>31</v>
      </c>
      <c r="E1844" t="s">
        <v>18</v>
      </c>
      <c r="F1844" t="s">
        <v>26</v>
      </c>
      <c r="G1844">
        <v>14</v>
      </c>
      <c r="H1844">
        <v>7</v>
      </c>
      <c r="I1844">
        <v>10</v>
      </c>
      <c r="J1844">
        <v>55.62</v>
      </c>
      <c r="K1844">
        <v>217.7</v>
      </c>
      <c r="L1844">
        <v>0.82</v>
      </c>
      <c r="M1844">
        <v>44.61</v>
      </c>
      <c r="N1844">
        <v>0.96</v>
      </c>
      <c r="O1844" t="s">
        <v>20</v>
      </c>
      <c r="P1844" t="s">
        <v>21</v>
      </c>
      <c r="Q1844">
        <f t="shared" si="140"/>
        <v>11</v>
      </c>
      <c r="R1844" s="4">
        <f>RANK(N1844,$N$2:N$2800,0)</f>
        <v>1301</v>
      </c>
      <c r="S1844">
        <f t="shared" si="141"/>
        <v>1.4</v>
      </c>
      <c r="T1844" t="str">
        <f t="shared" si="142"/>
        <v>Low</v>
      </c>
      <c r="U1844" t="str" cm="1">
        <f t="array" ref="U1844">_xlfn.LET(_xlpm.roles,_xlfn.UNIQUE(D1844:D4642),_xlpm.kills, SUMIF(D1844:D4642,_xlpm.roles,G1844:G4642),INDEX(_xlpm.roles,MATCH(MAX(_xlpm.kills),_xlpm.kills,0)))</f>
        <v>Sniper</v>
      </c>
      <c r="V1844" t="str">
        <f t="shared" si="143"/>
        <v>High Accuracy</v>
      </c>
      <c r="W1844" t="str" cm="1">
        <f t="array" ref="W1844">_xlfn.LET(_xlpm.roles,_xlfn.UNIQUE(D1844:D4642), _xlpm.counts,COUNTIF(D1844:D4642,_xlpm.roles), INDEX(_xlpm.roles,MATCH(MAX(_xlpm.counts),_xlpm.counts,0)))</f>
        <v>Sniper</v>
      </c>
      <c r="X1844" s="2">
        <f t="shared" si="144"/>
        <v>13.057077625570777</v>
      </c>
    </row>
    <row r="1845" spans="1:24" x14ac:dyDescent="0.3">
      <c r="A1845">
        <v>2050</v>
      </c>
      <c r="B1845">
        <v>328</v>
      </c>
      <c r="C1845" t="s">
        <v>39</v>
      </c>
      <c r="D1845" t="s">
        <v>22</v>
      </c>
      <c r="E1845" t="s">
        <v>29</v>
      </c>
      <c r="F1845" t="s">
        <v>34</v>
      </c>
      <c r="G1845">
        <v>15</v>
      </c>
      <c r="H1845">
        <v>6</v>
      </c>
      <c r="I1845">
        <v>14</v>
      </c>
      <c r="J1845">
        <v>50.74</v>
      </c>
      <c r="K1845">
        <v>231.05</v>
      </c>
      <c r="L1845">
        <v>0.33</v>
      </c>
      <c r="M1845">
        <v>44.07</v>
      </c>
      <c r="N1845">
        <v>1</v>
      </c>
      <c r="O1845" t="s">
        <v>20</v>
      </c>
      <c r="P1845" t="s">
        <v>21</v>
      </c>
      <c r="Q1845">
        <f t="shared" si="140"/>
        <v>7</v>
      </c>
      <c r="R1845" s="4">
        <f>RANK(N1845,$N$2:N$2800,0)</f>
        <v>1</v>
      </c>
      <c r="S1845">
        <f t="shared" si="141"/>
        <v>1.0714285714285714</v>
      </c>
      <c r="T1845" t="str">
        <f t="shared" si="142"/>
        <v>Low</v>
      </c>
      <c r="U1845" t="str" cm="1">
        <f t="array" ref="U1845">_xlfn.LET(_xlpm.roles,_xlfn.UNIQUE(D1845:D4643),_xlpm.kills, SUMIF(D1845:D4643,_xlpm.roles,G1845:G4643),INDEX(_xlpm.roles,MATCH(MAX(_xlpm.kills),_xlpm.kills,0)))</f>
        <v>Sniper</v>
      </c>
      <c r="V1845" t="str">
        <f t="shared" si="143"/>
        <v>High Accuracy</v>
      </c>
      <c r="W1845" t="str" cm="1">
        <f t="array" ref="W1845">_xlfn.LET(_xlpm.roles,_xlfn.UNIQUE(D1845:D4643), _xlpm.counts,COUNTIF(D1845:D4643,_xlpm.roles), INDEX(_xlpm.roles,MATCH(MAX(_xlpm.counts),_xlpm.counts,0)))</f>
        <v>Sniper</v>
      </c>
      <c r="X1845" s="2">
        <f t="shared" si="144"/>
        <v>13.103594080338267</v>
      </c>
    </row>
    <row r="1846" spans="1:24" x14ac:dyDescent="0.3">
      <c r="A1846">
        <v>2263</v>
      </c>
      <c r="B1846">
        <v>328</v>
      </c>
      <c r="C1846" t="s">
        <v>25</v>
      </c>
      <c r="D1846" t="s">
        <v>28</v>
      </c>
      <c r="E1846" t="s">
        <v>32</v>
      </c>
      <c r="F1846" t="s">
        <v>34</v>
      </c>
      <c r="G1846">
        <v>12</v>
      </c>
      <c r="H1846">
        <v>9</v>
      </c>
      <c r="I1846">
        <v>8</v>
      </c>
      <c r="J1846">
        <v>56.53</v>
      </c>
      <c r="K1846">
        <v>257.69</v>
      </c>
      <c r="L1846">
        <v>0.21</v>
      </c>
      <c r="M1846">
        <v>51.16</v>
      </c>
      <c r="N1846">
        <v>0.98</v>
      </c>
      <c r="O1846" t="s">
        <v>20</v>
      </c>
      <c r="P1846" t="s">
        <v>21</v>
      </c>
      <c r="Q1846">
        <f t="shared" si="140"/>
        <v>13</v>
      </c>
      <c r="R1846" s="4">
        <f>RANK(N1846,$N$2:N$2800,0)</f>
        <v>1157</v>
      </c>
      <c r="S1846">
        <f t="shared" si="141"/>
        <v>1.5</v>
      </c>
      <c r="T1846" t="str">
        <f t="shared" si="142"/>
        <v>Low</v>
      </c>
      <c r="U1846" t="str" cm="1">
        <f t="array" ref="U1846">_xlfn.LET(_xlpm.roles,_xlfn.UNIQUE(D1846:D4644),_xlpm.kills, SUMIF(D1846:D4644,_xlpm.roles,G1846:G4644),INDEX(_xlpm.roles,MATCH(MAX(_xlpm.kills),_xlpm.kills,0)))</f>
        <v>Sniper</v>
      </c>
      <c r="V1846" t="str">
        <f t="shared" si="143"/>
        <v>High Accuracy</v>
      </c>
      <c r="W1846" t="str" cm="1">
        <f t="array" ref="W1846">_xlfn.LET(_xlpm.roles,_xlfn.UNIQUE(D1846:D4644), _xlpm.counts,COUNTIF(D1846:D4644,_xlpm.roles), INDEX(_xlpm.roles,MATCH(MAX(_xlpm.counts),_xlpm.counts,0)))</f>
        <v>Sniper</v>
      </c>
      <c r="X1846" s="2">
        <f t="shared" si="144"/>
        <v>12.809421841541756</v>
      </c>
    </row>
    <row r="1847" spans="1:24" x14ac:dyDescent="0.3">
      <c r="A1847">
        <v>2368</v>
      </c>
      <c r="B1847">
        <v>328</v>
      </c>
      <c r="C1847" t="s">
        <v>30</v>
      </c>
      <c r="D1847" t="s">
        <v>17</v>
      </c>
      <c r="E1847" t="s">
        <v>23</v>
      </c>
      <c r="F1847" t="s">
        <v>34</v>
      </c>
      <c r="G1847">
        <v>15</v>
      </c>
      <c r="H1847">
        <v>7</v>
      </c>
      <c r="I1847">
        <v>6</v>
      </c>
      <c r="J1847">
        <v>40.47</v>
      </c>
      <c r="K1847">
        <v>242.33</v>
      </c>
      <c r="L1847">
        <v>0.64</v>
      </c>
      <c r="M1847">
        <v>44.84</v>
      </c>
      <c r="N1847">
        <v>0.87</v>
      </c>
      <c r="O1847" t="s">
        <v>20</v>
      </c>
      <c r="P1847" t="s">
        <v>21</v>
      </c>
      <c r="Q1847">
        <f t="shared" si="140"/>
        <v>16</v>
      </c>
      <c r="R1847" s="4">
        <f>RANK(N1847,$N$2:N$2800,0)</f>
        <v>1965</v>
      </c>
      <c r="S1847">
        <f t="shared" si="141"/>
        <v>2.5</v>
      </c>
      <c r="T1847" t="str">
        <f t="shared" si="142"/>
        <v>Good</v>
      </c>
      <c r="U1847" t="str" cm="1">
        <f t="array" ref="U1847">_xlfn.LET(_xlpm.roles,_xlfn.UNIQUE(D1847:D4645),_xlpm.kills, SUMIF(D1847:D4645,_xlpm.roles,G1847:G4645),INDEX(_xlpm.roles,MATCH(MAX(_xlpm.kills),_xlpm.kills,0)))</f>
        <v>Sniper</v>
      </c>
      <c r="V1847" t="str">
        <f t="shared" si="143"/>
        <v>Medium Accuracy</v>
      </c>
      <c r="W1847" t="str" cm="1">
        <f t="array" ref="W1847">_xlfn.LET(_xlpm.roles,_xlfn.UNIQUE(D1847:D4645), _xlpm.counts,COUNTIF(D1847:D4645,_xlpm.roles), INDEX(_xlpm.roles,MATCH(MAX(_xlpm.counts),_xlpm.counts,0)))</f>
        <v>Sniper</v>
      </c>
      <c r="X1847" s="2">
        <f t="shared" si="144"/>
        <v>13.135802469135802</v>
      </c>
    </row>
    <row r="1848" spans="1:24" x14ac:dyDescent="0.3">
      <c r="A1848">
        <v>159</v>
      </c>
      <c r="B1848">
        <v>329</v>
      </c>
      <c r="C1848" t="s">
        <v>16</v>
      </c>
      <c r="D1848" t="s">
        <v>22</v>
      </c>
      <c r="E1848" t="s">
        <v>33</v>
      </c>
      <c r="F1848" t="s">
        <v>37</v>
      </c>
      <c r="G1848">
        <v>12</v>
      </c>
      <c r="H1848">
        <v>5</v>
      </c>
      <c r="I1848">
        <v>10</v>
      </c>
      <c r="J1848">
        <v>36.770000000000003</v>
      </c>
      <c r="K1848">
        <v>179.42</v>
      </c>
      <c r="L1848">
        <v>0.62</v>
      </c>
      <c r="M1848">
        <v>31.19</v>
      </c>
      <c r="N1848">
        <v>0.93</v>
      </c>
      <c r="O1848" t="s">
        <v>20</v>
      </c>
      <c r="P1848" t="s">
        <v>21</v>
      </c>
      <c r="Q1848">
        <f t="shared" si="140"/>
        <v>7</v>
      </c>
      <c r="R1848" s="4">
        <f>RANK(N1848,$N$2:N$2800,0)</f>
        <v>1505</v>
      </c>
      <c r="S1848">
        <f t="shared" si="141"/>
        <v>1.2</v>
      </c>
      <c r="T1848" t="str">
        <f t="shared" si="142"/>
        <v>Low</v>
      </c>
      <c r="U1848" t="str" cm="1">
        <f t="array" ref="U1848">_xlfn.LET(_xlpm.roles,_xlfn.UNIQUE(D1848:D4646),_xlpm.kills, SUMIF(D1848:D4646,_xlpm.roles,G1848:G4646),INDEX(_xlpm.roles,MATCH(MAX(_xlpm.kills),_xlpm.kills,0)))</f>
        <v>Sniper</v>
      </c>
      <c r="V1848" t="str">
        <f t="shared" si="143"/>
        <v>Medium Accuracy</v>
      </c>
      <c r="W1848" t="str" cm="1">
        <f t="array" ref="W1848">_xlfn.LET(_xlpm.roles,_xlfn.UNIQUE(D1848:D4646), _xlpm.counts,COUNTIF(D1848:D4646,_xlpm.roles), INDEX(_xlpm.roles,MATCH(MAX(_xlpm.counts),_xlpm.counts,0)))</f>
        <v>Sniper</v>
      </c>
      <c r="X1848" s="2">
        <f t="shared" si="144"/>
        <v>12.520971302428256</v>
      </c>
    </row>
    <row r="1849" spans="1:24" x14ac:dyDescent="0.3">
      <c r="A1849">
        <v>663</v>
      </c>
      <c r="B1849">
        <v>329</v>
      </c>
      <c r="C1849" t="s">
        <v>39</v>
      </c>
      <c r="D1849" t="s">
        <v>17</v>
      </c>
      <c r="E1849" t="s">
        <v>29</v>
      </c>
      <c r="F1849" t="s">
        <v>26</v>
      </c>
      <c r="G1849">
        <v>11</v>
      </c>
      <c r="H1849">
        <v>8</v>
      </c>
      <c r="I1849">
        <v>7</v>
      </c>
      <c r="J1849">
        <v>45.92</v>
      </c>
      <c r="K1849">
        <v>219.11</v>
      </c>
      <c r="L1849">
        <v>0.67</v>
      </c>
      <c r="M1849">
        <v>39.26</v>
      </c>
      <c r="N1849">
        <v>0.85</v>
      </c>
      <c r="O1849" t="s">
        <v>20</v>
      </c>
      <c r="P1849" t="s">
        <v>21</v>
      </c>
      <c r="Q1849">
        <f t="shared" si="140"/>
        <v>12</v>
      </c>
      <c r="R1849" s="4">
        <f>RANK(N1849,$N$2:N$2800,0)</f>
        <v>2105</v>
      </c>
      <c r="S1849">
        <f t="shared" si="141"/>
        <v>1.5714285714285714</v>
      </c>
      <c r="T1849" t="str">
        <f t="shared" si="142"/>
        <v>Low</v>
      </c>
      <c r="U1849" t="str" cm="1">
        <f t="array" ref="U1849">_xlfn.LET(_xlpm.roles,_xlfn.UNIQUE(D1849:D4647),_xlpm.kills, SUMIF(D1849:D4647,_xlpm.roles,G1849:G4647),INDEX(_xlpm.roles,MATCH(MAX(_xlpm.kills),_xlpm.kills,0)))</f>
        <v>Sniper</v>
      </c>
      <c r="V1849" t="str">
        <f t="shared" si="143"/>
        <v>Medium Accuracy</v>
      </c>
      <c r="W1849" t="str" cm="1">
        <f t="array" ref="W1849">_xlfn.LET(_xlpm.roles,_xlfn.UNIQUE(D1849:D4647), _xlpm.counts,COUNTIF(D1849:D4647,_xlpm.roles), INDEX(_xlpm.roles,MATCH(MAX(_xlpm.counts),_xlpm.counts,0)))</f>
        <v>Sniper</v>
      </c>
      <c r="X1849" s="2">
        <f t="shared" si="144"/>
        <v>13.103594080338267</v>
      </c>
    </row>
    <row r="1850" spans="1:24" x14ac:dyDescent="0.3">
      <c r="A1850">
        <v>1059</v>
      </c>
      <c r="B1850">
        <v>329</v>
      </c>
      <c r="C1850" t="s">
        <v>35</v>
      </c>
      <c r="D1850" t="s">
        <v>28</v>
      </c>
      <c r="E1850" t="s">
        <v>33</v>
      </c>
      <c r="F1850" t="s">
        <v>19</v>
      </c>
      <c r="G1850">
        <v>15</v>
      </c>
      <c r="H1850">
        <v>10</v>
      </c>
      <c r="I1850">
        <v>10</v>
      </c>
      <c r="J1850">
        <v>45.04</v>
      </c>
      <c r="K1850">
        <v>197.23</v>
      </c>
      <c r="L1850">
        <v>0.5</v>
      </c>
      <c r="M1850">
        <v>47.52</v>
      </c>
      <c r="N1850">
        <v>1</v>
      </c>
      <c r="O1850" t="s">
        <v>20</v>
      </c>
      <c r="P1850" t="s">
        <v>21</v>
      </c>
      <c r="Q1850">
        <f t="shared" si="140"/>
        <v>15</v>
      </c>
      <c r="R1850" s="4">
        <f>RANK(N1850,$N$2:N$2800,0)</f>
        <v>1</v>
      </c>
      <c r="S1850">
        <f t="shared" si="141"/>
        <v>1.5</v>
      </c>
      <c r="T1850" t="str">
        <f t="shared" si="142"/>
        <v>Good</v>
      </c>
      <c r="U1850" t="str" cm="1">
        <f t="array" ref="U1850">_xlfn.LET(_xlpm.roles,_xlfn.UNIQUE(D1850:D4648),_xlpm.kills, SUMIF(D1850:D4648,_xlpm.roles,G1850:G4648),INDEX(_xlpm.roles,MATCH(MAX(_xlpm.kills),_xlpm.kills,0)))</f>
        <v>Sniper</v>
      </c>
      <c r="V1850" t="str">
        <f t="shared" si="143"/>
        <v>Medium Accuracy</v>
      </c>
      <c r="W1850" t="str" cm="1">
        <f t="array" ref="W1850">_xlfn.LET(_xlpm.roles,_xlfn.UNIQUE(D1850:D4648), _xlpm.counts,COUNTIF(D1850:D4648,_xlpm.roles), INDEX(_xlpm.roles,MATCH(MAX(_xlpm.counts),_xlpm.counts,0)))</f>
        <v>Sniper</v>
      </c>
      <c r="X1850" s="2">
        <f t="shared" si="144"/>
        <v>12.599585062240664</v>
      </c>
    </row>
    <row r="1851" spans="1:24" x14ac:dyDescent="0.3">
      <c r="A1851">
        <v>1300</v>
      </c>
      <c r="B1851">
        <v>329</v>
      </c>
      <c r="C1851" t="s">
        <v>35</v>
      </c>
      <c r="D1851" t="s">
        <v>31</v>
      </c>
      <c r="E1851" t="s">
        <v>18</v>
      </c>
      <c r="F1851" t="s">
        <v>24</v>
      </c>
      <c r="G1851">
        <v>12</v>
      </c>
      <c r="H1851">
        <v>14</v>
      </c>
      <c r="I1851">
        <v>13</v>
      </c>
      <c r="J1851">
        <v>32.549999999999997</v>
      </c>
      <c r="K1851">
        <v>224.77</v>
      </c>
      <c r="L1851">
        <v>0.27</v>
      </c>
      <c r="M1851">
        <v>38.57</v>
      </c>
      <c r="N1851">
        <v>0.78</v>
      </c>
      <c r="O1851" t="s">
        <v>20</v>
      </c>
      <c r="P1851" t="s">
        <v>21</v>
      </c>
      <c r="Q1851">
        <f t="shared" si="140"/>
        <v>13</v>
      </c>
      <c r="R1851" s="4">
        <f>RANK(N1851,$N$2:N$2800,0)</f>
        <v>2469</v>
      </c>
      <c r="S1851">
        <f t="shared" si="141"/>
        <v>0.92307692307692313</v>
      </c>
      <c r="T1851" t="str">
        <f t="shared" si="142"/>
        <v>Low</v>
      </c>
      <c r="U1851" t="str" cm="1">
        <f t="array" ref="U1851">_xlfn.LET(_xlpm.roles,_xlfn.UNIQUE(D1851:D4649),_xlpm.kills, SUMIF(D1851:D4649,_xlpm.roles,G1851:G4649),INDEX(_xlpm.roles,MATCH(MAX(_xlpm.kills),_xlpm.kills,0)))</f>
        <v>Sniper</v>
      </c>
      <c r="V1851" t="str">
        <f t="shared" si="143"/>
        <v>Medium Accuracy</v>
      </c>
      <c r="W1851" t="str" cm="1">
        <f t="array" ref="W1851">_xlfn.LET(_xlpm.roles,_xlfn.UNIQUE(D1851:D4649), _xlpm.counts,COUNTIF(D1851:D4649,_xlpm.roles), INDEX(_xlpm.roles,MATCH(MAX(_xlpm.counts),_xlpm.counts,0)))</f>
        <v>Sniper</v>
      </c>
      <c r="X1851" s="2">
        <f t="shared" si="144"/>
        <v>12.599585062240664</v>
      </c>
    </row>
    <row r="1852" spans="1:24" x14ac:dyDescent="0.3">
      <c r="A1852">
        <v>1487</v>
      </c>
      <c r="B1852">
        <v>329</v>
      </c>
      <c r="C1852" t="s">
        <v>30</v>
      </c>
      <c r="D1852" t="s">
        <v>31</v>
      </c>
      <c r="E1852" t="s">
        <v>32</v>
      </c>
      <c r="F1852" t="s">
        <v>37</v>
      </c>
      <c r="G1852">
        <v>12</v>
      </c>
      <c r="H1852">
        <v>7</v>
      </c>
      <c r="I1852">
        <v>10</v>
      </c>
      <c r="J1852">
        <v>39.21</v>
      </c>
      <c r="K1852">
        <v>280.56</v>
      </c>
      <c r="L1852">
        <v>0.22</v>
      </c>
      <c r="M1852">
        <v>38.409999999999997</v>
      </c>
      <c r="N1852">
        <v>0.87</v>
      </c>
      <c r="O1852" t="s">
        <v>20</v>
      </c>
      <c r="P1852" t="s">
        <v>21</v>
      </c>
      <c r="Q1852">
        <f t="shared" si="140"/>
        <v>9</v>
      </c>
      <c r="R1852" s="4">
        <f>RANK(N1852,$N$2:N$2800,0)</f>
        <v>1965</v>
      </c>
      <c r="S1852">
        <f t="shared" si="141"/>
        <v>1.2</v>
      </c>
      <c r="T1852" t="str">
        <f t="shared" si="142"/>
        <v>Low</v>
      </c>
      <c r="U1852" t="str" cm="1">
        <f t="array" ref="U1852">_xlfn.LET(_xlpm.roles,_xlfn.UNIQUE(D1852:D4650),_xlpm.kills, SUMIF(D1852:D4650,_xlpm.roles,G1852:G4650),INDEX(_xlpm.roles,MATCH(MAX(_xlpm.kills),_xlpm.kills,0)))</f>
        <v>Sniper</v>
      </c>
      <c r="V1852" t="str">
        <f t="shared" si="143"/>
        <v>Medium Accuracy</v>
      </c>
      <c r="W1852" t="str" cm="1">
        <f t="array" ref="W1852">_xlfn.LET(_xlpm.roles,_xlfn.UNIQUE(D1852:D4650), _xlpm.counts,COUNTIF(D1852:D4650,_xlpm.roles), INDEX(_xlpm.roles,MATCH(MAX(_xlpm.counts),_xlpm.counts,0)))</f>
        <v>Sniper</v>
      </c>
      <c r="X1852" s="2">
        <f t="shared" si="144"/>
        <v>13.135802469135802</v>
      </c>
    </row>
    <row r="1853" spans="1:24" x14ac:dyDescent="0.3">
      <c r="A1853">
        <v>2222</v>
      </c>
      <c r="B1853">
        <v>329</v>
      </c>
      <c r="C1853" t="s">
        <v>16</v>
      </c>
      <c r="D1853" t="s">
        <v>31</v>
      </c>
      <c r="E1853" t="s">
        <v>29</v>
      </c>
      <c r="F1853" t="s">
        <v>24</v>
      </c>
      <c r="G1853">
        <v>21</v>
      </c>
      <c r="H1853">
        <v>13</v>
      </c>
      <c r="I1853">
        <v>14</v>
      </c>
      <c r="J1853">
        <v>53.94</v>
      </c>
      <c r="K1853">
        <v>227.32</v>
      </c>
      <c r="L1853">
        <v>0.47</v>
      </c>
      <c r="M1853">
        <v>63.27</v>
      </c>
      <c r="N1853">
        <v>1</v>
      </c>
      <c r="O1853" t="s">
        <v>20</v>
      </c>
      <c r="P1853" t="s">
        <v>38</v>
      </c>
      <c r="Q1853">
        <f t="shared" si="140"/>
        <v>20</v>
      </c>
      <c r="R1853" s="4">
        <f>RANK(N1853,$N$2:N$2800,0)</f>
        <v>1</v>
      </c>
      <c r="S1853">
        <f t="shared" si="141"/>
        <v>1.5</v>
      </c>
      <c r="T1853" t="str">
        <f t="shared" si="142"/>
        <v>Good</v>
      </c>
      <c r="U1853" t="str" cm="1">
        <f t="array" ref="U1853">_xlfn.LET(_xlpm.roles,_xlfn.UNIQUE(D1853:D4651),_xlpm.kills, SUMIF(D1853:D4651,_xlpm.roles,G1853:G4651),INDEX(_xlpm.roles,MATCH(MAX(_xlpm.kills),_xlpm.kills,0)))</f>
        <v>Sniper</v>
      </c>
      <c r="V1853" t="str">
        <f t="shared" si="143"/>
        <v>High Accuracy</v>
      </c>
      <c r="W1853" t="str" cm="1">
        <f t="array" ref="W1853">_xlfn.LET(_xlpm.roles,_xlfn.UNIQUE(D1853:D4651), _xlpm.counts,COUNTIF(D1853:D4651,_xlpm.roles), INDEX(_xlpm.roles,MATCH(MAX(_xlpm.counts),_xlpm.counts,0)))</f>
        <v>Sniper</v>
      </c>
      <c r="X1853" s="2">
        <f t="shared" si="144"/>
        <v>12.520971302428256</v>
      </c>
    </row>
    <row r="1854" spans="1:24" x14ac:dyDescent="0.3">
      <c r="A1854">
        <v>614</v>
      </c>
      <c r="B1854">
        <v>330</v>
      </c>
      <c r="C1854" t="s">
        <v>30</v>
      </c>
      <c r="D1854" t="s">
        <v>36</v>
      </c>
      <c r="E1854" t="s">
        <v>32</v>
      </c>
      <c r="F1854" t="s">
        <v>19</v>
      </c>
      <c r="G1854">
        <v>27</v>
      </c>
      <c r="H1854">
        <v>11</v>
      </c>
      <c r="I1854">
        <v>9</v>
      </c>
      <c r="J1854">
        <v>49.32</v>
      </c>
      <c r="K1854">
        <v>240.45</v>
      </c>
      <c r="L1854">
        <v>0.55000000000000004</v>
      </c>
      <c r="M1854">
        <v>75.16</v>
      </c>
      <c r="N1854">
        <v>1</v>
      </c>
      <c r="O1854" t="s">
        <v>20</v>
      </c>
      <c r="P1854" t="s">
        <v>38</v>
      </c>
      <c r="Q1854">
        <f t="shared" si="140"/>
        <v>29</v>
      </c>
      <c r="R1854" s="4">
        <f>RANK(N1854,$N$2:N$2800,0)</f>
        <v>1</v>
      </c>
      <c r="S1854">
        <f t="shared" si="141"/>
        <v>3</v>
      </c>
      <c r="T1854" t="str">
        <f t="shared" si="142"/>
        <v>Excellent</v>
      </c>
      <c r="U1854" t="str" cm="1">
        <f t="array" ref="U1854">_xlfn.LET(_xlpm.roles,_xlfn.UNIQUE(D1854:D4652),_xlpm.kills, SUMIF(D1854:D4652,_xlpm.roles,G1854:G4652),INDEX(_xlpm.roles,MATCH(MAX(_xlpm.kills),_xlpm.kills,0)))</f>
        <v>Sniper</v>
      </c>
      <c r="V1854" t="str">
        <f t="shared" si="143"/>
        <v>Medium Accuracy</v>
      </c>
      <c r="W1854" t="str" cm="1">
        <f t="array" ref="W1854">_xlfn.LET(_xlpm.roles,_xlfn.UNIQUE(D1854:D4652), _xlpm.counts,COUNTIF(D1854:D4652,_xlpm.roles), INDEX(_xlpm.roles,MATCH(MAX(_xlpm.counts),_xlpm.counts,0)))</f>
        <v>Sniper</v>
      </c>
      <c r="X1854" s="2">
        <f t="shared" si="144"/>
        <v>13.135802469135802</v>
      </c>
    </row>
    <row r="1855" spans="1:24" x14ac:dyDescent="0.3">
      <c r="A1855">
        <v>1284</v>
      </c>
      <c r="B1855">
        <v>330</v>
      </c>
      <c r="C1855" t="s">
        <v>27</v>
      </c>
      <c r="D1855" t="s">
        <v>22</v>
      </c>
      <c r="E1855" t="s">
        <v>33</v>
      </c>
      <c r="F1855" t="s">
        <v>24</v>
      </c>
      <c r="G1855">
        <v>19</v>
      </c>
      <c r="H1855">
        <v>3</v>
      </c>
      <c r="I1855">
        <v>6</v>
      </c>
      <c r="J1855">
        <v>46.41</v>
      </c>
      <c r="K1855">
        <v>241.52</v>
      </c>
      <c r="L1855">
        <v>0.8</v>
      </c>
      <c r="M1855">
        <v>50.2</v>
      </c>
      <c r="N1855">
        <v>0.95</v>
      </c>
      <c r="O1855" t="s">
        <v>20</v>
      </c>
      <c r="P1855" t="s">
        <v>21</v>
      </c>
      <c r="Q1855">
        <f t="shared" si="140"/>
        <v>16</v>
      </c>
      <c r="R1855" s="4">
        <f>RANK(N1855,$N$2:N$2800,0)</f>
        <v>1367</v>
      </c>
      <c r="S1855">
        <f t="shared" si="141"/>
        <v>3.1666666666666665</v>
      </c>
      <c r="T1855" t="str">
        <f t="shared" si="142"/>
        <v>Good</v>
      </c>
      <c r="U1855" t="str" cm="1">
        <f t="array" ref="U1855">_xlfn.LET(_xlpm.roles,_xlfn.UNIQUE(D1855:D4653),_xlpm.kills, SUMIF(D1855:D4653,_xlpm.roles,G1855:G4653),INDEX(_xlpm.roles,MATCH(MAX(_xlpm.kills),_xlpm.kills,0)))</f>
        <v>Sniper</v>
      </c>
      <c r="V1855" t="str">
        <f t="shared" si="143"/>
        <v>Medium Accuracy</v>
      </c>
      <c r="W1855" t="str" cm="1">
        <f t="array" ref="W1855">_xlfn.LET(_xlpm.roles,_xlfn.UNIQUE(D1855:D4653), _xlpm.counts,COUNTIF(D1855:D4653,_xlpm.roles), INDEX(_xlpm.roles,MATCH(MAX(_xlpm.counts),_xlpm.counts,0)))</f>
        <v>Sniper</v>
      </c>
      <c r="X1855" s="2">
        <f t="shared" si="144"/>
        <v>13.057077625570777</v>
      </c>
    </row>
    <row r="1856" spans="1:24" x14ac:dyDescent="0.3">
      <c r="A1856">
        <v>1858</v>
      </c>
      <c r="B1856">
        <v>330</v>
      </c>
      <c r="C1856" t="s">
        <v>35</v>
      </c>
      <c r="D1856" t="s">
        <v>36</v>
      </c>
      <c r="E1856" t="s">
        <v>23</v>
      </c>
      <c r="F1856" t="s">
        <v>34</v>
      </c>
      <c r="G1856">
        <v>16</v>
      </c>
      <c r="H1856">
        <v>7</v>
      </c>
      <c r="I1856">
        <v>13</v>
      </c>
      <c r="J1856">
        <v>58.3</v>
      </c>
      <c r="K1856">
        <v>221.65</v>
      </c>
      <c r="L1856">
        <v>0.77</v>
      </c>
      <c r="M1856">
        <v>47.45</v>
      </c>
      <c r="N1856">
        <v>0.71</v>
      </c>
      <c r="O1856" t="s">
        <v>20</v>
      </c>
      <c r="P1856" t="s">
        <v>21</v>
      </c>
      <c r="Q1856">
        <f t="shared" si="140"/>
        <v>10</v>
      </c>
      <c r="R1856" s="4">
        <f>RANK(N1856,$N$2:N$2800,0)</f>
        <v>2688</v>
      </c>
      <c r="S1856">
        <f t="shared" si="141"/>
        <v>1.2307692307692308</v>
      </c>
      <c r="T1856" t="str">
        <f t="shared" si="142"/>
        <v>Low</v>
      </c>
      <c r="U1856" t="str" cm="1">
        <f t="array" ref="U1856">_xlfn.LET(_xlpm.roles,_xlfn.UNIQUE(D1856:D4654),_xlpm.kills, SUMIF(D1856:D4654,_xlpm.roles,G1856:G4654),INDEX(_xlpm.roles,MATCH(MAX(_xlpm.kills),_xlpm.kills,0)))</f>
        <v>Sniper</v>
      </c>
      <c r="V1856" t="str">
        <f t="shared" si="143"/>
        <v>High Accuracy</v>
      </c>
      <c r="W1856" t="str" cm="1">
        <f t="array" ref="W1856">_xlfn.LET(_xlpm.roles,_xlfn.UNIQUE(D1856:D4654), _xlpm.counts,COUNTIF(D1856:D4654,_xlpm.roles), INDEX(_xlpm.roles,MATCH(MAX(_xlpm.counts),_xlpm.counts,0)))</f>
        <v>Sniper</v>
      </c>
      <c r="X1856" s="2">
        <f t="shared" si="144"/>
        <v>12.599585062240664</v>
      </c>
    </row>
    <row r="1857" spans="1:24" x14ac:dyDescent="0.3">
      <c r="A1857">
        <v>2005</v>
      </c>
      <c r="B1857">
        <v>330</v>
      </c>
      <c r="C1857" t="s">
        <v>25</v>
      </c>
      <c r="D1857" t="s">
        <v>36</v>
      </c>
      <c r="E1857" t="s">
        <v>33</v>
      </c>
      <c r="F1857" t="s">
        <v>24</v>
      </c>
      <c r="G1857">
        <v>16</v>
      </c>
      <c r="H1857">
        <v>7</v>
      </c>
      <c r="I1857">
        <v>8</v>
      </c>
      <c r="J1857">
        <v>50.52</v>
      </c>
      <c r="K1857">
        <v>184.91</v>
      </c>
      <c r="L1857">
        <v>0.05</v>
      </c>
      <c r="M1857">
        <v>55.76</v>
      </c>
      <c r="N1857">
        <v>1</v>
      </c>
      <c r="O1857" t="s">
        <v>20</v>
      </c>
      <c r="P1857" t="s">
        <v>21</v>
      </c>
      <c r="Q1857">
        <f t="shared" si="140"/>
        <v>15</v>
      </c>
      <c r="R1857" s="4">
        <f>RANK(N1857,$N$2:N$2800,0)</f>
        <v>1</v>
      </c>
      <c r="S1857">
        <f t="shared" si="141"/>
        <v>2</v>
      </c>
      <c r="T1857" t="str">
        <f t="shared" si="142"/>
        <v>Good</v>
      </c>
      <c r="U1857" t="str" cm="1">
        <f t="array" ref="U1857">_xlfn.LET(_xlpm.roles,_xlfn.UNIQUE(D1857:D4655),_xlpm.kills, SUMIF(D1857:D4655,_xlpm.roles,G1857:G4655),INDEX(_xlpm.roles,MATCH(MAX(_xlpm.kills),_xlpm.kills,0)))</f>
        <v>Sniper</v>
      </c>
      <c r="V1857" t="str">
        <f t="shared" si="143"/>
        <v>High Accuracy</v>
      </c>
      <c r="W1857" t="str" cm="1">
        <f t="array" ref="W1857">_xlfn.LET(_xlpm.roles,_xlfn.UNIQUE(D1857:D4655), _xlpm.counts,COUNTIF(D1857:D4655,_xlpm.roles), INDEX(_xlpm.roles,MATCH(MAX(_xlpm.counts),_xlpm.counts,0)))</f>
        <v>Sniper</v>
      </c>
      <c r="X1857" s="2">
        <f t="shared" si="144"/>
        <v>12.809421841541756</v>
      </c>
    </row>
    <row r="1858" spans="1:24" x14ac:dyDescent="0.3">
      <c r="A1858">
        <v>2028</v>
      </c>
      <c r="B1858">
        <v>330</v>
      </c>
      <c r="C1858" t="s">
        <v>27</v>
      </c>
      <c r="D1858" t="s">
        <v>36</v>
      </c>
      <c r="E1858" t="s">
        <v>18</v>
      </c>
      <c r="F1858" t="s">
        <v>24</v>
      </c>
      <c r="G1858">
        <v>13</v>
      </c>
      <c r="H1858">
        <v>7</v>
      </c>
      <c r="I1858">
        <v>8</v>
      </c>
      <c r="J1858">
        <v>46.44</v>
      </c>
      <c r="K1858">
        <v>203.59</v>
      </c>
      <c r="L1858">
        <v>0.08</v>
      </c>
      <c r="M1858">
        <v>47.42</v>
      </c>
      <c r="N1858">
        <v>1</v>
      </c>
      <c r="O1858" t="s">
        <v>20</v>
      </c>
      <c r="P1858" t="s">
        <v>21</v>
      </c>
      <c r="Q1858">
        <f t="shared" si="140"/>
        <v>12</v>
      </c>
      <c r="R1858" s="4">
        <f>RANK(N1858,$N$2:N$2800,0)</f>
        <v>1</v>
      </c>
      <c r="S1858">
        <f t="shared" si="141"/>
        <v>1.625</v>
      </c>
      <c r="T1858" t="str">
        <f t="shared" si="142"/>
        <v>Low</v>
      </c>
      <c r="U1858" t="str" cm="1">
        <f t="array" ref="U1858">_xlfn.LET(_xlpm.roles,_xlfn.UNIQUE(D1858:D4656),_xlpm.kills, SUMIF(D1858:D4656,_xlpm.roles,G1858:G4656),INDEX(_xlpm.roles,MATCH(MAX(_xlpm.kills),_xlpm.kills,0)))</f>
        <v>Sniper</v>
      </c>
      <c r="V1858" t="str">
        <f t="shared" si="143"/>
        <v>Medium Accuracy</v>
      </c>
      <c r="W1858" t="str" cm="1">
        <f t="array" ref="W1858">_xlfn.LET(_xlpm.roles,_xlfn.UNIQUE(D1858:D4656), _xlpm.counts,COUNTIF(D1858:D4656,_xlpm.roles), INDEX(_xlpm.roles,MATCH(MAX(_xlpm.counts),_xlpm.counts,0)))</f>
        <v>Sniper</v>
      </c>
      <c r="X1858" s="2">
        <f t="shared" si="144"/>
        <v>13.057077625570777</v>
      </c>
    </row>
    <row r="1859" spans="1:24" x14ac:dyDescent="0.3">
      <c r="A1859">
        <v>2181</v>
      </c>
      <c r="B1859">
        <v>330</v>
      </c>
      <c r="C1859" t="s">
        <v>35</v>
      </c>
      <c r="D1859" t="s">
        <v>31</v>
      </c>
      <c r="E1859" t="s">
        <v>18</v>
      </c>
      <c r="F1859" t="s">
        <v>26</v>
      </c>
      <c r="G1859">
        <v>16</v>
      </c>
      <c r="H1859">
        <v>8</v>
      </c>
      <c r="I1859">
        <v>19</v>
      </c>
      <c r="J1859">
        <v>45.3</v>
      </c>
      <c r="K1859">
        <v>248.06</v>
      </c>
      <c r="L1859">
        <v>0.56000000000000005</v>
      </c>
      <c r="M1859">
        <v>38.049999999999997</v>
      </c>
      <c r="N1859">
        <v>0.86</v>
      </c>
      <c r="O1859" t="s">
        <v>20</v>
      </c>
      <c r="P1859" t="s">
        <v>21</v>
      </c>
      <c r="Q1859">
        <f t="shared" ref="Q1859:Q1922" si="145">G1859+H1859-I1859</f>
        <v>5</v>
      </c>
      <c r="R1859" s="4">
        <f>RANK(N1859,$N$2:N$2800,0)</f>
        <v>2040</v>
      </c>
      <c r="S1859">
        <f t="shared" ref="S1859:S1922" si="146">G1859/I1859</f>
        <v>0.84210526315789469</v>
      </c>
      <c r="T1859" t="str">
        <f t="shared" ref="T1859:T1922" si="147">IF(Q1859&lt;15,"Low",IF(Q1859&lt;25,"Good","Excellent"))</f>
        <v>Low</v>
      </c>
      <c r="U1859" t="str" cm="1">
        <f t="array" ref="U1859">_xlfn.LET(_xlpm.roles,_xlfn.UNIQUE(D1859:D4657),_xlpm.kills, SUMIF(D1859:D4657,_xlpm.roles,G1859:G4657),INDEX(_xlpm.roles,MATCH(MAX(_xlpm.kills),_xlpm.kills,0)))</f>
        <v>Sniper</v>
      </c>
      <c r="V1859" t="str">
        <f t="shared" ref="V1859:V1922" si="148">IF(J1859&gt;=50,"High Accuracy",IF(J1859&gt;=30,"Medium Accuracy","Low Accuracy"))</f>
        <v>Medium Accuracy</v>
      </c>
      <c r="W1859" t="str" cm="1">
        <f t="array" ref="W1859">_xlfn.LET(_xlpm.roles,_xlfn.UNIQUE(D1859:D4657), _xlpm.counts,COUNTIF(D1859:D4657,_xlpm.roles), INDEX(_xlpm.roles,MATCH(MAX(_xlpm.counts),_xlpm.counts,0)))</f>
        <v>Sniper</v>
      </c>
      <c r="X1859" s="2">
        <f t="shared" ref="X1859:X1922" si="149">AVERAGEIF($C$2:$C$2800,C1859,$Q$2:$Q$2800)</f>
        <v>12.599585062240664</v>
      </c>
    </row>
    <row r="1860" spans="1:24" x14ac:dyDescent="0.3">
      <c r="A1860">
        <v>2197</v>
      </c>
      <c r="B1860">
        <v>330</v>
      </c>
      <c r="C1860" t="s">
        <v>16</v>
      </c>
      <c r="D1860" t="s">
        <v>17</v>
      </c>
      <c r="E1860" t="s">
        <v>32</v>
      </c>
      <c r="F1860" t="s">
        <v>24</v>
      </c>
      <c r="G1860">
        <v>14</v>
      </c>
      <c r="H1860">
        <v>7</v>
      </c>
      <c r="I1860">
        <v>16</v>
      </c>
      <c r="J1860">
        <v>34.9</v>
      </c>
      <c r="K1860">
        <v>254.71</v>
      </c>
      <c r="L1860">
        <v>0.47</v>
      </c>
      <c r="M1860">
        <v>31.75</v>
      </c>
      <c r="N1860">
        <v>0.59</v>
      </c>
      <c r="O1860" t="s">
        <v>20</v>
      </c>
      <c r="P1860" t="s">
        <v>21</v>
      </c>
      <c r="Q1860">
        <f t="shared" si="145"/>
        <v>5</v>
      </c>
      <c r="R1860" s="4">
        <f>RANK(N1860,$N$2:N$2800,0)</f>
        <v>2783</v>
      </c>
      <c r="S1860">
        <f t="shared" si="146"/>
        <v>0.875</v>
      </c>
      <c r="T1860" t="str">
        <f t="shared" si="147"/>
        <v>Low</v>
      </c>
      <c r="U1860" t="str" cm="1">
        <f t="array" ref="U1860">_xlfn.LET(_xlpm.roles,_xlfn.UNIQUE(D1860:D4658),_xlpm.kills, SUMIF(D1860:D4658,_xlpm.roles,G1860:G4658),INDEX(_xlpm.roles,MATCH(MAX(_xlpm.kills),_xlpm.kills,0)))</f>
        <v>Sniper</v>
      </c>
      <c r="V1860" t="str">
        <f t="shared" si="148"/>
        <v>Medium Accuracy</v>
      </c>
      <c r="W1860" t="str" cm="1">
        <f t="array" ref="W1860">_xlfn.LET(_xlpm.roles,_xlfn.UNIQUE(D1860:D4658), _xlpm.counts,COUNTIF(D1860:D4658,_xlpm.roles), INDEX(_xlpm.roles,MATCH(MAX(_xlpm.counts),_xlpm.counts,0)))</f>
        <v>Sniper</v>
      </c>
      <c r="X1860" s="2">
        <f t="shared" si="149"/>
        <v>12.520971302428256</v>
      </c>
    </row>
    <row r="1861" spans="1:24" x14ac:dyDescent="0.3">
      <c r="A1861">
        <v>574</v>
      </c>
      <c r="B1861">
        <v>331</v>
      </c>
      <c r="C1861" t="s">
        <v>39</v>
      </c>
      <c r="D1861" t="s">
        <v>17</v>
      </c>
      <c r="E1861" t="s">
        <v>33</v>
      </c>
      <c r="F1861" t="s">
        <v>34</v>
      </c>
      <c r="G1861">
        <v>17</v>
      </c>
      <c r="H1861">
        <v>2</v>
      </c>
      <c r="I1861">
        <v>12</v>
      </c>
      <c r="J1861">
        <v>45.04</v>
      </c>
      <c r="K1861">
        <v>200.97</v>
      </c>
      <c r="L1861">
        <v>0.82</v>
      </c>
      <c r="M1861">
        <v>38.32</v>
      </c>
      <c r="N1861">
        <v>1</v>
      </c>
      <c r="O1861" t="s">
        <v>20</v>
      </c>
      <c r="P1861" t="s">
        <v>21</v>
      </c>
      <c r="Q1861">
        <f t="shared" si="145"/>
        <v>7</v>
      </c>
      <c r="R1861" s="4">
        <f>RANK(N1861,$N$2:N$2800,0)</f>
        <v>1</v>
      </c>
      <c r="S1861">
        <f t="shared" si="146"/>
        <v>1.4166666666666667</v>
      </c>
      <c r="T1861" t="str">
        <f t="shared" si="147"/>
        <v>Low</v>
      </c>
      <c r="U1861" t="str" cm="1">
        <f t="array" ref="U1861">_xlfn.LET(_xlpm.roles,_xlfn.UNIQUE(D1861:D4659),_xlpm.kills, SUMIF(D1861:D4659,_xlpm.roles,G1861:G4659),INDEX(_xlpm.roles,MATCH(MAX(_xlpm.kills),_xlpm.kills,0)))</f>
        <v>Sniper</v>
      </c>
      <c r="V1861" t="str">
        <f t="shared" si="148"/>
        <v>Medium Accuracy</v>
      </c>
      <c r="W1861" t="str" cm="1">
        <f t="array" ref="W1861">_xlfn.LET(_xlpm.roles,_xlfn.UNIQUE(D1861:D4659), _xlpm.counts,COUNTIF(D1861:D4659,_xlpm.roles), INDEX(_xlpm.roles,MATCH(MAX(_xlpm.counts),_xlpm.counts,0)))</f>
        <v>Sniper</v>
      </c>
      <c r="X1861" s="2">
        <f t="shared" si="149"/>
        <v>13.103594080338267</v>
      </c>
    </row>
    <row r="1862" spans="1:24" x14ac:dyDescent="0.3">
      <c r="A1862">
        <v>812</v>
      </c>
      <c r="B1862">
        <v>331</v>
      </c>
      <c r="C1862" t="s">
        <v>35</v>
      </c>
      <c r="D1862" t="s">
        <v>28</v>
      </c>
      <c r="E1862" t="s">
        <v>29</v>
      </c>
      <c r="F1862" t="s">
        <v>24</v>
      </c>
      <c r="G1862">
        <v>8</v>
      </c>
      <c r="H1862">
        <v>6</v>
      </c>
      <c r="I1862">
        <v>13</v>
      </c>
      <c r="J1862">
        <v>35.520000000000003</v>
      </c>
      <c r="K1862">
        <v>241.14</v>
      </c>
      <c r="L1862">
        <v>0.05</v>
      </c>
      <c r="M1862">
        <v>26.26</v>
      </c>
      <c r="N1862">
        <v>0.84</v>
      </c>
      <c r="O1862" t="s">
        <v>20</v>
      </c>
      <c r="P1862" t="s">
        <v>21</v>
      </c>
      <c r="Q1862">
        <f t="shared" si="145"/>
        <v>1</v>
      </c>
      <c r="R1862" s="4">
        <f>RANK(N1862,$N$2:N$2800,0)</f>
        <v>2156</v>
      </c>
      <c r="S1862">
        <f t="shared" si="146"/>
        <v>0.61538461538461542</v>
      </c>
      <c r="T1862" t="str">
        <f t="shared" si="147"/>
        <v>Low</v>
      </c>
      <c r="U1862" t="str" cm="1">
        <f t="array" ref="U1862">_xlfn.LET(_xlpm.roles,_xlfn.UNIQUE(D1862:D4660),_xlpm.kills, SUMIF(D1862:D4660,_xlpm.roles,G1862:G4660),INDEX(_xlpm.roles,MATCH(MAX(_xlpm.kills),_xlpm.kills,0)))</f>
        <v>Sniper</v>
      </c>
      <c r="V1862" t="str">
        <f t="shared" si="148"/>
        <v>Medium Accuracy</v>
      </c>
      <c r="W1862" t="str" cm="1">
        <f t="array" ref="W1862">_xlfn.LET(_xlpm.roles,_xlfn.UNIQUE(D1862:D4660), _xlpm.counts,COUNTIF(D1862:D4660,_xlpm.roles), INDEX(_xlpm.roles,MATCH(MAX(_xlpm.counts),_xlpm.counts,0)))</f>
        <v>Sniper</v>
      </c>
      <c r="X1862" s="2">
        <f t="shared" si="149"/>
        <v>12.599585062240664</v>
      </c>
    </row>
    <row r="1863" spans="1:24" x14ac:dyDescent="0.3">
      <c r="A1863">
        <v>842</v>
      </c>
      <c r="B1863">
        <v>331</v>
      </c>
      <c r="C1863" t="s">
        <v>16</v>
      </c>
      <c r="D1863" t="s">
        <v>36</v>
      </c>
      <c r="E1863" t="s">
        <v>18</v>
      </c>
      <c r="F1863" t="s">
        <v>24</v>
      </c>
      <c r="G1863">
        <v>14</v>
      </c>
      <c r="H1863">
        <v>2</v>
      </c>
      <c r="I1863">
        <v>7</v>
      </c>
      <c r="J1863">
        <v>61.86</v>
      </c>
      <c r="K1863">
        <v>160.33000000000001</v>
      </c>
      <c r="L1863">
        <v>0.18</v>
      </c>
      <c r="M1863">
        <v>52.13</v>
      </c>
      <c r="N1863">
        <v>1</v>
      </c>
      <c r="O1863" t="s">
        <v>20</v>
      </c>
      <c r="P1863" t="s">
        <v>21</v>
      </c>
      <c r="Q1863">
        <f t="shared" si="145"/>
        <v>9</v>
      </c>
      <c r="R1863" s="4">
        <f>RANK(N1863,$N$2:N$2800,0)</f>
        <v>1</v>
      </c>
      <c r="S1863">
        <f t="shared" si="146"/>
        <v>2</v>
      </c>
      <c r="T1863" t="str">
        <f t="shared" si="147"/>
        <v>Low</v>
      </c>
      <c r="U1863" t="str" cm="1">
        <f t="array" ref="U1863">_xlfn.LET(_xlpm.roles,_xlfn.UNIQUE(D1863:D4661),_xlpm.kills, SUMIF(D1863:D4661,_xlpm.roles,G1863:G4661),INDEX(_xlpm.roles,MATCH(MAX(_xlpm.kills),_xlpm.kills,0)))</f>
        <v>Sniper</v>
      </c>
      <c r="V1863" t="str">
        <f t="shared" si="148"/>
        <v>High Accuracy</v>
      </c>
      <c r="W1863" t="str" cm="1">
        <f t="array" ref="W1863">_xlfn.LET(_xlpm.roles,_xlfn.UNIQUE(D1863:D4661), _xlpm.counts,COUNTIF(D1863:D4661,_xlpm.roles), INDEX(_xlpm.roles,MATCH(MAX(_xlpm.counts),_xlpm.counts,0)))</f>
        <v>Sniper</v>
      </c>
      <c r="X1863" s="2">
        <f t="shared" si="149"/>
        <v>12.520971302428256</v>
      </c>
    </row>
    <row r="1864" spans="1:24" x14ac:dyDescent="0.3">
      <c r="A1864">
        <v>1150</v>
      </c>
      <c r="B1864">
        <v>331</v>
      </c>
      <c r="C1864" t="s">
        <v>27</v>
      </c>
      <c r="D1864" t="s">
        <v>28</v>
      </c>
      <c r="E1864" t="s">
        <v>18</v>
      </c>
      <c r="F1864" t="s">
        <v>19</v>
      </c>
      <c r="G1864">
        <v>9</v>
      </c>
      <c r="H1864">
        <v>5</v>
      </c>
      <c r="I1864">
        <v>8</v>
      </c>
      <c r="J1864">
        <v>60.75</v>
      </c>
      <c r="K1864">
        <v>282.91000000000003</v>
      </c>
      <c r="L1864">
        <v>0.75</v>
      </c>
      <c r="M1864">
        <v>37.880000000000003</v>
      </c>
      <c r="N1864">
        <v>0.91</v>
      </c>
      <c r="O1864" t="s">
        <v>20</v>
      </c>
      <c r="P1864" t="s">
        <v>21</v>
      </c>
      <c r="Q1864">
        <f t="shared" si="145"/>
        <v>6</v>
      </c>
      <c r="R1864" s="4">
        <f>RANK(N1864,$N$2:N$2800,0)</f>
        <v>1665</v>
      </c>
      <c r="S1864">
        <f t="shared" si="146"/>
        <v>1.125</v>
      </c>
      <c r="T1864" t="str">
        <f t="shared" si="147"/>
        <v>Low</v>
      </c>
      <c r="U1864" t="str" cm="1">
        <f t="array" ref="U1864">_xlfn.LET(_xlpm.roles,_xlfn.UNIQUE(D1864:D4662),_xlpm.kills, SUMIF(D1864:D4662,_xlpm.roles,G1864:G4662),INDEX(_xlpm.roles,MATCH(MAX(_xlpm.kills),_xlpm.kills,0)))</f>
        <v>Sniper</v>
      </c>
      <c r="V1864" t="str">
        <f t="shared" si="148"/>
        <v>High Accuracy</v>
      </c>
      <c r="W1864" t="str" cm="1">
        <f t="array" ref="W1864">_xlfn.LET(_xlpm.roles,_xlfn.UNIQUE(D1864:D4662), _xlpm.counts,COUNTIF(D1864:D4662,_xlpm.roles), INDEX(_xlpm.roles,MATCH(MAX(_xlpm.counts),_xlpm.counts,0)))</f>
        <v>Sniper</v>
      </c>
      <c r="X1864" s="2">
        <f t="shared" si="149"/>
        <v>13.057077625570777</v>
      </c>
    </row>
    <row r="1865" spans="1:24" x14ac:dyDescent="0.3">
      <c r="A1865">
        <v>1176</v>
      </c>
      <c r="B1865">
        <v>331</v>
      </c>
      <c r="C1865" t="s">
        <v>35</v>
      </c>
      <c r="D1865" t="s">
        <v>28</v>
      </c>
      <c r="E1865" t="s">
        <v>29</v>
      </c>
      <c r="F1865" t="s">
        <v>26</v>
      </c>
      <c r="G1865">
        <v>14</v>
      </c>
      <c r="H1865">
        <v>12</v>
      </c>
      <c r="I1865">
        <v>15</v>
      </c>
      <c r="J1865">
        <v>47.4</v>
      </c>
      <c r="K1865">
        <v>235.67</v>
      </c>
      <c r="L1865">
        <v>0.9</v>
      </c>
      <c r="M1865">
        <v>39.700000000000003</v>
      </c>
      <c r="N1865">
        <v>0.86</v>
      </c>
      <c r="O1865" t="s">
        <v>20</v>
      </c>
      <c r="P1865" t="s">
        <v>21</v>
      </c>
      <c r="Q1865">
        <f t="shared" si="145"/>
        <v>11</v>
      </c>
      <c r="R1865" s="4">
        <f>RANK(N1865,$N$2:N$2800,0)</f>
        <v>2040</v>
      </c>
      <c r="S1865">
        <f t="shared" si="146"/>
        <v>0.93333333333333335</v>
      </c>
      <c r="T1865" t="str">
        <f t="shared" si="147"/>
        <v>Low</v>
      </c>
      <c r="U1865" t="str" cm="1">
        <f t="array" ref="U1865">_xlfn.LET(_xlpm.roles,_xlfn.UNIQUE(D1865:D4663),_xlpm.kills, SUMIF(D1865:D4663,_xlpm.roles,G1865:G4663),INDEX(_xlpm.roles,MATCH(MAX(_xlpm.kills),_xlpm.kills,0)))</f>
        <v>Sniper</v>
      </c>
      <c r="V1865" t="str">
        <f t="shared" si="148"/>
        <v>Medium Accuracy</v>
      </c>
      <c r="W1865" t="str" cm="1">
        <f t="array" ref="W1865">_xlfn.LET(_xlpm.roles,_xlfn.UNIQUE(D1865:D4663), _xlpm.counts,COUNTIF(D1865:D4663,_xlpm.roles), INDEX(_xlpm.roles,MATCH(MAX(_xlpm.counts),_xlpm.counts,0)))</f>
        <v>Sniper</v>
      </c>
      <c r="X1865" s="2">
        <f t="shared" si="149"/>
        <v>12.599585062240664</v>
      </c>
    </row>
    <row r="1866" spans="1:24" x14ac:dyDescent="0.3">
      <c r="A1866">
        <v>2174</v>
      </c>
      <c r="B1866">
        <v>331</v>
      </c>
      <c r="C1866" t="s">
        <v>25</v>
      </c>
      <c r="D1866" t="s">
        <v>36</v>
      </c>
      <c r="E1866" t="s">
        <v>29</v>
      </c>
      <c r="F1866" t="s">
        <v>19</v>
      </c>
      <c r="G1866">
        <v>16</v>
      </c>
      <c r="H1866">
        <v>8</v>
      </c>
      <c r="I1866">
        <v>12</v>
      </c>
      <c r="J1866">
        <v>46.48</v>
      </c>
      <c r="K1866">
        <v>191.69</v>
      </c>
      <c r="L1866">
        <v>0.68</v>
      </c>
      <c r="M1866">
        <v>44.44</v>
      </c>
      <c r="N1866">
        <v>0.87</v>
      </c>
      <c r="O1866" t="s">
        <v>20</v>
      </c>
      <c r="P1866" t="s">
        <v>21</v>
      </c>
      <c r="Q1866">
        <f t="shared" si="145"/>
        <v>12</v>
      </c>
      <c r="R1866" s="4">
        <f>RANK(N1866,$N$2:N$2800,0)</f>
        <v>1965</v>
      </c>
      <c r="S1866">
        <f t="shared" si="146"/>
        <v>1.3333333333333333</v>
      </c>
      <c r="T1866" t="str">
        <f t="shared" si="147"/>
        <v>Low</v>
      </c>
      <c r="U1866" t="str" cm="1">
        <f t="array" ref="U1866">_xlfn.LET(_xlpm.roles,_xlfn.UNIQUE(D1866:D4664),_xlpm.kills, SUMIF(D1866:D4664,_xlpm.roles,G1866:G4664),INDEX(_xlpm.roles,MATCH(MAX(_xlpm.kills),_xlpm.kills,0)))</f>
        <v>Sniper</v>
      </c>
      <c r="V1866" t="str">
        <f t="shared" si="148"/>
        <v>Medium Accuracy</v>
      </c>
      <c r="W1866" t="str" cm="1">
        <f t="array" ref="W1866">_xlfn.LET(_xlpm.roles,_xlfn.UNIQUE(D1866:D4664), _xlpm.counts,COUNTIF(D1866:D4664,_xlpm.roles), INDEX(_xlpm.roles,MATCH(MAX(_xlpm.counts),_xlpm.counts,0)))</f>
        <v>Sniper</v>
      </c>
      <c r="X1866" s="2">
        <f t="shared" si="149"/>
        <v>12.809421841541756</v>
      </c>
    </row>
    <row r="1867" spans="1:24" x14ac:dyDescent="0.3">
      <c r="A1867">
        <v>2220</v>
      </c>
      <c r="B1867">
        <v>331</v>
      </c>
      <c r="C1867" t="s">
        <v>39</v>
      </c>
      <c r="D1867" t="s">
        <v>17</v>
      </c>
      <c r="E1867" t="s">
        <v>18</v>
      </c>
      <c r="F1867" t="s">
        <v>34</v>
      </c>
      <c r="G1867">
        <v>17</v>
      </c>
      <c r="H1867">
        <v>8</v>
      </c>
      <c r="I1867">
        <v>6</v>
      </c>
      <c r="J1867">
        <v>49.93</v>
      </c>
      <c r="K1867">
        <v>224.92</v>
      </c>
      <c r="L1867">
        <v>0.36</v>
      </c>
      <c r="M1867">
        <v>57.37</v>
      </c>
      <c r="N1867">
        <v>1</v>
      </c>
      <c r="O1867" t="s">
        <v>20</v>
      </c>
      <c r="P1867" t="s">
        <v>21</v>
      </c>
      <c r="Q1867">
        <f t="shared" si="145"/>
        <v>19</v>
      </c>
      <c r="R1867" s="4">
        <f>RANK(N1867,$N$2:N$2800,0)</f>
        <v>1</v>
      </c>
      <c r="S1867">
        <f t="shared" si="146"/>
        <v>2.8333333333333335</v>
      </c>
      <c r="T1867" t="str">
        <f t="shared" si="147"/>
        <v>Good</v>
      </c>
      <c r="U1867" t="str" cm="1">
        <f t="array" ref="U1867">_xlfn.LET(_xlpm.roles,_xlfn.UNIQUE(D1867:D4665),_xlpm.kills, SUMIF(D1867:D4665,_xlpm.roles,G1867:G4665),INDEX(_xlpm.roles,MATCH(MAX(_xlpm.kills),_xlpm.kills,0)))</f>
        <v>Sniper</v>
      </c>
      <c r="V1867" t="str">
        <f t="shared" si="148"/>
        <v>Medium Accuracy</v>
      </c>
      <c r="W1867" t="str" cm="1">
        <f t="array" ref="W1867">_xlfn.LET(_xlpm.roles,_xlfn.UNIQUE(D1867:D4665), _xlpm.counts,COUNTIF(D1867:D4665,_xlpm.roles), INDEX(_xlpm.roles,MATCH(MAX(_xlpm.counts),_xlpm.counts,0)))</f>
        <v>Sniper</v>
      </c>
      <c r="X1867" s="2">
        <f t="shared" si="149"/>
        <v>13.103594080338267</v>
      </c>
    </row>
    <row r="1868" spans="1:24" x14ac:dyDescent="0.3">
      <c r="A1868">
        <v>653</v>
      </c>
      <c r="B1868">
        <v>332</v>
      </c>
      <c r="C1868" t="s">
        <v>39</v>
      </c>
      <c r="D1868" t="s">
        <v>31</v>
      </c>
      <c r="E1868" t="s">
        <v>33</v>
      </c>
      <c r="F1868" t="s">
        <v>34</v>
      </c>
      <c r="G1868">
        <v>9</v>
      </c>
      <c r="H1868">
        <v>12</v>
      </c>
      <c r="I1868">
        <v>8</v>
      </c>
      <c r="J1868">
        <v>41.85</v>
      </c>
      <c r="K1868">
        <v>178.14</v>
      </c>
      <c r="L1868">
        <v>0.19</v>
      </c>
      <c r="M1868">
        <v>41.02</v>
      </c>
      <c r="N1868">
        <v>0.96</v>
      </c>
      <c r="O1868" t="s">
        <v>20</v>
      </c>
      <c r="P1868" t="s">
        <v>21</v>
      </c>
      <c r="Q1868">
        <f t="shared" si="145"/>
        <v>13</v>
      </c>
      <c r="R1868" s="4">
        <f>RANK(N1868,$N$2:N$2800,0)</f>
        <v>1301</v>
      </c>
      <c r="S1868">
        <f t="shared" si="146"/>
        <v>1.125</v>
      </c>
      <c r="T1868" t="str">
        <f t="shared" si="147"/>
        <v>Low</v>
      </c>
      <c r="U1868" t="str" cm="1">
        <f t="array" ref="U1868">_xlfn.LET(_xlpm.roles,_xlfn.UNIQUE(D1868:D4666),_xlpm.kills, SUMIF(D1868:D4666,_xlpm.roles,G1868:G4666),INDEX(_xlpm.roles,MATCH(MAX(_xlpm.kills),_xlpm.kills,0)))</f>
        <v>Sniper</v>
      </c>
      <c r="V1868" t="str">
        <f t="shared" si="148"/>
        <v>Medium Accuracy</v>
      </c>
      <c r="W1868" t="str" cm="1">
        <f t="array" ref="W1868">_xlfn.LET(_xlpm.roles,_xlfn.UNIQUE(D1868:D4666), _xlpm.counts,COUNTIF(D1868:D4666,_xlpm.roles), INDEX(_xlpm.roles,MATCH(MAX(_xlpm.counts),_xlpm.counts,0)))</f>
        <v>Sniper</v>
      </c>
      <c r="X1868" s="2">
        <f t="shared" si="149"/>
        <v>13.103594080338267</v>
      </c>
    </row>
    <row r="1869" spans="1:24" x14ac:dyDescent="0.3">
      <c r="A1869">
        <v>1035</v>
      </c>
      <c r="B1869">
        <v>332</v>
      </c>
      <c r="C1869" t="s">
        <v>30</v>
      </c>
      <c r="D1869" t="s">
        <v>36</v>
      </c>
      <c r="E1869" t="s">
        <v>33</v>
      </c>
      <c r="F1869" t="s">
        <v>34</v>
      </c>
      <c r="G1869">
        <v>18</v>
      </c>
      <c r="H1869">
        <v>8</v>
      </c>
      <c r="I1869">
        <v>10</v>
      </c>
      <c r="J1869">
        <v>34.72</v>
      </c>
      <c r="K1869">
        <v>231.14</v>
      </c>
      <c r="L1869">
        <v>0.13</v>
      </c>
      <c r="M1869">
        <v>50.06</v>
      </c>
      <c r="N1869">
        <v>0.86</v>
      </c>
      <c r="O1869" t="s">
        <v>20</v>
      </c>
      <c r="P1869" t="s">
        <v>21</v>
      </c>
      <c r="Q1869">
        <f t="shared" si="145"/>
        <v>16</v>
      </c>
      <c r="R1869" s="4">
        <f>RANK(N1869,$N$2:N$2800,0)</f>
        <v>2040</v>
      </c>
      <c r="S1869">
        <f t="shared" si="146"/>
        <v>1.8</v>
      </c>
      <c r="T1869" t="str">
        <f t="shared" si="147"/>
        <v>Good</v>
      </c>
      <c r="U1869" t="str" cm="1">
        <f t="array" ref="U1869">_xlfn.LET(_xlpm.roles,_xlfn.UNIQUE(D1869:D4667),_xlpm.kills, SUMIF(D1869:D4667,_xlpm.roles,G1869:G4667),INDEX(_xlpm.roles,MATCH(MAX(_xlpm.kills),_xlpm.kills,0)))</f>
        <v>Sniper</v>
      </c>
      <c r="V1869" t="str">
        <f t="shared" si="148"/>
        <v>Medium Accuracy</v>
      </c>
      <c r="W1869" t="str" cm="1">
        <f t="array" ref="W1869">_xlfn.LET(_xlpm.roles,_xlfn.UNIQUE(D1869:D4667), _xlpm.counts,COUNTIF(D1869:D4667,_xlpm.roles), INDEX(_xlpm.roles,MATCH(MAX(_xlpm.counts),_xlpm.counts,0)))</f>
        <v>Sniper</v>
      </c>
      <c r="X1869" s="2">
        <f t="shared" si="149"/>
        <v>13.135802469135802</v>
      </c>
    </row>
    <row r="1870" spans="1:24" x14ac:dyDescent="0.3">
      <c r="A1870">
        <v>1349</v>
      </c>
      <c r="B1870">
        <v>332</v>
      </c>
      <c r="C1870" t="s">
        <v>39</v>
      </c>
      <c r="D1870" t="s">
        <v>17</v>
      </c>
      <c r="E1870" t="s">
        <v>33</v>
      </c>
      <c r="F1870" t="s">
        <v>26</v>
      </c>
      <c r="G1870">
        <v>19</v>
      </c>
      <c r="H1870">
        <v>8</v>
      </c>
      <c r="I1870">
        <v>10</v>
      </c>
      <c r="J1870">
        <v>55.32</v>
      </c>
      <c r="K1870">
        <v>150.80000000000001</v>
      </c>
      <c r="L1870">
        <v>0.98</v>
      </c>
      <c r="M1870">
        <v>53.86</v>
      </c>
      <c r="N1870">
        <v>1</v>
      </c>
      <c r="O1870" t="s">
        <v>20</v>
      </c>
      <c r="P1870" t="s">
        <v>21</v>
      </c>
      <c r="Q1870">
        <f t="shared" si="145"/>
        <v>17</v>
      </c>
      <c r="R1870" s="4">
        <f>RANK(N1870,$N$2:N$2800,0)</f>
        <v>1</v>
      </c>
      <c r="S1870">
        <f t="shared" si="146"/>
        <v>1.9</v>
      </c>
      <c r="T1870" t="str">
        <f t="shared" si="147"/>
        <v>Good</v>
      </c>
      <c r="U1870" t="str" cm="1">
        <f t="array" ref="U1870">_xlfn.LET(_xlpm.roles,_xlfn.UNIQUE(D1870:D4668),_xlpm.kills, SUMIF(D1870:D4668,_xlpm.roles,G1870:G4668),INDEX(_xlpm.roles,MATCH(MAX(_xlpm.kills),_xlpm.kills,0)))</f>
        <v>Sniper</v>
      </c>
      <c r="V1870" t="str">
        <f t="shared" si="148"/>
        <v>High Accuracy</v>
      </c>
      <c r="W1870" t="str" cm="1">
        <f t="array" ref="W1870">_xlfn.LET(_xlpm.roles,_xlfn.UNIQUE(D1870:D4668), _xlpm.counts,COUNTIF(D1870:D4668,_xlpm.roles), INDEX(_xlpm.roles,MATCH(MAX(_xlpm.counts),_xlpm.counts,0)))</f>
        <v>Sniper</v>
      </c>
      <c r="X1870" s="2">
        <f t="shared" si="149"/>
        <v>13.103594080338267</v>
      </c>
    </row>
    <row r="1871" spans="1:24" x14ac:dyDescent="0.3">
      <c r="A1871">
        <v>1856</v>
      </c>
      <c r="B1871">
        <v>332</v>
      </c>
      <c r="C1871" t="s">
        <v>25</v>
      </c>
      <c r="D1871" t="s">
        <v>36</v>
      </c>
      <c r="E1871" t="s">
        <v>32</v>
      </c>
      <c r="F1871" t="s">
        <v>26</v>
      </c>
      <c r="G1871">
        <v>19</v>
      </c>
      <c r="H1871">
        <v>14</v>
      </c>
      <c r="I1871">
        <v>7</v>
      </c>
      <c r="J1871">
        <v>37.78</v>
      </c>
      <c r="K1871">
        <v>239.84</v>
      </c>
      <c r="L1871">
        <v>0.89</v>
      </c>
      <c r="M1871">
        <v>54.99</v>
      </c>
      <c r="N1871">
        <v>0.89</v>
      </c>
      <c r="O1871" t="s">
        <v>20</v>
      </c>
      <c r="P1871" t="s">
        <v>21</v>
      </c>
      <c r="Q1871">
        <f t="shared" si="145"/>
        <v>26</v>
      </c>
      <c r="R1871" s="4">
        <f>RANK(N1871,$N$2:N$2800,0)</f>
        <v>1815</v>
      </c>
      <c r="S1871">
        <f t="shared" si="146"/>
        <v>2.7142857142857144</v>
      </c>
      <c r="T1871" t="str">
        <f t="shared" si="147"/>
        <v>Excellent</v>
      </c>
      <c r="U1871" t="str" cm="1">
        <f t="array" ref="U1871">_xlfn.LET(_xlpm.roles,_xlfn.UNIQUE(D1871:D4669),_xlpm.kills, SUMIF(D1871:D4669,_xlpm.roles,G1871:G4669),INDEX(_xlpm.roles,MATCH(MAX(_xlpm.kills),_xlpm.kills,0)))</f>
        <v>Sniper</v>
      </c>
      <c r="V1871" t="str">
        <f t="shared" si="148"/>
        <v>Medium Accuracy</v>
      </c>
      <c r="W1871" t="str" cm="1">
        <f t="array" ref="W1871">_xlfn.LET(_xlpm.roles,_xlfn.UNIQUE(D1871:D4669), _xlpm.counts,COUNTIF(D1871:D4669,_xlpm.roles), INDEX(_xlpm.roles,MATCH(MAX(_xlpm.counts),_xlpm.counts,0)))</f>
        <v>Sniper</v>
      </c>
      <c r="X1871" s="2">
        <f t="shared" si="149"/>
        <v>12.809421841541756</v>
      </c>
    </row>
    <row r="1872" spans="1:24" x14ac:dyDescent="0.3">
      <c r="A1872">
        <v>1290</v>
      </c>
      <c r="B1872">
        <v>333</v>
      </c>
      <c r="C1872" t="s">
        <v>35</v>
      </c>
      <c r="D1872" t="s">
        <v>36</v>
      </c>
      <c r="E1872" t="s">
        <v>29</v>
      </c>
      <c r="F1872" t="s">
        <v>19</v>
      </c>
      <c r="G1872">
        <v>13</v>
      </c>
      <c r="H1872">
        <v>14</v>
      </c>
      <c r="I1872">
        <v>2</v>
      </c>
      <c r="J1872">
        <v>53.34</v>
      </c>
      <c r="K1872">
        <v>218.73</v>
      </c>
      <c r="L1872">
        <v>0.85</v>
      </c>
      <c r="M1872">
        <v>56.17</v>
      </c>
      <c r="N1872">
        <v>1</v>
      </c>
      <c r="O1872" t="s">
        <v>20</v>
      </c>
      <c r="P1872" t="s">
        <v>21</v>
      </c>
      <c r="Q1872">
        <f t="shared" si="145"/>
        <v>25</v>
      </c>
      <c r="R1872" s="4">
        <f>RANK(N1872,$N$2:N$2800,0)</f>
        <v>1</v>
      </c>
      <c r="S1872">
        <f t="shared" si="146"/>
        <v>6.5</v>
      </c>
      <c r="T1872" t="str">
        <f t="shared" si="147"/>
        <v>Excellent</v>
      </c>
      <c r="U1872" t="str" cm="1">
        <f t="array" ref="U1872">_xlfn.LET(_xlpm.roles,_xlfn.UNIQUE(D1872:D4670),_xlpm.kills, SUMIF(D1872:D4670,_xlpm.roles,G1872:G4670),INDEX(_xlpm.roles,MATCH(MAX(_xlpm.kills),_xlpm.kills,0)))</f>
        <v>Sniper</v>
      </c>
      <c r="V1872" t="str">
        <f t="shared" si="148"/>
        <v>High Accuracy</v>
      </c>
      <c r="W1872" t="str" cm="1">
        <f t="array" ref="W1872">_xlfn.LET(_xlpm.roles,_xlfn.UNIQUE(D1872:D4670), _xlpm.counts,COUNTIF(D1872:D4670,_xlpm.roles), INDEX(_xlpm.roles,MATCH(MAX(_xlpm.counts),_xlpm.counts,0)))</f>
        <v>Sniper</v>
      </c>
      <c r="X1872" s="2">
        <f t="shared" si="149"/>
        <v>12.599585062240664</v>
      </c>
    </row>
    <row r="1873" spans="1:24" x14ac:dyDescent="0.3">
      <c r="A1873">
        <v>1359</v>
      </c>
      <c r="B1873">
        <v>333</v>
      </c>
      <c r="C1873" t="s">
        <v>25</v>
      </c>
      <c r="D1873" t="s">
        <v>22</v>
      </c>
      <c r="E1873" t="s">
        <v>18</v>
      </c>
      <c r="F1873" t="s">
        <v>34</v>
      </c>
      <c r="G1873">
        <v>13</v>
      </c>
      <c r="H1873">
        <v>9</v>
      </c>
      <c r="I1873">
        <v>11</v>
      </c>
      <c r="J1873">
        <v>50.7</v>
      </c>
      <c r="K1873">
        <v>196.37</v>
      </c>
      <c r="L1873">
        <v>0.3</v>
      </c>
      <c r="M1873">
        <v>46.35</v>
      </c>
      <c r="N1873">
        <v>0.94</v>
      </c>
      <c r="O1873" t="s">
        <v>20</v>
      </c>
      <c r="P1873" t="s">
        <v>21</v>
      </c>
      <c r="Q1873">
        <f t="shared" si="145"/>
        <v>11</v>
      </c>
      <c r="R1873" s="4">
        <f>RANK(N1873,$N$2:N$2800,0)</f>
        <v>1431</v>
      </c>
      <c r="S1873">
        <f t="shared" si="146"/>
        <v>1.1818181818181819</v>
      </c>
      <c r="T1873" t="str">
        <f t="shared" si="147"/>
        <v>Low</v>
      </c>
      <c r="U1873" t="str" cm="1">
        <f t="array" ref="U1873">_xlfn.LET(_xlpm.roles,_xlfn.UNIQUE(D1873:D4671),_xlpm.kills, SUMIF(D1873:D4671,_xlpm.roles,G1873:G4671),INDEX(_xlpm.roles,MATCH(MAX(_xlpm.kills),_xlpm.kills,0)))</f>
        <v>Sniper</v>
      </c>
      <c r="V1873" t="str">
        <f t="shared" si="148"/>
        <v>High Accuracy</v>
      </c>
      <c r="W1873" t="str" cm="1">
        <f t="array" ref="W1873">_xlfn.LET(_xlpm.roles,_xlfn.UNIQUE(D1873:D4671), _xlpm.counts,COUNTIF(D1873:D4671,_xlpm.roles), INDEX(_xlpm.roles,MATCH(MAX(_xlpm.counts),_xlpm.counts,0)))</f>
        <v>Sniper</v>
      </c>
      <c r="X1873" s="2">
        <f t="shared" si="149"/>
        <v>12.809421841541756</v>
      </c>
    </row>
    <row r="1874" spans="1:24" x14ac:dyDescent="0.3">
      <c r="A1874">
        <v>1901</v>
      </c>
      <c r="B1874">
        <v>333</v>
      </c>
      <c r="C1874" t="s">
        <v>39</v>
      </c>
      <c r="D1874" t="s">
        <v>31</v>
      </c>
      <c r="E1874" t="s">
        <v>33</v>
      </c>
      <c r="F1874" t="s">
        <v>19</v>
      </c>
      <c r="G1874">
        <v>16</v>
      </c>
      <c r="H1874">
        <v>5</v>
      </c>
      <c r="I1874">
        <v>12</v>
      </c>
      <c r="J1874">
        <v>35.47</v>
      </c>
      <c r="K1874">
        <v>191.28</v>
      </c>
      <c r="L1874">
        <v>0.93</v>
      </c>
      <c r="M1874">
        <v>33.44</v>
      </c>
      <c r="N1874">
        <v>0.84</v>
      </c>
      <c r="O1874" t="s">
        <v>20</v>
      </c>
      <c r="P1874" t="s">
        <v>21</v>
      </c>
      <c r="Q1874">
        <f t="shared" si="145"/>
        <v>9</v>
      </c>
      <c r="R1874" s="4">
        <f>RANK(N1874,$N$2:N$2800,0)</f>
        <v>2156</v>
      </c>
      <c r="S1874">
        <f t="shared" si="146"/>
        <v>1.3333333333333333</v>
      </c>
      <c r="T1874" t="str">
        <f t="shared" si="147"/>
        <v>Low</v>
      </c>
      <c r="U1874" t="str" cm="1">
        <f t="array" ref="U1874">_xlfn.LET(_xlpm.roles,_xlfn.UNIQUE(D1874:D4672),_xlpm.kills, SUMIF(D1874:D4672,_xlpm.roles,G1874:G4672),INDEX(_xlpm.roles,MATCH(MAX(_xlpm.kills),_xlpm.kills,0)))</f>
        <v>Sniper</v>
      </c>
      <c r="V1874" t="str">
        <f t="shared" si="148"/>
        <v>Medium Accuracy</v>
      </c>
      <c r="W1874" t="str" cm="1">
        <f t="array" ref="W1874">_xlfn.LET(_xlpm.roles,_xlfn.UNIQUE(D1874:D4672), _xlpm.counts,COUNTIF(D1874:D4672,_xlpm.roles), INDEX(_xlpm.roles,MATCH(MAX(_xlpm.counts),_xlpm.counts,0)))</f>
        <v>Sniper</v>
      </c>
      <c r="X1874" s="2">
        <f t="shared" si="149"/>
        <v>13.103594080338267</v>
      </c>
    </row>
    <row r="1875" spans="1:24" x14ac:dyDescent="0.3">
      <c r="A1875">
        <v>2125</v>
      </c>
      <c r="B1875">
        <v>333</v>
      </c>
      <c r="C1875" t="s">
        <v>27</v>
      </c>
      <c r="D1875" t="s">
        <v>31</v>
      </c>
      <c r="E1875" t="s">
        <v>23</v>
      </c>
      <c r="F1875" t="s">
        <v>37</v>
      </c>
      <c r="G1875">
        <v>18</v>
      </c>
      <c r="H1875">
        <v>11</v>
      </c>
      <c r="I1875">
        <v>13</v>
      </c>
      <c r="J1875">
        <v>45</v>
      </c>
      <c r="K1875">
        <v>214.97</v>
      </c>
      <c r="L1875">
        <v>0.6</v>
      </c>
      <c r="M1875">
        <v>50.5</v>
      </c>
      <c r="N1875">
        <v>0.92</v>
      </c>
      <c r="O1875" t="s">
        <v>20</v>
      </c>
      <c r="P1875" t="s">
        <v>21</v>
      </c>
      <c r="Q1875">
        <f t="shared" si="145"/>
        <v>16</v>
      </c>
      <c r="R1875" s="4">
        <f>RANK(N1875,$N$2:N$2800,0)</f>
        <v>1585</v>
      </c>
      <c r="S1875">
        <f t="shared" si="146"/>
        <v>1.3846153846153846</v>
      </c>
      <c r="T1875" t="str">
        <f t="shared" si="147"/>
        <v>Good</v>
      </c>
      <c r="U1875" t="str" cm="1">
        <f t="array" ref="U1875">_xlfn.LET(_xlpm.roles,_xlfn.UNIQUE(D1875:D4673),_xlpm.kills, SUMIF(D1875:D4673,_xlpm.roles,G1875:G4673),INDEX(_xlpm.roles,MATCH(MAX(_xlpm.kills),_xlpm.kills,0)))</f>
        <v>Sniper</v>
      </c>
      <c r="V1875" t="str">
        <f t="shared" si="148"/>
        <v>Medium Accuracy</v>
      </c>
      <c r="W1875" t="str" cm="1">
        <f t="array" ref="W1875">_xlfn.LET(_xlpm.roles,_xlfn.UNIQUE(D1875:D4673), _xlpm.counts,COUNTIF(D1875:D4673,_xlpm.roles), INDEX(_xlpm.roles,MATCH(MAX(_xlpm.counts),_xlpm.counts,0)))</f>
        <v>Sniper</v>
      </c>
      <c r="X1875" s="2">
        <f t="shared" si="149"/>
        <v>13.057077625570777</v>
      </c>
    </row>
    <row r="1876" spans="1:24" x14ac:dyDescent="0.3">
      <c r="A1876">
        <v>2320</v>
      </c>
      <c r="B1876">
        <v>333</v>
      </c>
      <c r="C1876" t="s">
        <v>25</v>
      </c>
      <c r="D1876" t="s">
        <v>31</v>
      </c>
      <c r="E1876" t="s">
        <v>29</v>
      </c>
      <c r="F1876" t="s">
        <v>19</v>
      </c>
      <c r="G1876">
        <v>12</v>
      </c>
      <c r="H1876">
        <v>8</v>
      </c>
      <c r="I1876">
        <v>8</v>
      </c>
      <c r="J1876">
        <v>52.8</v>
      </c>
      <c r="K1876">
        <v>234.45</v>
      </c>
      <c r="L1876">
        <v>0.88</v>
      </c>
      <c r="M1876">
        <v>41.6</v>
      </c>
      <c r="N1876">
        <v>0.99</v>
      </c>
      <c r="O1876" t="s">
        <v>20</v>
      </c>
      <c r="P1876" t="s">
        <v>21</v>
      </c>
      <c r="Q1876">
        <f t="shared" si="145"/>
        <v>12</v>
      </c>
      <c r="R1876" s="4">
        <f>RANK(N1876,$N$2:N$2800,0)</f>
        <v>1080</v>
      </c>
      <c r="S1876">
        <f t="shared" si="146"/>
        <v>1.5</v>
      </c>
      <c r="T1876" t="str">
        <f t="shared" si="147"/>
        <v>Low</v>
      </c>
      <c r="U1876" t="str" cm="1">
        <f t="array" ref="U1876">_xlfn.LET(_xlpm.roles,_xlfn.UNIQUE(D1876:D4674),_xlpm.kills, SUMIF(D1876:D4674,_xlpm.roles,G1876:G4674),INDEX(_xlpm.roles,MATCH(MAX(_xlpm.kills),_xlpm.kills,0)))</f>
        <v>Sniper</v>
      </c>
      <c r="V1876" t="str">
        <f t="shared" si="148"/>
        <v>High Accuracy</v>
      </c>
      <c r="W1876" t="str" cm="1">
        <f t="array" ref="W1876">_xlfn.LET(_xlpm.roles,_xlfn.UNIQUE(D1876:D4674), _xlpm.counts,COUNTIF(D1876:D4674,_xlpm.roles), INDEX(_xlpm.roles,MATCH(MAX(_xlpm.counts),_xlpm.counts,0)))</f>
        <v>Sniper</v>
      </c>
      <c r="X1876" s="2">
        <f t="shared" si="149"/>
        <v>12.809421841541756</v>
      </c>
    </row>
    <row r="1877" spans="1:24" x14ac:dyDescent="0.3">
      <c r="A1877">
        <v>550</v>
      </c>
      <c r="B1877">
        <v>334</v>
      </c>
      <c r="C1877" t="s">
        <v>30</v>
      </c>
      <c r="D1877" t="s">
        <v>31</v>
      </c>
      <c r="E1877" t="s">
        <v>18</v>
      </c>
      <c r="F1877" t="s">
        <v>37</v>
      </c>
      <c r="G1877">
        <v>24</v>
      </c>
      <c r="H1877">
        <v>8</v>
      </c>
      <c r="I1877">
        <v>12</v>
      </c>
      <c r="J1877">
        <v>47.77</v>
      </c>
      <c r="K1877">
        <v>199.34</v>
      </c>
      <c r="L1877">
        <v>0.42</v>
      </c>
      <c r="M1877">
        <v>63.69</v>
      </c>
      <c r="N1877">
        <v>1</v>
      </c>
      <c r="O1877" t="s">
        <v>20</v>
      </c>
      <c r="P1877" t="s">
        <v>38</v>
      </c>
      <c r="Q1877">
        <f t="shared" si="145"/>
        <v>20</v>
      </c>
      <c r="R1877" s="4">
        <f>RANK(N1877,$N$2:N$2800,0)</f>
        <v>1</v>
      </c>
      <c r="S1877">
        <f t="shared" si="146"/>
        <v>2</v>
      </c>
      <c r="T1877" t="str">
        <f t="shared" si="147"/>
        <v>Good</v>
      </c>
      <c r="U1877" t="str" cm="1">
        <f t="array" ref="U1877">_xlfn.LET(_xlpm.roles,_xlfn.UNIQUE(D1877:D4675),_xlpm.kills, SUMIF(D1877:D4675,_xlpm.roles,G1877:G4675),INDEX(_xlpm.roles,MATCH(MAX(_xlpm.kills),_xlpm.kills,0)))</f>
        <v>Sniper</v>
      </c>
      <c r="V1877" t="str">
        <f t="shared" si="148"/>
        <v>Medium Accuracy</v>
      </c>
      <c r="W1877" t="str" cm="1">
        <f t="array" ref="W1877">_xlfn.LET(_xlpm.roles,_xlfn.UNIQUE(D1877:D4675), _xlpm.counts,COUNTIF(D1877:D4675,_xlpm.roles), INDEX(_xlpm.roles,MATCH(MAX(_xlpm.counts),_xlpm.counts,0)))</f>
        <v>Sniper</v>
      </c>
      <c r="X1877" s="2">
        <f t="shared" si="149"/>
        <v>13.135802469135802</v>
      </c>
    </row>
    <row r="1878" spans="1:24" x14ac:dyDescent="0.3">
      <c r="A1878">
        <v>1008</v>
      </c>
      <c r="B1878">
        <v>334</v>
      </c>
      <c r="C1878" t="s">
        <v>16</v>
      </c>
      <c r="D1878" t="s">
        <v>36</v>
      </c>
      <c r="E1878" t="s">
        <v>32</v>
      </c>
      <c r="F1878" t="s">
        <v>37</v>
      </c>
      <c r="G1878">
        <v>10</v>
      </c>
      <c r="H1878">
        <v>6</v>
      </c>
      <c r="I1878">
        <v>10</v>
      </c>
      <c r="J1878">
        <v>46.94</v>
      </c>
      <c r="K1878">
        <v>153.11000000000001</v>
      </c>
      <c r="L1878">
        <v>0.36</v>
      </c>
      <c r="M1878">
        <v>35.869999999999997</v>
      </c>
      <c r="N1878">
        <v>0.93</v>
      </c>
      <c r="O1878" t="s">
        <v>20</v>
      </c>
      <c r="P1878" t="s">
        <v>21</v>
      </c>
      <c r="Q1878">
        <f t="shared" si="145"/>
        <v>6</v>
      </c>
      <c r="R1878" s="4">
        <f>RANK(N1878,$N$2:N$2800,0)</f>
        <v>1505</v>
      </c>
      <c r="S1878">
        <f t="shared" si="146"/>
        <v>1</v>
      </c>
      <c r="T1878" t="str">
        <f t="shared" si="147"/>
        <v>Low</v>
      </c>
      <c r="U1878" t="str" cm="1">
        <f t="array" ref="U1878">_xlfn.LET(_xlpm.roles,_xlfn.UNIQUE(D1878:D4676),_xlpm.kills, SUMIF(D1878:D4676,_xlpm.roles,G1878:G4676),INDEX(_xlpm.roles,MATCH(MAX(_xlpm.kills),_xlpm.kills,0)))</f>
        <v>Sniper</v>
      </c>
      <c r="V1878" t="str">
        <f t="shared" si="148"/>
        <v>Medium Accuracy</v>
      </c>
      <c r="W1878" t="str" cm="1">
        <f t="array" ref="W1878">_xlfn.LET(_xlpm.roles,_xlfn.UNIQUE(D1878:D4676), _xlpm.counts,COUNTIF(D1878:D4676,_xlpm.roles), INDEX(_xlpm.roles,MATCH(MAX(_xlpm.counts),_xlpm.counts,0)))</f>
        <v>Sniper</v>
      </c>
      <c r="X1878" s="2">
        <f t="shared" si="149"/>
        <v>12.520971302428256</v>
      </c>
    </row>
    <row r="1879" spans="1:24" x14ac:dyDescent="0.3">
      <c r="A1879">
        <v>2271</v>
      </c>
      <c r="B1879">
        <v>334</v>
      </c>
      <c r="C1879" t="s">
        <v>27</v>
      </c>
      <c r="D1879" t="s">
        <v>17</v>
      </c>
      <c r="E1879" t="s">
        <v>33</v>
      </c>
      <c r="F1879" t="s">
        <v>37</v>
      </c>
      <c r="G1879">
        <v>20</v>
      </c>
      <c r="H1879">
        <v>5</v>
      </c>
      <c r="I1879">
        <v>13</v>
      </c>
      <c r="J1879">
        <v>38.299999999999997</v>
      </c>
      <c r="K1879">
        <v>201.99</v>
      </c>
      <c r="L1879">
        <v>0.35</v>
      </c>
      <c r="M1879">
        <v>47.65</v>
      </c>
      <c r="N1879">
        <v>1</v>
      </c>
      <c r="O1879" t="s">
        <v>20</v>
      </c>
      <c r="P1879" t="s">
        <v>21</v>
      </c>
      <c r="Q1879">
        <f t="shared" si="145"/>
        <v>12</v>
      </c>
      <c r="R1879" s="4">
        <f>RANK(N1879,$N$2:N$2800,0)</f>
        <v>1</v>
      </c>
      <c r="S1879">
        <f t="shared" si="146"/>
        <v>1.5384615384615385</v>
      </c>
      <c r="T1879" t="str">
        <f t="shared" si="147"/>
        <v>Low</v>
      </c>
      <c r="U1879" t="str" cm="1">
        <f t="array" ref="U1879">_xlfn.LET(_xlpm.roles,_xlfn.UNIQUE(D1879:D4677),_xlpm.kills, SUMIF(D1879:D4677,_xlpm.roles,G1879:G4677),INDEX(_xlpm.roles,MATCH(MAX(_xlpm.kills),_xlpm.kills,0)))</f>
        <v>Sniper</v>
      </c>
      <c r="V1879" t="str">
        <f t="shared" si="148"/>
        <v>Medium Accuracy</v>
      </c>
      <c r="W1879" t="str" cm="1">
        <f t="array" ref="W1879">_xlfn.LET(_xlpm.roles,_xlfn.UNIQUE(D1879:D4677), _xlpm.counts,COUNTIF(D1879:D4677,_xlpm.roles), INDEX(_xlpm.roles,MATCH(MAX(_xlpm.counts),_xlpm.counts,0)))</f>
        <v>Sniper</v>
      </c>
      <c r="X1879" s="2">
        <f t="shared" si="149"/>
        <v>13.057077625570777</v>
      </c>
    </row>
    <row r="1880" spans="1:24" x14ac:dyDescent="0.3">
      <c r="A1880">
        <v>2546</v>
      </c>
      <c r="B1880">
        <v>334</v>
      </c>
      <c r="C1880" t="s">
        <v>25</v>
      </c>
      <c r="D1880" t="s">
        <v>17</v>
      </c>
      <c r="E1880" t="s">
        <v>23</v>
      </c>
      <c r="F1880" t="s">
        <v>37</v>
      </c>
      <c r="G1880">
        <v>11</v>
      </c>
      <c r="H1880">
        <v>11</v>
      </c>
      <c r="I1880">
        <v>13</v>
      </c>
      <c r="J1880">
        <v>31.05</v>
      </c>
      <c r="K1880">
        <v>197.35</v>
      </c>
      <c r="L1880">
        <v>0.13</v>
      </c>
      <c r="M1880">
        <v>34.229999999999997</v>
      </c>
      <c r="N1880">
        <v>0.8</v>
      </c>
      <c r="O1880" t="s">
        <v>20</v>
      </c>
      <c r="P1880" t="s">
        <v>21</v>
      </c>
      <c r="Q1880">
        <f t="shared" si="145"/>
        <v>9</v>
      </c>
      <c r="R1880" s="4">
        <f>RANK(N1880,$N$2:N$2800,0)</f>
        <v>2393</v>
      </c>
      <c r="S1880">
        <f t="shared" si="146"/>
        <v>0.84615384615384615</v>
      </c>
      <c r="T1880" t="str">
        <f t="shared" si="147"/>
        <v>Low</v>
      </c>
      <c r="U1880" t="str" cm="1">
        <f t="array" ref="U1880">_xlfn.LET(_xlpm.roles,_xlfn.UNIQUE(D1880:D4678),_xlpm.kills, SUMIF(D1880:D4678,_xlpm.roles,G1880:G4678),INDEX(_xlpm.roles,MATCH(MAX(_xlpm.kills),_xlpm.kills,0)))</f>
        <v>Sniper</v>
      </c>
      <c r="V1880" t="str">
        <f t="shared" si="148"/>
        <v>Medium Accuracy</v>
      </c>
      <c r="W1880" t="str" cm="1">
        <f t="array" ref="W1880">_xlfn.LET(_xlpm.roles,_xlfn.UNIQUE(D1880:D4678), _xlpm.counts,COUNTIF(D1880:D4678,_xlpm.roles), INDEX(_xlpm.roles,MATCH(MAX(_xlpm.counts),_xlpm.counts,0)))</f>
        <v>Sniper</v>
      </c>
      <c r="X1880" s="2">
        <f t="shared" si="149"/>
        <v>12.809421841541756</v>
      </c>
    </row>
    <row r="1881" spans="1:24" x14ac:dyDescent="0.3">
      <c r="A1881">
        <v>120</v>
      </c>
      <c r="B1881">
        <v>335</v>
      </c>
      <c r="C1881" t="s">
        <v>35</v>
      </c>
      <c r="D1881" t="s">
        <v>31</v>
      </c>
      <c r="E1881" t="s">
        <v>18</v>
      </c>
      <c r="F1881" t="s">
        <v>19</v>
      </c>
      <c r="G1881">
        <v>16</v>
      </c>
      <c r="H1881">
        <v>9</v>
      </c>
      <c r="I1881">
        <v>11</v>
      </c>
      <c r="J1881">
        <v>42.18</v>
      </c>
      <c r="K1881">
        <v>288.73</v>
      </c>
      <c r="L1881">
        <v>7.0000000000000007E-2</v>
      </c>
      <c r="M1881">
        <v>50.39</v>
      </c>
      <c r="N1881">
        <v>1</v>
      </c>
      <c r="O1881" t="s">
        <v>20</v>
      </c>
      <c r="P1881" t="s">
        <v>21</v>
      </c>
      <c r="Q1881">
        <f t="shared" si="145"/>
        <v>14</v>
      </c>
      <c r="R1881" s="4">
        <f>RANK(N1881,$N$2:N$2800,0)</f>
        <v>1</v>
      </c>
      <c r="S1881">
        <f t="shared" si="146"/>
        <v>1.4545454545454546</v>
      </c>
      <c r="T1881" t="str">
        <f t="shared" si="147"/>
        <v>Low</v>
      </c>
      <c r="U1881" t="str" cm="1">
        <f t="array" ref="U1881">_xlfn.LET(_xlpm.roles,_xlfn.UNIQUE(D1881:D4679),_xlpm.kills, SUMIF(D1881:D4679,_xlpm.roles,G1881:G4679),INDEX(_xlpm.roles,MATCH(MAX(_xlpm.kills),_xlpm.kills,0)))</f>
        <v>Sniper</v>
      </c>
      <c r="V1881" t="str">
        <f t="shared" si="148"/>
        <v>Medium Accuracy</v>
      </c>
      <c r="W1881" t="str" cm="1">
        <f t="array" ref="W1881">_xlfn.LET(_xlpm.roles,_xlfn.UNIQUE(D1881:D4679), _xlpm.counts,COUNTIF(D1881:D4679,_xlpm.roles), INDEX(_xlpm.roles,MATCH(MAX(_xlpm.counts),_xlpm.counts,0)))</f>
        <v>Sniper</v>
      </c>
      <c r="X1881" s="2">
        <f t="shared" si="149"/>
        <v>12.599585062240664</v>
      </c>
    </row>
    <row r="1882" spans="1:24" x14ac:dyDescent="0.3">
      <c r="A1882">
        <v>471</v>
      </c>
      <c r="B1882">
        <v>335</v>
      </c>
      <c r="C1882" t="s">
        <v>35</v>
      </c>
      <c r="D1882" t="s">
        <v>36</v>
      </c>
      <c r="E1882" t="s">
        <v>29</v>
      </c>
      <c r="F1882" t="s">
        <v>19</v>
      </c>
      <c r="G1882">
        <v>16</v>
      </c>
      <c r="H1882">
        <v>5</v>
      </c>
      <c r="I1882">
        <v>14</v>
      </c>
      <c r="J1882">
        <v>34.340000000000003</v>
      </c>
      <c r="K1882">
        <v>255.14</v>
      </c>
      <c r="L1882">
        <v>0.39</v>
      </c>
      <c r="M1882">
        <v>36.270000000000003</v>
      </c>
      <c r="N1882">
        <v>0.78</v>
      </c>
      <c r="O1882" t="s">
        <v>20</v>
      </c>
      <c r="P1882" t="s">
        <v>21</v>
      </c>
      <c r="Q1882">
        <f t="shared" si="145"/>
        <v>7</v>
      </c>
      <c r="R1882" s="4">
        <f>RANK(N1882,$N$2:N$2800,0)</f>
        <v>2469</v>
      </c>
      <c r="S1882">
        <f t="shared" si="146"/>
        <v>1.1428571428571428</v>
      </c>
      <c r="T1882" t="str">
        <f t="shared" si="147"/>
        <v>Low</v>
      </c>
      <c r="U1882" t="str" cm="1">
        <f t="array" ref="U1882">_xlfn.LET(_xlpm.roles,_xlfn.UNIQUE(D1882:D4680),_xlpm.kills, SUMIF(D1882:D4680,_xlpm.roles,G1882:G4680),INDEX(_xlpm.roles,MATCH(MAX(_xlpm.kills),_xlpm.kills,0)))</f>
        <v>Sniper</v>
      </c>
      <c r="V1882" t="str">
        <f t="shared" si="148"/>
        <v>Medium Accuracy</v>
      </c>
      <c r="W1882" t="str" cm="1">
        <f t="array" ref="W1882">_xlfn.LET(_xlpm.roles,_xlfn.UNIQUE(D1882:D4680), _xlpm.counts,COUNTIF(D1882:D4680,_xlpm.roles), INDEX(_xlpm.roles,MATCH(MAX(_xlpm.counts),_xlpm.counts,0)))</f>
        <v>Sniper</v>
      </c>
      <c r="X1882" s="2">
        <f t="shared" si="149"/>
        <v>12.599585062240664</v>
      </c>
    </row>
    <row r="1883" spans="1:24" x14ac:dyDescent="0.3">
      <c r="A1883">
        <v>619</v>
      </c>
      <c r="B1883">
        <v>335</v>
      </c>
      <c r="C1883" t="s">
        <v>35</v>
      </c>
      <c r="D1883" t="s">
        <v>28</v>
      </c>
      <c r="E1883" t="s">
        <v>18</v>
      </c>
      <c r="F1883" t="s">
        <v>19</v>
      </c>
      <c r="G1883">
        <v>13</v>
      </c>
      <c r="H1883">
        <v>10</v>
      </c>
      <c r="I1883">
        <v>9</v>
      </c>
      <c r="J1883">
        <v>41.02</v>
      </c>
      <c r="K1883">
        <v>253.38</v>
      </c>
      <c r="L1883">
        <v>0.57999999999999996</v>
      </c>
      <c r="M1883">
        <v>41.71</v>
      </c>
      <c r="N1883">
        <v>0.94</v>
      </c>
      <c r="O1883" t="s">
        <v>20</v>
      </c>
      <c r="P1883" t="s">
        <v>21</v>
      </c>
      <c r="Q1883">
        <f t="shared" si="145"/>
        <v>14</v>
      </c>
      <c r="R1883" s="4">
        <f>RANK(N1883,$N$2:N$2800,0)</f>
        <v>1431</v>
      </c>
      <c r="S1883">
        <f t="shared" si="146"/>
        <v>1.4444444444444444</v>
      </c>
      <c r="T1883" t="str">
        <f t="shared" si="147"/>
        <v>Low</v>
      </c>
      <c r="U1883" t="str" cm="1">
        <f t="array" ref="U1883">_xlfn.LET(_xlpm.roles,_xlfn.UNIQUE(D1883:D4681),_xlpm.kills, SUMIF(D1883:D4681,_xlpm.roles,G1883:G4681),INDEX(_xlpm.roles,MATCH(MAX(_xlpm.kills),_xlpm.kills,0)))</f>
        <v>Sniper</v>
      </c>
      <c r="V1883" t="str">
        <f t="shared" si="148"/>
        <v>Medium Accuracy</v>
      </c>
      <c r="W1883" t="str" cm="1">
        <f t="array" ref="W1883">_xlfn.LET(_xlpm.roles,_xlfn.UNIQUE(D1883:D4681), _xlpm.counts,COUNTIF(D1883:D4681,_xlpm.roles), INDEX(_xlpm.roles,MATCH(MAX(_xlpm.counts),_xlpm.counts,0)))</f>
        <v>Sniper</v>
      </c>
      <c r="X1883" s="2">
        <f t="shared" si="149"/>
        <v>12.599585062240664</v>
      </c>
    </row>
    <row r="1884" spans="1:24" x14ac:dyDescent="0.3">
      <c r="A1884">
        <v>697</v>
      </c>
      <c r="B1884">
        <v>335</v>
      </c>
      <c r="C1884" t="s">
        <v>35</v>
      </c>
      <c r="D1884" t="s">
        <v>36</v>
      </c>
      <c r="E1884" t="s">
        <v>23</v>
      </c>
      <c r="F1884" t="s">
        <v>24</v>
      </c>
      <c r="G1884">
        <v>14</v>
      </c>
      <c r="H1884">
        <v>4</v>
      </c>
      <c r="I1884">
        <v>17</v>
      </c>
      <c r="J1884">
        <v>38.81</v>
      </c>
      <c r="K1884">
        <v>213.29</v>
      </c>
      <c r="L1884">
        <v>0.11</v>
      </c>
      <c r="M1884">
        <v>33.299999999999997</v>
      </c>
      <c r="N1884">
        <v>0.84</v>
      </c>
      <c r="O1884" t="s">
        <v>20</v>
      </c>
      <c r="P1884" t="s">
        <v>21</v>
      </c>
      <c r="Q1884">
        <f t="shared" si="145"/>
        <v>1</v>
      </c>
      <c r="R1884" s="4">
        <f>RANK(N1884,$N$2:N$2800,0)</f>
        <v>2156</v>
      </c>
      <c r="S1884">
        <f t="shared" si="146"/>
        <v>0.82352941176470584</v>
      </c>
      <c r="T1884" t="str">
        <f t="shared" si="147"/>
        <v>Low</v>
      </c>
      <c r="U1884" t="str" cm="1">
        <f t="array" ref="U1884">_xlfn.LET(_xlpm.roles,_xlfn.UNIQUE(D1884:D4682),_xlpm.kills, SUMIF(D1884:D4682,_xlpm.roles,G1884:G4682),INDEX(_xlpm.roles,MATCH(MAX(_xlpm.kills),_xlpm.kills,0)))</f>
        <v>Sniper</v>
      </c>
      <c r="V1884" t="str">
        <f t="shared" si="148"/>
        <v>Medium Accuracy</v>
      </c>
      <c r="W1884" t="str" cm="1">
        <f t="array" ref="W1884">_xlfn.LET(_xlpm.roles,_xlfn.UNIQUE(D1884:D4682), _xlpm.counts,COUNTIF(D1884:D4682,_xlpm.roles), INDEX(_xlpm.roles,MATCH(MAX(_xlpm.counts),_xlpm.counts,0)))</f>
        <v>Sniper</v>
      </c>
      <c r="X1884" s="2">
        <f t="shared" si="149"/>
        <v>12.599585062240664</v>
      </c>
    </row>
    <row r="1885" spans="1:24" x14ac:dyDescent="0.3">
      <c r="A1885">
        <v>1076</v>
      </c>
      <c r="B1885">
        <v>335</v>
      </c>
      <c r="C1885" t="s">
        <v>25</v>
      </c>
      <c r="D1885" t="s">
        <v>28</v>
      </c>
      <c r="E1885" t="s">
        <v>23</v>
      </c>
      <c r="F1885" t="s">
        <v>24</v>
      </c>
      <c r="G1885">
        <v>14</v>
      </c>
      <c r="H1885">
        <v>13</v>
      </c>
      <c r="I1885">
        <v>10</v>
      </c>
      <c r="J1885">
        <v>43.67</v>
      </c>
      <c r="K1885">
        <v>238.49</v>
      </c>
      <c r="L1885">
        <v>0.95</v>
      </c>
      <c r="M1885">
        <v>43.34</v>
      </c>
      <c r="N1885">
        <v>0.87</v>
      </c>
      <c r="O1885" t="s">
        <v>20</v>
      </c>
      <c r="P1885" t="s">
        <v>21</v>
      </c>
      <c r="Q1885">
        <f t="shared" si="145"/>
        <v>17</v>
      </c>
      <c r="R1885" s="4">
        <f>RANK(N1885,$N$2:N$2800,0)</f>
        <v>1965</v>
      </c>
      <c r="S1885">
        <f t="shared" si="146"/>
        <v>1.4</v>
      </c>
      <c r="T1885" t="str">
        <f t="shared" si="147"/>
        <v>Good</v>
      </c>
      <c r="U1885" t="str" cm="1">
        <f t="array" ref="U1885">_xlfn.LET(_xlpm.roles,_xlfn.UNIQUE(D1885:D4683),_xlpm.kills, SUMIF(D1885:D4683,_xlpm.roles,G1885:G4683),INDEX(_xlpm.roles,MATCH(MAX(_xlpm.kills),_xlpm.kills,0)))</f>
        <v>Sniper</v>
      </c>
      <c r="V1885" t="str">
        <f t="shared" si="148"/>
        <v>Medium Accuracy</v>
      </c>
      <c r="W1885" t="str" cm="1">
        <f t="array" ref="W1885">_xlfn.LET(_xlpm.roles,_xlfn.UNIQUE(D1885:D4683), _xlpm.counts,COUNTIF(D1885:D4683,_xlpm.roles), INDEX(_xlpm.roles,MATCH(MAX(_xlpm.counts),_xlpm.counts,0)))</f>
        <v>Sniper</v>
      </c>
      <c r="X1885" s="2">
        <f t="shared" si="149"/>
        <v>12.809421841541756</v>
      </c>
    </row>
    <row r="1886" spans="1:24" x14ac:dyDescent="0.3">
      <c r="A1886">
        <v>2489</v>
      </c>
      <c r="B1886">
        <v>335</v>
      </c>
      <c r="C1886" t="s">
        <v>16</v>
      </c>
      <c r="D1886" t="s">
        <v>17</v>
      </c>
      <c r="E1886" t="s">
        <v>33</v>
      </c>
      <c r="F1886" t="s">
        <v>26</v>
      </c>
      <c r="G1886">
        <v>12</v>
      </c>
      <c r="H1886">
        <v>9</v>
      </c>
      <c r="I1886">
        <v>9</v>
      </c>
      <c r="J1886">
        <v>37.14</v>
      </c>
      <c r="K1886">
        <v>224.54</v>
      </c>
      <c r="L1886">
        <v>0.93</v>
      </c>
      <c r="M1886">
        <v>33.270000000000003</v>
      </c>
      <c r="N1886">
        <v>0.91</v>
      </c>
      <c r="O1886" t="s">
        <v>20</v>
      </c>
      <c r="P1886" t="s">
        <v>21</v>
      </c>
      <c r="Q1886">
        <f t="shared" si="145"/>
        <v>12</v>
      </c>
      <c r="R1886" s="4">
        <f>RANK(N1886,$N$2:N$2800,0)</f>
        <v>1665</v>
      </c>
      <c r="S1886">
        <f t="shared" si="146"/>
        <v>1.3333333333333333</v>
      </c>
      <c r="T1886" t="str">
        <f t="shared" si="147"/>
        <v>Low</v>
      </c>
      <c r="U1886" t="str" cm="1">
        <f t="array" ref="U1886">_xlfn.LET(_xlpm.roles,_xlfn.UNIQUE(D1886:D4684),_xlpm.kills, SUMIF(D1886:D4684,_xlpm.roles,G1886:G4684),INDEX(_xlpm.roles,MATCH(MAX(_xlpm.kills),_xlpm.kills,0)))</f>
        <v>Sniper</v>
      </c>
      <c r="V1886" t="str">
        <f t="shared" si="148"/>
        <v>Medium Accuracy</v>
      </c>
      <c r="W1886" t="str" cm="1">
        <f t="array" ref="W1886">_xlfn.LET(_xlpm.roles,_xlfn.UNIQUE(D1886:D4684), _xlpm.counts,COUNTIF(D1886:D4684,_xlpm.roles), INDEX(_xlpm.roles,MATCH(MAX(_xlpm.counts),_xlpm.counts,0)))</f>
        <v>Sniper</v>
      </c>
      <c r="X1886" s="2">
        <f t="shared" si="149"/>
        <v>12.520971302428256</v>
      </c>
    </row>
    <row r="1887" spans="1:24" x14ac:dyDescent="0.3">
      <c r="A1887">
        <v>258</v>
      </c>
      <c r="B1887">
        <v>336</v>
      </c>
      <c r="C1887" t="s">
        <v>39</v>
      </c>
      <c r="D1887" t="s">
        <v>31</v>
      </c>
      <c r="E1887" t="s">
        <v>29</v>
      </c>
      <c r="F1887" t="s">
        <v>34</v>
      </c>
      <c r="G1887">
        <v>6</v>
      </c>
      <c r="H1887">
        <v>9</v>
      </c>
      <c r="I1887">
        <v>7</v>
      </c>
      <c r="J1887">
        <v>48.3</v>
      </c>
      <c r="K1887">
        <v>228.37</v>
      </c>
      <c r="L1887">
        <v>0.81</v>
      </c>
      <c r="M1887">
        <v>30.05</v>
      </c>
      <c r="N1887">
        <v>0.89</v>
      </c>
      <c r="O1887" t="s">
        <v>20</v>
      </c>
      <c r="P1887" t="s">
        <v>21</v>
      </c>
      <c r="Q1887">
        <f t="shared" si="145"/>
        <v>8</v>
      </c>
      <c r="R1887" s="4">
        <f>RANK(N1887,$N$2:N$2800,0)</f>
        <v>1815</v>
      </c>
      <c r="S1887">
        <f t="shared" si="146"/>
        <v>0.8571428571428571</v>
      </c>
      <c r="T1887" t="str">
        <f t="shared" si="147"/>
        <v>Low</v>
      </c>
      <c r="U1887" t="str" cm="1">
        <f t="array" ref="U1887">_xlfn.LET(_xlpm.roles,_xlfn.UNIQUE(D1887:D4685),_xlpm.kills, SUMIF(D1887:D4685,_xlpm.roles,G1887:G4685),INDEX(_xlpm.roles,MATCH(MAX(_xlpm.kills),_xlpm.kills,0)))</f>
        <v>Sniper</v>
      </c>
      <c r="V1887" t="str">
        <f t="shared" si="148"/>
        <v>Medium Accuracy</v>
      </c>
      <c r="W1887" t="str" cm="1">
        <f t="array" ref="W1887">_xlfn.LET(_xlpm.roles,_xlfn.UNIQUE(D1887:D4685), _xlpm.counts,COUNTIF(D1887:D4685,_xlpm.roles), INDEX(_xlpm.roles,MATCH(MAX(_xlpm.counts),_xlpm.counts,0)))</f>
        <v>Sniper</v>
      </c>
      <c r="X1887" s="2">
        <f t="shared" si="149"/>
        <v>13.103594080338267</v>
      </c>
    </row>
    <row r="1888" spans="1:24" x14ac:dyDescent="0.3">
      <c r="A1888">
        <v>733</v>
      </c>
      <c r="B1888">
        <v>336</v>
      </c>
      <c r="C1888" t="s">
        <v>30</v>
      </c>
      <c r="D1888" t="s">
        <v>31</v>
      </c>
      <c r="E1888" t="s">
        <v>29</v>
      </c>
      <c r="F1888" t="s">
        <v>37</v>
      </c>
      <c r="G1888">
        <v>17</v>
      </c>
      <c r="H1888">
        <v>12</v>
      </c>
      <c r="I1888">
        <v>13</v>
      </c>
      <c r="J1888">
        <v>32.92</v>
      </c>
      <c r="K1888">
        <v>199.37</v>
      </c>
      <c r="L1888">
        <v>0.28999999999999998</v>
      </c>
      <c r="M1888">
        <v>46.56</v>
      </c>
      <c r="N1888">
        <v>0.99</v>
      </c>
      <c r="O1888" t="s">
        <v>20</v>
      </c>
      <c r="P1888" t="s">
        <v>21</v>
      </c>
      <c r="Q1888">
        <f t="shared" si="145"/>
        <v>16</v>
      </c>
      <c r="R1888" s="4">
        <f>RANK(N1888,$N$2:N$2800,0)</f>
        <v>1080</v>
      </c>
      <c r="S1888">
        <f t="shared" si="146"/>
        <v>1.3076923076923077</v>
      </c>
      <c r="T1888" t="str">
        <f t="shared" si="147"/>
        <v>Good</v>
      </c>
      <c r="U1888" t="str" cm="1">
        <f t="array" ref="U1888">_xlfn.LET(_xlpm.roles,_xlfn.UNIQUE(D1888:D4686),_xlpm.kills, SUMIF(D1888:D4686,_xlpm.roles,G1888:G4686),INDEX(_xlpm.roles,MATCH(MAX(_xlpm.kills),_xlpm.kills,0)))</f>
        <v>Sniper</v>
      </c>
      <c r="V1888" t="str">
        <f t="shared" si="148"/>
        <v>Medium Accuracy</v>
      </c>
      <c r="W1888" t="str" cm="1">
        <f t="array" ref="W1888">_xlfn.LET(_xlpm.roles,_xlfn.UNIQUE(D1888:D4686), _xlpm.counts,COUNTIF(D1888:D4686,_xlpm.roles), INDEX(_xlpm.roles,MATCH(MAX(_xlpm.counts),_xlpm.counts,0)))</f>
        <v>Sniper</v>
      </c>
      <c r="X1888" s="2">
        <f t="shared" si="149"/>
        <v>13.135802469135802</v>
      </c>
    </row>
    <row r="1889" spans="1:24" x14ac:dyDescent="0.3">
      <c r="A1889">
        <v>1088</v>
      </c>
      <c r="B1889">
        <v>336</v>
      </c>
      <c r="C1889" t="s">
        <v>27</v>
      </c>
      <c r="D1889" t="s">
        <v>22</v>
      </c>
      <c r="E1889" t="s">
        <v>18</v>
      </c>
      <c r="F1889" t="s">
        <v>19</v>
      </c>
      <c r="G1889">
        <v>13</v>
      </c>
      <c r="H1889">
        <v>4</v>
      </c>
      <c r="I1889">
        <v>7</v>
      </c>
      <c r="J1889">
        <v>47.23</v>
      </c>
      <c r="K1889">
        <v>215.02</v>
      </c>
      <c r="L1889">
        <v>0.01</v>
      </c>
      <c r="M1889">
        <v>46.51</v>
      </c>
      <c r="N1889">
        <v>0.93</v>
      </c>
      <c r="O1889" t="s">
        <v>20</v>
      </c>
      <c r="P1889" t="s">
        <v>21</v>
      </c>
      <c r="Q1889">
        <f t="shared" si="145"/>
        <v>10</v>
      </c>
      <c r="R1889" s="4">
        <f>RANK(N1889,$N$2:N$2800,0)</f>
        <v>1505</v>
      </c>
      <c r="S1889">
        <f t="shared" si="146"/>
        <v>1.8571428571428572</v>
      </c>
      <c r="T1889" t="str">
        <f t="shared" si="147"/>
        <v>Low</v>
      </c>
      <c r="U1889" t="str" cm="1">
        <f t="array" ref="U1889">_xlfn.LET(_xlpm.roles,_xlfn.UNIQUE(D1889:D4687),_xlpm.kills, SUMIF(D1889:D4687,_xlpm.roles,G1889:G4687),INDEX(_xlpm.roles,MATCH(MAX(_xlpm.kills),_xlpm.kills,0)))</f>
        <v>Sniper</v>
      </c>
      <c r="V1889" t="str">
        <f t="shared" si="148"/>
        <v>Medium Accuracy</v>
      </c>
      <c r="W1889" t="str" cm="1">
        <f t="array" ref="W1889">_xlfn.LET(_xlpm.roles,_xlfn.UNIQUE(D1889:D4687), _xlpm.counts,COUNTIF(D1889:D4687,_xlpm.roles), INDEX(_xlpm.roles,MATCH(MAX(_xlpm.counts),_xlpm.counts,0)))</f>
        <v>Sniper</v>
      </c>
      <c r="X1889" s="2">
        <f t="shared" si="149"/>
        <v>13.057077625570777</v>
      </c>
    </row>
    <row r="1890" spans="1:24" x14ac:dyDescent="0.3">
      <c r="A1890">
        <v>1580</v>
      </c>
      <c r="B1890">
        <v>336</v>
      </c>
      <c r="C1890" t="s">
        <v>16</v>
      </c>
      <c r="D1890" t="s">
        <v>22</v>
      </c>
      <c r="E1890" t="s">
        <v>32</v>
      </c>
      <c r="F1890" t="s">
        <v>34</v>
      </c>
      <c r="G1890">
        <v>10</v>
      </c>
      <c r="H1890">
        <v>6</v>
      </c>
      <c r="I1890">
        <v>7</v>
      </c>
      <c r="J1890">
        <v>43.56</v>
      </c>
      <c r="K1890">
        <v>246.49</v>
      </c>
      <c r="L1890">
        <v>0.41</v>
      </c>
      <c r="M1890">
        <v>36.68</v>
      </c>
      <c r="N1890">
        <v>0.92</v>
      </c>
      <c r="O1890" t="s">
        <v>20</v>
      </c>
      <c r="P1890" t="s">
        <v>21</v>
      </c>
      <c r="Q1890">
        <f t="shared" si="145"/>
        <v>9</v>
      </c>
      <c r="R1890" s="4">
        <f>RANK(N1890,$N$2:N$2800,0)</f>
        <v>1585</v>
      </c>
      <c r="S1890">
        <f t="shared" si="146"/>
        <v>1.4285714285714286</v>
      </c>
      <c r="T1890" t="str">
        <f t="shared" si="147"/>
        <v>Low</v>
      </c>
      <c r="U1890" t="str" cm="1">
        <f t="array" ref="U1890">_xlfn.LET(_xlpm.roles,_xlfn.UNIQUE(D1890:D4688),_xlpm.kills, SUMIF(D1890:D4688,_xlpm.roles,G1890:G4688),INDEX(_xlpm.roles,MATCH(MAX(_xlpm.kills),_xlpm.kills,0)))</f>
        <v>Sniper</v>
      </c>
      <c r="V1890" t="str">
        <f t="shared" si="148"/>
        <v>Medium Accuracy</v>
      </c>
      <c r="W1890" t="str" cm="1">
        <f t="array" ref="W1890">_xlfn.LET(_xlpm.roles,_xlfn.UNIQUE(D1890:D4688), _xlpm.counts,COUNTIF(D1890:D4688,_xlpm.roles), INDEX(_xlpm.roles,MATCH(MAX(_xlpm.counts),_xlpm.counts,0)))</f>
        <v>Sniper</v>
      </c>
      <c r="X1890" s="2">
        <f t="shared" si="149"/>
        <v>12.520971302428256</v>
      </c>
    </row>
    <row r="1891" spans="1:24" x14ac:dyDescent="0.3">
      <c r="A1891">
        <v>2020</v>
      </c>
      <c r="B1891">
        <v>336</v>
      </c>
      <c r="C1891" t="s">
        <v>25</v>
      </c>
      <c r="D1891" t="s">
        <v>22</v>
      </c>
      <c r="E1891" t="s">
        <v>23</v>
      </c>
      <c r="F1891" t="s">
        <v>37</v>
      </c>
      <c r="G1891">
        <v>12</v>
      </c>
      <c r="H1891">
        <v>5</v>
      </c>
      <c r="I1891">
        <v>11</v>
      </c>
      <c r="J1891">
        <v>44.11</v>
      </c>
      <c r="K1891">
        <v>223.52</v>
      </c>
      <c r="L1891">
        <v>0.47</v>
      </c>
      <c r="M1891">
        <v>35.36</v>
      </c>
      <c r="N1891">
        <v>0.83</v>
      </c>
      <c r="O1891" t="s">
        <v>20</v>
      </c>
      <c r="P1891" t="s">
        <v>21</v>
      </c>
      <c r="Q1891">
        <f t="shared" si="145"/>
        <v>6</v>
      </c>
      <c r="R1891" s="4">
        <f>RANK(N1891,$N$2:N$2800,0)</f>
        <v>2218</v>
      </c>
      <c r="S1891">
        <f t="shared" si="146"/>
        <v>1.0909090909090908</v>
      </c>
      <c r="T1891" t="str">
        <f t="shared" si="147"/>
        <v>Low</v>
      </c>
      <c r="U1891" t="str" cm="1">
        <f t="array" ref="U1891">_xlfn.LET(_xlpm.roles,_xlfn.UNIQUE(D1891:D4689),_xlpm.kills, SUMIF(D1891:D4689,_xlpm.roles,G1891:G4689),INDEX(_xlpm.roles,MATCH(MAX(_xlpm.kills),_xlpm.kills,0)))</f>
        <v>Sniper</v>
      </c>
      <c r="V1891" t="str">
        <f t="shared" si="148"/>
        <v>Medium Accuracy</v>
      </c>
      <c r="W1891" t="str" cm="1">
        <f t="array" ref="W1891">_xlfn.LET(_xlpm.roles,_xlfn.UNIQUE(D1891:D4689), _xlpm.counts,COUNTIF(D1891:D4689,_xlpm.roles), INDEX(_xlpm.roles,MATCH(MAX(_xlpm.counts),_xlpm.counts,0)))</f>
        <v>Sniper</v>
      </c>
      <c r="X1891" s="2">
        <f t="shared" si="149"/>
        <v>12.809421841541756</v>
      </c>
    </row>
    <row r="1892" spans="1:24" x14ac:dyDescent="0.3">
      <c r="A1892">
        <v>2581</v>
      </c>
      <c r="B1892">
        <v>336</v>
      </c>
      <c r="C1892" t="s">
        <v>25</v>
      </c>
      <c r="D1892" t="s">
        <v>36</v>
      </c>
      <c r="E1892" t="s">
        <v>32</v>
      </c>
      <c r="F1892" t="s">
        <v>26</v>
      </c>
      <c r="G1892">
        <v>15</v>
      </c>
      <c r="H1892">
        <v>6</v>
      </c>
      <c r="I1892">
        <v>10</v>
      </c>
      <c r="J1892">
        <v>51.03</v>
      </c>
      <c r="K1892">
        <v>236.04</v>
      </c>
      <c r="L1892">
        <v>0.91</v>
      </c>
      <c r="M1892">
        <v>42.41</v>
      </c>
      <c r="N1892">
        <v>0.66</v>
      </c>
      <c r="O1892" t="s">
        <v>20</v>
      </c>
      <c r="P1892" t="s">
        <v>21</v>
      </c>
      <c r="Q1892">
        <f t="shared" si="145"/>
        <v>11</v>
      </c>
      <c r="R1892" s="4">
        <f>RANK(N1892,$N$2:N$2800,0)</f>
        <v>2746</v>
      </c>
      <c r="S1892">
        <f t="shared" si="146"/>
        <v>1.5</v>
      </c>
      <c r="T1892" t="str">
        <f t="shared" si="147"/>
        <v>Low</v>
      </c>
      <c r="U1892" t="str" cm="1">
        <f t="array" ref="U1892">_xlfn.LET(_xlpm.roles,_xlfn.UNIQUE(D1892:D4690),_xlpm.kills, SUMIF(D1892:D4690,_xlpm.roles,G1892:G4690),INDEX(_xlpm.roles,MATCH(MAX(_xlpm.kills),_xlpm.kills,0)))</f>
        <v>Sniper</v>
      </c>
      <c r="V1892" t="str">
        <f t="shared" si="148"/>
        <v>High Accuracy</v>
      </c>
      <c r="W1892" t="str" cm="1">
        <f t="array" ref="W1892">_xlfn.LET(_xlpm.roles,_xlfn.UNIQUE(D1892:D4690), _xlpm.counts,COUNTIF(D1892:D4690,_xlpm.roles), INDEX(_xlpm.roles,MATCH(MAX(_xlpm.counts),_xlpm.counts,0)))</f>
        <v>Sniper</v>
      </c>
      <c r="X1892" s="2">
        <f t="shared" si="149"/>
        <v>12.809421841541756</v>
      </c>
    </row>
    <row r="1893" spans="1:24" x14ac:dyDescent="0.3">
      <c r="A1893">
        <v>2630</v>
      </c>
      <c r="B1893">
        <v>336</v>
      </c>
      <c r="C1893" t="s">
        <v>39</v>
      </c>
      <c r="D1893" t="s">
        <v>22</v>
      </c>
      <c r="E1893" t="s">
        <v>32</v>
      </c>
      <c r="F1893" t="s">
        <v>24</v>
      </c>
      <c r="G1893">
        <v>15</v>
      </c>
      <c r="H1893">
        <v>10</v>
      </c>
      <c r="I1893">
        <v>12</v>
      </c>
      <c r="J1893">
        <v>39.92</v>
      </c>
      <c r="K1893">
        <v>193.06</v>
      </c>
      <c r="L1893">
        <v>0.63</v>
      </c>
      <c r="M1893">
        <v>41.66</v>
      </c>
      <c r="N1893">
        <v>0.94</v>
      </c>
      <c r="O1893" t="s">
        <v>20</v>
      </c>
      <c r="P1893" t="s">
        <v>21</v>
      </c>
      <c r="Q1893">
        <f t="shared" si="145"/>
        <v>13</v>
      </c>
      <c r="R1893" s="4">
        <f>RANK(N1893,$N$2:N$2800,0)</f>
        <v>1431</v>
      </c>
      <c r="S1893">
        <f t="shared" si="146"/>
        <v>1.25</v>
      </c>
      <c r="T1893" t="str">
        <f t="shared" si="147"/>
        <v>Low</v>
      </c>
      <c r="U1893" t="str" cm="1">
        <f t="array" ref="U1893">_xlfn.LET(_xlpm.roles,_xlfn.UNIQUE(D1893:D4691),_xlpm.kills, SUMIF(D1893:D4691,_xlpm.roles,G1893:G4691),INDEX(_xlpm.roles,MATCH(MAX(_xlpm.kills),_xlpm.kills,0)))</f>
        <v>Sniper</v>
      </c>
      <c r="V1893" t="str">
        <f t="shared" si="148"/>
        <v>Medium Accuracy</v>
      </c>
      <c r="W1893" t="str" cm="1">
        <f t="array" ref="W1893">_xlfn.LET(_xlpm.roles,_xlfn.UNIQUE(D1893:D4691), _xlpm.counts,COUNTIF(D1893:D4691,_xlpm.roles), INDEX(_xlpm.roles,MATCH(MAX(_xlpm.counts),_xlpm.counts,0)))</f>
        <v>Sniper</v>
      </c>
      <c r="X1893" s="2">
        <f t="shared" si="149"/>
        <v>13.103594080338267</v>
      </c>
    </row>
    <row r="1894" spans="1:24" x14ac:dyDescent="0.3">
      <c r="A1894">
        <v>154</v>
      </c>
      <c r="B1894">
        <v>337</v>
      </c>
      <c r="C1894" t="s">
        <v>27</v>
      </c>
      <c r="D1894" t="s">
        <v>36</v>
      </c>
      <c r="E1894" t="s">
        <v>29</v>
      </c>
      <c r="F1894" t="s">
        <v>19</v>
      </c>
      <c r="G1894">
        <v>11</v>
      </c>
      <c r="H1894">
        <v>2</v>
      </c>
      <c r="I1894">
        <v>7</v>
      </c>
      <c r="J1894">
        <v>24.53</v>
      </c>
      <c r="K1894">
        <v>239.99</v>
      </c>
      <c r="L1894">
        <v>0.42</v>
      </c>
      <c r="M1894">
        <v>25.07</v>
      </c>
      <c r="N1894">
        <v>0.8</v>
      </c>
      <c r="O1894" t="s">
        <v>20</v>
      </c>
      <c r="P1894" t="s">
        <v>21</v>
      </c>
      <c r="Q1894">
        <f t="shared" si="145"/>
        <v>6</v>
      </c>
      <c r="R1894" s="4">
        <f>RANK(N1894,$N$2:N$2800,0)</f>
        <v>2393</v>
      </c>
      <c r="S1894">
        <f t="shared" si="146"/>
        <v>1.5714285714285714</v>
      </c>
      <c r="T1894" t="str">
        <f t="shared" si="147"/>
        <v>Low</v>
      </c>
      <c r="U1894" t="str" cm="1">
        <f t="array" ref="U1894">_xlfn.LET(_xlpm.roles,_xlfn.UNIQUE(D1894:D4692),_xlpm.kills, SUMIF(D1894:D4692,_xlpm.roles,G1894:G4692),INDEX(_xlpm.roles,MATCH(MAX(_xlpm.kills),_xlpm.kills,0)))</f>
        <v>Sniper</v>
      </c>
      <c r="V1894" t="str">
        <f t="shared" si="148"/>
        <v>Low Accuracy</v>
      </c>
      <c r="W1894" t="str" cm="1">
        <f t="array" ref="W1894">_xlfn.LET(_xlpm.roles,_xlfn.UNIQUE(D1894:D4692), _xlpm.counts,COUNTIF(D1894:D4692,_xlpm.roles), INDEX(_xlpm.roles,MATCH(MAX(_xlpm.counts),_xlpm.counts,0)))</f>
        <v>Sniper</v>
      </c>
      <c r="X1894" s="2">
        <f t="shared" si="149"/>
        <v>13.057077625570777</v>
      </c>
    </row>
    <row r="1895" spans="1:24" x14ac:dyDescent="0.3">
      <c r="A1895">
        <v>765</v>
      </c>
      <c r="B1895">
        <v>337</v>
      </c>
      <c r="C1895" t="s">
        <v>25</v>
      </c>
      <c r="D1895" t="s">
        <v>31</v>
      </c>
      <c r="E1895" t="s">
        <v>32</v>
      </c>
      <c r="F1895" t="s">
        <v>19</v>
      </c>
      <c r="G1895">
        <v>18</v>
      </c>
      <c r="H1895">
        <v>5</v>
      </c>
      <c r="I1895">
        <v>13</v>
      </c>
      <c r="J1895">
        <v>56.08</v>
      </c>
      <c r="K1895">
        <v>227.56</v>
      </c>
      <c r="L1895">
        <v>0.61</v>
      </c>
      <c r="M1895">
        <v>49.94</v>
      </c>
      <c r="N1895">
        <v>1</v>
      </c>
      <c r="O1895" t="s">
        <v>20</v>
      </c>
      <c r="P1895" t="s">
        <v>21</v>
      </c>
      <c r="Q1895">
        <f t="shared" si="145"/>
        <v>10</v>
      </c>
      <c r="R1895" s="4">
        <f>RANK(N1895,$N$2:N$2800,0)</f>
        <v>1</v>
      </c>
      <c r="S1895">
        <f t="shared" si="146"/>
        <v>1.3846153846153846</v>
      </c>
      <c r="T1895" t="str">
        <f t="shared" si="147"/>
        <v>Low</v>
      </c>
      <c r="U1895" t="str" cm="1">
        <f t="array" ref="U1895">_xlfn.LET(_xlpm.roles,_xlfn.UNIQUE(D1895:D4693),_xlpm.kills, SUMIF(D1895:D4693,_xlpm.roles,G1895:G4693),INDEX(_xlpm.roles,MATCH(MAX(_xlpm.kills),_xlpm.kills,0)))</f>
        <v>Sniper</v>
      </c>
      <c r="V1895" t="str">
        <f t="shared" si="148"/>
        <v>High Accuracy</v>
      </c>
      <c r="W1895" t="str" cm="1">
        <f t="array" ref="W1895">_xlfn.LET(_xlpm.roles,_xlfn.UNIQUE(D1895:D4693), _xlpm.counts,COUNTIF(D1895:D4693,_xlpm.roles), INDEX(_xlpm.roles,MATCH(MAX(_xlpm.counts),_xlpm.counts,0)))</f>
        <v>Sniper</v>
      </c>
      <c r="X1895" s="2">
        <f t="shared" si="149"/>
        <v>12.809421841541756</v>
      </c>
    </row>
    <row r="1896" spans="1:24" x14ac:dyDescent="0.3">
      <c r="A1896">
        <v>1017</v>
      </c>
      <c r="B1896">
        <v>337</v>
      </c>
      <c r="C1896" t="s">
        <v>35</v>
      </c>
      <c r="D1896" t="s">
        <v>22</v>
      </c>
      <c r="E1896" t="s">
        <v>29</v>
      </c>
      <c r="F1896" t="s">
        <v>19</v>
      </c>
      <c r="G1896">
        <v>6</v>
      </c>
      <c r="H1896">
        <v>9</v>
      </c>
      <c r="I1896">
        <v>12</v>
      </c>
      <c r="J1896">
        <v>34.68</v>
      </c>
      <c r="K1896">
        <v>239.89</v>
      </c>
      <c r="L1896">
        <v>0.87</v>
      </c>
      <c r="M1896">
        <v>17.64</v>
      </c>
      <c r="N1896">
        <v>0.77</v>
      </c>
      <c r="O1896" t="s">
        <v>20</v>
      </c>
      <c r="P1896" t="s">
        <v>21</v>
      </c>
      <c r="Q1896">
        <f t="shared" si="145"/>
        <v>3</v>
      </c>
      <c r="R1896" s="4">
        <f>RANK(N1896,$N$2:N$2800,0)</f>
        <v>2511</v>
      </c>
      <c r="S1896">
        <f t="shared" si="146"/>
        <v>0.5</v>
      </c>
      <c r="T1896" t="str">
        <f t="shared" si="147"/>
        <v>Low</v>
      </c>
      <c r="U1896" t="str" cm="1">
        <f t="array" ref="U1896">_xlfn.LET(_xlpm.roles,_xlfn.UNIQUE(D1896:D4694),_xlpm.kills, SUMIF(D1896:D4694,_xlpm.roles,G1896:G4694),INDEX(_xlpm.roles,MATCH(MAX(_xlpm.kills),_xlpm.kills,0)))</f>
        <v>Sniper</v>
      </c>
      <c r="V1896" t="str">
        <f t="shared" si="148"/>
        <v>Medium Accuracy</v>
      </c>
      <c r="W1896" t="str" cm="1">
        <f t="array" ref="W1896">_xlfn.LET(_xlpm.roles,_xlfn.UNIQUE(D1896:D4694), _xlpm.counts,COUNTIF(D1896:D4694,_xlpm.roles), INDEX(_xlpm.roles,MATCH(MAX(_xlpm.counts),_xlpm.counts,0)))</f>
        <v>Sniper</v>
      </c>
      <c r="X1896" s="2">
        <f t="shared" si="149"/>
        <v>12.599585062240664</v>
      </c>
    </row>
    <row r="1897" spans="1:24" x14ac:dyDescent="0.3">
      <c r="A1897">
        <v>1126</v>
      </c>
      <c r="B1897">
        <v>337</v>
      </c>
      <c r="C1897" t="s">
        <v>35</v>
      </c>
      <c r="D1897" t="s">
        <v>17</v>
      </c>
      <c r="E1897" t="s">
        <v>23</v>
      </c>
      <c r="F1897" t="s">
        <v>37</v>
      </c>
      <c r="G1897">
        <v>8</v>
      </c>
      <c r="H1897">
        <v>5</v>
      </c>
      <c r="I1897">
        <v>12</v>
      </c>
      <c r="J1897">
        <v>39.520000000000003</v>
      </c>
      <c r="K1897">
        <v>229.99</v>
      </c>
      <c r="L1897">
        <v>0.83</v>
      </c>
      <c r="M1897">
        <v>20.46</v>
      </c>
      <c r="N1897">
        <v>0.74</v>
      </c>
      <c r="O1897" t="s">
        <v>20</v>
      </c>
      <c r="P1897" t="s">
        <v>21</v>
      </c>
      <c r="Q1897">
        <f t="shared" si="145"/>
        <v>1</v>
      </c>
      <c r="R1897" s="4">
        <f>RANK(N1897,$N$2:N$2800,0)</f>
        <v>2613</v>
      </c>
      <c r="S1897">
        <f t="shared" si="146"/>
        <v>0.66666666666666663</v>
      </c>
      <c r="T1897" t="str">
        <f t="shared" si="147"/>
        <v>Low</v>
      </c>
      <c r="U1897" t="str" cm="1">
        <f t="array" ref="U1897">_xlfn.LET(_xlpm.roles,_xlfn.UNIQUE(D1897:D4695),_xlpm.kills, SUMIF(D1897:D4695,_xlpm.roles,G1897:G4695),INDEX(_xlpm.roles,MATCH(MAX(_xlpm.kills),_xlpm.kills,0)))</f>
        <v>Sniper</v>
      </c>
      <c r="V1897" t="str">
        <f t="shared" si="148"/>
        <v>Medium Accuracy</v>
      </c>
      <c r="W1897" t="str" cm="1">
        <f t="array" ref="W1897">_xlfn.LET(_xlpm.roles,_xlfn.UNIQUE(D1897:D4695), _xlpm.counts,COUNTIF(D1897:D4695,_xlpm.roles), INDEX(_xlpm.roles,MATCH(MAX(_xlpm.counts),_xlpm.counts,0)))</f>
        <v>Sniper</v>
      </c>
      <c r="X1897" s="2">
        <f t="shared" si="149"/>
        <v>12.599585062240664</v>
      </c>
    </row>
    <row r="1898" spans="1:24" x14ac:dyDescent="0.3">
      <c r="A1898">
        <v>1233</v>
      </c>
      <c r="B1898">
        <v>337</v>
      </c>
      <c r="C1898" t="s">
        <v>39</v>
      </c>
      <c r="D1898" t="s">
        <v>36</v>
      </c>
      <c r="E1898" t="s">
        <v>29</v>
      </c>
      <c r="F1898" t="s">
        <v>26</v>
      </c>
      <c r="G1898">
        <v>12</v>
      </c>
      <c r="H1898">
        <v>5</v>
      </c>
      <c r="I1898">
        <v>12</v>
      </c>
      <c r="J1898">
        <v>42.41</v>
      </c>
      <c r="K1898">
        <v>235.06</v>
      </c>
      <c r="L1898">
        <v>0.45</v>
      </c>
      <c r="M1898">
        <v>33.700000000000003</v>
      </c>
      <c r="N1898">
        <v>0.92</v>
      </c>
      <c r="O1898" t="s">
        <v>20</v>
      </c>
      <c r="P1898" t="s">
        <v>21</v>
      </c>
      <c r="Q1898">
        <f t="shared" si="145"/>
        <v>5</v>
      </c>
      <c r="R1898" s="4">
        <f>RANK(N1898,$N$2:N$2800,0)</f>
        <v>1585</v>
      </c>
      <c r="S1898">
        <f t="shared" si="146"/>
        <v>1</v>
      </c>
      <c r="T1898" t="str">
        <f t="shared" si="147"/>
        <v>Low</v>
      </c>
      <c r="U1898" t="str" cm="1">
        <f t="array" ref="U1898">_xlfn.LET(_xlpm.roles,_xlfn.UNIQUE(D1898:D4696),_xlpm.kills, SUMIF(D1898:D4696,_xlpm.roles,G1898:G4696),INDEX(_xlpm.roles,MATCH(MAX(_xlpm.kills),_xlpm.kills,0)))</f>
        <v>Sniper</v>
      </c>
      <c r="V1898" t="str">
        <f t="shared" si="148"/>
        <v>Medium Accuracy</v>
      </c>
      <c r="W1898" t="str" cm="1">
        <f t="array" ref="W1898">_xlfn.LET(_xlpm.roles,_xlfn.UNIQUE(D1898:D4696), _xlpm.counts,COUNTIF(D1898:D4696,_xlpm.roles), INDEX(_xlpm.roles,MATCH(MAX(_xlpm.counts),_xlpm.counts,0)))</f>
        <v>Sniper</v>
      </c>
      <c r="X1898" s="2">
        <f t="shared" si="149"/>
        <v>13.103594080338267</v>
      </c>
    </row>
    <row r="1899" spans="1:24" x14ac:dyDescent="0.3">
      <c r="A1899">
        <v>1656</v>
      </c>
      <c r="B1899">
        <v>337</v>
      </c>
      <c r="C1899" t="s">
        <v>39</v>
      </c>
      <c r="D1899" t="s">
        <v>17</v>
      </c>
      <c r="E1899" t="s">
        <v>32</v>
      </c>
      <c r="F1899" t="s">
        <v>26</v>
      </c>
      <c r="G1899">
        <v>12</v>
      </c>
      <c r="H1899">
        <v>12</v>
      </c>
      <c r="I1899">
        <v>12</v>
      </c>
      <c r="J1899">
        <v>44.15</v>
      </c>
      <c r="K1899">
        <v>235.4</v>
      </c>
      <c r="L1899">
        <v>0.63</v>
      </c>
      <c r="M1899">
        <v>39.78</v>
      </c>
      <c r="N1899">
        <v>0.89</v>
      </c>
      <c r="O1899" t="s">
        <v>20</v>
      </c>
      <c r="P1899" t="s">
        <v>21</v>
      </c>
      <c r="Q1899">
        <f t="shared" si="145"/>
        <v>12</v>
      </c>
      <c r="R1899" s="4">
        <f>RANK(N1899,$N$2:N$2800,0)</f>
        <v>1815</v>
      </c>
      <c r="S1899">
        <f t="shared" si="146"/>
        <v>1</v>
      </c>
      <c r="T1899" t="str">
        <f t="shared" si="147"/>
        <v>Low</v>
      </c>
      <c r="U1899" t="str" cm="1">
        <f t="array" ref="U1899">_xlfn.LET(_xlpm.roles,_xlfn.UNIQUE(D1899:D4697),_xlpm.kills, SUMIF(D1899:D4697,_xlpm.roles,G1899:G4697),INDEX(_xlpm.roles,MATCH(MAX(_xlpm.kills),_xlpm.kills,0)))</f>
        <v>Sniper</v>
      </c>
      <c r="V1899" t="str">
        <f t="shared" si="148"/>
        <v>Medium Accuracy</v>
      </c>
      <c r="W1899" t="str" cm="1">
        <f t="array" ref="W1899">_xlfn.LET(_xlpm.roles,_xlfn.UNIQUE(D1899:D4697), _xlpm.counts,COUNTIF(D1899:D4697,_xlpm.roles), INDEX(_xlpm.roles,MATCH(MAX(_xlpm.counts),_xlpm.counts,0)))</f>
        <v>Sniper</v>
      </c>
      <c r="X1899" s="2">
        <f t="shared" si="149"/>
        <v>13.103594080338267</v>
      </c>
    </row>
    <row r="1900" spans="1:24" x14ac:dyDescent="0.3">
      <c r="A1900">
        <v>1724</v>
      </c>
      <c r="B1900">
        <v>337</v>
      </c>
      <c r="C1900" t="s">
        <v>16</v>
      </c>
      <c r="D1900" t="s">
        <v>28</v>
      </c>
      <c r="E1900" t="s">
        <v>23</v>
      </c>
      <c r="F1900" t="s">
        <v>19</v>
      </c>
      <c r="G1900">
        <v>13</v>
      </c>
      <c r="H1900">
        <v>8</v>
      </c>
      <c r="I1900">
        <v>16</v>
      </c>
      <c r="J1900">
        <v>48.57</v>
      </c>
      <c r="K1900">
        <v>183.38</v>
      </c>
      <c r="L1900">
        <v>0.81</v>
      </c>
      <c r="M1900">
        <v>34.18</v>
      </c>
      <c r="N1900">
        <v>0.97</v>
      </c>
      <c r="O1900" t="s">
        <v>20</v>
      </c>
      <c r="P1900" t="s">
        <v>21</v>
      </c>
      <c r="Q1900">
        <f t="shared" si="145"/>
        <v>5</v>
      </c>
      <c r="R1900" s="4">
        <f>RANK(N1900,$N$2:N$2800,0)</f>
        <v>1243</v>
      </c>
      <c r="S1900">
        <f t="shared" si="146"/>
        <v>0.8125</v>
      </c>
      <c r="T1900" t="str">
        <f t="shared" si="147"/>
        <v>Low</v>
      </c>
      <c r="U1900" t="str" cm="1">
        <f t="array" ref="U1900">_xlfn.LET(_xlpm.roles,_xlfn.UNIQUE(D1900:D4698),_xlpm.kills, SUMIF(D1900:D4698,_xlpm.roles,G1900:G4698),INDEX(_xlpm.roles,MATCH(MAX(_xlpm.kills),_xlpm.kills,0)))</f>
        <v>Sniper</v>
      </c>
      <c r="V1900" t="str">
        <f t="shared" si="148"/>
        <v>Medium Accuracy</v>
      </c>
      <c r="W1900" t="str" cm="1">
        <f t="array" ref="W1900">_xlfn.LET(_xlpm.roles,_xlfn.UNIQUE(D1900:D4698), _xlpm.counts,COUNTIF(D1900:D4698,_xlpm.roles), INDEX(_xlpm.roles,MATCH(MAX(_xlpm.counts),_xlpm.counts,0)))</f>
        <v>Sniper</v>
      </c>
      <c r="X1900" s="2">
        <f t="shared" si="149"/>
        <v>12.520971302428256</v>
      </c>
    </row>
    <row r="1901" spans="1:24" x14ac:dyDescent="0.3">
      <c r="A1901">
        <v>2077</v>
      </c>
      <c r="B1901">
        <v>337</v>
      </c>
      <c r="C1901" t="s">
        <v>25</v>
      </c>
      <c r="D1901" t="s">
        <v>28</v>
      </c>
      <c r="E1901" t="s">
        <v>33</v>
      </c>
      <c r="F1901" t="s">
        <v>37</v>
      </c>
      <c r="G1901">
        <v>15</v>
      </c>
      <c r="H1901">
        <v>6</v>
      </c>
      <c r="I1901">
        <v>13</v>
      </c>
      <c r="J1901">
        <v>34.409999999999997</v>
      </c>
      <c r="K1901">
        <v>284.77</v>
      </c>
      <c r="L1901">
        <v>0.56999999999999995</v>
      </c>
      <c r="M1901">
        <v>34.5</v>
      </c>
      <c r="N1901">
        <v>0.83</v>
      </c>
      <c r="O1901" t="s">
        <v>20</v>
      </c>
      <c r="P1901" t="s">
        <v>21</v>
      </c>
      <c r="Q1901">
        <f t="shared" si="145"/>
        <v>8</v>
      </c>
      <c r="R1901" s="4">
        <f>RANK(N1901,$N$2:N$2800,0)</f>
        <v>2218</v>
      </c>
      <c r="S1901">
        <f t="shared" si="146"/>
        <v>1.1538461538461537</v>
      </c>
      <c r="T1901" t="str">
        <f t="shared" si="147"/>
        <v>Low</v>
      </c>
      <c r="U1901" t="str" cm="1">
        <f t="array" ref="U1901">_xlfn.LET(_xlpm.roles,_xlfn.UNIQUE(D1901:D4699),_xlpm.kills, SUMIF(D1901:D4699,_xlpm.roles,G1901:G4699),INDEX(_xlpm.roles,MATCH(MAX(_xlpm.kills),_xlpm.kills,0)))</f>
        <v>Sniper</v>
      </c>
      <c r="V1901" t="str">
        <f t="shared" si="148"/>
        <v>Medium Accuracy</v>
      </c>
      <c r="W1901" t="str" cm="1">
        <f t="array" ref="W1901">_xlfn.LET(_xlpm.roles,_xlfn.UNIQUE(D1901:D4699), _xlpm.counts,COUNTIF(D1901:D4699,_xlpm.roles), INDEX(_xlpm.roles,MATCH(MAX(_xlpm.counts),_xlpm.counts,0)))</f>
        <v>Sniper</v>
      </c>
      <c r="X1901" s="2">
        <f t="shared" si="149"/>
        <v>12.809421841541756</v>
      </c>
    </row>
    <row r="1902" spans="1:24" x14ac:dyDescent="0.3">
      <c r="A1902">
        <v>2157</v>
      </c>
      <c r="B1902">
        <v>337</v>
      </c>
      <c r="C1902" t="s">
        <v>16</v>
      </c>
      <c r="D1902" t="s">
        <v>31</v>
      </c>
      <c r="E1902" t="s">
        <v>32</v>
      </c>
      <c r="F1902" t="s">
        <v>19</v>
      </c>
      <c r="G1902">
        <v>14</v>
      </c>
      <c r="H1902">
        <v>3</v>
      </c>
      <c r="I1902">
        <v>9</v>
      </c>
      <c r="J1902">
        <v>42.01</v>
      </c>
      <c r="K1902">
        <v>257.3</v>
      </c>
      <c r="L1902">
        <v>0.49</v>
      </c>
      <c r="M1902">
        <v>38.1</v>
      </c>
      <c r="N1902">
        <v>0.89</v>
      </c>
      <c r="O1902" t="s">
        <v>20</v>
      </c>
      <c r="P1902" t="s">
        <v>21</v>
      </c>
      <c r="Q1902">
        <f t="shared" si="145"/>
        <v>8</v>
      </c>
      <c r="R1902" s="4">
        <f>RANK(N1902,$N$2:N$2800,0)</f>
        <v>1815</v>
      </c>
      <c r="S1902">
        <f t="shared" si="146"/>
        <v>1.5555555555555556</v>
      </c>
      <c r="T1902" t="str">
        <f t="shared" si="147"/>
        <v>Low</v>
      </c>
      <c r="U1902" t="str" cm="1">
        <f t="array" ref="U1902">_xlfn.LET(_xlpm.roles,_xlfn.UNIQUE(D1902:D4700),_xlpm.kills, SUMIF(D1902:D4700,_xlpm.roles,G1902:G4700),INDEX(_xlpm.roles,MATCH(MAX(_xlpm.kills),_xlpm.kills,0)))</f>
        <v>Sniper</v>
      </c>
      <c r="V1902" t="str">
        <f t="shared" si="148"/>
        <v>Medium Accuracy</v>
      </c>
      <c r="W1902" t="str" cm="1">
        <f t="array" ref="W1902">_xlfn.LET(_xlpm.roles,_xlfn.UNIQUE(D1902:D4700), _xlpm.counts,COUNTIF(D1902:D4700,_xlpm.roles), INDEX(_xlpm.roles,MATCH(MAX(_xlpm.counts),_xlpm.counts,0)))</f>
        <v>Sniper</v>
      </c>
      <c r="X1902" s="2">
        <f t="shared" si="149"/>
        <v>12.520971302428256</v>
      </c>
    </row>
    <row r="1903" spans="1:24" x14ac:dyDescent="0.3">
      <c r="A1903">
        <v>987</v>
      </c>
      <c r="B1903">
        <v>338</v>
      </c>
      <c r="C1903" t="s">
        <v>25</v>
      </c>
      <c r="D1903" t="s">
        <v>17</v>
      </c>
      <c r="E1903" t="s">
        <v>23</v>
      </c>
      <c r="F1903" t="s">
        <v>19</v>
      </c>
      <c r="G1903">
        <v>17</v>
      </c>
      <c r="H1903">
        <v>11</v>
      </c>
      <c r="I1903">
        <v>9</v>
      </c>
      <c r="J1903">
        <v>55.34</v>
      </c>
      <c r="K1903">
        <v>215.33</v>
      </c>
      <c r="L1903">
        <v>0.7</v>
      </c>
      <c r="M1903">
        <v>56.67</v>
      </c>
      <c r="N1903">
        <v>1</v>
      </c>
      <c r="O1903" t="s">
        <v>20</v>
      </c>
      <c r="P1903" t="s">
        <v>21</v>
      </c>
      <c r="Q1903">
        <f t="shared" si="145"/>
        <v>19</v>
      </c>
      <c r="R1903" s="4">
        <f>RANK(N1903,$N$2:N$2800,0)</f>
        <v>1</v>
      </c>
      <c r="S1903">
        <f t="shared" si="146"/>
        <v>1.8888888888888888</v>
      </c>
      <c r="T1903" t="str">
        <f t="shared" si="147"/>
        <v>Good</v>
      </c>
      <c r="U1903" t="str" cm="1">
        <f t="array" ref="U1903">_xlfn.LET(_xlpm.roles,_xlfn.UNIQUE(D1903:D4701),_xlpm.kills, SUMIF(D1903:D4701,_xlpm.roles,G1903:G4701),INDEX(_xlpm.roles,MATCH(MAX(_xlpm.kills),_xlpm.kills,0)))</f>
        <v>Sniper</v>
      </c>
      <c r="V1903" t="str">
        <f t="shared" si="148"/>
        <v>High Accuracy</v>
      </c>
      <c r="W1903" t="str" cm="1">
        <f t="array" ref="W1903">_xlfn.LET(_xlpm.roles,_xlfn.UNIQUE(D1903:D4701), _xlpm.counts,COUNTIF(D1903:D4701,_xlpm.roles), INDEX(_xlpm.roles,MATCH(MAX(_xlpm.counts),_xlpm.counts,0)))</f>
        <v>Sniper</v>
      </c>
      <c r="X1903" s="2">
        <f t="shared" si="149"/>
        <v>12.809421841541756</v>
      </c>
    </row>
    <row r="1904" spans="1:24" x14ac:dyDescent="0.3">
      <c r="A1904">
        <v>1514</v>
      </c>
      <c r="B1904">
        <v>338</v>
      </c>
      <c r="C1904" t="s">
        <v>27</v>
      </c>
      <c r="D1904" t="s">
        <v>36</v>
      </c>
      <c r="E1904" t="s">
        <v>23</v>
      </c>
      <c r="F1904" t="s">
        <v>26</v>
      </c>
      <c r="G1904">
        <v>15</v>
      </c>
      <c r="H1904">
        <v>9</v>
      </c>
      <c r="I1904">
        <v>15</v>
      </c>
      <c r="J1904">
        <v>31.91</v>
      </c>
      <c r="K1904">
        <v>202.82</v>
      </c>
      <c r="L1904">
        <v>0.26</v>
      </c>
      <c r="M1904">
        <v>37.35</v>
      </c>
      <c r="N1904">
        <v>0.84</v>
      </c>
      <c r="O1904" t="s">
        <v>20</v>
      </c>
      <c r="P1904" t="s">
        <v>21</v>
      </c>
      <c r="Q1904">
        <f t="shared" si="145"/>
        <v>9</v>
      </c>
      <c r="R1904" s="4">
        <f>RANK(N1904,$N$2:N$2800,0)</f>
        <v>2156</v>
      </c>
      <c r="S1904">
        <f t="shared" si="146"/>
        <v>1</v>
      </c>
      <c r="T1904" t="str">
        <f t="shared" si="147"/>
        <v>Low</v>
      </c>
      <c r="U1904" t="str" cm="1">
        <f t="array" ref="U1904">_xlfn.LET(_xlpm.roles,_xlfn.UNIQUE(D1904:D4702),_xlpm.kills, SUMIF(D1904:D4702,_xlpm.roles,G1904:G4702),INDEX(_xlpm.roles,MATCH(MAX(_xlpm.kills),_xlpm.kills,0)))</f>
        <v>Sniper</v>
      </c>
      <c r="V1904" t="str">
        <f t="shared" si="148"/>
        <v>Medium Accuracy</v>
      </c>
      <c r="W1904" t="str" cm="1">
        <f t="array" ref="W1904">_xlfn.LET(_xlpm.roles,_xlfn.UNIQUE(D1904:D4702), _xlpm.counts,COUNTIF(D1904:D4702,_xlpm.roles), INDEX(_xlpm.roles,MATCH(MAX(_xlpm.counts),_xlpm.counts,0)))</f>
        <v>Sniper</v>
      </c>
      <c r="X1904" s="2">
        <f t="shared" si="149"/>
        <v>13.057077625570777</v>
      </c>
    </row>
    <row r="1905" spans="1:24" x14ac:dyDescent="0.3">
      <c r="A1905">
        <v>1753</v>
      </c>
      <c r="B1905">
        <v>338</v>
      </c>
      <c r="C1905" t="s">
        <v>16</v>
      </c>
      <c r="D1905" t="s">
        <v>22</v>
      </c>
      <c r="E1905" t="s">
        <v>32</v>
      </c>
      <c r="F1905" t="s">
        <v>19</v>
      </c>
      <c r="G1905">
        <v>11</v>
      </c>
      <c r="H1905">
        <v>6</v>
      </c>
      <c r="I1905">
        <v>7</v>
      </c>
      <c r="J1905">
        <v>48.11</v>
      </c>
      <c r="K1905">
        <v>241.96</v>
      </c>
      <c r="L1905">
        <v>0.17</v>
      </c>
      <c r="M1905">
        <v>43.35</v>
      </c>
      <c r="N1905">
        <v>0.96</v>
      </c>
      <c r="O1905" t="s">
        <v>20</v>
      </c>
      <c r="P1905" t="s">
        <v>21</v>
      </c>
      <c r="Q1905">
        <f t="shared" si="145"/>
        <v>10</v>
      </c>
      <c r="R1905" s="4">
        <f>RANK(N1905,$N$2:N$2800,0)</f>
        <v>1301</v>
      </c>
      <c r="S1905">
        <f t="shared" si="146"/>
        <v>1.5714285714285714</v>
      </c>
      <c r="T1905" t="str">
        <f t="shared" si="147"/>
        <v>Low</v>
      </c>
      <c r="U1905" t="str" cm="1">
        <f t="array" ref="U1905">_xlfn.LET(_xlpm.roles,_xlfn.UNIQUE(D1905:D4703),_xlpm.kills, SUMIF(D1905:D4703,_xlpm.roles,G1905:G4703),INDEX(_xlpm.roles,MATCH(MAX(_xlpm.kills),_xlpm.kills,0)))</f>
        <v>Sniper</v>
      </c>
      <c r="V1905" t="str">
        <f t="shared" si="148"/>
        <v>Medium Accuracy</v>
      </c>
      <c r="W1905" t="str" cm="1">
        <f t="array" ref="W1905">_xlfn.LET(_xlpm.roles,_xlfn.UNIQUE(D1905:D4703), _xlpm.counts,COUNTIF(D1905:D4703,_xlpm.roles), INDEX(_xlpm.roles,MATCH(MAX(_xlpm.counts),_xlpm.counts,0)))</f>
        <v>Sniper</v>
      </c>
      <c r="X1905" s="2">
        <f t="shared" si="149"/>
        <v>12.520971302428256</v>
      </c>
    </row>
    <row r="1906" spans="1:24" x14ac:dyDescent="0.3">
      <c r="A1906">
        <v>1823</v>
      </c>
      <c r="B1906">
        <v>338</v>
      </c>
      <c r="C1906" t="s">
        <v>35</v>
      </c>
      <c r="D1906" t="s">
        <v>31</v>
      </c>
      <c r="E1906" t="s">
        <v>33</v>
      </c>
      <c r="F1906" t="s">
        <v>37</v>
      </c>
      <c r="G1906">
        <v>18</v>
      </c>
      <c r="H1906">
        <v>9</v>
      </c>
      <c r="I1906">
        <v>11</v>
      </c>
      <c r="J1906">
        <v>47.28</v>
      </c>
      <c r="K1906">
        <v>176.51</v>
      </c>
      <c r="L1906">
        <v>0.91</v>
      </c>
      <c r="M1906">
        <v>48.54</v>
      </c>
      <c r="N1906">
        <v>1</v>
      </c>
      <c r="O1906" t="s">
        <v>20</v>
      </c>
      <c r="P1906" t="s">
        <v>21</v>
      </c>
      <c r="Q1906">
        <f t="shared" si="145"/>
        <v>16</v>
      </c>
      <c r="R1906" s="4">
        <f>RANK(N1906,$N$2:N$2800,0)</f>
        <v>1</v>
      </c>
      <c r="S1906">
        <f t="shared" si="146"/>
        <v>1.6363636363636365</v>
      </c>
      <c r="T1906" t="str">
        <f t="shared" si="147"/>
        <v>Good</v>
      </c>
      <c r="U1906" t="str" cm="1">
        <f t="array" ref="U1906">_xlfn.LET(_xlpm.roles,_xlfn.UNIQUE(D1906:D4704),_xlpm.kills, SUMIF(D1906:D4704,_xlpm.roles,G1906:G4704),INDEX(_xlpm.roles,MATCH(MAX(_xlpm.kills),_xlpm.kills,0)))</f>
        <v>Sniper</v>
      </c>
      <c r="V1906" t="str">
        <f t="shared" si="148"/>
        <v>Medium Accuracy</v>
      </c>
      <c r="W1906" t="str" cm="1">
        <f t="array" ref="W1906">_xlfn.LET(_xlpm.roles,_xlfn.UNIQUE(D1906:D4704), _xlpm.counts,COUNTIF(D1906:D4704,_xlpm.roles), INDEX(_xlpm.roles,MATCH(MAX(_xlpm.counts),_xlpm.counts,0)))</f>
        <v>Sniper</v>
      </c>
      <c r="X1906" s="2">
        <f t="shared" si="149"/>
        <v>12.599585062240664</v>
      </c>
    </row>
    <row r="1907" spans="1:24" x14ac:dyDescent="0.3">
      <c r="A1907">
        <v>218</v>
      </c>
      <c r="B1907">
        <v>339</v>
      </c>
      <c r="C1907" t="s">
        <v>30</v>
      </c>
      <c r="D1907" t="s">
        <v>31</v>
      </c>
      <c r="E1907" t="s">
        <v>23</v>
      </c>
      <c r="F1907" t="s">
        <v>37</v>
      </c>
      <c r="G1907">
        <v>12</v>
      </c>
      <c r="H1907">
        <v>7</v>
      </c>
      <c r="I1907">
        <v>11</v>
      </c>
      <c r="J1907">
        <v>46.52</v>
      </c>
      <c r="K1907">
        <v>214.82</v>
      </c>
      <c r="L1907">
        <v>0.14000000000000001</v>
      </c>
      <c r="M1907">
        <v>41.86</v>
      </c>
      <c r="N1907">
        <v>1</v>
      </c>
      <c r="O1907" t="s">
        <v>20</v>
      </c>
      <c r="P1907" t="s">
        <v>21</v>
      </c>
      <c r="Q1907">
        <f t="shared" si="145"/>
        <v>8</v>
      </c>
      <c r="R1907" s="4">
        <f>RANK(N1907,$N$2:N$2800,0)</f>
        <v>1</v>
      </c>
      <c r="S1907">
        <f t="shared" si="146"/>
        <v>1.0909090909090908</v>
      </c>
      <c r="T1907" t="str">
        <f t="shared" si="147"/>
        <v>Low</v>
      </c>
      <c r="U1907" t="str" cm="1">
        <f t="array" ref="U1907">_xlfn.LET(_xlpm.roles,_xlfn.UNIQUE(D1907:D4705),_xlpm.kills, SUMIF(D1907:D4705,_xlpm.roles,G1907:G4705),INDEX(_xlpm.roles,MATCH(MAX(_xlpm.kills),_xlpm.kills,0)))</f>
        <v>Sniper</v>
      </c>
      <c r="V1907" t="str">
        <f t="shared" si="148"/>
        <v>Medium Accuracy</v>
      </c>
      <c r="W1907" t="str" cm="1">
        <f t="array" ref="W1907">_xlfn.LET(_xlpm.roles,_xlfn.UNIQUE(D1907:D4705), _xlpm.counts,COUNTIF(D1907:D4705,_xlpm.roles), INDEX(_xlpm.roles,MATCH(MAX(_xlpm.counts),_xlpm.counts,0)))</f>
        <v>Sniper</v>
      </c>
      <c r="X1907" s="2">
        <f t="shared" si="149"/>
        <v>13.135802469135802</v>
      </c>
    </row>
    <row r="1908" spans="1:24" x14ac:dyDescent="0.3">
      <c r="A1908">
        <v>544</v>
      </c>
      <c r="B1908">
        <v>339</v>
      </c>
      <c r="C1908" t="s">
        <v>16</v>
      </c>
      <c r="D1908" t="s">
        <v>17</v>
      </c>
      <c r="E1908" t="s">
        <v>29</v>
      </c>
      <c r="F1908" t="s">
        <v>34</v>
      </c>
      <c r="G1908">
        <v>11</v>
      </c>
      <c r="H1908">
        <v>5</v>
      </c>
      <c r="I1908">
        <v>13</v>
      </c>
      <c r="J1908">
        <v>51.31</v>
      </c>
      <c r="K1908">
        <v>222.37</v>
      </c>
      <c r="L1908">
        <v>0.98</v>
      </c>
      <c r="M1908">
        <v>29.86</v>
      </c>
      <c r="N1908">
        <v>0.77</v>
      </c>
      <c r="O1908" t="s">
        <v>20</v>
      </c>
      <c r="P1908" t="s">
        <v>21</v>
      </c>
      <c r="Q1908">
        <f t="shared" si="145"/>
        <v>3</v>
      </c>
      <c r="R1908" s="4">
        <f>RANK(N1908,$N$2:N$2800,0)</f>
        <v>2511</v>
      </c>
      <c r="S1908">
        <f t="shared" si="146"/>
        <v>0.84615384615384615</v>
      </c>
      <c r="T1908" t="str">
        <f t="shared" si="147"/>
        <v>Low</v>
      </c>
      <c r="U1908" t="str" cm="1">
        <f t="array" ref="U1908">_xlfn.LET(_xlpm.roles,_xlfn.UNIQUE(D1908:D4706),_xlpm.kills, SUMIF(D1908:D4706,_xlpm.roles,G1908:G4706),INDEX(_xlpm.roles,MATCH(MAX(_xlpm.kills),_xlpm.kills,0)))</f>
        <v>Sniper</v>
      </c>
      <c r="V1908" t="str">
        <f t="shared" si="148"/>
        <v>High Accuracy</v>
      </c>
      <c r="W1908" t="str" cm="1">
        <f t="array" ref="W1908">_xlfn.LET(_xlpm.roles,_xlfn.UNIQUE(D1908:D4706), _xlpm.counts,COUNTIF(D1908:D4706,_xlpm.roles), INDEX(_xlpm.roles,MATCH(MAX(_xlpm.counts),_xlpm.counts,0)))</f>
        <v>Sniper</v>
      </c>
      <c r="X1908" s="2">
        <f t="shared" si="149"/>
        <v>12.520971302428256</v>
      </c>
    </row>
    <row r="1909" spans="1:24" x14ac:dyDescent="0.3">
      <c r="A1909">
        <v>617</v>
      </c>
      <c r="B1909">
        <v>339</v>
      </c>
      <c r="C1909" t="s">
        <v>25</v>
      </c>
      <c r="D1909" t="s">
        <v>31</v>
      </c>
      <c r="E1909" t="s">
        <v>29</v>
      </c>
      <c r="F1909" t="s">
        <v>37</v>
      </c>
      <c r="G1909">
        <v>21</v>
      </c>
      <c r="H1909">
        <v>11</v>
      </c>
      <c r="I1909">
        <v>13</v>
      </c>
      <c r="J1909">
        <v>51.45</v>
      </c>
      <c r="K1909">
        <v>213.15</v>
      </c>
      <c r="L1909">
        <v>0.24</v>
      </c>
      <c r="M1909">
        <v>63.32</v>
      </c>
      <c r="N1909">
        <v>1</v>
      </c>
      <c r="O1909" t="s">
        <v>20</v>
      </c>
      <c r="P1909" t="s">
        <v>38</v>
      </c>
      <c r="Q1909">
        <f t="shared" si="145"/>
        <v>19</v>
      </c>
      <c r="R1909" s="4">
        <f>RANK(N1909,$N$2:N$2800,0)</f>
        <v>1</v>
      </c>
      <c r="S1909">
        <f t="shared" si="146"/>
        <v>1.6153846153846154</v>
      </c>
      <c r="T1909" t="str">
        <f t="shared" si="147"/>
        <v>Good</v>
      </c>
      <c r="U1909" t="str" cm="1">
        <f t="array" ref="U1909">_xlfn.LET(_xlpm.roles,_xlfn.UNIQUE(D1909:D4707),_xlpm.kills, SUMIF(D1909:D4707,_xlpm.roles,G1909:G4707),INDEX(_xlpm.roles,MATCH(MAX(_xlpm.kills),_xlpm.kills,0)))</f>
        <v>Sniper</v>
      </c>
      <c r="V1909" t="str">
        <f t="shared" si="148"/>
        <v>High Accuracy</v>
      </c>
      <c r="W1909" t="str" cm="1">
        <f t="array" ref="W1909">_xlfn.LET(_xlpm.roles,_xlfn.UNIQUE(D1909:D4707), _xlpm.counts,COUNTIF(D1909:D4707,_xlpm.roles), INDEX(_xlpm.roles,MATCH(MAX(_xlpm.counts),_xlpm.counts,0)))</f>
        <v>Sniper</v>
      </c>
      <c r="X1909" s="2">
        <f t="shared" si="149"/>
        <v>12.809421841541756</v>
      </c>
    </row>
    <row r="1910" spans="1:24" x14ac:dyDescent="0.3">
      <c r="A1910">
        <v>937</v>
      </c>
      <c r="B1910">
        <v>339</v>
      </c>
      <c r="C1910" t="s">
        <v>25</v>
      </c>
      <c r="D1910" t="s">
        <v>17</v>
      </c>
      <c r="E1910" t="s">
        <v>29</v>
      </c>
      <c r="F1910" t="s">
        <v>37</v>
      </c>
      <c r="G1910">
        <v>13</v>
      </c>
      <c r="H1910">
        <v>9</v>
      </c>
      <c r="I1910">
        <v>6</v>
      </c>
      <c r="J1910">
        <v>41.7</v>
      </c>
      <c r="K1910">
        <v>291.43</v>
      </c>
      <c r="L1910">
        <v>0.6</v>
      </c>
      <c r="M1910">
        <v>43.85</v>
      </c>
      <c r="N1910">
        <v>0.93</v>
      </c>
      <c r="O1910" t="s">
        <v>20</v>
      </c>
      <c r="P1910" t="s">
        <v>21</v>
      </c>
      <c r="Q1910">
        <f t="shared" si="145"/>
        <v>16</v>
      </c>
      <c r="R1910" s="4">
        <f>RANK(N1910,$N$2:N$2800,0)</f>
        <v>1505</v>
      </c>
      <c r="S1910">
        <f t="shared" si="146"/>
        <v>2.1666666666666665</v>
      </c>
      <c r="T1910" t="str">
        <f t="shared" si="147"/>
        <v>Good</v>
      </c>
      <c r="U1910" t="str" cm="1">
        <f t="array" ref="U1910">_xlfn.LET(_xlpm.roles,_xlfn.UNIQUE(D1910:D4708),_xlpm.kills, SUMIF(D1910:D4708,_xlpm.roles,G1910:G4708),INDEX(_xlpm.roles,MATCH(MAX(_xlpm.kills),_xlpm.kills,0)))</f>
        <v>Sniper</v>
      </c>
      <c r="V1910" t="str">
        <f t="shared" si="148"/>
        <v>Medium Accuracy</v>
      </c>
      <c r="W1910" t="str" cm="1">
        <f t="array" ref="W1910">_xlfn.LET(_xlpm.roles,_xlfn.UNIQUE(D1910:D4708), _xlpm.counts,COUNTIF(D1910:D4708,_xlpm.roles), INDEX(_xlpm.roles,MATCH(MAX(_xlpm.counts),_xlpm.counts,0)))</f>
        <v>Sniper</v>
      </c>
      <c r="X1910" s="2">
        <f t="shared" si="149"/>
        <v>12.809421841541756</v>
      </c>
    </row>
    <row r="1911" spans="1:24" x14ac:dyDescent="0.3">
      <c r="A1911">
        <v>1445</v>
      </c>
      <c r="B1911">
        <v>339</v>
      </c>
      <c r="C1911" t="s">
        <v>25</v>
      </c>
      <c r="D1911" t="s">
        <v>36</v>
      </c>
      <c r="E1911" t="s">
        <v>33</v>
      </c>
      <c r="F1911" t="s">
        <v>24</v>
      </c>
      <c r="G1911">
        <v>9</v>
      </c>
      <c r="H1911">
        <v>7</v>
      </c>
      <c r="I1911">
        <v>15</v>
      </c>
      <c r="J1911">
        <v>31.48</v>
      </c>
      <c r="K1911">
        <v>171.83</v>
      </c>
      <c r="L1911">
        <v>0.89</v>
      </c>
      <c r="M1911">
        <v>16.84</v>
      </c>
      <c r="N1911">
        <v>0.73</v>
      </c>
      <c r="O1911" t="s">
        <v>20</v>
      </c>
      <c r="P1911" t="s">
        <v>21</v>
      </c>
      <c r="Q1911">
        <f t="shared" si="145"/>
        <v>1</v>
      </c>
      <c r="R1911" s="4">
        <f>RANK(N1911,$N$2:N$2800,0)</f>
        <v>2642</v>
      </c>
      <c r="S1911">
        <f t="shared" si="146"/>
        <v>0.6</v>
      </c>
      <c r="T1911" t="str">
        <f t="shared" si="147"/>
        <v>Low</v>
      </c>
      <c r="U1911" t="str" cm="1">
        <f t="array" ref="U1911">_xlfn.LET(_xlpm.roles,_xlfn.UNIQUE(D1911:D4709),_xlpm.kills, SUMIF(D1911:D4709,_xlpm.roles,G1911:G4709),INDEX(_xlpm.roles,MATCH(MAX(_xlpm.kills),_xlpm.kills,0)))</f>
        <v>Sniper</v>
      </c>
      <c r="V1911" t="str">
        <f t="shared" si="148"/>
        <v>Medium Accuracy</v>
      </c>
      <c r="W1911" t="str" cm="1">
        <f t="array" ref="W1911">_xlfn.LET(_xlpm.roles,_xlfn.UNIQUE(D1911:D4709), _xlpm.counts,COUNTIF(D1911:D4709,_xlpm.roles), INDEX(_xlpm.roles,MATCH(MAX(_xlpm.counts),_xlpm.counts,0)))</f>
        <v>Sniper</v>
      </c>
      <c r="X1911" s="2">
        <f t="shared" si="149"/>
        <v>12.809421841541756</v>
      </c>
    </row>
    <row r="1912" spans="1:24" x14ac:dyDescent="0.3">
      <c r="A1912">
        <v>1588</v>
      </c>
      <c r="B1912">
        <v>339</v>
      </c>
      <c r="C1912" t="s">
        <v>25</v>
      </c>
      <c r="D1912" t="s">
        <v>28</v>
      </c>
      <c r="E1912" t="s">
        <v>18</v>
      </c>
      <c r="F1912" t="s">
        <v>26</v>
      </c>
      <c r="G1912">
        <v>24</v>
      </c>
      <c r="H1912">
        <v>6</v>
      </c>
      <c r="I1912">
        <v>8</v>
      </c>
      <c r="J1912">
        <v>44.91</v>
      </c>
      <c r="K1912">
        <v>207.93</v>
      </c>
      <c r="L1912">
        <v>0.81</v>
      </c>
      <c r="M1912">
        <v>60.35</v>
      </c>
      <c r="N1912">
        <v>1</v>
      </c>
      <c r="O1912" t="s">
        <v>20</v>
      </c>
      <c r="P1912" t="s">
        <v>38</v>
      </c>
      <c r="Q1912">
        <f t="shared" si="145"/>
        <v>22</v>
      </c>
      <c r="R1912" s="4">
        <f>RANK(N1912,$N$2:N$2800,0)</f>
        <v>1</v>
      </c>
      <c r="S1912">
        <f t="shared" si="146"/>
        <v>3</v>
      </c>
      <c r="T1912" t="str">
        <f t="shared" si="147"/>
        <v>Good</v>
      </c>
      <c r="U1912" t="str" cm="1">
        <f t="array" ref="U1912">_xlfn.LET(_xlpm.roles,_xlfn.UNIQUE(D1912:D4710),_xlpm.kills, SUMIF(D1912:D4710,_xlpm.roles,G1912:G4710),INDEX(_xlpm.roles,MATCH(MAX(_xlpm.kills),_xlpm.kills,0)))</f>
        <v>Sniper</v>
      </c>
      <c r="V1912" t="str">
        <f t="shared" si="148"/>
        <v>Medium Accuracy</v>
      </c>
      <c r="W1912" t="str" cm="1">
        <f t="array" ref="W1912">_xlfn.LET(_xlpm.roles,_xlfn.UNIQUE(D1912:D4710), _xlpm.counts,COUNTIF(D1912:D4710,_xlpm.roles), INDEX(_xlpm.roles,MATCH(MAX(_xlpm.counts),_xlpm.counts,0)))</f>
        <v>Sniper</v>
      </c>
      <c r="X1912" s="2">
        <f t="shared" si="149"/>
        <v>12.809421841541756</v>
      </c>
    </row>
    <row r="1913" spans="1:24" x14ac:dyDescent="0.3">
      <c r="A1913">
        <v>2591</v>
      </c>
      <c r="B1913">
        <v>339</v>
      </c>
      <c r="C1913" t="s">
        <v>16</v>
      </c>
      <c r="D1913" t="s">
        <v>36</v>
      </c>
      <c r="E1913" t="s">
        <v>29</v>
      </c>
      <c r="F1913" t="s">
        <v>34</v>
      </c>
      <c r="G1913">
        <v>17</v>
      </c>
      <c r="H1913">
        <v>9</v>
      </c>
      <c r="I1913">
        <v>13</v>
      </c>
      <c r="J1913">
        <v>42.05</v>
      </c>
      <c r="K1913">
        <v>211.9</v>
      </c>
      <c r="L1913">
        <v>0.01</v>
      </c>
      <c r="M1913">
        <v>50.92</v>
      </c>
      <c r="N1913">
        <v>0.82</v>
      </c>
      <c r="O1913" t="s">
        <v>20</v>
      </c>
      <c r="P1913" t="s">
        <v>21</v>
      </c>
      <c r="Q1913">
        <f t="shared" si="145"/>
        <v>13</v>
      </c>
      <c r="R1913" s="4">
        <f>RANK(N1913,$N$2:N$2800,0)</f>
        <v>2275</v>
      </c>
      <c r="S1913">
        <f t="shared" si="146"/>
        <v>1.3076923076923077</v>
      </c>
      <c r="T1913" t="str">
        <f t="shared" si="147"/>
        <v>Low</v>
      </c>
      <c r="U1913" t="str" cm="1">
        <f t="array" ref="U1913">_xlfn.LET(_xlpm.roles,_xlfn.UNIQUE(D1913:D4711),_xlpm.kills, SUMIF(D1913:D4711,_xlpm.roles,G1913:G4711),INDEX(_xlpm.roles,MATCH(MAX(_xlpm.kills),_xlpm.kills,0)))</f>
        <v>Sniper</v>
      </c>
      <c r="V1913" t="str">
        <f t="shared" si="148"/>
        <v>Medium Accuracy</v>
      </c>
      <c r="W1913" t="str" cm="1">
        <f t="array" ref="W1913">_xlfn.LET(_xlpm.roles,_xlfn.UNIQUE(D1913:D4711), _xlpm.counts,COUNTIF(D1913:D4711,_xlpm.roles), INDEX(_xlpm.roles,MATCH(MAX(_xlpm.counts),_xlpm.counts,0)))</f>
        <v>Sniper</v>
      </c>
      <c r="X1913" s="2">
        <f t="shared" si="149"/>
        <v>12.520971302428256</v>
      </c>
    </row>
    <row r="1914" spans="1:24" x14ac:dyDescent="0.3">
      <c r="A1914">
        <v>50</v>
      </c>
      <c r="B1914">
        <v>340</v>
      </c>
      <c r="C1914" t="s">
        <v>30</v>
      </c>
      <c r="D1914" t="s">
        <v>22</v>
      </c>
      <c r="E1914" t="s">
        <v>29</v>
      </c>
      <c r="F1914" t="s">
        <v>34</v>
      </c>
      <c r="G1914">
        <v>12</v>
      </c>
      <c r="H1914">
        <v>7</v>
      </c>
      <c r="I1914">
        <v>11</v>
      </c>
      <c r="J1914">
        <v>50.38</v>
      </c>
      <c r="K1914">
        <v>280.17</v>
      </c>
      <c r="L1914">
        <v>0.83</v>
      </c>
      <c r="M1914">
        <v>36.89</v>
      </c>
      <c r="N1914">
        <v>0.94</v>
      </c>
      <c r="O1914" t="s">
        <v>20</v>
      </c>
      <c r="P1914" t="s">
        <v>21</v>
      </c>
      <c r="Q1914">
        <f t="shared" si="145"/>
        <v>8</v>
      </c>
      <c r="R1914" s="4">
        <f>RANK(N1914,$N$2:N$2800,0)</f>
        <v>1431</v>
      </c>
      <c r="S1914">
        <f t="shared" si="146"/>
        <v>1.0909090909090908</v>
      </c>
      <c r="T1914" t="str">
        <f t="shared" si="147"/>
        <v>Low</v>
      </c>
      <c r="U1914" t="str" cm="1">
        <f t="array" ref="U1914">_xlfn.LET(_xlpm.roles,_xlfn.UNIQUE(D1914:D4712),_xlpm.kills, SUMIF(D1914:D4712,_xlpm.roles,G1914:G4712),INDEX(_xlpm.roles,MATCH(MAX(_xlpm.kills),_xlpm.kills,0)))</f>
        <v>Sniper</v>
      </c>
      <c r="V1914" t="str">
        <f t="shared" si="148"/>
        <v>High Accuracy</v>
      </c>
      <c r="W1914" t="str" cm="1">
        <f t="array" ref="W1914">_xlfn.LET(_xlpm.roles,_xlfn.UNIQUE(D1914:D4712), _xlpm.counts,COUNTIF(D1914:D4712,_xlpm.roles), INDEX(_xlpm.roles,MATCH(MAX(_xlpm.counts),_xlpm.counts,0)))</f>
        <v>Sniper</v>
      </c>
      <c r="X1914" s="2">
        <f t="shared" si="149"/>
        <v>13.135802469135802</v>
      </c>
    </row>
    <row r="1915" spans="1:24" x14ac:dyDescent="0.3">
      <c r="A1915">
        <v>373</v>
      </c>
      <c r="B1915">
        <v>340</v>
      </c>
      <c r="C1915" t="s">
        <v>30</v>
      </c>
      <c r="D1915" t="s">
        <v>17</v>
      </c>
      <c r="E1915" t="s">
        <v>29</v>
      </c>
      <c r="F1915" t="s">
        <v>34</v>
      </c>
      <c r="G1915">
        <v>23</v>
      </c>
      <c r="H1915">
        <v>8</v>
      </c>
      <c r="I1915">
        <v>7</v>
      </c>
      <c r="J1915">
        <v>39.520000000000003</v>
      </c>
      <c r="K1915">
        <v>256.72000000000003</v>
      </c>
      <c r="L1915">
        <v>0.38</v>
      </c>
      <c r="M1915">
        <v>62.96</v>
      </c>
      <c r="N1915">
        <v>1</v>
      </c>
      <c r="O1915" t="s">
        <v>20</v>
      </c>
      <c r="P1915" t="s">
        <v>38</v>
      </c>
      <c r="Q1915">
        <f t="shared" si="145"/>
        <v>24</v>
      </c>
      <c r="R1915" s="4">
        <f>RANK(N1915,$N$2:N$2800,0)</f>
        <v>1</v>
      </c>
      <c r="S1915">
        <f t="shared" si="146"/>
        <v>3.2857142857142856</v>
      </c>
      <c r="T1915" t="str">
        <f t="shared" si="147"/>
        <v>Good</v>
      </c>
      <c r="U1915" t="str" cm="1">
        <f t="array" ref="U1915">_xlfn.LET(_xlpm.roles,_xlfn.UNIQUE(D1915:D4713),_xlpm.kills, SUMIF(D1915:D4713,_xlpm.roles,G1915:G4713),INDEX(_xlpm.roles,MATCH(MAX(_xlpm.kills),_xlpm.kills,0)))</f>
        <v>Sniper</v>
      </c>
      <c r="V1915" t="str">
        <f t="shared" si="148"/>
        <v>Medium Accuracy</v>
      </c>
      <c r="W1915" t="str" cm="1">
        <f t="array" ref="W1915">_xlfn.LET(_xlpm.roles,_xlfn.UNIQUE(D1915:D4713), _xlpm.counts,COUNTIF(D1915:D4713,_xlpm.roles), INDEX(_xlpm.roles,MATCH(MAX(_xlpm.counts),_xlpm.counts,0)))</f>
        <v>Sniper</v>
      </c>
      <c r="X1915" s="2">
        <f t="shared" si="149"/>
        <v>13.135802469135802</v>
      </c>
    </row>
    <row r="1916" spans="1:24" x14ac:dyDescent="0.3">
      <c r="A1916">
        <v>541</v>
      </c>
      <c r="B1916">
        <v>340</v>
      </c>
      <c r="C1916" t="s">
        <v>30</v>
      </c>
      <c r="D1916" t="s">
        <v>31</v>
      </c>
      <c r="E1916" t="s">
        <v>18</v>
      </c>
      <c r="F1916" t="s">
        <v>24</v>
      </c>
      <c r="G1916">
        <v>14</v>
      </c>
      <c r="H1916">
        <v>9</v>
      </c>
      <c r="I1916">
        <v>9</v>
      </c>
      <c r="J1916">
        <v>47.49</v>
      </c>
      <c r="K1916">
        <v>213.76</v>
      </c>
      <c r="L1916">
        <v>0.83</v>
      </c>
      <c r="M1916">
        <v>43.45</v>
      </c>
      <c r="N1916">
        <v>1</v>
      </c>
      <c r="O1916" t="s">
        <v>20</v>
      </c>
      <c r="P1916" t="s">
        <v>21</v>
      </c>
      <c r="Q1916">
        <f t="shared" si="145"/>
        <v>14</v>
      </c>
      <c r="R1916" s="4">
        <f>RANK(N1916,$N$2:N$2800,0)</f>
        <v>1</v>
      </c>
      <c r="S1916">
        <f t="shared" si="146"/>
        <v>1.5555555555555556</v>
      </c>
      <c r="T1916" t="str">
        <f t="shared" si="147"/>
        <v>Low</v>
      </c>
      <c r="U1916" t="str" cm="1">
        <f t="array" ref="U1916">_xlfn.LET(_xlpm.roles,_xlfn.UNIQUE(D1916:D4714),_xlpm.kills, SUMIF(D1916:D4714,_xlpm.roles,G1916:G4714),INDEX(_xlpm.roles,MATCH(MAX(_xlpm.kills),_xlpm.kills,0)))</f>
        <v>Sniper</v>
      </c>
      <c r="V1916" t="str">
        <f t="shared" si="148"/>
        <v>Medium Accuracy</v>
      </c>
      <c r="W1916" t="str" cm="1">
        <f t="array" ref="W1916">_xlfn.LET(_xlpm.roles,_xlfn.UNIQUE(D1916:D4714), _xlpm.counts,COUNTIF(D1916:D4714,_xlpm.roles), INDEX(_xlpm.roles,MATCH(MAX(_xlpm.counts),_xlpm.counts,0)))</f>
        <v>Sniper</v>
      </c>
      <c r="X1916" s="2">
        <f t="shared" si="149"/>
        <v>13.135802469135802</v>
      </c>
    </row>
    <row r="1917" spans="1:24" x14ac:dyDescent="0.3">
      <c r="A1917">
        <v>583</v>
      </c>
      <c r="B1917">
        <v>340</v>
      </c>
      <c r="C1917" t="s">
        <v>16</v>
      </c>
      <c r="D1917" t="s">
        <v>17</v>
      </c>
      <c r="E1917" t="s">
        <v>32</v>
      </c>
      <c r="F1917" t="s">
        <v>37</v>
      </c>
      <c r="G1917">
        <v>13</v>
      </c>
      <c r="H1917">
        <v>7</v>
      </c>
      <c r="I1917">
        <v>14</v>
      </c>
      <c r="J1917">
        <v>49.04</v>
      </c>
      <c r="K1917">
        <v>273.74</v>
      </c>
      <c r="L1917">
        <v>0.85</v>
      </c>
      <c r="M1917">
        <v>35.020000000000003</v>
      </c>
      <c r="N1917">
        <v>0.88</v>
      </c>
      <c r="O1917" t="s">
        <v>20</v>
      </c>
      <c r="P1917" t="s">
        <v>21</v>
      </c>
      <c r="Q1917">
        <f t="shared" si="145"/>
        <v>6</v>
      </c>
      <c r="R1917" s="4">
        <f>RANK(N1917,$N$2:N$2800,0)</f>
        <v>1894</v>
      </c>
      <c r="S1917">
        <f t="shared" si="146"/>
        <v>0.9285714285714286</v>
      </c>
      <c r="T1917" t="str">
        <f t="shared" si="147"/>
        <v>Low</v>
      </c>
      <c r="U1917" t="str" cm="1">
        <f t="array" ref="U1917">_xlfn.LET(_xlpm.roles,_xlfn.UNIQUE(D1917:D4715),_xlpm.kills, SUMIF(D1917:D4715,_xlpm.roles,G1917:G4715),INDEX(_xlpm.roles,MATCH(MAX(_xlpm.kills),_xlpm.kills,0)))</f>
        <v>Sniper</v>
      </c>
      <c r="V1917" t="str">
        <f t="shared" si="148"/>
        <v>Medium Accuracy</v>
      </c>
      <c r="W1917" t="str" cm="1">
        <f t="array" ref="W1917">_xlfn.LET(_xlpm.roles,_xlfn.UNIQUE(D1917:D4715), _xlpm.counts,COUNTIF(D1917:D4715,_xlpm.roles), INDEX(_xlpm.roles,MATCH(MAX(_xlpm.counts),_xlpm.counts,0)))</f>
        <v>Sniper</v>
      </c>
      <c r="X1917" s="2">
        <f t="shared" si="149"/>
        <v>12.520971302428256</v>
      </c>
    </row>
    <row r="1918" spans="1:24" x14ac:dyDescent="0.3">
      <c r="A1918">
        <v>1028</v>
      </c>
      <c r="B1918">
        <v>340</v>
      </c>
      <c r="C1918" t="s">
        <v>39</v>
      </c>
      <c r="D1918" t="s">
        <v>31</v>
      </c>
      <c r="E1918" t="s">
        <v>18</v>
      </c>
      <c r="F1918" t="s">
        <v>26</v>
      </c>
      <c r="G1918">
        <v>27</v>
      </c>
      <c r="H1918">
        <v>12</v>
      </c>
      <c r="I1918">
        <v>9</v>
      </c>
      <c r="J1918">
        <v>37.53</v>
      </c>
      <c r="K1918">
        <v>173.11</v>
      </c>
      <c r="L1918">
        <v>0</v>
      </c>
      <c r="M1918">
        <v>75.77</v>
      </c>
      <c r="N1918">
        <v>1</v>
      </c>
      <c r="O1918" t="s">
        <v>20</v>
      </c>
      <c r="P1918" t="s">
        <v>38</v>
      </c>
      <c r="Q1918">
        <f t="shared" si="145"/>
        <v>30</v>
      </c>
      <c r="R1918" s="4">
        <f>RANK(N1918,$N$2:N$2800,0)</f>
        <v>1</v>
      </c>
      <c r="S1918">
        <f t="shared" si="146"/>
        <v>3</v>
      </c>
      <c r="T1918" t="str">
        <f t="shared" si="147"/>
        <v>Excellent</v>
      </c>
      <c r="U1918" t="str" cm="1">
        <f t="array" ref="U1918">_xlfn.LET(_xlpm.roles,_xlfn.UNIQUE(D1918:D4716),_xlpm.kills, SUMIF(D1918:D4716,_xlpm.roles,G1918:G4716),INDEX(_xlpm.roles,MATCH(MAX(_xlpm.kills),_xlpm.kills,0)))</f>
        <v>Sniper</v>
      </c>
      <c r="V1918" t="str">
        <f t="shared" si="148"/>
        <v>Medium Accuracy</v>
      </c>
      <c r="W1918" t="str" cm="1">
        <f t="array" ref="W1918">_xlfn.LET(_xlpm.roles,_xlfn.UNIQUE(D1918:D4716), _xlpm.counts,COUNTIF(D1918:D4716,_xlpm.roles), INDEX(_xlpm.roles,MATCH(MAX(_xlpm.counts),_xlpm.counts,0)))</f>
        <v>Sniper</v>
      </c>
      <c r="X1918" s="2">
        <f t="shared" si="149"/>
        <v>13.103594080338267</v>
      </c>
    </row>
    <row r="1919" spans="1:24" x14ac:dyDescent="0.3">
      <c r="A1919">
        <v>1592</v>
      </c>
      <c r="B1919">
        <v>340</v>
      </c>
      <c r="C1919" t="s">
        <v>30</v>
      </c>
      <c r="D1919" t="s">
        <v>28</v>
      </c>
      <c r="E1919" t="s">
        <v>18</v>
      </c>
      <c r="F1919" t="s">
        <v>34</v>
      </c>
      <c r="G1919">
        <v>16</v>
      </c>
      <c r="H1919">
        <v>3</v>
      </c>
      <c r="I1919">
        <v>7</v>
      </c>
      <c r="J1919">
        <v>32.21</v>
      </c>
      <c r="K1919">
        <v>264.89</v>
      </c>
      <c r="L1919">
        <v>7.0000000000000007E-2</v>
      </c>
      <c r="M1919">
        <v>43.41</v>
      </c>
      <c r="N1919">
        <v>0.98</v>
      </c>
      <c r="O1919" t="s">
        <v>20</v>
      </c>
      <c r="P1919" t="s">
        <v>21</v>
      </c>
      <c r="Q1919">
        <f t="shared" si="145"/>
        <v>12</v>
      </c>
      <c r="R1919" s="4">
        <f>RANK(N1919,$N$2:N$2800,0)</f>
        <v>1157</v>
      </c>
      <c r="S1919">
        <f t="shared" si="146"/>
        <v>2.2857142857142856</v>
      </c>
      <c r="T1919" t="str">
        <f t="shared" si="147"/>
        <v>Low</v>
      </c>
      <c r="U1919" t="str" cm="1">
        <f t="array" ref="U1919">_xlfn.LET(_xlpm.roles,_xlfn.UNIQUE(D1919:D4717),_xlpm.kills, SUMIF(D1919:D4717,_xlpm.roles,G1919:G4717),INDEX(_xlpm.roles,MATCH(MAX(_xlpm.kills),_xlpm.kills,0)))</f>
        <v>Sniper</v>
      </c>
      <c r="V1919" t="str">
        <f t="shared" si="148"/>
        <v>Medium Accuracy</v>
      </c>
      <c r="W1919" t="str" cm="1">
        <f t="array" ref="W1919">_xlfn.LET(_xlpm.roles,_xlfn.UNIQUE(D1919:D4717), _xlpm.counts,COUNTIF(D1919:D4717,_xlpm.roles), INDEX(_xlpm.roles,MATCH(MAX(_xlpm.counts),_xlpm.counts,0)))</f>
        <v>Sniper</v>
      </c>
      <c r="X1919" s="2">
        <f t="shared" si="149"/>
        <v>13.135802469135802</v>
      </c>
    </row>
    <row r="1920" spans="1:24" x14ac:dyDescent="0.3">
      <c r="A1920">
        <v>2104</v>
      </c>
      <c r="B1920">
        <v>340</v>
      </c>
      <c r="C1920" t="s">
        <v>30</v>
      </c>
      <c r="D1920" t="s">
        <v>36</v>
      </c>
      <c r="E1920" t="s">
        <v>32</v>
      </c>
      <c r="F1920" t="s">
        <v>24</v>
      </c>
      <c r="G1920">
        <v>13</v>
      </c>
      <c r="H1920">
        <v>7</v>
      </c>
      <c r="I1920">
        <v>10</v>
      </c>
      <c r="J1920">
        <v>50.86</v>
      </c>
      <c r="K1920">
        <v>237.53</v>
      </c>
      <c r="L1920">
        <v>0.33</v>
      </c>
      <c r="M1920">
        <v>45.13</v>
      </c>
      <c r="N1920">
        <v>0.91</v>
      </c>
      <c r="O1920" t="s">
        <v>20</v>
      </c>
      <c r="P1920" t="s">
        <v>21</v>
      </c>
      <c r="Q1920">
        <f t="shared" si="145"/>
        <v>10</v>
      </c>
      <c r="R1920" s="4">
        <f>RANK(N1920,$N$2:N$2800,0)</f>
        <v>1665</v>
      </c>
      <c r="S1920">
        <f t="shared" si="146"/>
        <v>1.3</v>
      </c>
      <c r="T1920" t="str">
        <f t="shared" si="147"/>
        <v>Low</v>
      </c>
      <c r="U1920" t="str" cm="1">
        <f t="array" ref="U1920">_xlfn.LET(_xlpm.roles,_xlfn.UNIQUE(D1920:D4718),_xlpm.kills, SUMIF(D1920:D4718,_xlpm.roles,G1920:G4718),INDEX(_xlpm.roles,MATCH(MAX(_xlpm.kills),_xlpm.kills,0)))</f>
        <v>Sniper</v>
      </c>
      <c r="V1920" t="str">
        <f t="shared" si="148"/>
        <v>High Accuracy</v>
      </c>
      <c r="W1920" t="str" cm="1">
        <f t="array" ref="W1920">_xlfn.LET(_xlpm.roles,_xlfn.UNIQUE(D1920:D4718), _xlpm.counts,COUNTIF(D1920:D4718,_xlpm.roles), INDEX(_xlpm.roles,MATCH(MAX(_xlpm.counts),_xlpm.counts,0)))</f>
        <v>Sniper</v>
      </c>
      <c r="X1920" s="2">
        <f t="shared" si="149"/>
        <v>13.135802469135802</v>
      </c>
    </row>
    <row r="1921" spans="1:24" x14ac:dyDescent="0.3">
      <c r="A1921">
        <v>2150</v>
      </c>
      <c r="B1921">
        <v>340</v>
      </c>
      <c r="C1921" t="s">
        <v>35</v>
      </c>
      <c r="D1921" t="s">
        <v>31</v>
      </c>
      <c r="E1921" t="s">
        <v>32</v>
      </c>
      <c r="F1921" t="s">
        <v>24</v>
      </c>
      <c r="G1921">
        <v>13</v>
      </c>
      <c r="H1921">
        <v>8</v>
      </c>
      <c r="I1921">
        <v>8</v>
      </c>
      <c r="J1921">
        <v>37.79</v>
      </c>
      <c r="K1921">
        <v>233.66</v>
      </c>
      <c r="L1921">
        <v>0.76</v>
      </c>
      <c r="M1921">
        <v>37.29</v>
      </c>
      <c r="N1921">
        <v>1</v>
      </c>
      <c r="O1921" t="s">
        <v>20</v>
      </c>
      <c r="P1921" t="s">
        <v>21</v>
      </c>
      <c r="Q1921">
        <f t="shared" si="145"/>
        <v>13</v>
      </c>
      <c r="R1921" s="4">
        <f>RANK(N1921,$N$2:N$2800,0)</f>
        <v>1</v>
      </c>
      <c r="S1921">
        <f t="shared" si="146"/>
        <v>1.625</v>
      </c>
      <c r="T1921" t="str">
        <f t="shared" si="147"/>
        <v>Low</v>
      </c>
      <c r="U1921" t="str" cm="1">
        <f t="array" ref="U1921">_xlfn.LET(_xlpm.roles,_xlfn.UNIQUE(D1921:D4719),_xlpm.kills, SUMIF(D1921:D4719,_xlpm.roles,G1921:G4719),INDEX(_xlpm.roles,MATCH(MAX(_xlpm.kills),_xlpm.kills,0)))</f>
        <v>Sniper</v>
      </c>
      <c r="V1921" t="str">
        <f t="shared" si="148"/>
        <v>Medium Accuracy</v>
      </c>
      <c r="W1921" t="str" cm="1">
        <f t="array" ref="W1921">_xlfn.LET(_xlpm.roles,_xlfn.UNIQUE(D1921:D4719), _xlpm.counts,COUNTIF(D1921:D4719,_xlpm.roles), INDEX(_xlpm.roles,MATCH(MAX(_xlpm.counts),_xlpm.counts,0)))</f>
        <v>Sniper</v>
      </c>
      <c r="X1921" s="2">
        <f t="shared" si="149"/>
        <v>12.599585062240664</v>
      </c>
    </row>
    <row r="1922" spans="1:24" x14ac:dyDescent="0.3">
      <c r="A1922">
        <v>2211</v>
      </c>
      <c r="B1922">
        <v>340</v>
      </c>
      <c r="C1922" t="s">
        <v>39</v>
      </c>
      <c r="D1922" t="s">
        <v>17</v>
      </c>
      <c r="E1922" t="s">
        <v>23</v>
      </c>
      <c r="F1922" t="s">
        <v>37</v>
      </c>
      <c r="G1922">
        <v>26</v>
      </c>
      <c r="H1922">
        <v>5</v>
      </c>
      <c r="I1922">
        <v>6</v>
      </c>
      <c r="J1922">
        <v>44.79</v>
      </c>
      <c r="K1922">
        <v>246.45</v>
      </c>
      <c r="L1922">
        <v>0.92</v>
      </c>
      <c r="M1922">
        <v>64.19</v>
      </c>
      <c r="N1922">
        <v>1</v>
      </c>
      <c r="O1922" t="s">
        <v>20</v>
      </c>
      <c r="P1922" t="s">
        <v>38</v>
      </c>
      <c r="Q1922">
        <f t="shared" si="145"/>
        <v>25</v>
      </c>
      <c r="R1922" s="4">
        <f>RANK(N1922,$N$2:N$2800,0)</f>
        <v>1</v>
      </c>
      <c r="S1922">
        <f t="shared" si="146"/>
        <v>4.333333333333333</v>
      </c>
      <c r="T1922" t="str">
        <f t="shared" si="147"/>
        <v>Excellent</v>
      </c>
      <c r="U1922" t="str" cm="1">
        <f t="array" ref="U1922">_xlfn.LET(_xlpm.roles,_xlfn.UNIQUE(D1922:D4720),_xlpm.kills, SUMIF(D1922:D4720,_xlpm.roles,G1922:G4720),INDEX(_xlpm.roles,MATCH(MAX(_xlpm.kills),_xlpm.kills,0)))</f>
        <v>Sniper</v>
      </c>
      <c r="V1922" t="str">
        <f t="shared" si="148"/>
        <v>Medium Accuracy</v>
      </c>
      <c r="W1922" t="str" cm="1">
        <f t="array" ref="W1922">_xlfn.LET(_xlpm.roles,_xlfn.UNIQUE(D1922:D4720), _xlpm.counts,COUNTIF(D1922:D4720,_xlpm.roles), INDEX(_xlpm.roles,MATCH(MAX(_xlpm.counts),_xlpm.counts,0)))</f>
        <v>Sniper</v>
      </c>
      <c r="X1922" s="2">
        <f t="shared" si="149"/>
        <v>13.103594080338267</v>
      </c>
    </row>
    <row r="1923" spans="1:24" x14ac:dyDescent="0.3">
      <c r="A1923">
        <v>2733</v>
      </c>
      <c r="B1923">
        <v>340</v>
      </c>
      <c r="C1923" t="s">
        <v>35</v>
      </c>
      <c r="D1923" t="s">
        <v>36</v>
      </c>
      <c r="E1923" t="s">
        <v>29</v>
      </c>
      <c r="F1923" t="s">
        <v>26</v>
      </c>
      <c r="G1923">
        <v>16</v>
      </c>
      <c r="H1923">
        <v>7</v>
      </c>
      <c r="I1923">
        <v>17</v>
      </c>
      <c r="J1923">
        <v>45.45</v>
      </c>
      <c r="K1923">
        <v>237.85</v>
      </c>
      <c r="L1923">
        <v>0.67</v>
      </c>
      <c r="M1923">
        <v>38.020000000000003</v>
      </c>
      <c r="N1923">
        <v>0.84</v>
      </c>
      <c r="O1923" t="s">
        <v>20</v>
      </c>
      <c r="P1923" t="s">
        <v>21</v>
      </c>
      <c r="Q1923">
        <f t="shared" ref="Q1923:Q1986" si="150">G1923+H1923-I1923</f>
        <v>6</v>
      </c>
      <c r="R1923" s="4">
        <f>RANK(N1923,$N$2:N$2800,0)</f>
        <v>2156</v>
      </c>
      <c r="S1923">
        <f t="shared" ref="S1923:S1986" si="151">G1923/I1923</f>
        <v>0.94117647058823528</v>
      </c>
      <c r="T1923" t="str">
        <f t="shared" ref="T1923:T1986" si="152">IF(Q1923&lt;15,"Low",IF(Q1923&lt;25,"Good","Excellent"))</f>
        <v>Low</v>
      </c>
      <c r="U1923" t="str" cm="1">
        <f t="array" ref="U1923">_xlfn.LET(_xlpm.roles,_xlfn.UNIQUE(D1923:D4721),_xlpm.kills, SUMIF(D1923:D4721,_xlpm.roles,G1923:G4721),INDEX(_xlpm.roles,MATCH(MAX(_xlpm.kills),_xlpm.kills,0)))</f>
        <v>Sniper</v>
      </c>
      <c r="V1923" t="str">
        <f t="shared" ref="V1923:V1986" si="153">IF(J1923&gt;=50,"High Accuracy",IF(J1923&gt;=30,"Medium Accuracy","Low Accuracy"))</f>
        <v>Medium Accuracy</v>
      </c>
      <c r="W1923" t="str" cm="1">
        <f t="array" ref="W1923">_xlfn.LET(_xlpm.roles,_xlfn.UNIQUE(D1923:D4721), _xlpm.counts,COUNTIF(D1923:D4721,_xlpm.roles), INDEX(_xlpm.roles,MATCH(MAX(_xlpm.counts),_xlpm.counts,0)))</f>
        <v>Sniper</v>
      </c>
      <c r="X1923" s="2">
        <f t="shared" ref="X1923:X1986" si="154">AVERAGEIF($C$2:$C$2800,C1923,$Q$2:$Q$2800)</f>
        <v>12.599585062240664</v>
      </c>
    </row>
    <row r="1924" spans="1:24" x14ac:dyDescent="0.3">
      <c r="A1924">
        <v>838</v>
      </c>
      <c r="B1924">
        <v>341</v>
      </c>
      <c r="C1924" t="s">
        <v>35</v>
      </c>
      <c r="D1924" t="s">
        <v>17</v>
      </c>
      <c r="E1924" t="s">
        <v>33</v>
      </c>
      <c r="F1924" t="s">
        <v>37</v>
      </c>
      <c r="G1924">
        <v>14</v>
      </c>
      <c r="H1924">
        <v>5</v>
      </c>
      <c r="I1924">
        <v>11</v>
      </c>
      <c r="J1924">
        <v>62.47</v>
      </c>
      <c r="K1924">
        <v>264.36</v>
      </c>
      <c r="L1924">
        <v>0.71</v>
      </c>
      <c r="M1924">
        <v>46.13</v>
      </c>
      <c r="N1924">
        <v>0.86</v>
      </c>
      <c r="O1924" t="s">
        <v>20</v>
      </c>
      <c r="P1924" t="s">
        <v>21</v>
      </c>
      <c r="Q1924">
        <f t="shared" si="150"/>
        <v>8</v>
      </c>
      <c r="R1924" s="4">
        <f>RANK(N1924,$N$2:N$2800,0)</f>
        <v>2040</v>
      </c>
      <c r="S1924">
        <f t="shared" si="151"/>
        <v>1.2727272727272727</v>
      </c>
      <c r="T1924" t="str">
        <f t="shared" si="152"/>
        <v>Low</v>
      </c>
      <c r="U1924" t="str" cm="1">
        <f t="array" ref="U1924">_xlfn.LET(_xlpm.roles,_xlfn.UNIQUE(D1924:D4722),_xlpm.kills, SUMIF(D1924:D4722,_xlpm.roles,G1924:G4722),INDEX(_xlpm.roles,MATCH(MAX(_xlpm.kills),_xlpm.kills,0)))</f>
        <v>Sniper</v>
      </c>
      <c r="V1924" t="str">
        <f t="shared" si="153"/>
        <v>High Accuracy</v>
      </c>
      <c r="W1924" t="str" cm="1">
        <f t="array" ref="W1924">_xlfn.LET(_xlpm.roles,_xlfn.UNIQUE(D1924:D4722), _xlpm.counts,COUNTIF(D1924:D4722,_xlpm.roles), INDEX(_xlpm.roles,MATCH(MAX(_xlpm.counts),_xlpm.counts,0)))</f>
        <v>Sniper</v>
      </c>
      <c r="X1924" s="2">
        <f t="shared" si="154"/>
        <v>12.599585062240664</v>
      </c>
    </row>
    <row r="1925" spans="1:24" x14ac:dyDescent="0.3">
      <c r="A1925">
        <v>1530</v>
      </c>
      <c r="B1925">
        <v>341</v>
      </c>
      <c r="C1925" t="s">
        <v>16</v>
      </c>
      <c r="D1925" t="s">
        <v>22</v>
      </c>
      <c r="E1925" t="s">
        <v>32</v>
      </c>
      <c r="F1925" t="s">
        <v>37</v>
      </c>
      <c r="G1925">
        <v>11</v>
      </c>
      <c r="H1925">
        <v>5</v>
      </c>
      <c r="I1925">
        <v>7</v>
      </c>
      <c r="J1925">
        <v>47.53</v>
      </c>
      <c r="K1925">
        <v>154.55000000000001</v>
      </c>
      <c r="L1925">
        <v>0.94</v>
      </c>
      <c r="M1925">
        <v>34.369999999999997</v>
      </c>
      <c r="N1925">
        <v>0.83</v>
      </c>
      <c r="O1925" t="s">
        <v>20</v>
      </c>
      <c r="P1925" t="s">
        <v>21</v>
      </c>
      <c r="Q1925">
        <f t="shared" si="150"/>
        <v>9</v>
      </c>
      <c r="R1925" s="4">
        <f>RANK(N1925,$N$2:N$2800,0)</f>
        <v>2218</v>
      </c>
      <c r="S1925">
        <f t="shared" si="151"/>
        <v>1.5714285714285714</v>
      </c>
      <c r="T1925" t="str">
        <f t="shared" si="152"/>
        <v>Low</v>
      </c>
      <c r="U1925" t="str" cm="1">
        <f t="array" ref="U1925">_xlfn.LET(_xlpm.roles,_xlfn.UNIQUE(D1925:D4723),_xlpm.kills, SUMIF(D1925:D4723,_xlpm.roles,G1925:G4723),INDEX(_xlpm.roles,MATCH(MAX(_xlpm.kills),_xlpm.kills,0)))</f>
        <v>Sniper</v>
      </c>
      <c r="V1925" t="str">
        <f t="shared" si="153"/>
        <v>Medium Accuracy</v>
      </c>
      <c r="W1925" t="str" cm="1">
        <f t="array" ref="W1925">_xlfn.LET(_xlpm.roles,_xlfn.UNIQUE(D1925:D4723), _xlpm.counts,COUNTIF(D1925:D4723,_xlpm.roles), INDEX(_xlpm.roles,MATCH(MAX(_xlpm.counts),_xlpm.counts,0)))</f>
        <v>Sniper</v>
      </c>
      <c r="X1925" s="2">
        <f t="shared" si="154"/>
        <v>12.520971302428256</v>
      </c>
    </row>
    <row r="1926" spans="1:24" x14ac:dyDescent="0.3">
      <c r="A1926">
        <v>2017</v>
      </c>
      <c r="B1926">
        <v>341</v>
      </c>
      <c r="C1926" t="s">
        <v>30</v>
      </c>
      <c r="D1926" t="s">
        <v>36</v>
      </c>
      <c r="E1926" t="s">
        <v>32</v>
      </c>
      <c r="F1926" t="s">
        <v>24</v>
      </c>
      <c r="G1926">
        <v>12</v>
      </c>
      <c r="H1926">
        <v>11</v>
      </c>
      <c r="I1926">
        <v>13</v>
      </c>
      <c r="J1926">
        <v>45.29</v>
      </c>
      <c r="K1926">
        <v>250.09</v>
      </c>
      <c r="L1926">
        <v>0.22</v>
      </c>
      <c r="M1926">
        <v>42.44</v>
      </c>
      <c r="N1926">
        <v>0.91</v>
      </c>
      <c r="O1926" t="s">
        <v>20</v>
      </c>
      <c r="P1926" t="s">
        <v>21</v>
      </c>
      <c r="Q1926">
        <f t="shared" si="150"/>
        <v>10</v>
      </c>
      <c r="R1926" s="4">
        <f>RANK(N1926,$N$2:N$2800,0)</f>
        <v>1665</v>
      </c>
      <c r="S1926">
        <f t="shared" si="151"/>
        <v>0.92307692307692313</v>
      </c>
      <c r="T1926" t="str">
        <f t="shared" si="152"/>
        <v>Low</v>
      </c>
      <c r="U1926" t="str" cm="1">
        <f t="array" ref="U1926">_xlfn.LET(_xlpm.roles,_xlfn.UNIQUE(D1926:D4724),_xlpm.kills, SUMIF(D1926:D4724,_xlpm.roles,G1926:G4724),INDEX(_xlpm.roles,MATCH(MAX(_xlpm.kills),_xlpm.kills,0)))</f>
        <v>Sniper</v>
      </c>
      <c r="V1926" t="str">
        <f t="shared" si="153"/>
        <v>Medium Accuracy</v>
      </c>
      <c r="W1926" t="str" cm="1">
        <f t="array" ref="W1926">_xlfn.LET(_xlpm.roles,_xlfn.UNIQUE(D1926:D4724), _xlpm.counts,COUNTIF(D1926:D4724,_xlpm.roles), INDEX(_xlpm.roles,MATCH(MAX(_xlpm.counts),_xlpm.counts,0)))</f>
        <v>Sniper</v>
      </c>
      <c r="X1926" s="2">
        <f t="shared" si="154"/>
        <v>13.135802469135802</v>
      </c>
    </row>
    <row r="1927" spans="1:24" x14ac:dyDescent="0.3">
      <c r="A1927">
        <v>2562</v>
      </c>
      <c r="B1927">
        <v>341</v>
      </c>
      <c r="C1927" t="s">
        <v>25</v>
      </c>
      <c r="D1927" t="s">
        <v>31</v>
      </c>
      <c r="E1927" t="s">
        <v>33</v>
      </c>
      <c r="F1927" t="s">
        <v>26</v>
      </c>
      <c r="G1927">
        <v>9</v>
      </c>
      <c r="H1927">
        <v>3</v>
      </c>
      <c r="I1927">
        <v>5</v>
      </c>
      <c r="J1927">
        <v>47.5</v>
      </c>
      <c r="K1927">
        <v>230.41</v>
      </c>
      <c r="L1927">
        <v>0.08</v>
      </c>
      <c r="M1927">
        <v>38.950000000000003</v>
      </c>
      <c r="N1927">
        <v>0.73</v>
      </c>
      <c r="O1927" t="s">
        <v>20</v>
      </c>
      <c r="P1927" t="s">
        <v>21</v>
      </c>
      <c r="Q1927">
        <f t="shared" si="150"/>
        <v>7</v>
      </c>
      <c r="R1927" s="4">
        <f>RANK(N1927,$N$2:N$2800,0)</f>
        <v>2642</v>
      </c>
      <c r="S1927">
        <f t="shared" si="151"/>
        <v>1.8</v>
      </c>
      <c r="T1927" t="str">
        <f t="shared" si="152"/>
        <v>Low</v>
      </c>
      <c r="U1927" t="str" cm="1">
        <f t="array" ref="U1927">_xlfn.LET(_xlpm.roles,_xlfn.UNIQUE(D1927:D4725),_xlpm.kills, SUMIF(D1927:D4725,_xlpm.roles,G1927:G4725),INDEX(_xlpm.roles,MATCH(MAX(_xlpm.kills),_xlpm.kills,0)))</f>
        <v>Sniper</v>
      </c>
      <c r="V1927" t="str">
        <f t="shared" si="153"/>
        <v>Medium Accuracy</v>
      </c>
      <c r="W1927" t="str" cm="1">
        <f t="array" ref="W1927">_xlfn.LET(_xlpm.roles,_xlfn.UNIQUE(D1927:D4725), _xlpm.counts,COUNTIF(D1927:D4725,_xlpm.roles), INDEX(_xlpm.roles,MATCH(MAX(_xlpm.counts),_xlpm.counts,0)))</f>
        <v>Sniper</v>
      </c>
      <c r="X1927" s="2">
        <f t="shared" si="154"/>
        <v>12.809421841541756</v>
      </c>
    </row>
    <row r="1928" spans="1:24" x14ac:dyDescent="0.3">
      <c r="A1928">
        <v>239</v>
      </c>
      <c r="B1928">
        <v>342</v>
      </c>
      <c r="C1928" t="s">
        <v>27</v>
      </c>
      <c r="D1928" t="s">
        <v>28</v>
      </c>
      <c r="E1928" t="s">
        <v>33</v>
      </c>
      <c r="F1928" t="s">
        <v>34</v>
      </c>
      <c r="G1928">
        <v>18</v>
      </c>
      <c r="H1928">
        <v>9</v>
      </c>
      <c r="I1928">
        <v>11</v>
      </c>
      <c r="J1928">
        <v>30.28</v>
      </c>
      <c r="K1928">
        <v>219.03</v>
      </c>
      <c r="L1928">
        <v>0.73</v>
      </c>
      <c r="M1928">
        <v>41.84</v>
      </c>
      <c r="N1928">
        <v>0.92</v>
      </c>
      <c r="O1928" t="s">
        <v>20</v>
      </c>
      <c r="P1928" t="s">
        <v>21</v>
      </c>
      <c r="Q1928">
        <f t="shared" si="150"/>
        <v>16</v>
      </c>
      <c r="R1928" s="4">
        <f>RANK(N1928,$N$2:N$2800,0)</f>
        <v>1585</v>
      </c>
      <c r="S1928">
        <f t="shared" si="151"/>
        <v>1.6363636363636365</v>
      </c>
      <c r="T1928" t="str">
        <f t="shared" si="152"/>
        <v>Good</v>
      </c>
      <c r="U1928" t="str" cm="1">
        <f t="array" ref="U1928">_xlfn.LET(_xlpm.roles,_xlfn.UNIQUE(D1928:D4726),_xlpm.kills, SUMIF(D1928:D4726,_xlpm.roles,G1928:G4726),INDEX(_xlpm.roles,MATCH(MAX(_xlpm.kills),_xlpm.kills,0)))</f>
        <v>Sniper</v>
      </c>
      <c r="V1928" t="str">
        <f t="shared" si="153"/>
        <v>Medium Accuracy</v>
      </c>
      <c r="W1928" t="str" cm="1">
        <f t="array" ref="W1928">_xlfn.LET(_xlpm.roles,_xlfn.UNIQUE(D1928:D4726), _xlpm.counts,COUNTIF(D1928:D4726,_xlpm.roles), INDEX(_xlpm.roles,MATCH(MAX(_xlpm.counts),_xlpm.counts,0)))</f>
        <v>Sniper</v>
      </c>
      <c r="X1928" s="2">
        <f t="shared" si="154"/>
        <v>13.057077625570777</v>
      </c>
    </row>
    <row r="1929" spans="1:24" x14ac:dyDescent="0.3">
      <c r="A1929">
        <v>840</v>
      </c>
      <c r="B1929">
        <v>342</v>
      </c>
      <c r="C1929" t="s">
        <v>35</v>
      </c>
      <c r="D1929" t="s">
        <v>28</v>
      </c>
      <c r="E1929" t="s">
        <v>18</v>
      </c>
      <c r="F1929" t="s">
        <v>24</v>
      </c>
      <c r="G1929">
        <v>10</v>
      </c>
      <c r="H1929">
        <v>11</v>
      </c>
      <c r="I1929">
        <v>13</v>
      </c>
      <c r="J1929">
        <v>30.36</v>
      </c>
      <c r="K1929">
        <v>181.6</v>
      </c>
      <c r="L1929">
        <v>0.66</v>
      </c>
      <c r="M1929">
        <v>26.58</v>
      </c>
      <c r="N1929">
        <v>0.74</v>
      </c>
      <c r="O1929" t="s">
        <v>20</v>
      </c>
      <c r="P1929" t="s">
        <v>21</v>
      </c>
      <c r="Q1929">
        <f t="shared" si="150"/>
        <v>8</v>
      </c>
      <c r="R1929" s="4">
        <f>RANK(N1929,$N$2:N$2800,0)</f>
        <v>2613</v>
      </c>
      <c r="S1929">
        <f t="shared" si="151"/>
        <v>0.76923076923076927</v>
      </c>
      <c r="T1929" t="str">
        <f t="shared" si="152"/>
        <v>Low</v>
      </c>
      <c r="U1929" t="str" cm="1">
        <f t="array" ref="U1929">_xlfn.LET(_xlpm.roles,_xlfn.UNIQUE(D1929:D4727),_xlpm.kills, SUMIF(D1929:D4727,_xlpm.roles,G1929:G4727),INDEX(_xlpm.roles,MATCH(MAX(_xlpm.kills),_xlpm.kills,0)))</f>
        <v>Sniper</v>
      </c>
      <c r="V1929" t="str">
        <f t="shared" si="153"/>
        <v>Medium Accuracy</v>
      </c>
      <c r="W1929" t="str" cm="1">
        <f t="array" ref="W1929">_xlfn.LET(_xlpm.roles,_xlfn.UNIQUE(D1929:D4727), _xlpm.counts,COUNTIF(D1929:D4727,_xlpm.roles), INDEX(_xlpm.roles,MATCH(MAX(_xlpm.counts),_xlpm.counts,0)))</f>
        <v>Sniper</v>
      </c>
      <c r="X1929" s="2">
        <f t="shared" si="154"/>
        <v>12.599585062240664</v>
      </c>
    </row>
    <row r="1930" spans="1:24" x14ac:dyDescent="0.3">
      <c r="A1930">
        <v>2766</v>
      </c>
      <c r="B1930">
        <v>342</v>
      </c>
      <c r="C1930" t="s">
        <v>30</v>
      </c>
      <c r="D1930" t="s">
        <v>28</v>
      </c>
      <c r="E1930" t="s">
        <v>18</v>
      </c>
      <c r="F1930" t="s">
        <v>37</v>
      </c>
      <c r="G1930">
        <v>12</v>
      </c>
      <c r="H1930">
        <v>3</v>
      </c>
      <c r="I1930">
        <v>11</v>
      </c>
      <c r="J1930">
        <v>49</v>
      </c>
      <c r="K1930">
        <v>205.69</v>
      </c>
      <c r="L1930">
        <v>0.28000000000000003</v>
      </c>
      <c r="M1930">
        <v>37.700000000000003</v>
      </c>
      <c r="N1930">
        <v>0.94</v>
      </c>
      <c r="O1930" t="s">
        <v>20</v>
      </c>
      <c r="P1930" t="s">
        <v>21</v>
      </c>
      <c r="Q1930">
        <f t="shared" si="150"/>
        <v>4</v>
      </c>
      <c r="R1930" s="4">
        <f>RANK(N1930,$N$2:N$2800,0)</f>
        <v>1431</v>
      </c>
      <c r="S1930">
        <f t="shared" si="151"/>
        <v>1.0909090909090908</v>
      </c>
      <c r="T1930" t="str">
        <f t="shared" si="152"/>
        <v>Low</v>
      </c>
      <c r="U1930" t="str" cm="1">
        <f t="array" ref="U1930">_xlfn.LET(_xlpm.roles,_xlfn.UNIQUE(D1930:D4728),_xlpm.kills, SUMIF(D1930:D4728,_xlpm.roles,G1930:G4728),INDEX(_xlpm.roles,MATCH(MAX(_xlpm.kills),_xlpm.kills,0)))</f>
        <v>Sniper</v>
      </c>
      <c r="V1930" t="str">
        <f t="shared" si="153"/>
        <v>Medium Accuracy</v>
      </c>
      <c r="W1930" t="str" cm="1">
        <f t="array" ref="W1930">_xlfn.LET(_xlpm.roles,_xlfn.UNIQUE(D1930:D4728), _xlpm.counts,COUNTIF(D1930:D4728,_xlpm.roles), INDEX(_xlpm.roles,MATCH(MAX(_xlpm.counts),_xlpm.counts,0)))</f>
        <v>Sniper</v>
      </c>
      <c r="X1930" s="2">
        <f t="shared" si="154"/>
        <v>13.135802469135802</v>
      </c>
    </row>
    <row r="1931" spans="1:24" x14ac:dyDescent="0.3">
      <c r="A1931">
        <v>1213</v>
      </c>
      <c r="B1931">
        <v>343</v>
      </c>
      <c r="C1931" t="s">
        <v>35</v>
      </c>
      <c r="D1931" t="s">
        <v>28</v>
      </c>
      <c r="E1931" t="s">
        <v>23</v>
      </c>
      <c r="F1931" t="s">
        <v>26</v>
      </c>
      <c r="G1931">
        <v>10</v>
      </c>
      <c r="H1931">
        <v>7</v>
      </c>
      <c r="I1931">
        <v>12</v>
      </c>
      <c r="J1931">
        <v>56.59</v>
      </c>
      <c r="K1931">
        <v>235.49</v>
      </c>
      <c r="L1931">
        <v>0.61</v>
      </c>
      <c r="M1931">
        <v>37.200000000000003</v>
      </c>
      <c r="N1931">
        <v>1</v>
      </c>
      <c r="O1931" t="s">
        <v>20</v>
      </c>
      <c r="P1931" t="s">
        <v>21</v>
      </c>
      <c r="Q1931">
        <f t="shared" si="150"/>
        <v>5</v>
      </c>
      <c r="R1931" s="4">
        <f>RANK(N1931,$N$2:N$2800,0)</f>
        <v>1</v>
      </c>
      <c r="S1931">
        <f t="shared" si="151"/>
        <v>0.83333333333333337</v>
      </c>
      <c r="T1931" t="str">
        <f t="shared" si="152"/>
        <v>Low</v>
      </c>
      <c r="U1931" t="str" cm="1">
        <f t="array" ref="U1931">_xlfn.LET(_xlpm.roles,_xlfn.UNIQUE(D1931:D4729),_xlpm.kills, SUMIF(D1931:D4729,_xlpm.roles,G1931:G4729),INDEX(_xlpm.roles,MATCH(MAX(_xlpm.kills),_xlpm.kills,0)))</f>
        <v>Sniper</v>
      </c>
      <c r="V1931" t="str">
        <f t="shared" si="153"/>
        <v>High Accuracy</v>
      </c>
      <c r="W1931" t="str" cm="1">
        <f t="array" ref="W1931">_xlfn.LET(_xlpm.roles,_xlfn.UNIQUE(D1931:D4729), _xlpm.counts,COUNTIF(D1931:D4729,_xlpm.roles), INDEX(_xlpm.roles,MATCH(MAX(_xlpm.counts),_xlpm.counts,0)))</f>
        <v>Sniper</v>
      </c>
      <c r="X1931" s="2">
        <f t="shared" si="154"/>
        <v>12.599585062240664</v>
      </c>
    </row>
    <row r="1932" spans="1:24" x14ac:dyDescent="0.3">
      <c r="A1932">
        <v>1909</v>
      </c>
      <c r="B1932">
        <v>343</v>
      </c>
      <c r="C1932" t="s">
        <v>27</v>
      </c>
      <c r="D1932" t="s">
        <v>31</v>
      </c>
      <c r="E1932" t="s">
        <v>33</v>
      </c>
      <c r="F1932" t="s">
        <v>24</v>
      </c>
      <c r="G1932">
        <v>18</v>
      </c>
      <c r="H1932">
        <v>16</v>
      </c>
      <c r="I1932">
        <v>11</v>
      </c>
      <c r="J1932">
        <v>47.58</v>
      </c>
      <c r="K1932">
        <v>212.63</v>
      </c>
      <c r="L1932">
        <v>0.06</v>
      </c>
      <c r="M1932">
        <v>64.19</v>
      </c>
      <c r="N1932">
        <v>1</v>
      </c>
      <c r="O1932" t="s">
        <v>20</v>
      </c>
      <c r="P1932" t="s">
        <v>38</v>
      </c>
      <c r="Q1932">
        <f t="shared" si="150"/>
        <v>23</v>
      </c>
      <c r="R1932" s="4">
        <f>RANK(N1932,$N$2:N$2800,0)</f>
        <v>1</v>
      </c>
      <c r="S1932">
        <f t="shared" si="151"/>
        <v>1.6363636363636365</v>
      </c>
      <c r="T1932" t="str">
        <f t="shared" si="152"/>
        <v>Good</v>
      </c>
      <c r="U1932" t="str" cm="1">
        <f t="array" ref="U1932">_xlfn.LET(_xlpm.roles,_xlfn.UNIQUE(D1932:D4730),_xlpm.kills, SUMIF(D1932:D4730,_xlpm.roles,G1932:G4730),INDEX(_xlpm.roles,MATCH(MAX(_xlpm.kills),_xlpm.kills,0)))</f>
        <v>Sniper</v>
      </c>
      <c r="V1932" t="str">
        <f t="shared" si="153"/>
        <v>Medium Accuracy</v>
      </c>
      <c r="W1932" t="str" cm="1">
        <f t="array" ref="W1932">_xlfn.LET(_xlpm.roles,_xlfn.UNIQUE(D1932:D4730), _xlpm.counts,COUNTIF(D1932:D4730,_xlpm.roles), INDEX(_xlpm.roles,MATCH(MAX(_xlpm.counts),_xlpm.counts,0)))</f>
        <v>Sniper</v>
      </c>
      <c r="X1932" s="2">
        <f t="shared" si="154"/>
        <v>13.057077625570777</v>
      </c>
    </row>
    <row r="1933" spans="1:24" x14ac:dyDescent="0.3">
      <c r="A1933">
        <v>2756</v>
      </c>
      <c r="B1933">
        <v>343</v>
      </c>
      <c r="C1933" t="s">
        <v>39</v>
      </c>
      <c r="D1933" t="s">
        <v>22</v>
      </c>
      <c r="E1933" t="s">
        <v>23</v>
      </c>
      <c r="F1933" t="s">
        <v>37</v>
      </c>
      <c r="G1933">
        <v>18</v>
      </c>
      <c r="H1933">
        <v>6</v>
      </c>
      <c r="I1933">
        <v>10</v>
      </c>
      <c r="J1933">
        <v>43.65</v>
      </c>
      <c r="K1933">
        <v>324.11</v>
      </c>
      <c r="L1933">
        <v>0.82</v>
      </c>
      <c r="M1933">
        <v>45.62</v>
      </c>
      <c r="N1933">
        <v>0.93</v>
      </c>
      <c r="O1933" t="s">
        <v>20</v>
      </c>
      <c r="P1933" t="s">
        <v>21</v>
      </c>
      <c r="Q1933">
        <f t="shared" si="150"/>
        <v>14</v>
      </c>
      <c r="R1933" s="4">
        <f>RANK(N1933,$N$2:N$2800,0)</f>
        <v>1505</v>
      </c>
      <c r="S1933">
        <f t="shared" si="151"/>
        <v>1.8</v>
      </c>
      <c r="T1933" t="str">
        <f t="shared" si="152"/>
        <v>Low</v>
      </c>
      <c r="U1933" t="str" cm="1">
        <f t="array" ref="U1933">_xlfn.LET(_xlpm.roles,_xlfn.UNIQUE(D1933:D4731),_xlpm.kills, SUMIF(D1933:D4731,_xlpm.roles,G1933:G4731),INDEX(_xlpm.roles,MATCH(MAX(_xlpm.kills),_xlpm.kills,0)))</f>
        <v>Sniper</v>
      </c>
      <c r="V1933" t="str">
        <f t="shared" si="153"/>
        <v>Medium Accuracy</v>
      </c>
      <c r="W1933" t="str" cm="1">
        <f t="array" ref="W1933">_xlfn.LET(_xlpm.roles,_xlfn.UNIQUE(D1933:D4731), _xlpm.counts,COUNTIF(D1933:D4731,_xlpm.roles), INDEX(_xlpm.roles,MATCH(MAX(_xlpm.counts),_xlpm.counts,0)))</f>
        <v>Sniper</v>
      </c>
      <c r="X1933" s="2">
        <f t="shared" si="154"/>
        <v>13.103594080338267</v>
      </c>
    </row>
    <row r="1934" spans="1:24" x14ac:dyDescent="0.3">
      <c r="A1934">
        <v>269</v>
      </c>
      <c r="B1934">
        <v>344</v>
      </c>
      <c r="C1934" t="s">
        <v>35</v>
      </c>
      <c r="D1934" t="s">
        <v>22</v>
      </c>
      <c r="E1934" t="s">
        <v>29</v>
      </c>
      <c r="F1934" t="s">
        <v>37</v>
      </c>
      <c r="G1934">
        <v>19</v>
      </c>
      <c r="H1934">
        <v>9</v>
      </c>
      <c r="I1934">
        <v>8</v>
      </c>
      <c r="J1934">
        <v>44.76</v>
      </c>
      <c r="K1934">
        <v>203.62</v>
      </c>
      <c r="L1934">
        <v>0.34</v>
      </c>
      <c r="M1934">
        <v>57.98</v>
      </c>
      <c r="N1934">
        <v>1</v>
      </c>
      <c r="O1934" t="s">
        <v>20</v>
      </c>
      <c r="P1934" t="s">
        <v>21</v>
      </c>
      <c r="Q1934">
        <f t="shared" si="150"/>
        <v>20</v>
      </c>
      <c r="R1934" s="4">
        <f>RANK(N1934,$N$2:N$2800,0)</f>
        <v>1</v>
      </c>
      <c r="S1934">
        <f t="shared" si="151"/>
        <v>2.375</v>
      </c>
      <c r="T1934" t="str">
        <f t="shared" si="152"/>
        <v>Good</v>
      </c>
      <c r="U1934" t="str" cm="1">
        <f t="array" ref="U1934">_xlfn.LET(_xlpm.roles,_xlfn.UNIQUE(D1934:D4732),_xlpm.kills, SUMIF(D1934:D4732,_xlpm.roles,G1934:G4732),INDEX(_xlpm.roles,MATCH(MAX(_xlpm.kills),_xlpm.kills,0)))</f>
        <v>Sniper</v>
      </c>
      <c r="V1934" t="str">
        <f t="shared" si="153"/>
        <v>Medium Accuracy</v>
      </c>
      <c r="W1934" t="str" cm="1">
        <f t="array" ref="W1934">_xlfn.LET(_xlpm.roles,_xlfn.UNIQUE(D1934:D4732), _xlpm.counts,COUNTIF(D1934:D4732,_xlpm.roles), INDEX(_xlpm.roles,MATCH(MAX(_xlpm.counts),_xlpm.counts,0)))</f>
        <v>Sniper</v>
      </c>
      <c r="X1934" s="2">
        <f t="shared" si="154"/>
        <v>12.599585062240664</v>
      </c>
    </row>
    <row r="1935" spans="1:24" x14ac:dyDescent="0.3">
      <c r="A1935">
        <v>393</v>
      </c>
      <c r="B1935">
        <v>344</v>
      </c>
      <c r="C1935" t="s">
        <v>35</v>
      </c>
      <c r="D1935" t="s">
        <v>28</v>
      </c>
      <c r="E1935" t="s">
        <v>33</v>
      </c>
      <c r="F1935" t="s">
        <v>19</v>
      </c>
      <c r="G1935">
        <v>16</v>
      </c>
      <c r="H1935">
        <v>8</v>
      </c>
      <c r="I1935">
        <v>9</v>
      </c>
      <c r="J1935">
        <v>30.88</v>
      </c>
      <c r="K1935">
        <v>228.73</v>
      </c>
      <c r="L1935">
        <v>0.06</v>
      </c>
      <c r="M1935">
        <v>45.84</v>
      </c>
      <c r="N1935">
        <v>0.85</v>
      </c>
      <c r="O1935" t="s">
        <v>20</v>
      </c>
      <c r="P1935" t="s">
        <v>21</v>
      </c>
      <c r="Q1935">
        <f t="shared" si="150"/>
        <v>15</v>
      </c>
      <c r="R1935" s="4">
        <f>RANK(N1935,$N$2:N$2800,0)</f>
        <v>2105</v>
      </c>
      <c r="S1935">
        <f t="shared" si="151"/>
        <v>1.7777777777777777</v>
      </c>
      <c r="T1935" t="str">
        <f t="shared" si="152"/>
        <v>Good</v>
      </c>
      <c r="U1935" t="str" cm="1">
        <f t="array" ref="U1935">_xlfn.LET(_xlpm.roles,_xlfn.UNIQUE(D1935:D4733),_xlpm.kills, SUMIF(D1935:D4733,_xlpm.roles,G1935:G4733),INDEX(_xlpm.roles,MATCH(MAX(_xlpm.kills),_xlpm.kills,0)))</f>
        <v>Sniper</v>
      </c>
      <c r="V1935" t="str">
        <f t="shared" si="153"/>
        <v>Medium Accuracy</v>
      </c>
      <c r="W1935" t="str" cm="1">
        <f t="array" ref="W1935">_xlfn.LET(_xlpm.roles,_xlfn.UNIQUE(D1935:D4733), _xlpm.counts,COUNTIF(D1935:D4733,_xlpm.roles), INDEX(_xlpm.roles,MATCH(MAX(_xlpm.counts),_xlpm.counts,0)))</f>
        <v>Sniper</v>
      </c>
      <c r="X1935" s="2">
        <f t="shared" si="154"/>
        <v>12.599585062240664</v>
      </c>
    </row>
    <row r="1936" spans="1:24" x14ac:dyDescent="0.3">
      <c r="A1936">
        <v>793</v>
      </c>
      <c r="B1936">
        <v>344</v>
      </c>
      <c r="C1936" t="s">
        <v>16</v>
      </c>
      <c r="D1936" t="s">
        <v>28</v>
      </c>
      <c r="E1936" t="s">
        <v>32</v>
      </c>
      <c r="F1936" t="s">
        <v>24</v>
      </c>
      <c r="G1936">
        <v>13</v>
      </c>
      <c r="H1936">
        <v>6</v>
      </c>
      <c r="I1936">
        <v>9</v>
      </c>
      <c r="J1936">
        <v>50</v>
      </c>
      <c r="K1936">
        <v>167.64</v>
      </c>
      <c r="L1936">
        <v>0.15</v>
      </c>
      <c r="M1936">
        <v>46.5</v>
      </c>
      <c r="N1936">
        <v>0.9</v>
      </c>
      <c r="O1936" t="s">
        <v>20</v>
      </c>
      <c r="P1936" t="s">
        <v>21</v>
      </c>
      <c r="Q1936">
        <f t="shared" si="150"/>
        <v>10</v>
      </c>
      <c r="R1936" s="4">
        <f>RANK(N1936,$N$2:N$2800,0)</f>
        <v>1738</v>
      </c>
      <c r="S1936">
        <f t="shared" si="151"/>
        <v>1.4444444444444444</v>
      </c>
      <c r="T1936" t="str">
        <f t="shared" si="152"/>
        <v>Low</v>
      </c>
      <c r="U1936" t="str" cm="1">
        <f t="array" ref="U1936">_xlfn.LET(_xlpm.roles,_xlfn.UNIQUE(D1936:D4734),_xlpm.kills, SUMIF(D1936:D4734,_xlpm.roles,G1936:G4734),INDEX(_xlpm.roles,MATCH(MAX(_xlpm.kills),_xlpm.kills,0)))</f>
        <v>Sniper</v>
      </c>
      <c r="V1936" t="str">
        <f t="shared" si="153"/>
        <v>High Accuracy</v>
      </c>
      <c r="W1936" t="str" cm="1">
        <f t="array" ref="W1936">_xlfn.LET(_xlpm.roles,_xlfn.UNIQUE(D1936:D4734), _xlpm.counts,COUNTIF(D1936:D4734,_xlpm.roles), INDEX(_xlpm.roles,MATCH(MAX(_xlpm.counts),_xlpm.counts,0)))</f>
        <v>Sniper</v>
      </c>
      <c r="X1936" s="2">
        <f t="shared" si="154"/>
        <v>12.520971302428256</v>
      </c>
    </row>
    <row r="1937" spans="1:24" x14ac:dyDescent="0.3">
      <c r="A1937">
        <v>1606</v>
      </c>
      <c r="B1937">
        <v>344</v>
      </c>
      <c r="C1937" t="s">
        <v>25</v>
      </c>
      <c r="D1937" t="s">
        <v>28</v>
      </c>
      <c r="E1937" t="s">
        <v>29</v>
      </c>
      <c r="F1937" t="s">
        <v>24</v>
      </c>
      <c r="G1937">
        <v>18</v>
      </c>
      <c r="H1937">
        <v>7</v>
      </c>
      <c r="I1937">
        <v>4</v>
      </c>
      <c r="J1937">
        <v>54.37</v>
      </c>
      <c r="K1937">
        <v>262.61</v>
      </c>
      <c r="L1937">
        <v>0.28000000000000003</v>
      </c>
      <c r="M1937">
        <v>63.39</v>
      </c>
      <c r="N1937">
        <v>1</v>
      </c>
      <c r="O1937" t="s">
        <v>20</v>
      </c>
      <c r="P1937" t="s">
        <v>38</v>
      </c>
      <c r="Q1937">
        <f t="shared" si="150"/>
        <v>21</v>
      </c>
      <c r="R1937" s="4">
        <f>RANK(N1937,$N$2:N$2800,0)</f>
        <v>1</v>
      </c>
      <c r="S1937">
        <f t="shared" si="151"/>
        <v>4.5</v>
      </c>
      <c r="T1937" t="str">
        <f t="shared" si="152"/>
        <v>Good</v>
      </c>
      <c r="U1937" t="str" cm="1">
        <f t="array" ref="U1937">_xlfn.LET(_xlpm.roles,_xlfn.UNIQUE(D1937:D4735),_xlpm.kills, SUMIF(D1937:D4735,_xlpm.roles,G1937:G4735),INDEX(_xlpm.roles,MATCH(MAX(_xlpm.kills),_xlpm.kills,0)))</f>
        <v>Sniper</v>
      </c>
      <c r="V1937" t="str">
        <f t="shared" si="153"/>
        <v>High Accuracy</v>
      </c>
      <c r="W1937" t="str" cm="1">
        <f t="array" ref="W1937">_xlfn.LET(_xlpm.roles,_xlfn.UNIQUE(D1937:D4735), _xlpm.counts,COUNTIF(D1937:D4735,_xlpm.roles), INDEX(_xlpm.roles,MATCH(MAX(_xlpm.counts),_xlpm.counts,0)))</f>
        <v>Sniper</v>
      </c>
      <c r="X1937" s="2">
        <f t="shared" si="154"/>
        <v>12.809421841541756</v>
      </c>
    </row>
    <row r="1938" spans="1:24" x14ac:dyDescent="0.3">
      <c r="A1938">
        <v>2728</v>
      </c>
      <c r="B1938">
        <v>344</v>
      </c>
      <c r="C1938" t="s">
        <v>30</v>
      </c>
      <c r="D1938" t="s">
        <v>28</v>
      </c>
      <c r="E1938" t="s">
        <v>18</v>
      </c>
      <c r="F1938" t="s">
        <v>26</v>
      </c>
      <c r="G1938">
        <v>21</v>
      </c>
      <c r="H1938">
        <v>8</v>
      </c>
      <c r="I1938">
        <v>10</v>
      </c>
      <c r="J1938">
        <v>41.87</v>
      </c>
      <c r="K1938">
        <v>191.88</v>
      </c>
      <c r="L1938">
        <v>0.75</v>
      </c>
      <c r="M1938">
        <v>53.44</v>
      </c>
      <c r="N1938">
        <v>1</v>
      </c>
      <c r="O1938" t="s">
        <v>20</v>
      </c>
      <c r="P1938" t="s">
        <v>21</v>
      </c>
      <c r="Q1938">
        <f t="shared" si="150"/>
        <v>19</v>
      </c>
      <c r="R1938" s="4">
        <f>RANK(N1938,$N$2:N$2800,0)</f>
        <v>1</v>
      </c>
      <c r="S1938">
        <f t="shared" si="151"/>
        <v>2.1</v>
      </c>
      <c r="T1938" t="str">
        <f t="shared" si="152"/>
        <v>Good</v>
      </c>
      <c r="U1938" t="str" cm="1">
        <f t="array" ref="U1938">_xlfn.LET(_xlpm.roles,_xlfn.UNIQUE(D1938:D4736),_xlpm.kills, SUMIF(D1938:D4736,_xlpm.roles,G1938:G4736),INDEX(_xlpm.roles,MATCH(MAX(_xlpm.kills),_xlpm.kills,0)))</f>
        <v>Sniper</v>
      </c>
      <c r="V1938" t="str">
        <f t="shared" si="153"/>
        <v>Medium Accuracy</v>
      </c>
      <c r="W1938" t="str" cm="1">
        <f t="array" ref="W1938">_xlfn.LET(_xlpm.roles,_xlfn.UNIQUE(D1938:D4736), _xlpm.counts,COUNTIF(D1938:D4736,_xlpm.roles), INDEX(_xlpm.roles,MATCH(MAX(_xlpm.counts),_xlpm.counts,0)))</f>
        <v>Sniper</v>
      </c>
      <c r="X1938" s="2">
        <f t="shared" si="154"/>
        <v>13.135802469135802</v>
      </c>
    </row>
    <row r="1939" spans="1:24" x14ac:dyDescent="0.3">
      <c r="A1939">
        <v>2738</v>
      </c>
      <c r="B1939">
        <v>344</v>
      </c>
      <c r="C1939" t="s">
        <v>25</v>
      </c>
      <c r="D1939" t="s">
        <v>22</v>
      </c>
      <c r="E1939" t="s">
        <v>33</v>
      </c>
      <c r="F1939" t="s">
        <v>34</v>
      </c>
      <c r="G1939">
        <v>12</v>
      </c>
      <c r="H1939">
        <v>12</v>
      </c>
      <c r="I1939">
        <v>15</v>
      </c>
      <c r="J1939">
        <v>50.05</v>
      </c>
      <c r="K1939">
        <v>195.47</v>
      </c>
      <c r="L1939">
        <v>0.01</v>
      </c>
      <c r="M1939">
        <v>45.92</v>
      </c>
      <c r="N1939">
        <v>0.82</v>
      </c>
      <c r="O1939" t="s">
        <v>20</v>
      </c>
      <c r="P1939" t="s">
        <v>21</v>
      </c>
      <c r="Q1939">
        <f t="shared" si="150"/>
        <v>9</v>
      </c>
      <c r="R1939" s="4">
        <f>RANK(N1939,$N$2:N$2800,0)</f>
        <v>2275</v>
      </c>
      <c r="S1939">
        <f t="shared" si="151"/>
        <v>0.8</v>
      </c>
      <c r="T1939" t="str">
        <f t="shared" si="152"/>
        <v>Low</v>
      </c>
      <c r="U1939" t="str" cm="1">
        <f t="array" ref="U1939">_xlfn.LET(_xlpm.roles,_xlfn.UNIQUE(D1939:D4737),_xlpm.kills, SUMIF(D1939:D4737,_xlpm.roles,G1939:G4737),INDEX(_xlpm.roles,MATCH(MAX(_xlpm.kills),_xlpm.kills,0)))</f>
        <v>Sniper</v>
      </c>
      <c r="V1939" t="str">
        <f t="shared" si="153"/>
        <v>High Accuracy</v>
      </c>
      <c r="W1939" t="str" cm="1">
        <f t="array" ref="W1939">_xlfn.LET(_xlpm.roles,_xlfn.UNIQUE(D1939:D4737), _xlpm.counts,COUNTIF(D1939:D4737,_xlpm.roles), INDEX(_xlpm.roles,MATCH(MAX(_xlpm.counts),_xlpm.counts,0)))</f>
        <v>Sniper</v>
      </c>
      <c r="X1939" s="2">
        <f t="shared" si="154"/>
        <v>12.809421841541756</v>
      </c>
    </row>
    <row r="1940" spans="1:24" x14ac:dyDescent="0.3">
      <c r="A1940">
        <v>165</v>
      </c>
      <c r="B1940">
        <v>345</v>
      </c>
      <c r="C1940" t="s">
        <v>27</v>
      </c>
      <c r="D1940" t="s">
        <v>22</v>
      </c>
      <c r="E1940" t="s">
        <v>29</v>
      </c>
      <c r="F1940" t="s">
        <v>26</v>
      </c>
      <c r="G1940">
        <v>14</v>
      </c>
      <c r="H1940">
        <v>6</v>
      </c>
      <c r="I1940">
        <v>7</v>
      </c>
      <c r="J1940">
        <v>38.729999999999997</v>
      </c>
      <c r="K1940">
        <v>199.28</v>
      </c>
      <c r="L1940">
        <v>0.27</v>
      </c>
      <c r="M1940">
        <v>43.66</v>
      </c>
      <c r="N1940">
        <v>1</v>
      </c>
      <c r="O1940" t="s">
        <v>20</v>
      </c>
      <c r="P1940" t="s">
        <v>21</v>
      </c>
      <c r="Q1940">
        <f t="shared" si="150"/>
        <v>13</v>
      </c>
      <c r="R1940" s="4">
        <f>RANK(N1940,$N$2:N$2800,0)</f>
        <v>1</v>
      </c>
      <c r="S1940">
        <f t="shared" si="151"/>
        <v>2</v>
      </c>
      <c r="T1940" t="str">
        <f t="shared" si="152"/>
        <v>Low</v>
      </c>
      <c r="U1940" t="str" cm="1">
        <f t="array" ref="U1940">_xlfn.LET(_xlpm.roles,_xlfn.UNIQUE(D1940:D4738),_xlpm.kills, SUMIF(D1940:D4738,_xlpm.roles,G1940:G4738),INDEX(_xlpm.roles,MATCH(MAX(_xlpm.kills),_xlpm.kills,0)))</f>
        <v>Sniper</v>
      </c>
      <c r="V1940" t="str">
        <f t="shared" si="153"/>
        <v>Medium Accuracy</v>
      </c>
      <c r="W1940" t="str" cm="1">
        <f t="array" ref="W1940">_xlfn.LET(_xlpm.roles,_xlfn.UNIQUE(D1940:D4738), _xlpm.counts,COUNTIF(D1940:D4738,_xlpm.roles), INDEX(_xlpm.roles,MATCH(MAX(_xlpm.counts),_xlpm.counts,0)))</f>
        <v>Sniper</v>
      </c>
      <c r="X1940" s="2">
        <f t="shared" si="154"/>
        <v>13.057077625570777</v>
      </c>
    </row>
    <row r="1941" spans="1:24" x14ac:dyDescent="0.3">
      <c r="A1941">
        <v>326</v>
      </c>
      <c r="B1941">
        <v>345</v>
      </c>
      <c r="C1941" t="s">
        <v>35</v>
      </c>
      <c r="D1941" t="s">
        <v>17</v>
      </c>
      <c r="E1941" t="s">
        <v>33</v>
      </c>
      <c r="F1941" t="s">
        <v>34</v>
      </c>
      <c r="G1941">
        <v>17</v>
      </c>
      <c r="H1941">
        <v>5</v>
      </c>
      <c r="I1941">
        <v>13</v>
      </c>
      <c r="J1941">
        <v>47.66</v>
      </c>
      <c r="K1941">
        <v>195.69</v>
      </c>
      <c r="L1941">
        <v>0.28000000000000003</v>
      </c>
      <c r="M1941">
        <v>47.03</v>
      </c>
      <c r="N1941">
        <v>0.92</v>
      </c>
      <c r="O1941" t="s">
        <v>20</v>
      </c>
      <c r="P1941" t="s">
        <v>21</v>
      </c>
      <c r="Q1941">
        <f t="shared" si="150"/>
        <v>9</v>
      </c>
      <c r="R1941" s="4">
        <f>RANK(N1941,$N$2:N$2800,0)</f>
        <v>1585</v>
      </c>
      <c r="S1941">
        <f t="shared" si="151"/>
        <v>1.3076923076923077</v>
      </c>
      <c r="T1941" t="str">
        <f t="shared" si="152"/>
        <v>Low</v>
      </c>
      <c r="U1941" t="str" cm="1">
        <f t="array" ref="U1941">_xlfn.LET(_xlpm.roles,_xlfn.UNIQUE(D1941:D4739),_xlpm.kills, SUMIF(D1941:D4739,_xlpm.roles,G1941:G4739),INDEX(_xlpm.roles,MATCH(MAX(_xlpm.kills),_xlpm.kills,0)))</f>
        <v>Sniper</v>
      </c>
      <c r="V1941" t="str">
        <f t="shared" si="153"/>
        <v>Medium Accuracy</v>
      </c>
      <c r="W1941" t="str" cm="1">
        <f t="array" ref="W1941">_xlfn.LET(_xlpm.roles,_xlfn.UNIQUE(D1941:D4739), _xlpm.counts,COUNTIF(D1941:D4739,_xlpm.roles), INDEX(_xlpm.roles,MATCH(MAX(_xlpm.counts),_xlpm.counts,0)))</f>
        <v>Sniper</v>
      </c>
      <c r="X1941" s="2">
        <f t="shared" si="154"/>
        <v>12.599585062240664</v>
      </c>
    </row>
    <row r="1942" spans="1:24" x14ac:dyDescent="0.3">
      <c r="A1942">
        <v>443</v>
      </c>
      <c r="B1942">
        <v>345</v>
      </c>
      <c r="C1942" t="s">
        <v>35</v>
      </c>
      <c r="D1942" t="s">
        <v>31</v>
      </c>
      <c r="E1942" t="s">
        <v>29</v>
      </c>
      <c r="F1942" t="s">
        <v>37</v>
      </c>
      <c r="G1942">
        <v>8</v>
      </c>
      <c r="H1942">
        <v>8</v>
      </c>
      <c r="I1942">
        <v>13</v>
      </c>
      <c r="J1942">
        <v>52.03</v>
      </c>
      <c r="K1942">
        <v>189.57</v>
      </c>
      <c r="L1942">
        <v>0.21</v>
      </c>
      <c r="M1942">
        <v>34.909999999999997</v>
      </c>
      <c r="N1942">
        <v>0.8</v>
      </c>
      <c r="O1942" t="s">
        <v>20</v>
      </c>
      <c r="P1942" t="s">
        <v>21</v>
      </c>
      <c r="Q1942">
        <f t="shared" si="150"/>
        <v>3</v>
      </c>
      <c r="R1942" s="4">
        <f>RANK(N1942,$N$2:N$2800,0)</f>
        <v>2393</v>
      </c>
      <c r="S1942">
        <f t="shared" si="151"/>
        <v>0.61538461538461542</v>
      </c>
      <c r="T1942" t="str">
        <f t="shared" si="152"/>
        <v>Low</v>
      </c>
      <c r="U1942" t="str" cm="1">
        <f t="array" ref="U1942">_xlfn.LET(_xlpm.roles,_xlfn.UNIQUE(D1942:D4740),_xlpm.kills, SUMIF(D1942:D4740,_xlpm.roles,G1942:G4740),INDEX(_xlpm.roles,MATCH(MAX(_xlpm.kills),_xlpm.kills,0)))</f>
        <v>Sniper</v>
      </c>
      <c r="V1942" t="str">
        <f t="shared" si="153"/>
        <v>High Accuracy</v>
      </c>
      <c r="W1942" t="str" cm="1">
        <f t="array" ref="W1942">_xlfn.LET(_xlpm.roles,_xlfn.UNIQUE(D1942:D4740), _xlpm.counts,COUNTIF(D1942:D4740,_xlpm.roles), INDEX(_xlpm.roles,MATCH(MAX(_xlpm.counts),_xlpm.counts,0)))</f>
        <v>Sniper</v>
      </c>
      <c r="X1942" s="2">
        <f t="shared" si="154"/>
        <v>12.599585062240664</v>
      </c>
    </row>
    <row r="1943" spans="1:24" x14ac:dyDescent="0.3">
      <c r="A1943">
        <v>713</v>
      </c>
      <c r="B1943">
        <v>345</v>
      </c>
      <c r="C1943" t="s">
        <v>25</v>
      </c>
      <c r="D1943" t="s">
        <v>36</v>
      </c>
      <c r="E1943" t="s">
        <v>32</v>
      </c>
      <c r="F1943" t="s">
        <v>24</v>
      </c>
      <c r="G1943">
        <v>10</v>
      </c>
      <c r="H1943">
        <v>4</v>
      </c>
      <c r="I1943">
        <v>13</v>
      </c>
      <c r="J1943">
        <v>39.07</v>
      </c>
      <c r="K1943">
        <v>245.68</v>
      </c>
      <c r="L1943">
        <v>0.33</v>
      </c>
      <c r="M1943">
        <v>27.23</v>
      </c>
      <c r="N1943">
        <v>0.79</v>
      </c>
      <c r="O1943" t="s">
        <v>20</v>
      </c>
      <c r="P1943" t="s">
        <v>21</v>
      </c>
      <c r="Q1943">
        <f t="shared" si="150"/>
        <v>1</v>
      </c>
      <c r="R1943" s="4">
        <f>RANK(N1943,$N$2:N$2800,0)</f>
        <v>2436</v>
      </c>
      <c r="S1943">
        <f t="shared" si="151"/>
        <v>0.76923076923076927</v>
      </c>
      <c r="T1943" t="str">
        <f t="shared" si="152"/>
        <v>Low</v>
      </c>
      <c r="U1943" t="str" cm="1">
        <f t="array" ref="U1943">_xlfn.LET(_xlpm.roles,_xlfn.UNIQUE(D1943:D4741),_xlpm.kills, SUMIF(D1943:D4741,_xlpm.roles,G1943:G4741),INDEX(_xlpm.roles,MATCH(MAX(_xlpm.kills),_xlpm.kills,0)))</f>
        <v>Sniper</v>
      </c>
      <c r="V1943" t="str">
        <f t="shared" si="153"/>
        <v>Medium Accuracy</v>
      </c>
      <c r="W1943" t="str" cm="1">
        <f t="array" ref="W1943">_xlfn.LET(_xlpm.roles,_xlfn.UNIQUE(D1943:D4741), _xlpm.counts,COUNTIF(D1943:D4741,_xlpm.roles), INDEX(_xlpm.roles,MATCH(MAX(_xlpm.counts),_xlpm.counts,0)))</f>
        <v>Sniper</v>
      </c>
      <c r="X1943" s="2">
        <f t="shared" si="154"/>
        <v>12.809421841541756</v>
      </c>
    </row>
    <row r="1944" spans="1:24" x14ac:dyDescent="0.3">
      <c r="A1944">
        <v>1220</v>
      </c>
      <c r="B1944">
        <v>345</v>
      </c>
      <c r="C1944" t="s">
        <v>27</v>
      </c>
      <c r="D1944" t="s">
        <v>28</v>
      </c>
      <c r="E1944" t="s">
        <v>29</v>
      </c>
      <c r="F1944" t="s">
        <v>26</v>
      </c>
      <c r="G1944">
        <v>8</v>
      </c>
      <c r="H1944">
        <v>10</v>
      </c>
      <c r="I1944">
        <v>11</v>
      </c>
      <c r="J1944">
        <v>56.84</v>
      </c>
      <c r="K1944">
        <v>149.56</v>
      </c>
      <c r="L1944">
        <v>0.64</v>
      </c>
      <c r="M1944">
        <v>37.020000000000003</v>
      </c>
      <c r="N1944">
        <v>0.87</v>
      </c>
      <c r="O1944" t="s">
        <v>20</v>
      </c>
      <c r="P1944" t="s">
        <v>21</v>
      </c>
      <c r="Q1944">
        <f t="shared" si="150"/>
        <v>7</v>
      </c>
      <c r="R1944" s="4">
        <f>RANK(N1944,$N$2:N$2800,0)</f>
        <v>1965</v>
      </c>
      <c r="S1944">
        <f t="shared" si="151"/>
        <v>0.72727272727272729</v>
      </c>
      <c r="T1944" t="str">
        <f t="shared" si="152"/>
        <v>Low</v>
      </c>
      <c r="U1944" t="str" cm="1">
        <f t="array" ref="U1944">_xlfn.LET(_xlpm.roles,_xlfn.UNIQUE(D1944:D4742),_xlpm.kills, SUMIF(D1944:D4742,_xlpm.roles,G1944:G4742),INDEX(_xlpm.roles,MATCH(MAX(_xlpm.kills),_xlpm.kills,0)))</f>
        <v>Sniper</v>
      </c>
      <c r="V1944" t="str">
        <f t="shared" si="153"/>
        <v>High Accuracy</v>
      </c>
      <c r="W1944" t="str" cm="1">
        <f t="array" ref="W1944">_xlfn.LET(_xlpm.roles,_xlfn.UNIQUE(D1944:D4742), _xlpm.counts,COUNTIF(D1944:D4742,_xlpm.roles), INDEX(_xlpm.roles,MATCH(MAX(_xlpm.counts),_xlpm.counts,0)))</f>
        <v>Sniper</v>
      </c>
      <c r="X1944" s="2">
        <f t="shared" si="154"/>
        <v>13.057077625570777</v>
      </c>
    </row>
    <row r="1945" spans="1:24" x14ac:dyDescent="0.3">
      <c r="A1945">
        <v>1650</v>
      </c>
      <c r="B1945">
        <v>345</v>
      </c>
      <c r="C1945" t="s">
        <v>16</v>
      </c>
      <c r="D1945" t="s">
        <v>36</v>
      </c>
      <c r="E1945" t="s">
        <v>32</v>
      </c>
      <c r="F1945" t="s">
        <v>19</v>
      </c>
      <c r="G1945">
        <v>7</v>
      </c>
      <c r="H1945">
        <v>7</v>
      </c>
      <c r="I1945">
        <v>17</v>
      </c>
      <c r="J1945">
        <v>42.76</v>
      </c>
      <c r="K1945">
        <v>252.74</v>
      </c>
      <c r="L1945">
        <v>0.88</v>
      </c>
      <c r="M1945">
        <v>16.579999999999998</v>
      </c>
      <c r="N1945">
        <v>0.78</v>
      </c>
      <c r="O1945" t="s">
        <v>20</v>
      </c>
      <c r="P1945" t="s">
        <v>21</v>
      </c>
      <c r="Q1945">
        <f t="shared" si="150"/>
        <v>-3</v>
      </c>
      <c r="R1945" s="4">
        <f>RANK(N1945,$N$2:N$2800,0)</f>
        <v>2469</v>
      </c>
      <c r="S1945">
        <f t="shared" si="151"/>
        <v>0.41176470588235292</v>
      </c>
      <c r="T1945" t="str">
        <f t="shared" si="152"/>
        <v>Low</v>
      </c>
      <c r="U1945" t="str" cm="1">
        <f t="array" ref="U1945">_xlfn.LET(_xlpm.roles,_xlfn.UNIQUE(D1945:D4743),_xlpm.kills, SUMIF(D1945:D4743,_xlpm.roles,G1945:G4743),INDEX(_xlpm.roles,MATCH(MAX(_xlpm.kills),_xlpm.kills,0)))</f>
        <v>Sniper</v>
      </c>
      <c r="V1945" t="str">
        <f t="shared" si="153"/>
        <v>Medium Accuracy</v>
      </c>
      <c r="W1945" t="str" cm="1">
        <f t="array" ref="W1945">_xlfn.LET(_xlpm.roles,_xlfn.UNIQUE(D1945:D4743), _xlpm.counts,COUNTIF(D1945:D4743,_xlpm.roles), INDEX(_xlpm.roles,MATCH(MAX(_xlpm.counts),_xlpm.counts,0)))</f>
        <v>Sniper</v>
      </c>
      <c r="X1945" s="2">
        <f t="shared" si="154"/>
        <v>12.520971302428256</v>
      </c>
    </row>
    <row r="1946" spans="1:24" x14ac:dyDescent="0.3">
      <c r="A1946">
        <v>1850</v>
      </c>
      <c r="B1946">
        <v>345</v>
      </c>
      <c r="C1946" t="s">
        <v>25</v>
      </c>
      <c r="D1946" t="s">
        <v>28</v>
      </c>
      <c r="E1946" t="s">
        <v>18</v>
      </c>
      <c r="F1946" t="s">
        <v>19</v>
      </c>
      <c r="G1946">
        <v>17</v>
      </c>
      <c r="H1946">
        <v>5</v>
      </c>
      <c r="I1946">
        <v>15</v>
      </c>
      <c r="J1946">
        <v>49.44</v>
      </c>
      <c r="K1946">
        <v>212.17</v>
      </c>
      <c r="L1946">
        <v>0.38</v>
      </c>
      <c r="M1946">
        <v>44.92</v>
      </c>
      <c r="N1946">
        <v>0.92</v>
      </c>
      <c r="O1946" t="s">
        <v>20</v>
      </c>
      <c r="P1946" t="s">
        <v>21</v>
      </c>
      <c r="Q1946">
        <f t="shared" si="150"/>
        <v>7</v>
      </c>
      <c r="R1946" s="4">
        <f>RANK(N1946,$N$2:N$2800,0)</f>
        <v>1585</v>
      </c>
      <c r="S1946">
        <f t="shared" si="151"/>
        <v>1.1333333333333333</v>
      </c>
      <c r="T1946" t="str">
        <f t="shared" si="152"/>
        <v>Low</v>
      </c>
      <c r="U1946" t="str" cm="1">
        <f t="array" ref="U1946">_xlfn.LET(_xlpm.roles,_xlfn.UNIQUE(D1946:D4744),_xlpm.kills, SUMIF(D1946:D4744,_xlpm.roles,G1946:G4744),INDEX(_xlpm.roles,MATCH(MAX(_xlpm.kills),_xlpm.kills,0)))</f>
        <v>Sniper</v>
      </c>
      <c r="V1946" t="str">
        <f t="shared" si="153"/>
        <v>Medium Accuracy</v>
      </c>
      <c r="W1946" t="str" cm="1">
        <f t="array" ref="W1946">_xlfn.LET(_xlpm.roles,_xlfn.UNIQUE(D1946:D4744), _xlpm.counts,COUNTIF(D1946:D4744,_xlpm.roles), INDEX(_xlpm.roles,MATCH(MAX(_xlpm.counts),_xlpm.counts,0)))</f>
        <v>Sniper</v>
      </c>
      <c r="X1946" s="2">
        <f t="shared" si="154"/>
        <v>12.809421841541756</v>
      </c>
    </row>
    <row r="1947" spans="1:24" x14ac:dyDescent="0.3">
      <c r="A1947">
        <v>1992</v>
      </c>
      <c r="B1947">
        <v>345</v>
      </c>
      <c r="C1947" t="s">
        <v>35</v>
      </c>
      <c r="D1947" t="s">
        <v>28</v>
      </c>
      <c r="E1947" t="s">
        <v>18</v>
      </c>
      <c r="F1947" t="s">
        <v>26</v>
      </c>
      <c r="G1947">
        <v>8</v>
      </c>
      <c r="H1947">
        <v>7</v>
      </c>
      <c r="I1947">
        <v>11</v>
      </c>
      <c r="J1947">
        <v>46.67</v>
      </c>
      <c r="K1947">
        <v>222.5</v>
      </c>
      <c r="L1947">
        <v>0.28999999999999998</v>
      </c>
      <c r="M1947">
        <v>32.44</v>
      </c>
      <c r="N1947">
        <v>0.75</v>
      </c>
      <c r="O1947" t="s">
        <v>20</v>
      </c>
      <c r="P1947" t="s">
        <v>21</v>
      </c>
      <c r="Q1947">
        <f t="shared" si="150"/>
        <v>4</v>
      </c>
      <c r="R1947" s="4">
        <f>RANK(N1947,$N$2:N$2800,0)</f>
        <v>2586</v>
      </c>
      <c r="S1947">
        <f t="shared" si="151"/>
        <v>0.72727272727272729</v>
      </c>
      <c r="T1947" t="str">
        <f t="shared" si="152"/>
        <v>Low</v>
      </c>
      <c r="U1947" t="str" cm="1">
        <f t="array" ref="U1947">_xlfn.LET(_xlpm.roles,_xlfn.UNIQUE(D1947:D4745),_xlpm.kills, SUMIF(D1947:D4745,_xlpm.roles,G1947:G4745),INDEX(_xlpm.roles,MATCH(MAX(_xlpm.kills),_xlpm.kills,0)))</f>
        <v>Sniper</v>
      </c>
      <c r="V1947" t="str">
        <f t="shared" si="153"/>
        <v>Medium Accuracy</v>
      </c>
      <c r="W1947" t="str" cm="1">
        <f t="array" ref="W1947">_xlfn.LET(_xlpm.roles,_xlfn.UNIQUE(D1947:D4745), _xlpm.counts,COUNTIF(D1947:D4745,_xlpm.roles), INDEX(_xlpm.roles,MATCH(MAX(_xlpm.counts),_xlpm.counts,0)))</f>
        <v>Sniper</v>
      </c>
      <c r="X1947" s="2">
        <f t="shared" si="154"/>
        <v>12.599585062240664</v>
      </c>
    </row>
    <row r="1948" spans="1:24" x14ac:dyDescent="0.3">
      <c r="A1948">
        <v>2340</v>
      </c>
      <c r="B1948">
        <v>345</v>
      </c>
      <c r="C1948" t="s">
        <v>35</v>
      </c>
      <c r="D1948" t="s">
        <v>28</v>
      </c>
      <c r="E1948" t="s">
        <v>29</v>
      </c>
      <c r="F1948" t="s">
        <v>34</v>
      </c>
      <c r="G1948">
        <v>16</v>
      </c>
      <c r="H1948">
        <v>6</v>
      </c>
      <c r="I1948">
        <v>11</v>
      </c>
      <c r="J1948">
        <v>42.24</v>
      </c>
      <c r="K1948">
        <v>230.25</v>
      </c>
      <c r="L1948">
        <v>0.61</v>
      </c>
      <c r="M1948">
        <v>42.02</v>
      </c>
      <c r="N1948">
        <v>0.8</v>
      </c>
      <c r="O1948" t="s">
        <v>20</v>
      </c>
      <c r="P1948" t="s">
        <v>21</v>
      </c>
      <c r="Q1948">
        <f t="shared" si="150"/>
        <v>11</v>
      </c>
      <c r="R1948" s="4">
        <f>RANK(N1948,$N$2:N$2800,0)</f>
        <v>2393</v>
      </c>
      <c r="S1948">
        <f t="shared" si="151"/>
        <v>1.4545454545454546</v>
      </c>
      <c r="T1948" t="str">
        <f t="shared" si="152"/>
        <v>Low</v>
      </c>
      <c r="U1948" t="str" cm="1">
        <f t="array" ref="U1948">_xlfn.LET(_xlpm.roles,_xlfn.UNIQUE(D1948:D4746),_xlpm.kills, SUMIF(D1948:D4746,_xlpm.roles,G1948:G4746),INDEX(_xlpm.roles,MATCH(MAX(_xlpm.kills),_xlpm.kills,0)))</f>
        <v>Sniper</v>
      </c>
      <c r="V1948" t="str">
        <f t="shared" si="153"/>
        <v>Medium Accuracy</v>
      </c>
      <c r="W1948" t="str" cm="1">
        <f t="array" ref="W1948">_xlfn.LET(_xlpm.roles,_xlfn.UNIQUE(D1948:D4746), _xlpm.counts,COUNTIF(D1948:D4746,_xlpm.roles), INDEX(_xlpm.roles,MATCH(MAX(_xlpm.counts),_xlpm.counts,0)))</f>
        <v>Sniper</v>
      </c>
      <c r="X1948" s="2">
        <f t="shared" si="154"/>
        <v>12.599585062240664</v>
      </c>
    </row>
    <row r="1949" spans="1:24" x14ac:dyDescent="0.3">
      <c r="A1949">
        <v>2363</v>
      </c>
      <c r="B1949">
        <v>345</v>
      </c>
      <c r="C1949" t="s">
        <v>25</v>
      </c>
      <c r="D1949" t="s">
        <v>36</v>
      </c>
      <c r="E1949" t="s">
        <v>29</v>
      </c>
      <c r="F1949" t="s">
        <v>37</v>
      </c>
      <c r="G1949">
        <v>8</v>
      </c>
      <c r="H1949">
        <v>12</v>
      </c>
      <c r="I1949">
        <v>10</v>
      </c>
      <c r="J1949">
        <v>48.19</v>
      </c>
      <c r="K1949">
        <v>168.28</v>
      </c>
      <c r="L1949">
        <v>0.66</v>
      </c>
      <c r="M1949">
        <v>35.49</v>
      </c>
      <c r="N1949">
        <v>0.91</v>
      </c>
      <c r="O1949" t="s">
        <v>20</v>
      </c>
      <c r="P1949" t="s">
        <v>21</v>
      </c>
      <c r="Q1949">
        <f t="shared" si="150"/>
        <v>10</v>
      </c>
      <c r="R1949" s="4">
        <f>RANK(N1949,$N$2:N$2800,0)</f>
        <v>1665</v>
      </c>
      <c r="S1949">
        <f t="shared" si="151"/>
        <v>0.8</v>
      </c>
      <c r="T1949" t="str">
        <f t="shared" si="152"/>
        <v>Low</v>
      </c>
      <c r="U1949" t="str" cm="1">
        <f t="array" ref="U1949">_xlfn.LET(_xlpm.roles,_xlfn.UNIQUE(D1949:D4747),_xlpm.kills, SUMIF(D1949:D4747,_xlpm.roles,G1949:G4747),INDEX(_xlpm.roles,MATCH(MAX(_xlpm.kills),_xlpm.kills,0)))</f>
        <v>Sniper</v>
      </c>
      <c r="V1949" t="str">
        <f t="shared" si="153"/>
        <v>Medium Accuracy</v>
      </c>
      <c r="W1949" t="str" cm="1">
        <f t="array" ref="W1949">_xlfn.LET(_xlpm.roles,_xlfn.UNIQUE(D1949:D4747), _xlpm.counts,COUNTIF(D1949:D4747,_xlpm.roles), INDEX(_xlpm.roles,MATCH(MAX(_xlpm.counts),_xlpm.counts,0)))</f>
        <v>Sniper</v>
      </c>
      <c r="X1949" s="2">
        <f t="shared" si="154"/>
        <v>12.809421841541756</v>
      </c>
    </row>
    <row r="1950" spans="1:24" x14ac:dyDescent="0.3">
      <c r="A1950">
        <v>2576</v>
      </c>
      <c r="B1950">
        <v>345</v>
      </c>
      <c r="C1950" t="s">
        <v>16</v>
      </c>
      <c r="D1950" t="s">
        <v>17</v>
      </c>
      <c r="E1950" t="s">
        <v>18</v>
      </c>
      <c r="F1950" t="s">
        <v>26</v>
      </c>
      <c r="G1950">
        <v>10</v>
      </c>
      <c r="H1950">
        <v>10</v>
      </c>
      <c r="I1950">
        <v>8</v>
      </c>
      <c r="J1950">
        <v>47.4</v>
      </c>
      <c r="K1950">
        <v>215.22</v>
      </c>
      <c r="L1950">
        <v>0.92</v>
      </c>
      <c r="M1950">
        <v>36.5</v>
      </c>
      <c r="N1950">
        <v>0.91</v>
      </c>
      <c r="O1950" t="s">
        <v>20</v>
      </c>
      <c r="P1950" t="s">
        <v>21</v>
      </c>
      <c r="Q1950">
        <f t="shared" si="150"/>
        <v>12</v>
      </c>
      <c r="R1950" s="4">
        <f>RANK(N1950,$N$2:N$2800,0)</f>
        <v>1665</v>
      </c>
      <c r="S1950">
        <f t="shared" si="151"/>
        <v>1.25</v>
      </c>
      <c r="T1950" t="str">
        <f t="shared" si="152"/>
        <v>Low</v>
      </c>
      <c r="U1950" t="str" cm="1">
        <f t="array" ref="U1950">_xlfn.LET(_xlpm.roles,_xlfn.UNIQUE(D1950:D4748),_xlpm.kills, SUMIF(D1950:D4748,_xlpm.roles,G1950:G4748),INDEX(_xlpm.roles,MATCH(MAX(_xlpm.kills),_xlpm.kills,0)))</f>
        <v>Sniper</v>
      </c>
      <c r="V1950" t="str">
        <f t="shared" si="153"/>
        <v>Medium Accuracy</v>
      </c>
      <c r="W1950" t="str" cm="1">
        <f t="array" ref="W1950">_xlfn.LET(_xlpm.roles,_xlfn.UNIQUE(D1950:D4748), _xlpm.counts,COUNTIF(D1950:D4748,_xlpm.roles), INDEX(_xlpm.roles,MATCH(MAX(_xlpm.counts),_xlpm.counts,0)))</f>
        <v>Sniper</v>
      </c>
      <c r="X1950" s="2">
        <f t="shared" si="154"/>
        <v>12.520971302428256</v>
      </c>
    </row>
    <row r="1951" spans="1:24" x14ac:dyDescent="0.3">
      <c r="A1951">
        <v>2734</v>
      </c>
      <c r="B1951">
        <v>345</v>
      </c>
      <c r="C1951" t="s">
        <v>35</v>
      </c>
      <c r="D1951" t="s">
        <v>36</v>
      </c>
      <c r="E1951" t="s">
        <v>33</v>
      </c>
      <c r="F1951" t="s">
        <v>19</v>
      </c>
      <c r="G1951">
        <v>8</v>
      </c>
      <c r="H1951">
        <v>9</v>
      </c>
      <c r="I1951">
        <v>7</v>
      </c>
      <c r="J1951">
        <v>42.13</v>
      </c>
      <c r="K1951">
        <v>262.82</v>
      </c>
      <c r="L1951">
        <v>0.13</v>
      </c>
      <c r="M1951">
        <v>37.770000000000003</v>
      </c>
      <c r="N1951">
        <v>0.72</v>
      </c>
      <c r="O1951" t="s">
        <v>20</v>
      </c>
      <c r="P1951" t="s">
        <v>21</v>
      </c>
      <c r="Q1951">
        <f t="shared" si="150"/>
        <v>10</v>
      </c>
      <c r="R1951" s="4">
        <f>RANK(N1951,$N$2:N$2800,0)</f>
        <v>2663</v>
      </c>
      <c r="S1951">
        <f t="shared" si="151"/>
        <v>1.1428571428571428</v>
      </c>
      <c r="T1951" t="str">
        <f t="shared" si="152"/>
        <v>Low</v>
      </c>
      <c r="U1951" t="str" cm="1">
        <f t="array" ref="U1951">_xlfn.LET(_xlpm.roles,_xlfn.UNIQUE(D1951:D4749),_xlpm.kills, SUMIF(D1951:D4749,_xlpm.roles,G1951:G4749),INDEX(_xlpm.roles,MATCH(MAX(_xlpm.kills),_xlpm.kills,0)))</f>
        <v>Sniper</v>
      </c>
      <c r="V1951" t="str">
        <f t="shared" si="153"/>
        <v>Medium Accuracy</v>
      </c>
      <c r="W1951" t="str" cm="1">
        <f t="array" ref="W1951">_xlfn.LET(_xlpm.roles,_xlfn.UNIQUE(D1951:D4749), _xlpm.counts,COUNTIF(D1951:D4749,_xlpm.roles), INDEX(_xlpm.roles,MATCH(MAX(_xlpm.counts),_xlpm.counts,0)))</f>
        <v>Sniper</v>
      </c>
      <c r="X1951" s="2">
        <f t="shared" si="154"/>
        <v>12.599585062240664</v>
      </c>
    </row>
    <row r="1952" spans="1:24" x14ac:dyDescent="0.3">
      <c r="A1952">
        <v>479</v>
      </c>
      <c r="B1952">
        <v>346</v>
      </c>
      <c r="C1952" t="s">
        <v>30</v>
      </c>
      <c r="D1952" t="s">
        <v>36</v>
      </c>
      <c r="E1952" t="s">
        <v>18</v>
      </c>
      <c r="F1952" t="s">
        <v>34</v>
      </c>
      <c r="G1952">
        <v>16</v>
      </c>
      <c r="H1952">
        <v>5</v>
      </c>
      <c r="I1952">
        <v>11</v>
      </c>
      <c r="J1952">
        <v>39.31</v>
      </c>
      <c r="K1952">
        <v>223.51</v>
      </c>
      <c r="L1952">
        <v>0.12</v>
      </c>
      <c r="M1952">
        <v>44.45</v>
      </c>
      <c r="N1952">
        <v>0.79</v>
      </c>
      <c r="O1952" t="s">
        <v>20</v>
      </c>
      <c r="P1952" t="s">
        <v>21</v>
      </c>
      <c r="Q1952">
        <f t="shared" si="150"/>
        <v>10</v>
      </c>
      <c r="R1952" s="4">
        <f>RANK(N1952,$N$2:N$2800,0)</f>
        <v>2436</v>
      </c>
      <c r="S1952">
        <f t="shared" si="151"/>
        <v>1.4545454545454546</v>
      </c>
      <c r="T1952" t="str">
        <f t="shared" si="152"/>
        <v>Low</v>
      </c>
      <c r="U1952" t="str" cm="1">
        <f t="array" ref="U1952">_xlfn.LET(_xlpm.roles,_xlfn.UNIQUE(D1952:D4750),_xlpm.kills, SUMIF(D1952:D4750,_xlpm.roles,G1952:G4750),INDEX(_xlpm.roles,MATCH(MAX(_xlpm.kills),_xlpm.kills,0)))</f>
        <v>Sniper</v>
      </c>
      <c r="V1952" t="str">
        <f t="shared" si="153"/>
        <v>Medium Accuracy</v>
      </c>
      <c r="W1952" t="str" cm="1">
        <f t="array" ref="W1952">_xlfn.LET(_xlpm.roles,_xlfn.UNIQUE(D1952:D4750), _xlpm.counts,COUNTIF(D1952:D4750,_xlpm.roles), INDEX(_xlpm.roles,MATCH(MAX(_xlpm.counts),_xlpm.counts,0)))</f>
        <v>Sniper</v>
      </c>
      <c r="X1952" s="2">
        <f t="shared" si="154"/>
        <v>13.135802469135802</v>
      </c>
    </row>
    <row r="1953" spans="1:24" x14ac:dyDescent="0.3">
      <c r="A1953">
        <v>1805</v>
      </c>
      <c r="B1953">
        <v>346</v>
      </c>
      <c r="C1953" t="s">
        <v>35</v>
      </c>
      <c r="D1953" t="s">
        <v>22</v>
      </c>
      <c r="E1953" t="s">
        <v>32</v>
      </c>
      <c r="F1953" t="s">
        <v>26</v>
      </c>
      <c r="G1953">
        <v>12</v>
      </c>
      <c r="H1953">
        <v>6</v>
      </c>
      <c r="I1953">
        <v>11</v>
      </c>
      <c r="J1953">
        <v>54.57</v>
      </c>
      <c r="K1953">
        <v>209.07</v>
      </c>
      <c r="L1953">
        <v>0.25</v>
      </c>
      <c r="M1953">
        <v>43.78</v>
      </c>
      <c r="N1953">
        <v>0.9</v>
      </c>
      <c r="O1953" t="s">
        <v>20</v>
      </c>
      <c r="P1953" t="s">
        <v>21</v>
      </c>
      <c r="Q1953">
        <f t="shared" si="150"/>
        <v>7</v>
      </c>
      <c r="R1953" s="4">
        <f>RANK(N1953,$N$2:N$2800,0)</f>
        <v>1738</v>
      </c>
      <c r="S1953">
        <f t="shared" si="151"/>
        <v>1.0909090909090908</v>
      </c>
      <c r="T1953" t="str">
        <f t="shared" si="152"/>
        <v>Low</v>
      </c>
      <c r="U1953" t="str" cm="1">
        <f t="array" ref="U1953">_xlfn.LET(_xlpm.roles,_xlfn.UNIQUE(D1953:D4751),_xlpm.kills, SUMIF(D1953:D4751,_xlpm.roles,G1953:G4751),INDEX(_xlpm.roles,MATCH(MAX(_xlpm.kills),_xlpm.kills,0)))</f>
        <v>Sniper</v>
      </c>
      <c r="V1953" t="str">
        <f t="shared" si="153"/>
        <v>High Accuracy</v>
      </c>
      <c r="W1953" t="str" cm="1">
        <f t="array" ref="W1953">_xlfn.LET(_xlpm.roles,_xlfn.UNIQUE(D1953:D4751), _xlpm.counts,COUNTIF(D1953:D4751,_xlpm.roles), INDEX(_xlpm.roles,MATCH(MAX(_xlpm.counts),_xlpm.counts,0)))</f>
        <v>Sniper</v>
      </c>
      <c r="X1953" s="2">
        <f t="shared" si="154"/>
        <v>12.599585062240664</v>
      </c>
    </row>
    <row r="1954" spans="1:24" x14ac:dyDescent="0.3">
      <c r="A1954">
        <v>2097</v>
      </c>
      <c r="B1954">
        <v>346</v>
      </c>
      <c r="C1954" t="s">
        <v>25</v>
      </c>
      <c r="D1954" t="s">
        <v>36</v>
      </c>
      <c r="E1954" t="s">
        <v>32</v>
      </c>
      <c r="F1954" t="s">
        <v>26</v>
      </c>
      <c r="G1954">
        <v>21</v>
      </c>
      <c r="H1954">
        <v>7</v>
      </c>
      <c r="I1954">
        <v>4</v>
      </c>
      <c r="J1954">
        <v>44.6</v>
      </c>
      <c r="K1954">
        <v>249.31</v>
      </c>
      <c r="L1954">
        <v>0.6</v>
      </c>
      <c r="M1954">
        <v>61.3</v>
      </c>
      <c r="N1954">
        <v>1</v>
      </c>
      <c r="O1954" t="s">
        <v>20</v>
      </c>
      <c r="P1954" t="s">
        <v>38</v>
      </c>
      <c r="Q1954">
        <f t="shared" si="150"/>
        <v>24</v>
      </c>
      <c r="R1954" s="4">
        <f>RANK(N1954,$N$2:N$2800,0)</f>
        <v>1</v>
      </c>
      <c r="S1954">
        <f t="shared" si="151"/>
        <v>5.25</v>
      </c>
      <c r="T1954" t="str">
        <f t="shared" si="152"/>
        <v>Good</v>
      </c>
      <c r="U1954" t="str" cm="1">
        <f t="array" ref="U1954">_xlfn.LET(_xlpm.roles,_xlfn.UNIQUE(D1954:D4752),_xlpm.kills, SUMIF(D1954:D4752,_xlpm.roles,G1954:G4752),INDEX(_xlpm.roles,MATCH(MAX(_xlpm.kills),_xlpm.kills,0)))</f>
        <v>Sniper</v>
      </c>
      <c r="V1954" t="str">
        <f t="shared" si="153"/>
        <v>Medium Accuracy</v>
      </c>
      <c r="W1954" t="str" cm="1">
        <f t="array" ref="W1954">_xlfn.LET(_xlpm.roles,_xlfn.UNIQUE(D1954:D4752), _xlpm.counts,COUNTIF(D1954:D4752,_xlpm.roles), INDEX(_xlpm.roles,MATCH(MAX(_xlpm.counts),_xlpm.counts,0)))</f>
        <v>Sniper</v>
      </c>
      <c r="X1954" s="2">
        <f t="shared" si="154"/>
        <v>12.809421841541756</v>
      </c>
    </row>
    <row r="1955" spans="1:24" x14ac:dyDescent="0.3">
      <c r="A1955">
        <v>67</v>
      </c>
      <c r="B1955">
        <v>347</v>
      </c>
      <c r="C1955" t="s">
        <v>25</v>
      </c>
      <c r="D1955" t="s">
        <v>31</v>
      </c>
      <c r="E1955" t="s">
        <v>32</v>
      </c>
      <c r="F1955" t="s">
        <v>26</v>
      </c>
      <c r="G1955">
        <v>9</v>
      </c>
      <c r="H1955">
        <v>6</v>
      </c>
      <c r="I1955">
        <v>8</v>
      </c>
      <c r="J1955">
        <v>43.02</v>
      </c>
      <c r="K1955">
        <v>199.54</v>
      </c>
      <c r="L1955">
        <v>0.03</v>
      </c>
      <c r="M1955">
        <v>37.21</v>
      </c>
      <c r="N1955">
        <v>0.85</v>
      </c>
      <c r="O1955" t="s">
        <v>20</v>
      </c>
      <c r="P1955" t="s">
        <v>21</v>
      </c>
      <c r="Q1955">
        <f t="shared" si="150"/>
        <v>7</v>
      </c>
      <c r="R1955" s="4">
        <f>RANK(N1955,$N$2:N$2800,0)</f>
        <v>2105</v>
      </c>
      <c r="S1955">
        <f t="shared" si="151"/>
        <v>1.125</v>
      </c>
      <c r="T1955" t="str">
        <f t="shared" si="152"/>
        <v>Low</v>
      </c>
      <c r="U1955" t="str" cm="1">
        <f t="array" ref="U1955">_xlfn.LET(_xlpm.roles,_xlfn.UNIQUE(D1955:D4753),_xlpm.kills, SUMIF(D1955:D4753,_xlpm.roles,G1955:G4753),INDEX(_xlpm.roles,MATCH(MAX(_xlpm.kills),_xlpm.kills,0)))</f>
        <v>Sniper</v>
      </c>
      <c r="V1955" t="str">
        <f t="shared" si="153"/>
        <v>Medium Accuracy</v>
      </c>
      <c r="W1955" t="str" cm="1">
        <f t="array" ref="W1955">_xlfn.LET(_xlpm.roles,_xlfn.UNIQUE(D1955:D4753), _xlpm.counts,COUNTIF(D1955:D4753,_xlpm.roles), INDEX(_xlpm.roles,MATCH(MAX(_xlpm.counts),_xlpm.counts,0)))</f>
        <v>Sniper</v>
      </c>
      <c r="X1955" s="2">
        <f t="shared" si="154"/>
        <v>12.809421841541756</v>
      </c>
    </row>
    <row r="1956" spans="1:24" x14ac:dyDescent="0.3">
      <c r="A1956">
        <v>109</v>
      </c>
      <c r="B1956">
        <v>347</v>
      </c>
      <c r="C1956" t="s">
        <v>35</v>
      </c>
      <c r="D1956" t="s">
        <v>31</v>
      </c>
      <c r="E1956" t="s">
        <v>32</v>
      </c>
      <c r="F1956" t="s">
        <v>26</v>
      </c>
      <c r="G1956">
        <v>15</v>
      </c>
      <c r="H1956">
        <v>7</v>
      </c>
      <c r="I1956">
        <v>10</v>
      </c>
      <c r="J1956">
        <v>49.95</v>
      </c>
      <c r="K1956">
        <v>281.72000000000003</v>
      </c>
      <c r="L1956">
        <v>0.06</v>
      </c>
      <c r="M1956">
        <v>51.38</v>
      </c>
      <c r="N1956">
        <v>1</v>
      </c>
      <c r="O1956" t="s">
        <v>20</v>
      </c>
      <c r="P1956" t="s">
        <v>21</v>
      </c>
      <c r="Q1956">
        <f t="shared" si="150"/>
        <v>12</v>
      </c>
      <c r="R1956" s="4">
        <f>RANK(N1956,$N$2:N$2800,0)</f>
        <v>1</v>
      </c>
      <c r="S1956">
        <f t="shared" si="151"/>
        <v>1.5</v>
      </c>
      <c r="T1956" t="str">
        <f t="shared" si="152"/>
        <v>Low</v>
      </c>
      <c r="U1956" t="str" cm="1">
        <f t="array" ref="U1956">_xlfn.LET(_xlpm.roles,_xlfn.UNIQUE(D1956:D4754),_xlpm.kills, SUMIF(D1956:D4754,_xlpm.roles,G1956:G4754),INDEX(_xlpm.roles,MATCH(MAX(_xlpm.kills),_xlpm.kills,0)))</f>
        <v>Sniper</v>
      </c>
      <c r="V1956" t="str">
        <f t="shared" si="153"/>
        <v>Medium Accuracy</v>
      </c>
      <c r="W1956" t="str" cm="1">
        <f t="array" ref="W1956">_xlfn.LET(_xlpm.roles,_xlfn.UNIQUE(D1956:D4754), _xlpm.counts,COUNTIF(D1956:D4754,_xlpm.roles), INDEX(_xlpm.roles,MATCH(MAX(_xlpm.counts),_xlpm.counts,0)))</f>
        <v>Sniper</v>
      </c>
      <c r="X1956" s="2">
        <f t="shared" si="154"/>
        <v>12.599585062240664</v>
      </c>
    </row>
    <row r="1957" spans="1:24" x14ac:dyDescent="0.3">
      <c r="A1957">
        <v>177</v>
      </c>
      <c r="B1957">
        <v>347</v>
      </c>
      <c r="C1957" t="s">
        <v>27</v>
      </c>
      <c r="D1957" t="s">
        <v>17</v>
      </c>
      <c r="E1957" t="s">
        <v>33</v>
      </c>
      <c r="F1957" t="s">
        <v>26</v>
      </c>
      <c r="G1957">
        <v>18</v>
      </c>
      <c r="H1957">
        <v>9</v>
      </c>
      <c r="I1957">
        <v>7</v>
      </c>
      <c r="J1957">
        <v>51.81</v>
      </c>
      <c r="K1957">
        <v>215.3</v>
      </c>
      <c r="L1957">
        <v>0.51</v>
      </c>
      <c r="M1957">
        <v>58.8</v>
      </c>
      <c r="N1957">
        <v>1</v>
      </c>
      <c r="O1957" t="s">
        <v>20</v>
      </c>
      <c r="P1957" t="s">
        <v>21</v>
      </c>
      <c r="Q1957">
        <f t="shared" si="150"/>
        <v>20</v>
      </c>
      <c r="R1957" s="4">
        <f>RANK(N1957,$N$2:N$2800,0)</f>
        <v>1</v>
      </c>
      <c r="S1957">
        <f t="shared" si="151"/>
        <v>2.5714285714285716</v>
      </c>
      <c r="T1957" t="str">
        <f t="shared" si="152"/>
        <v>Good</v>
      </c>
      <c r="U1957" t="str" cm="1">
        <f t="array" ref="U1957">_xlfn.LET(_xlpm.roles,_xlfn.UNIQUE(D1957:D4755),_xlpm.kills, SUMIF(D1957:D4755,_xlpm.roles,G1957:G4755),INDEX(_xlpm.roles,MATCH(MAX(_xlpm.kills),_xlpm.kills,0)))</f>
        <v>Sniper</v>
      </c>
      <c r="V1957" t="str">
        <f t="shared" si="153"/>
        <v>High Accuracy</v>
      </c>
      <c r="W1957" t="str" cm="1">
        <f t="array" ref="W1957">_xlfn.LET(_xlpm.roles,_xlfn.UNIQUE(D1957:D4755), _xlpm.counts,COUNTIF(D1957:D4755,_xlpm.roles), INDEX(_xlpm.roles,MATCH(MAX(_xlpm.counts),_xlpm.counts,0)))</f>
        <v>Sniper</v>
      </c>
      <c r="X1957" s="2">
        <f t="shared" si="154"/>
        <v>13.057077625570777</v>
      </c>
    </row>
    <row r="1958" spans="1:24" x14ac:dyDescent="0.3">
      <c r="A1958">
        <v>180</v>
      </c>
      <c r="B1958">
        <v>347</v>
      </c>
      <c r="C1958" t="s">
        <v>35</v>
      </c>
      <c r="D1958" t="s">
        <v>31</v>
      </c>
      <c r="E1958" t="s">
        <v>32</v>
      </c>
      <c r="F1958" t="s">
        <v>19</v>
      </c>
      <c r="G1958">
        <v>13</v>
      </c>
      <c r="H1958">
        <v>9</v>
      </c>
      <c r="I1958">
        <v>12</v>
      </c>
      <c r="J1958">
        <v>42.89</v>
      </c>
      <c r="K1958">
        <v>189.5</v>
      </c>
      <c r="L1958">
        <v>0.02</v>
      </c>
      <c r="M1958">
        <v>44.24</v>
      </c>
      <c r="N1958">
        <v>0.92</v>
      </c>
      <c r="O1958" t="s">
        <v>20</v>
      </c>
      <c r="P1958" t="s">
        <v>21</v>
      </c>
      <c r="Q1958">
        <f t="shared" si="150"/>
        <v>10</v>
      </c>
      <c r="R1958" s="4">
        <f>RANK(N1958,$N$2:N$2800,0)</f>
        <v>1585</v>
      </c>
      <c r="S1958">
        <f t="shared" si="151"/>
        <v>1.0833333333333333</v>
      </c>
      <c r="T1958" t="str">
        <f t="shared" si="152"/>
        <v>Low</v>
      </c>
      <c r="U1958" t="str" cm="1">
        <f t="array" ref="U1958">_xlfn.LET(_xlpm.roles,_xlfn.UNIQUE(D1958:D4756),_xlpm.kills, SUMIF(D1958:D4756,_xlpm.roles,G1958:G4756),INDEX(_xlpm.roles,MATCH(MAX(_xlpm.kills),_xlpm.kills,0)))</f>
        <v>Sniper</v>
      </c>
      <c r="V1958" t="str">
        <f t="shared" si="153"/>
        <v>Medium Accuracy</v>
      </c>
      <c r="W1958" t="str" cm="1">
        <f t="array" ref="W1958">_xlfn.LET(_xlpm.roles,_xlfn.UNIQUE(D1958:D4756), _xlpm.counts,COUNTIF(D1958:D4756,_xlpm.roles), INDEX(_xlpm.roles,MATCH(MAX(_xlpm.counts),_xlpm.counts,0)))</f>
        <v>Sniper</v>
      </c>
      <c r="X1958" s="2">
        <f t="shared" si="154"/>
        <v>12.599585062240664</v>
      </c>
    </row>
    <row r="1959" spans="1:24" x14ac:dyDescent="0.3">
      <c r="A1959">
        <v>259</v>
      </c>
      <c r="B1959">
        <v>347</v>
      </c>
      <c r="C1959" t="s">
        <v>30</v>
      </c>
      <c r="D1959" t="s">
        <v>31</v>
      </c>
      <c r="E1959" t="s">
        <v>23</v>
      </c>
      <c r="F1959" t="s">
        <v>19</v>
      </c>
      <c r="G1959">
        <v>8</v>
      </c>
      <c r="H1959">
        <v>7</v>
      </c>
      <c r="I1959">
        <v>7</v>
      </c>
      <c r="J1959">
        <v>52.83</v>
      </c>
      <c r="K1959">
        <v>178.85</v>
      </c>
      <c r="L1959">
        <v>0.6</v>
      </c>
      <c r="M1959">
        <v>36.409999999999997</v>
      </c>
      <c r="N1959">
        <v>0.77</v>
      </c>
      <c r="O1959" t="s">
        <v>20</v>
      </c>
      <c r="P1959" t="s">
        <v>21</v>
      </c>
      <c r="Q1959">
        <f t="shared" si="150"/>
        <v>8</v>
      </c>
      <c r="R1959" s="4">
        <f>RANK(N1959,$N$2:N$2800,0)</f>
        <v>2511</v>
      </c>
      <c r="S1959">
        <f t="shared" si="151"/>
        <v>1.1428571428571428</v>
      </c>
      <c r="T1959" t="str">
        <f t="shared" si="152"/>
        <v>Low</v>
      </c>
      <c r="U1959" t="str" cm="1">
        <f t="array" ref="U1959">_xlfn.LET(_xlpm.roles,_xlfn.UNIQUE(D1959:D4757),_xlpm.kills, SUMIF(D1959:D4757,_xlpm.roles,G1959:G4757),INDEX(_xlpm.roles,MATCH(MAX(_xlpm.kills),_xlpm.kills,0)))</f>
        <v>Sniper</v>
      </c>
      <c r="V1959" t="str">
        <f t="shared" si="153"/>
        <v>High Accuracy</v>
      </c>
      <c r="W1959" t="str" cm="1">
        <f t="array" ref="W1959">_xlfn.LET(_xlpm.roles,_xlfn.UNIQUE(D1959:D4757), _xlpm.counts,COUNTIF(D1959:D4757,_xlpm.roles), INDEX(_xlpm.roles,MATCH(MAX(_xlpm.counts),_xlpm.counts,0)))</f>
        <v>Sniper</v>
      </c>
      <c r="X1959" s="2">
        <f t="shared" si="154"/>
        <v>13.135802469135802</v>
      </c>
    </row>
    <row r="1960" spans="1:24" x14ac:dyDescent="0.3">
      <c r="A1960">
        <v>460</v>
      </c>
      <c r="B1960">
        <v>347</v>
      </c>
      <c r="C1960" t="s">
        <v>25</v>
      </c>
      <c r="D1960" t="s">
        <v>28</v>
      </c>
      <c r="E1960" t="s">
        <v>29</v>
      </c>
      <c r="F1960" t="s">
        <v>19</v>
      </c>
      <c r="G1960">
        <v>20</v>
      </c>
      <c r="H1960">
        <v>7</v>
      </c>
      <c r="I1960">
        <v>10</v>
      </c>
      <c r="J1960">
        <v>50.71</v>
      </c>
      <c r="K1960">
        <v>255.05</v>
      </c>
      <c r="L1960">
        <v>0.43</v>
      </c>
      <c r="M1960">
        <v>58.06</v>
      </c>
      <c r="N1960">
        <v>1</v>
      </c>
      <c r="O1960" t="s">
        <v>20</v>
      </c>
      <c r="P1960" t="s">
        <v>21</v>
      </c>
      <c r="Q1960">
        <f t="shared" si="150"/>
        <v>17</v>
      </c>
      <c r="R1960" s="4">
        <f>RANK(N1960,$N$2:N$2800,0)</f>
        <v>1</v>
      </c>
      <c r="S1960">
        <f t="shared" si="151"/>
        <v>2</v>
      </c>
      <c r="T1960" t="str">
        <f t="shared" si="152"/>
        <v>Good</v>
      </c>
      <c r="U1960" t="str" cm="1">
        <f t="array" ref="U1960">_xlfn.LET(_xlpm.roles,_xlfn.UNIQUE(D1960:D4758),_xlpm.kills, SUMIF(D1960:D4758,_xlpm.roles,G1960:G4758),INDEX(_xlpm.roles,MATCH(MAX(_xlpm.kills),_xlpm.kills,0)))</f>
        <v>Sniper</v>
      </c>
      <c r="V1960" t="str">
        <f t="shared" si="153"/>
        <v>High Accuracy</v>
      </c>
      <c r="W1960" t="str" cm="1">
        <f t="array" ref="W1960">_xlfn.LET(_xlpm.roles,_xlfn.UNIQUE(D1960:D4758), _xlpm.counts,COUNTIF(D1960:D4758,_xlpm.roles), INDEX(_xlpm.roles,MATCH(MAX(_xlpm.counts),_xlpm.counts,0)))</f>
        <v>Sniper</v>
      </c>
      <c r="X1960" s="2">
        <f t="shared" si="154"/>
        <v>12.809421841541756</v>
      </c>
    </row>
    <row r="1961" spans="1:24" x14ac:dyDescent="0.3">
      <c r="A1961">
        <v>1032</v>
      </c>
      <c r="B1961">
        <v>347</v>
      </c>
      <c r="C1961" t="s">
        <v>35</v>
      </c>
      <c r="D1961" t="s">
        <v>28</v>
      </c>
      <c r="E1961" t="s">
        <v>33</v>
      </c>
      <c r="F1961" t="s">
        <v>37</v>
      </c>
      <c r="G1961">
        <v>21</v>
      </c>
      <c r="H1961">
        <v>10</v>
      </c>
      <c r="I1961">
        <v>8</v>
      </c>
      <c r="J1961">
        <v>36.89</v>
      </c>
      <c r="K1961">
        <v>217.54</v>
      </c>
      <c r="L1961">
        <v>0.75</v>
      </c>
      <c r="M1961">
        <v>54.95</v>
      </c>
      <c r="N1961">
        <v>1</v>
      </c>
      <c r="O1961" t="s">
        <v>20</v>
      </c>
      <c r="P1961" t="s">
        <v>21</v>
      </c>
      <c r="Q1961">
        <f t="shared" si="150"/>
        <v>23</v>
      </c>
      <c r="R1961" s="4">
        <f>RANK(N1961,$N$2:N$2800,0)</f>
        <v>1</v>
      </c>
      <c r="S1961">
        <f t="shared" si="151"/>
        <v>2.625</v>
      </c>
      <c r="T1961" t="str">
        <f t="shared" si="152"/>
        <v>Good</v>
      </c>
      <c r="U1961" t="str" cm="1">
        <f t="array" ref="U1961">_xlfn.LET(_xlpm.roles,_xlfn.UNIQUE(D1961:D4759),_xlpm.kills, SUMIF(D1961:D4759,_xlpm.roles,G1961:G4759),INDEX(_xlpm.roles,MATCH(MAX(_xlpm.kills),_xlpm.kills,0)))</f>
        <v>Sniper</v>
      </c>
      <c r="V1961" t="str">
        <f t="shared" si="153"/>
        <v>Medium Accuracy</v>
      </c>
      <c r="W1961" t="str" cm="1">
        <f t="array" ref="W1961">_xlfn.LET(_xlpm.roles,_xlfn.UNIQUE(D1961:D4759), _xlpm.counts,COUNTIF(D1961:D4759,_xlpm.roles), INDEX(_xlpm.roles,MATCH(MAX(_xlpm.counts),_xlpm.counts,0)))</f>
        <v>Sniper</v>
      </c>
      <c r="X1961" s="2">
        <f t="shared" si="154"/>
        <v>12.599585062240664</v>
      </c>
    </row>
    <row r="1962" spans="1:24" x14ac:dyDescent="0.3">
      <c r="A1962">
        <v>1426</v>
      </c>
      <c r="B1962">
        <v>347</v>
      </c>
      <c r="C1962" t="s">
        <v>27</v>
      </c>
      <c r="D1962" t="s">
        <v>36</v>
      </c>
      <c r="E1962" t="s">
        <v>18</v>
      </c>
      <c r="F1962" t="s">
        <v>24</v>
      </c>
      <c r="G1962">
        <v>19</v>
      </c>
      <c r="H1962">
        <v>9</v>
      </c>
      <c r="I1962">
        <v>9</v>
      </c>
      <c r="J1962">
        <v>49.06</v>
      </c>
      <c r="K1962">
        <v>285.10000000000002</v>
      </c>
      <c r="L1962">
        <v>0.96</v>
      </c>
      <c r="M1962">
        <v>52.93</v>
      </c>
      <c r="N1962">
        <v>1</v>
      </c>
      <c r="O1962" t="s">
        <v>20</v>
      </c>
      <c r="P1962" t="s">
        <v>21</v>
      </c>
      <c r="Q1962">
        <f t="shared" si="150"/>
        <v>19</v>
      </c>
      <c r="R1962" s="4">
        <f>RANK(N1962,$N$2:N$2800,0)</f>
        <v>1</v>
      </c>
      <c r="S1962">
        <f t="shared" si="151"/>
        <v>2.1111111111111112</v>
      </c>
      <c r="T1962" t="str">
        <f t="shared" si="152"/>
        <v>Good</v>
      </c>
      <c r="U1962" t="str" cm="1">
        <f t="array" ref="U1962">_xlfn.LET(_xlpm.roles,_xlfn.UNIQUE(D1962:D4760),_xlpm.kills, SUMIF(D1962:D4760,_xlpm.roles,G1962:G4760),INDEX(_xlpm.roles,MATCH(MAX(_xlpm.kills),_xlpm.kills,0)))</f>
        <v>Sniper</v>
      </c>
      <c r="V1962" t="str">
        <f t="shared" si="153"/>
        <v>Medium Accuracy</v>
      </c>
      <c r="W1962" t="str" cm="1">
        <f t="array" ref="W1962">_xlfn.LET(_xlpm.roles,_xlfn.UNIQUE(D1962:D4760), _xlpm.counts,COUNTIF(D1962:D4760,_xlpm.roles), INDEX(_xlpm.roles,MATCH(MAX(_xlpm.counts),_xlpm.counts,0)))</f>
        <v>Sniper</v>
      </c>
      <c r="X1962" s="2">
        <f t="shared" si="154"/>
        <v>13.057077625570777</v>
      </c>
    </row>
    <row r="1963" spans="1:24" x14ac:dyDescent="0.3">
      <c r="A1963">
        <v>1733</v>
      </c>
      <c r="B1963">
        <v>347</v>
      </c>
      <c r="C1963" t="s">
        <v>25</v>
      </c>
      <c r="D1963" t="s">
        <v>17</v>
      </c>
      <c r="E1963" t="s">
        <v>18</v>
      </c>
      <c r="F1963" t="s">
        <v>24</v>
      </c>
      <c r="G1963">
        <v>13</v>
      </c>
      <c r="H1963">
        <v>10</v>
      </c>
      <c r="I1963">
        <v>12</v>
      </c>
      <c r="J1963">
        <v>35.57</v>
      </c>
      <c r="K1963">
        <v>266.70999999999998</v>
      </c>
      <c r="L1963">
        <v>0.7</v>
      </c>
      <c r="M1963">
        <v>34.78</v>
      </c>
      <c r="N1963">
        <v>0.86</v>
      </c>
      <c r="O1963" t="s">
        <v>20</v>
      </c>
      <c r="P1963" t="s">
        <v>21</v>
      </c>
      <c r="Q1963">
        <f t="shared" si="150"/>
        <v>11</v>
      </c>
      <c r="R1963" s="4">
        <f>RANK(N1963,$N$2:N$2800,0)</f>
        <v>2040</v>
      </c>
      <c r="S1963">
        <f t="shared" si="151"/>
        <v>1.0833333333333333</v>
      </c>
      <c r="T1963" t="str">
        <f t="shared" si="152"/>
        <v>Low</v>
      </c>
      <c r="U1963" t="str" cm="1">
        <f t="array" ref="U1963">_xlfn.LET(_xlpm.roles,_xlfn.UNIQUE(D1963:D4761),_xlpm.kills, SUMIF(D1963:D4761,_xlpm.roles,G1963:G4761),INDEX(_xlpm.roles,MATCH(MAX(_xlpm.kills),_xlpm.kills,0)))</f>
        <v>Sniper</v>
      </c>
      <c r="V1963" t="str">
        <f t="shared" si="153"/>
        <v>Medium Accuracy</v>
      </c>
      <c r="W1963" t="str" cm="1">
        <f t="array" ref="W1963">_xlfn.LET(_xlpm.roles,_xlfn.UNIQUE(D1963:D4761), _xlpm.counts,COUNTIF(D1963:D4761,_xlpm.roles), INDEX(_xlpm.roles,MATCH(MAX(_xlpm.counts),_xlpm.counts,0)))</f>
        <v>Sniper</v>
      </c>
      <c r="X1963" s="2">
        <f t="shared" si="154"/>
        <v>12.809421841541756</v>
      </c>
    </row>
    <row r="1964" spans="1:24" x14ac:dyDescent="0.3">
      <c r="A1964">
        <v>2087</v>
      </c>
      <c r="B1964">
        <v>347</v>
      </c>
      <c r="C1964" t="s">
        <v>27</v>
      </c>
      <c r="D1964" t="s">
        <v>36</v>
      </c>
      <c r="E1964" t="s">
        <v>18</v>
      </c>
      <c r="F1964" t="s">
        <v>34</v>
      </c>
      <c r="G1964">
        <v>24</v>
      </c>
      <c r="H1964">
        <v>6</v>
      </c>
      <c r="I1964">
        <v>17</v>
      </c>
      <c r="J1964">
        <v>50.01</v>
      </c>
      <c r="K1964">
        <v>227.23</v>
      </c>
      <c r="L1964">
        <v>0.25</v>
      </c>
      <c r="M1964">
        <v>59.5</v>
      </c>
      <c r="N1964">
        <v>1</v>
      </c>
      <c r="O1964" t="s">
        <v>20</v>
      </c>
      <c r="P1964" t="s">
        <v>21</v>
      </c>
      <c r="Q1964">
        <f t="shared" si="150"/>
        <v>13</v>
      </c>
      <c r="R1964" s="4">
        <f>RANK(N1964,$N$2:N$2800,0)</f>
        <v>1</v>
      </c>
      <c r="S1964">
        <f t="shared" si="151"/>
        <v>1.411764705882353</v>
      </c>
      <c r="T1964" t="str">
        <f t="shared" si="152"/>
        <v>Low</v>
      </c>
      <c r="U1964" t="str" cm="1">
        <f t="array" ref="U1964">_xlfn.LET(_xlpm.roles,_xlfn.UNIQUE(D1964:D4762),_xlpm.kills, SUMIF(D1964:D4762,_xlpm.roles,G1964:G4762),INDEX(_xlpm.roles,MATCH(MAX(_xlpm.kills),_xlpm.kills,0)))</f>
        <v>Sniper</v>
      </c>
      <c r="V1964" t="str">
        <f t="shared" si="153"/>
        <v>High Accuracy</v>
      </c>
      <c r="W1964" t="str" cm="1">
        <f t="array" ref="W1964">_xlfn.LET(_xlpm.roles,_xlfn.UNIQUE(D1964:D4762), _xlpm.counts,COUNTIF(D1964:D4762,_xlpm.roles), INDEX(_xlpm.roles,MATCH(MAX(_xlpm.counts),_xlpm.counts,0)))</f>
        <v>Sniper</v>
      </c>
      <c r="X1964" s="2">
        <f t="shared" si="154"/>
        <v>13.057077625570777</v>
      </c>
    </row>
    <row r="1965" spans="1:24" x14ac:dyDescent="0.3">
      <c r="A1965">
        <v>2245</v>
      </c>
      <c r="B1965">
        <v>347</v>
      </c>
      <c r="C1965" t="s">
        <v>16</v>
      </c>
      <c r="D1965" t="s">
        <v>28</v>
      </c>
      <c r="E1965" t="s">
        <v>23</v>
      </c>
      <c r="F1965" t="s">
        <v>34</v>
      </c>
      <c r="G1965">
        <v>7</v>
      </c>
      <c r="H1965">
        <v>9</v>
      </c>
      <c r="I1965">
        <v>10</v>
      </c>
      <c r="J1965">
        <v>36.47</v>
      </c>
      <c r="K1965">
        <v>236.48</v>
      </c>
      <c r="L1965">
        <v>0.11</v>
      </c>
      <c r="M1965">
        <v>30.13</v>
      </c>
      <c r="N1965">
        <v>0.74</v>
      </c>
      <c r="O1965" t="s">
        <v>20</v>
      </c>
      <c r="P1965" t="s">
        <v>21</v>
      </c>
      <c r="Q1965">
        <f t="shared" si="150"/>
        <v>6</v>
      </c>
      <c r="R1965" s="4">
        <f>RANK(N1965,$N$2:N$2800,0)</f>
        <v>2613</v>
      </c>
      <c r="S1965">
        <f t="shared" si="151"/>
        <v>0.7</v>
      </c>
      <c r="T1965" t="str">
        <f t="shared" si="152"/>
        <v>Low</v>
      </c>
      <c r="U1965" t="str" cm="1">
        <f t="array" ref="U1965">_xlfn.LET(_xlpm.roles,_xlfn.UNIQUE(D1965:D4763),_xlpm.kills, SUMIF(D1965:D4763,_xlpm.roles,G1965:G4763),INDEX(_xlpm.roles,MATCH(MAX(_xlpm.kills),_xlpm.kills,0)))</f>
        <v>Sniper</v>
      </c>
      <c r="V1965" t="str">
        <f t="shared" si="153"/>
        <v>Medium Accuracy</v>
      </c>
      <c r="W1965" t="str" cm="1">
        <f t="array" ref="W1965">_xlfn.LET(_xlpm.roles,_xlfn.UNIQUE(D1965:D4763), _xlpm.counts,COUNTIF(D1965:D4763,_xlpm.roles), INDEX(_xlpm.roles,MATCH(MAX(_xlpm.counts),_xlpm.counts,0)))</f>
        <v>Sniper</v>
      </c>
      <c r="X1965" s="2">
        <f t="shared" si="154"/>
        <v>12.520971302428256</v>
      </c>
    </row>
    <row r="1966" spans="1:24" x14ac:dyDescent="0.3">
      <c r="A1966">
        <v>24</v>
      </c>
      <c r="B1966">
        <v>348</v>
      </c>
      <c r="C1966" t="s">
        <v>30</v>
      </c>
      <c r="D1966" t="s">
        <v>28</v>
      </c>
      <c r="E1966" t="s">
        <v>29</v>
      </c>
      <c r="F1966" t="s">
        <v>34</v>
      </c>
      <c r="G1966">
        <v>17</v>
      </c>
      <c r="H1966">
        <v>9</v>
      </c>
      <c r="I1966">
        <v>13</v>
      </c>
      <c r="J1966">
        <v>40.94</v>
      </c>
      <c r="K1966">
        <v>245.73</v>
      </c>
      <c r="L1966">
        <v>0.11</v>
      </c>
      <c r="M1966">
        <v>49.37</v>
      </c>
      <c r="N1966">
        <v>0.98</v>
      </c>
      <c r="O1966" t="s">
        <v>20</v>
      </c>
      <c r="P1966" t="s">
        <v>21</v>
      </c>
      <c r="Q1966">
        <f t="shared" si="150"/>
        <v>13</v>
      </c>
      <c r="R1966" s="4">
        <f>RANK(N1966,$N$2:N$2800,0)</f>
        <v>1157</v>
      </c>
      <c r="S1966">
        <f t="shared" si="151"/>
        <v>1.3076923076923077</v>
      </c>
      <c r="T1966" t="str">
        <f t="shared" si="152"/>
        <v>Low</v>
      </c>
      <c r="U1966" t="str" cm="1">
        <f t="array" ref="U1966">_xlfn.LET(_xlpm.roles,_xlfn.UNIQUE(D1966:D4764),_xlpm.kills, SUMIF(D1966:D4764,_xlpm.roles,G1966:G4764),INDEX(_xlpm.roles,MATCH(MAX(_xlpm.kills),_xlpm.kills,0)))</f>
        <v>Sniper</v>
      </c>
      <c r="V1966" t="str">
        <f t="shared" si="153"/>
        <v>Medium Accuracy</v>
      </c>
      <c r="W1966" t="str" cm="1">
        <f t="array" ref="W1966">_xlfn.LET(_xlpm.roles,_xlfn.UNIQUE(D1966:D4764), _xlpm.counts,COUNTIF(D1966:D4764,_xlpm.roles), INDEX(_xlpm.roles,MATCH(MAX(_xlpm.counts),_xlpm.counts,0)))</f>
        <v>Sniper</v>
      </c>
      <c r="X1966" s="2">
        <f t="shared" si="154"/>
        <v>13.135802469135802</v>
      </c>
    </row>
    <row r="1967" spans="1:24" x14ac:dyDescent="0.3">
      <c r="A1967">
        <v>2409</v>
      </c>
      <c r="B1967">
        <v>348</v>
      </c>
      <c r="C1967" t="s">
        <v>30</v>
      </c>
      <c r="D1967" t="s">
        <v>31</v>
      </c>
      <c r="E1967" t="s">
        <v>33</v>
      </c>
      <c r="F1967" t="s">
        <v>26</v>
      </c>
      <c r="G1967">
        <v>20</v>
      </c>
      <c r="H1967">
        <v>11</v>
      </c>
      <c r="I1967">
        <v>3</v>
      </c>
      <c r="J1967">
        <v>49.96</v>
      </c>
      <c r="K1967">
        <v>193.95</v>
      </c>
      <c r="L1967">
        <v>0.95</v>
      </c>
      <c r="M1967">
        <v>63.48</v>
      </c>
      <c r="N1967">
        <v>1</v>
      </c>
      <c r="O1967" t="s">
        <v>20</v>
      </c>
      <c r="P1967" t="s">
        <v>38</v>
      </c>
      <c r="Q1967">
        <f t="shared" si="150"/>
        <v>28</v>
      </c>
      <c r="R1967" s="4">
        <f>RANK(N1967,$N$2:N$2800,0)</f>
        <v>1</v>
      </c>
      <c r="S1967">
        <f t="shared" si="151"/>
        <v>6.666666666666667</v>
      </c>
      <c r="T1967" t="str">
        <f t="shared" si="152"/>
        <v>Excellent</v>
      </c>
      <c r="U1967" t="str" cm="1">
        <f t="array" ref="U1967">_xlfn.LET(_xlpm.roles,_xlfn.UNIQUE(D1967:D4765),_xlpm.kills, SUMIF(D1967:D4765,_xlpm.roles,G1967:G4765),INDEX(_xlpm.roles,MATCH(MAX(_xlpm.kills),_xlpm.kills,0)))</f>
        <v>Sniper</v>
      </c>
      <c r="V1967" t="str">
        <f t="shared" si="153"/>
        <v>Medium Accuracy</v>
      </c>
      <c r="W1967" t="str" cm="1">
        <f t="array" ref="W1967">_xlfn.LET(_xlpm.roles,_xlfn.UNIQUE(D1967:D4765), _xlpm.counts,COUNTIF(D1967:D4765,_xlpm.roles), INDEX(_xlpm.roles,MATCH(MAX(_xlpm.counts),_xlpm.counts,0)))</f>
        <v>Sniper</v>
      </c>
      <c r="X1967" s="2">
        <f t="shared" si="154"/>
        <v>13.135802469135802</v>
      </c>
    </row>
    <row r="1968" spans="1:24" x14ac:dyDescent="0.3">
      <c r="A1968">
        <v>2462</v>
      </c>
      <c r="B1968">
        <v>348</v>
      </c>
      <c r="C1968" t="s">
        <v>30</v>
      </c>
      <c r="D1968" t="s">
        <v>28</v>
      </c>
      <c r="E1968" t="s">
        <v>33</v>
      </c>
      <c r="F1968" t="s">
        <v>26</v>
      </c>
      <c r="G1968">
        <v>12</v>
      </c>
      <c r="H1968">
        <v>10</v>
      </c>
      <c r="I1968">
        <v>6</v>
      </c>
      <c r="J1968">
        <v>44.07</v>
      </c>
      <c r="K1968">
        <v>258.58999999999997</v>
      </c>
      <c r="L1968">
        <v>0.81</v>
      </c>
      <c r="M1968">
        <v>41.93</v>
      </c>
      <c r="N1968">
        <v>0.85</v>
      </c>
      <c r="O1968" t="s">
        <v>20</v>
      </c>
      <c r="P1968" t="s">
        <v>21</v>
      </c>
      <c r="Q1968">
        <f t="shared" si="150"/>
        <v>16</v>
      </c>
      <c r="R1968" s="4">
        <f>RANK(N1968,$N$2:N$2800,0)</f>
        <v>2105</v>
      </c>
      <c r="S1968">
        <f t="shared" si="151"/>
        <v>2</v>
      </c>
      <c r="T1968" t="str">
        <f t="shared" si="152"/>
        <v>Good</v>
      </c>
      <c r="U1968" t="str" cm="1">
        <f t="array" ref="U1968">_xlfn.LET(_xlpm.roles,_xlfn.UNIQUE(D1968:D4766),_xlpm.kills, SUMIF(D1968:D4766,_xlpm.roles,G1968:G4766),INDEX(_xlpm.roles,MATCH(MAX(_xlpm.kills),_xlpm.kills,0)))</f>
        <v>Sniper</v>
      </c>
      <c r="V1968" t="str">
        <f t="shared" si="153"/>
        <v>Medium Accuracy</v>
      </c>
      <c r="W1968" t="str" cm="1">
        <f t="array" ref="W1968">_xlfn.LET(_xlpm.roles,_xlfn.UNIQUE(D1968:D4766), _xlpm.counts,COUNTIF(D1968:D4766,_xlpm.roles), INDEX(_xlpm.roles,MATCH(MAX(_xlpm.counts),_xlpm.counts,0)))</f>
        <v>Sniper</v>
      </c>
      <c r="X1968" s="2">
        <f t="shared" si="154"/>
        <v>13.135802469135802</v>
      </c>
    </row>
    <row r="1969" spans="1:24" x14ac:dyDescent="0.3">
      <c r="A1969">
        <v>292</v>
      </c>
      <c r="B1969">
        <v>349</v>
      </c>
      <c r="C1969" t="s">
        <v>30</v>
      </c>
      <c r="D1969" t="s">
        <v>17</v>
      </c>
      <c r="E1969" t="s">
        <v>33</v>
      </c>
      <c r="F1969" t="s">
        <v>19</v>
      </c>
      <c r="G1969">
        <v>18</v>
      </c>
      <c r="H1969">
        <v>10</v>
      </c>
      <c r="I1969">
        <v>11</v>
      </c>
      <c r="J1969">
        <v>30.7</v>
      </c>
      <c r="K1969">
        <v>200.38</v>
      </c>
      <c r="L1969">
        <v>0.23</v>
      </c>
      <c r="M1969">
        <v>48.05</v>
      </c>
      <c r="N1969">
        <v>0.98</v>
      </c>
      <c r="O1969" t="s">
        <v>20</v>
      </c>
      <c r="P1969" t="s">
        <v>21</v>
      </c>
      <c r="Q1969">
        <f t="shared" si="150"/>
        <v>17</v>
      </c>
      <c r="R1969" s="4">
        <f>RANK(N1969,$N$2:N$2800,0)</f>
        <v>1157</v>
      </c>
      <c r="S1969">
        <f t="shared" si="151"/>
        <v>1.6363636363636365</v>
      </c>
      <c r="T1969" t="str">
        <f t="shared" si="152"/>
        <v>Good</v>
      </c>
      <c r="U1969" t="str" cm="1">
        <f t="array" ref="U1969">_xlfn.LET(_xlpm.roles,_xlfn.UNIQUE(D1969:D4767),_xlpm.kills, SUMIF(D1969:D4767,_xlpm.roles,G1969:G4767),INDEX(_xlpm.roles,MATCH(MAX(_xlpm.kills),_xlpm.kills,0)))</f>
        <v>Sniper</v>
      </c>
      <c r="V1969" t="str">
        <f t="shared" si="153"/>
        <v>Medium Accuracy</v>
      </c>
      <c r="W1969" t="str" cm="1">
        <f t="array" ref="W1969">_xlfn.LET(_xlpm.roles,_xlfn.UNIQUE(D1969:D4767), _xlpm.counts,COUNTIF(D1969:D4767,_xlpm.roles), INDEX(_xlpm.roles,MATCH(MAX(_xlpm.counts),_xlpm.counts,0)))</f>
        <v>Sniper</v>
      </c>
      <c r="X1969" s="2">
        <f t="shared" si="154"/>
        <v>13.135802469135802</v>
      </c>
    </row>
    <row r="1970" spans="1:24" x14ac:dyDescent="0.3">
      <c r="A1970">
        <v>567</v>
      </c>
      <c r="B1970">
        <v>349</v>
      </c>
      <c r="C1970" t="s">
        <v>25</v>
      </c>
      <c r="D1970" t="s">
        <v>36</v>
      </c>
      <c r="E1970" t="s">
        <v>23</v>
      </c>
      <c r="F1970" t="s">
        <v>34</v>
      </c>
      <c r="G1970">
        <v>12</v>
      </c>
      <c r="H1970">
        <v>5</v>
      </c>
      <c r="I1970">
        <v>11</v>
      </c>
      <c r="J1970">
        <v>43.37</v>
      </c>
      <c r="K1970">
        <v>165.38</v>
      </c>
      <c r="L1970">
        <v>0.95</v>
      </c>
      <c r="M1970">
        <v>30.19</v>
      </c>
      <c r="N1970">
        <v>0.88</v>
      </c>
      <c r="O1970" t="s">
        <v>20</v>
      </c>
      <c r="P1970" t="s">
        <v>21</v>
      </c>
      <c r="Q1970">
        <f t="shared" si="150"/>
        <v>6</v>
      </c>
      <c r="R1970" s="4">
        <f>RANK(N1970,$N$2:N$2800,0)</f>
        <v>1894</v>
      </c>
      <c r="S1970">
        <f t="shared" si="151"/>
        <v>1.0909090909090908</v>
      </c>
      <c r="T1970" t="str">
        <f t="shared" si="152"/>
        <v>Low</v>
      </c>
      <c r="U1970" t="str" cm="1">
        <f t="array" ref="U1970">_xlfn.LET(_xlpm.roles,_xlfn.UNIQUE(D1970:D4768),_xlpm.kills, SUMIF(D1970:D4768,_xlpm.roles,G1970:G4768),INDEX(_xlpm.roles,MATCH(MAX(_xlpm.kills),_xlpm.kills,0)))</f>
        <v>Sniper</v>
      </c>
      <c r="V1970" t="str">
        <f t="shared" si="153"/>
        <v>Medium Accuracy</v>
      </c>
      <c r="W1970" t="str" cm="1">
        <f t="array" ref="W1970">_xlfn.LET(_xlpm.roles,_xlfn.UNIQUE(D1970:D4768), _xlpm.counts,COUNTIF(D1970:D4768,_xlpm.roles), INDEX(_xlpm.roles,MATCH(MAX(_xlpm.counts),_xlpm.counts,0)))</f>
        <v>Sniper</v>
      </c>
      <c r="X1970" s="2">
        <f t="shared" si="154"/>
        <v>12.809421841541756</v>
      </c>
    </row>
    <row r="1971" spans="1:24" x14ac:dyDescent="0.3">
      <c r="A1971">
        <v>2070</v>
      </c>
      <c r="B1971">
        <v>349</v>
      </c>
      <c r="C1971" t="s">
        <v>16</v>
      </c>
      <c r="D1971" t="s">
        <v>28</v>
      </c>
      <c r="E1971" t="s">
        <v>29</v>
      </c>
      <c r="F1971" t="s">
        <v>24</v>
      </c>
      <c r="G1971">
        <v>16</v>
      </c>
      <c r="H1971">
        <v>13</v>
      </c>
      <c r="I1971">
        <v>9</v>
      </c>
      <c r="J1971">
        <v>44.61</v>
      </c>
      <c r="K1971">
        <v>198.42</v>
      </c>
      <c r="L1971">
        <v>0.08</v>
      </c>
      <c r="M1971">
        <v>57.51</v>
      </c>
      <c r="N1971">
        <v>1</v>
      </c>
      <c r="O1971" t="s">
        <v>20</v>
      </c>
      <c r="P1971" t="s">
        <v>21</v>
      </c>
      <c r="Q1971">
        <f t="shared" si="150"/>
        <v>20</v>
      </c>
      <c r="R1971" s="4">
        <f>RANK(N1971,$N$2:N$2800,0)</f>
        <v>1</v>
      </c>
      <c r="S1971">
        <f t="shared" si="151"/>
        <v>1.7777777777777777</v>
      </c>
      <c r="T1971" t="str">
        <f t="shared" si="152"/>
        <v>Good</v>
      </c>
      <c r="U1971" t="str" cm="1">
        <f t="array" ref="U1971">_xlfn.LET(_xlpm.roles,_xlfn.UNIQUE(D1971:D4769),_xlpm.kills, SUMIF(D1971:D4769,_xlpm.roles,G1971:G4769),INDEX(_xlpm.roles,MATCH(MAX(_xlpm.kills),_xlpm.kills,0)))</f>
        <v>Sniper</v>
      </c>
      <c r="V1971" t="str">
        <f t="shared" si="153"/>
        <v>Medium Accuracy</v>
      </c>
      <c r="W1971" t="str" cm="1">
        <f t="array" ref="W1971">_xlfn.LET(_xlpm.roles,_xlfn.UNIQUE(D1971:D4769), _xlpm.counts,COUNTIF(D1971:D4769,_xlpm.roles), INDEX(_xlpm.roles,MATCH(MAX(_xlpm.counts),_xlpm.counts,0)))</f>
        <v>Sniper</v>
      </c>
      <c r="X1971" s="2">
        <f t="shared" si="154"/>
        <v>12.520971302428256</v>
      </c>
    </row>
    <row r="1972" spans="1:24" x14ac:dyDescent="0.3">
      <c r="A1972">
        <v>2105</v>
      </c>
      <c r="B1972">
        <v>349</v>
      </c>
      <c r="C1972" t="s">
        <v>39</v>
      </c>
      <c r="D1972" t="s">
        <v>17</v>
      </c>
      <c r="E1972" t="s">
        <v>33</v>
      </c>
      <c r="F1972" t="s">
        <v>19</v>
      </c>
      <c r="G1972">
        <v>11</v>
      </c>
      <c r="H1972">
        <v>5</v>
      </c>
      <c r="I1972">
        <v>8</v>
      </c>
      <c r="J1972">
        <v>37.590000000000003</v>
      </c>
      <c r="K1972">
        <v>224.88</v>
      </c>
      <c r="L1972">
        <v>0.68</v>
      </c>
      <c r="M1972">
        <v>31</v>
      </c>
      <c r="N1972">
        <v>0.82</v>
      </c>
      <c r="O1972" t="s">
        <v>20</v>
      </c>
      <c r="P1972" t="s">
        <v>21</v>
      </c>
      <c r="Q1972">
        <f t="shared" si="150"/>
        <v>8</v>
      </c>
      <c r="R1972" s="4">
        <f>RANK(N1972,$N$2:N$2800,0)</f>
        <v>2275</v>
      </c>
      <c r="S1972">
        <f t="shared" si="151"/>
        <v>1.375</v>
      </c>
      <c r="T1972" t="str">
        <f t="shared" si="152"/>
        <v>Low</v>
      </c>
      <c r="U1972" t="str" cm="1">
        <f t="array" ref="U1972">_xlfn.LET(_xlpm.roles,_xlfn.UNIQUE(D1972:D4770),_xlpm.kills, SUMIF(D1972:D4770,_xlpm.roles,G1972:G4770),INDEX(_xlpm.roles,MATCH(MAX(_xlpm.kills),_xlpm.kills,0)))</f>
        <v>Sniper</v>
      </c>
      <c r="V1972" t="str">
        <f t="shared" si="153"/>
        <v>Medium Accuracy</v>
      </c>
      <c r="W1972" t="str" cm="1">
        <f t="array" ref="W1972">_xlfn.LET(_xlpm.roles,_xlfn.UNIQUE(D1972:D4770), _xlpm.counts,COUNTIF(D1972:D4770,_xlpm.roles), INDEX(_xlpm.roles,MATCH(MAX(_xlpm.counts),_xlpm.counts,0)))</f>
        <v>Sniper</v>
      </c>
      <c r="X1972" s="2">
        <f t="shared" si="154"/>
        <v>13.103594080338267</v>
      </c>
    </row>
    <row r="1973" spans="1:24" x14ac:dyDescent="0.3">
      <c r="A1973">
        <v>2641</v>
      </c>
      <c r="B1973">
        <v>349</v>
      </c>
      <c r="C1973" t="s">
        <v>25</v>
      </c>
      <c r="D1973" t="s">
        <v>28</v>
      </c>
      <c r="E1973" t="s">
        <v>23</v>
      </c>
      <c r="F1973" t="s">
        <v>19</v>
      </c>
      <c r="G1973">
        <v>10</v>
      </c>
      <c r="H1973">
        <v>8</v>
      </c>
      <c r="I1973">
        <v>18</v>
      </c>
      <c r="J1973">
        <v>42.9</v>
      </c>
      <c r="K1973">
        <v>255.14</v>
      </c>
      <c r="L1973">
        <v>0.79</v>
      </c>
      <c r="M1973">
        <v>23.55</v>
      </c>
      <c r="N1973">
        <v>0.67</v>
      </c>
      <c r="O1973" t="s">
        <v>20</v>
      </c>
      <c r="P1973" t="s">
        <v>21</v>
      </c>
      <c r="Q1973">
        <f t="shared" si="150"/>
        <v>0</v>
      </c>
      <c r="R1973" s="4">
        <f>RANK(N1973,$N$2:N$2800,0)</f>
        <v>2731</v>
      </c>
      <c r="S1973">
        <f t="shared" si="151"/>
        <v>0.55555555555555558</v>
      </c>
      <c r="T1973" t="str">
        <f t="shared" si="152"/>
        <v>Low</v>
      </c>
      <c r="U1973" t="str" cm="1">
        <f t="array" ref="U1973">_xlfn.LET(_xlpm.roles,_xlfn.UNIQUE(D1973:D4771),_xlpm.kills, SUMIF(D1973:D4771,_xlpm.roles,G1973:G4771),INDEX(_xlpm.roles,MATCH(MAX(_xlpm.kills),_xlpm.kills,0)))</f>
        <v>Sniper</v>
      </c>
      <c r="V1973" t="str">
        <f t="shared" si="153"/>
        <v>Medium Accuracy</v>
      </c>
      <c r="W1973" t="str" cm="1">
        <f t="array" ref="W1973">_xlfn.LET(_xlpm.roles,_xlfn.UNIQUE(D1973:D4771), _xlpm.counts,COUNTIF(D1973:D4771,_xlpm.roles), INDEX(_xlpm.roles,MATCH(MAX(_xlpm.counts),_xlpm.counts,0)))</f>
        <v>Sniper</v>
      </c>
      <c r="X1973" s="2">
        <f t="shared" si="154"/>
        <v>12.809421841541756</v>
      </c>
    </row>
    <row r="1974" spans="1:24" x14ac:dyDescent="0.3">
      <c r="A1974">
        <v>408</v>
      </c>
      <c r="B1974">
        <v>350</v>
      </c>
      <c r="C1974" t="s">
        <v>30</v>
      </c>
      <c r="D1974" t="s">
        <v>28</v>
      </c>
      <c r="E1974" t="s">
        <v>29</v>
      </c>
      <c r="F1974" t="s">
        <v>24</v>
      </c>
      <c r="G1974">
        <v>10</v>
      </c>
      <c r="H1974">
        <v>5</v>
      </c>
      <c r="I1974">
        <v>12</v>
      </c>
      <c r="J1974">
        <v>41.6</v>
      </c>
      <c r="K1974">
        <v>286.06</v>
      </c>
      <c r="L1974">
        <v>0.04</v>
      </c>
      <c r="M1974">
        <v>33.4</v>
      </c>
      <c r="N1974">
        <v>0.8</v>
      </c>
      <c r="O1974" t="s">
        <v>20</v>
      </c>
      <c r="P1974" t="s">
        <v>21</v>
      </c>
      <c r="Q1974">
        <f t="shared" si="150"/>
        <v>3</v>
      </c>
      <c r="R1974" s="4">
        <f>RANK(N1974,$N$2:N$2800,0)</f>
        <v>2393</v>
      </c>
      <c r="S1974">
        <f t="shared" si="151"/>
        <v>0.83333333333333337</v>
      </c>
      <c r="T1974" t="str">
        <f t="shared" si="152"/>
        <v>Low</v>
      </c>
      <c r="U1974" t="str" cm="1">
        <f t="array" ref="U1974">_xlfn.LET(_xlpm.roles,_xlfn.UNIQUE(D1974:D4772),_xlpm.kills, SUMIF(D1974:D4772,_xlpm.roles,G1974:G4772),INDEX(_xlpm.roles,MATCH(MAX(_xlpm.kills),_xlpm.kills,0)))</f>
        <v>Sniper</v>
      </c>
      <c r="V1974" t="str">
        <f t="shared" si="153"/>
        <v>Medium Accuracy</v>
      </c>
      <c r="W1974" t="str" cm="1">
        <f t="array" ref="W1974">_xlfn.LET(_xlpm.roles,_xlfn.UNIQUE(D1974:D4772), _xlpm.counts,COUNTIF(D1974:D4772,_xlpm.roles), INDEX(_xlpm.roles,MATCH(MAX(_xlpm.counts),_xlpm.counts,0)))</f>
        <v>Sniper</v>
      </c>
      <c r="X1974" s="2">
        <f t="shared" si="154"/>
        <v>13.135802469135802</v>
      </c>
    </row>
    <row r="1975" spans="1:24" x14ac:dyDescent="0.3">
      <c r="A1975">
        <v>415</v>
      </c>
      <c r="B1975">
        <v>350</v>
      </c>
      <c r="C1975" t="s">
        <v>27</v>
      </c>
      <c r="D1975" t="s">
        <v>22</v>
      </c>
      <c r="E1975" t="s">
        <v>33</v>
      </c>
      <c r="F1975" t="s">
        <v>24</v>
      </c>
      <c r="G1975">
        <v>12</v>
      </c>
      <c r="H1975">
        <v>7</v>
      </c>
      <c r="I1975">
        <v>14</v>
      </c>
      <c r="J1975">
        <v>44.87</v>
      </c>
      <c r="K1975">
        <v>240.5</v>
      </c>
      <c r="L1975">
        <v>0.34</v>
      </c>
      <c r="M1975">
        <v>36.04</v>
      </c>
      <c r="N1975">
        <v>0.99</v>
      </c>
      <c r="O1975" t="s">
        <v>20</v>
      </c>
      <c r="P1975" t="s">
        <v>21</v>
      </c>
      <c r="Q1975">
        <f t="shared" si="150"/>
        <v>5</v>
      </c>
      <c r="R1975" s="4">
        <f>RANK(N1975,$N$2:N$2800,0)</f>
        <v>1080</v>
      </c>
      <c r="S1975">
        <f t="shared" si="151"/>
        <v>0.8571428571428571</v>
      </c>
      <c r="T1975" t="str">
        <f t="shared" si="152"/>
        <v>Low</v>
      </c>
      <c r="U1975" t="str" cm="1">
        <f t="array" ref="U1975">_xlfn.LET(_xlpm.roles,_xlfn.UNIQUE(D1975:D4773),_xlpm.kills, SUMIF(D1975:D4773,_xlpm.roles,G1975:G4773),INDEX(_xlpm.roles,MATCH(MAX(_xlpm.kills),_xlpm.kills,0)))</f>
        <v>Sniper</v>
      </c>
      <c r="V1975" t="str">
        <f t="shared" si="153"/>
        <v>Medium Accuracy</v>
      </c>
      <c r="W1975" t="str" cm="1">
        <f t="array" ref="W1975">_xlfn.LET(_xlpm.roles,_xlfn.UNIQUE(D1975:D4773), _xlpm.counts,COUNTIF(D1975:D4773,_xlpm.roles), INDEX(_xlpm.roles,MATCH(MAX(_xlpm.counts),_xlpm.counts,0)))</f>
        <v>Sniper</v>
      </c>
      <c r="X1975" s="2">
        <f t="shared" si="154"/>
        <v>13.057077625570777</v>
      </c>
    </row>
    <row r="1976" spans="1:24" x14ac:dyDescent="0.3">
      <c r="A1976">
        <v>1737</v>
      </c>
      <c r="B1976">
        <v>350</v>
      </c>
      <c r="C1976" t="s">
        <v>39</v>
      </c>
      <c r="D1976" t="s">
        <v>28</v>
      </c>
      <c r="E1976" t="s">
        <v>18</v>
      </c>
      <c r="F1976" t="s">
        <v>26</v>
      </c>
      <c r="G1976">
        <v>15</v>
      </c>
      <c r="H1976">
        <v>8</v>
      </c>
      <c r="I1976">
        <v>11</v>
      </c>
      <c r="J1976">
        <v>34.33</v>
      </c>
      <c r="K1976">
        <v>223.23</v>
      </c>
      <c r="L1976">
        <v>0.28000000000000003</v>
      </c>
      <c r="M1976">
        <v>41.37</v>
      </c>
      <c r="N1976">
        <v>1</v>
      </c>
      <c r="O1976" t="s">
        <v>20</v>
      </c>
      <c r="P1976" t="s">
        <v>21</v>
      </c>
      <c r="Q1976">
        <f t="shared" si="150"/>
        <v>12</v>
      </c>
      <c r="R1976" s="4">
        <f>RANK(N1976,$N$2:N$2800,0)</f>
        <v>1</v>
      </c>
      <c r="S1976">
        <f t="shared" si="151"/>
        <v>1.3636363636363635</v>
      </c>
      <c r="T1976" t="str">
        <f t="shared" si="152"/>
        <v>Low</v>
      </c>
      <c r="U1976" t="str" cm="1">
        <f t="array" ref="U1976">_xlfn.LET(_xlpm.roles,_xlfn.UNIQUE(D1976:D4774),_xlpm.kills, SUMIF(D1976:D4774,_xlpm.roles,G1976:G4774),INDEX(_xlpm.roles,MATCH(MAX(_xlpm.kills),_xlpm.kills,0)))</f>
        <v>Sniper</v>
      </c>
      <c r="V1976" t="str">
        <f t="shared" si="153"/>
        <v>Medium Accuracy</v>
      </c>
      <c r="W1976" t="str" cm="1">
        <f t="array" ref="W1976">_xlfn.LET(_xlpm.roles,_xlfn.UNIQUE(D1976:D4774), _xlpm.counts,COUNTIF(D1976:D4774,_xlpm.roles), INDEX(_xlpm.roles,MATCH(MAX(_xlpm.counts),_xlpm.counts,0)))</f>
        <v>Sniper</v>
      </c>
      <c r="X1976" s="2">
        <f t="shared" si="154"/>
        <v>13.103594080338267</v>
      </c>
    </row>
    <row r="1977" spans="1:24" x14ac:dyDescent="0.3">
      <c r="A1977">
        <v>1798</v>
      </c>
      <c r="B1977">
        <v>350</v>
      </c>
      <c r="C1977" t="s">
        <v>27</v>
      </c>
      <c r="D1977" t="s">
        <v>36</v>
      </c>
      <c r="E1977" t="s">
        <v>29</v>
      </c>
      <c r="F1977" t="s">
        <v>26</v>
      </c>
      <c r="G1977">
        <v>16</v>
      </c>
      <c r="H1977">
        <v>7</v>
      </c>
      <c r="I1977">
        <v>17</v>
      </c>
      <c r="J1977">
        <v>53.48</v>
      </c>
      <c r="K1977">
        <v>199.8</v>
      </c>
      <c r="L1977">
        <v>0.22</v>
      </c>
      <c r="M1977">
        <v>46.54</v>
      </c>
      <c r="N1977">
        <v>0.77</v>
      </c>
      <c r="O1977" t="s">
        <v>20</v>
      </c>
      <c r="P1977" t="s">
        <v>21</v>
      </c>
      <c r="Q1977">
        <f t="shared" si="150"/>
        <v>6</v>
      </c>
      <c r="R1977" s="4">
        <f>RANK(N1977,$N$2:N$2800,0)</f>
        <v>2511</v>
      </c>
      <c r="S1977">
        <f t="shared" si="151"/>
        <v>0.94117647058823528</v>
      </c>
      <c r="T1977" t="str">
        <f t="shared" si="152"/>
        <v>Low</v>
      </c>
      <c r="U1977" t="str" cm="1">
        <f t="array" ref="U1977">_xlfn.LET(_xlpm.roles,_xlfn.UNIQUE(D1977:D4775),_xlpm.kills, SUMIF(D1977:D4775,_xlpm.roles,G1977:G4775),INDEX(_xlpm.roles,MATCH(MAX(_xlpm.kills),_xlpm.kills,0)))</f>
        <v>Sniper</v>
      </c>
      <c r="V1977" t="str">
        <f t="shared" si="153"/>
        <v>High Accuracy</v>
      </c>
      <c r="W1977" t="str" cm="1">
        <f t="array" ref="W1977">_xlfn.LET(_xlpm.roles,_xlfn.UNIQUE(D1977:D4775), _xlpm.counts,COUNTIF(D1977:D4775,_xlpm.roles), INDEX(_xlpm.roles,MATCH(MAX(_xlpm.counts),_xlpm.counts,0)))</f>
        <v>Sniper</v>
      </c>
      <c r="X1977" s="2">
        <f t="shared" si="154"/>
        <v>13.057077625570777</v>
      </c>
    </row>
    <row r="1978" spans="1:24" x14ac:dyDescent="0.3">
      <c r="A1978">
        <v>2605</v>
      </c>
      <c r="B1978">
        <v>350</v>
      </c>
      <c r="C1978" t="s">
        <v>25</v>
      </c>
      <c r="D1978" t="s">
        <v>28</v>
      </c>
      <c r="E1978" t="s">
        <v>23</v>
      </c>
      <c r="F1978" t="s">
        <v>26</v>
      </c>
      <c r="G1978">
        <v>22</v>
      </c>
      <c r="H1978">
        <v>5</v>
      </c>
      <c r="I1978">
        <v>13</v>
      </c>
      <c r="J1978">
        <v>61.77</v>
      </c>
      <c r="K1978">
        <v>253.21</v>
      </c>
      <c r="L1978">
        <v>0.21</v>
      </c>
      <c r="M1978">
        <v>64.790000000000006</v>
      </c>
      <c r="N1978">
        <v>1</v>
      </c>
      <c r="O1978" t="s">
        <v>20</v>
      </c>
      <c r="P1978" t="s">
        <v>38</v>
      </c>
      <c r="Q1978">
        <f t="shared" si="150"/>
        <v>14</v>
      </c>
      <c r="R1978" s="4">
        <f>RANK(N1978,$N$2:N$2800,0)</f>
        <v>1</v>
      </c>
      <c r="S1978">
        <f t="shared" si="151"/>
        <v>1.6923076923076923</v>
      </c>
      <c r="T1978" t="str">
        <f t="shared" si="152"/>
        <v>Low</v>
      </c>
      <c r="U1978" t="str" cm="1">
        <f t="array" ref="U1978">_xlfn.LET(_xlpm.roles,_xlfn.UNIQUE(D1978:D4776),_xlpm.kills, SUMIF(D1978:D4776,_xlpm.roles,G1978:G4776),INDEX(_xlpm.roles,MATCH(MAX(_xlpm.kills),_xlpm.kills,0)))</f>
        <v>Sniper</v>
      </c>
      <c r="V1978" t="str">
        <f t="shared" si="153"/>
        <v>High Accuracy</v>
      </c>
      <c r="W1978" t="str" cm="1">
        <f t="array" ref="W1978">_xlfn.LET(_xlpm.roles,_xlfn.UNIQUE(D1978:D4776), _xlpm.counts,COUNTIF(D1978:D4776,_xlpm.roles), INDEX(_xlpm.roles,MATCH(MAX(_xlpm.counts),_xlpm.counts,0)))</f>
        <v>Sniper</v>
      </c>
      <c r="X1978" s="2">
        <f t="shared" si="154"/>
        <v>12.809421841541756</v>
      </c>
    </row>
    <row r="1979" spans="1:24" x14ac:dyDescent="0.3">
      <c r="A1979">
        <v>222</v>
      </c>
      <c r="B1979">
        <v>351</v>
      </c>
      <c r="C1979" t="s">
        <v>39</v>
      </c>
      <c r="D1979" t="s">
        <v>17</v>
      </c>
      <c r="E1979" t="s">
        <v>32</v>
      </c>
      <c r="F1979" t="s">
        <v>24</v>
      </c>
      <c r="G1979">
        <v>13</v>
      </c>
      <c r="H1979">
        <v>9</v>
      </c>
      <c r="I1979">
        <v>14</v>
      </c>
      <c r="J1979">
        <v>53.12</v>
      </c>
      <c r="K1979">
        <v>242.35</v>
      </c>
      <c r="L1979">
        <v>0.19</v>
      </c>
      <c r="M1979">
        <v>45.66</v>
      </c>
      <c r="N1979">
        <v>1</v>
      </c>
      <c r="O1979" t="s">
        <v>20</v>
      </c>
      <c r="P1979" t="s">
        <v>21</v>
      </c>
      <c r="Q1979">
        <f t="shared" si="150"/>
        <v>8</v>
      </c>
      <c r="R1979" s="4">
        <f>RANK(N1979,$N$2:N$2800,0)</f>
        <v>1</v>
      </c>
      <c r="S1979">
        <f t="shared" si="151"/>
        <v>0.9285714285714286</v>
      </c>
      <c r="T1979" t="str">
        <f t="shared" si="152"/>
        <v>Low</v>
      </c>
      <c r="U1979" t="str" cm="1">
        <f t="array" ref="U1979">_xlfn.LET(_xlpm.roles,_xlfn.UNIQUE(D1979:D4777),_xlpm.kills, SUMIF(D1979:D4777,_xlpm.roles,G1979:G4777),INDEX(_xlpm.roles,MATCH(MAX(_xlpm.kills),_xlpm.kills,0)))</f>
        <v>Sniper</v>
      </c>
      <c r="V1979" t="str">
        <f t="shared" si="153"/>
        <v>High Accuracy</v>
      </c>
      <c r="W1979" t="str" cm="1">
        <f t="array" ref="W1979">_xlfn.LET(_xlpm.roles,_xlfn.UNIQUE(D1979:D4777), _xlpm.counts,COUNTIF(D1979:D4777,_xlpm.roles), INDEX(_xlpm.roles,MATCH(MAX(_xlpm.counts),_xlpm.counts,0)))</f>
        <v>Sniper</v>
      </c>
      <c r="X1979" s="2">
        <f t="shared" si="154"/>
        <v>13.103594080338267</v>
      </c>
    </row>
    <row r="1980" spans="1:24" x14ac:dyDescent="0.3">
      <c r="A1980">
        <v>935</v>
      </c>
      <c r="B1980">
        <v>351</v>
      </c>
      <c r="C1980" t="s">
        <v>39</v>
      </c>
      <c r="D1980" t="s">
        <v>17</v>
      </c>
      <c r="E1980" t="s">
        <v>23</v>
      </c>
      <c r="F1980" t="s">
        <v>26</v>
      </c>
      <c r="G1980">
        <v>12</v>
      </c>
      <c r="H1980">
        <v>10</v>
      </c>
      <c r="I1980">
        <v>15</v>
      </c>
      <c r="J1980">
        <v>46.18</v>
      </c>
      <c r="K1980">
        <v>200.71</v>
      </c>
      <c r="L1980">
        <v>0.12</v>
      </c>
      <c r="M1980">
        <v>40.89</v>
      </c>
      <c r="N1980">
        <v>0.96</v>
      </c>
      <c r="O1980" t="s">
        <v>20</v>
      </c>
      <c r="P1980" t="s">
        <v>21</v>
      </c>
      <c r="Q1980">
        <f t="shared" si="150"/>
        <v>7</v>
      </c>
      <c r="R1980" s="4">
        <f>RANK(N1980,$N$2:N$2800,0)</f>
        <v>1301</v>
      </c>
      <c r="S1980">
        <f t="shared" si="151"/>
        <v>0.8</v>
      </c>
      <c r="T1980" t="str">
        <f t="shared" si="152"/>
        <v>Low</v>
      </c>
      <c r="U1980" t="str" cm="1">
        <f t="array" ref="U1980">_xlfn.LET(_xlpm.roles,_xlfn.UNIQUE(D1980:D4778),_xlpm.kills, SUMIF(D1980:D4778,_xlpm.roles,G1980:G4778),INDEX(_xlpm.roles,MATCH(MAX(_xlpm.kills),_xlpm.kills,0)))</f>
        <v>Sniper</v>
      </c>
      <c r="V1980" t="str">
        <f t="shared" si="153"/>
        <v>Medium Accuracy</v>
      </c>
      <c r="W1980" t="str" cm="1">
        <f t="array" ref="W1980">_xlfn.LET(_xlpm.roles,_xlfn.UNIQUE(D1980:D4778), _xlpm.counts,COUNTIF(D1980:D4778,_xlpm.roles), INDEX(_xlpm.roles,MATCH(MAX(_xlpm.counts),_xlpm.counts,0)))</f>
        <v>Sniper</v>
      </c>
      <c r="X1980" s="2">
        <f t="shared" si="154"/>
        <v>13.103594080338267</v>
      </c>
    </row>
    <row r="1981" spans="1:24" x14ac:dyDescent="0.3">
      <c r="A1981">
        <v>974</v>
      </c>
      <c r="B1981">
        <v>351</v>
      </c>
      <c r="C1981" t="s">
        <v>27</v>
      </c>
      <c r="D1981" t="s">
        <v>31</v>
      </c>
      <c r="E1981" t="s">
        <v>32</v>
      </c>
      <c r="F1981" t="s">
        <v>26</v>
      </c>
      <c r="G1981">
        <v>14</v>
      </c>
      <c r="H1981">
        <v>7</v>
      </c>
      <c r="I1981">
        <v>7</v>
      </c>
      <c r="J1981">
        <v>32.090000000000003</v>
      </c>
      <c r="K1981">
        <v>226.13</v>
      </c>
      <c r="L1981">
        <v>0.66</v>
      </c>
      <c r="M1981">
        <v>37.450000000000003</v>
      </c>
      <c r="N1981">
        <v>0.76</v>
      </c>
      <c r="O1981" t="s">
        <v>20</v>
      </c>
      <c r="P1981" t="s">
        <v>21</v>
      </c>
      <c r="Q1981">
        <f t="shared" si="150"/>
        <v>14</v>
      </c>
      <c r="R1981" s="4">
        <f>RANK(N1981,$N$2:N$2800,0)</f>
        <v>2547</v>
      </c>
      <c r="S1981">
        <f t="shared" si="151"/>
        <v>2</v>
      </c>
      <c r="T1981" t="str">
        <f t="shared" si="152"/>
        <v>Low</v>
      </c>
      <c r="U1981" t="str" cm="1">
        <f t="array" ref="U1981">_xlfn.LET(_xlpm.roles,_xlfn.UNIQUE(D1981:D4779),_xlpm.kills, SUMIF(D1981:D4779,_xlpm.roles,G1981:G4779),INDEX(_xlpm.roles,MATCH(MAX(_xlpm.kills),_xlpm.kills,0)))</f>
        <v>Sniper</v>
      </c>
      <c r="V1981" t="str">
        <f t="shared" si="153"/>
        <v>Medium Accuracy</v>
      </c>
      <c r="W1981" t="str" cm="1">
        <f t="array" ref="W1981">_xlfn.LET(_xlpm.roles,_xlfn.UNIQUE(D1981:D4779), _xlpm.counts,COUNTIF(D1981:D4779,_xlpm.roles), INDEX(_xlpm.roles,MATCH(MAX(_xlpm.counts),_xlpm.counts,0)))</f>
        <v>Sniper</v>
      </c>
      <c r="X1981" s="2">
        <f t="shared" si="154"/>
        <v>13.057077625570777</v>
      </c>
    </row>
    <row r="1982" spans="1:24" x14ac:dyDescent="0.3">
      <c r="A1982">
        <v>80</v>
      </c>
      <c r="B1982">
        <v>352</v>
      </c>
      <c r="C1982" t="s">
        <v>27</v>
      </c>
      <c r="D1982" t="s">
        <v>22</v>
      </c>
      <c r="E1982" t="s">
        <v>18</v>
      </c>
      <c r="F1982" t="s">
        <v>19</v>
      </c>
      <c r="G1982">
        <v>16</v>
      </c>
      <c r="H1982">
        <v>5</v>
      </c>
      <c r="I1982">
        <v>8</v>
      </c>
      <c r="J1982">
        <v>64.52</v>
      </c>
      <c r="K1982">
        <v>169.21</v>
      </c>
      <c r="L1982">
        <v>0.28000000000000003</v>
      </c>
      <c r="M1982">
        <v>58.46</v>
      </c>
      <c r="N1982">
        <v>1</v>
      </c>
      <c r="O1982" t="s">
        <v>20</v>
      </c>
      <c r="P1982" t="s">
        <v>21</v>
      </c>
      <c r="Q1982">
        <f t="shared" si="150"/>
        <v>13</v>
      </c>
      <c r="R1982" s="4">
        <f>RANK(N1982,$N$2:N$2800,0)</f>
        <v>1</v>
      </c>
      <c r="S1982">
        <f t="shared" si="151"/>
        <v>2</v>
      </c>
      <c r="T1982" t="str">
        <f t="shared" si="152"/>
        <v>Low</v>
      </c>
      <c r="U1982" t="str" cm="1">
        <f t="array" ref="U1982">_xlfn.LET(_xlpm.roles,_xlfn.UNIQUE(D1982:D4780),_xlpm.kills, SUMIF(D1982:D4780,_xlpm.roles,G1982:G4780),INDEX(_xlpm.roles,MATCH(MAX(_xlpm.kills),_xlpm.kills,0)))</f>
        <v>Sniper</v>
      </c>
      <c r="V1982" t="str">
        <f t="shared" si="153"/>
        <v>High Accuracy</v>
      </c>
      <c r="W1982" t="str" cm="1">
        <f t="array" ref="W1982">_xlfn.LET(_xlpm.roles,_xlfn.UNIQUE(D1982:D4780), _xlpm.counts,COUNTIF(D1982:D4780,_xlpm.roles), INDEX(_xlpm.roles,MATCH(MAX(_xlpm.counts),_xlpm.counts,0)))</f>
        <v>Sniper</v>
      </c>
      <c r="X1982" s="2">
        <f t="shared" si="154"/>
        <v>13.057077625570777</v>
      </c>
    </row>
    <row r="1983" spans="1:24" x14ac:dyDescent="0.3">
      <c r="A1983">
        <v>344</v>
      </c>
      <c r="B1983">
        <v>352</v>
      </c>
      <c r="C1983" t="s">
        <v>25</v>
      </c>
      <c r="D1983" t="s">
        <v>22</v>
      </c>
      <c r="E1983" t="s">
        <v>29</v>
      </c>
      <c r="F1983" t="s">
        <v>37</v>
      </c>
      <c r="G1983">
        <v>20</v>
      </c>
      <c r="H1983">
        <v>7</v>
      </c>
      <c r="I1983">
        <v>12</v>
      </c>
      <c r="J1983">
        <v>45.81</v>
      </c>
      <c r="K1983">
        <v>248.69</v>
      </c>
      <c r="L1983">
        <v>0.97</v>
      </c>
      <c r="M1983">
        <v>48.2</v>
      </c>
      <c r="N1983">
        <v>1</v>
      </c>
      <c r="O1983" t="s">
        <v>20</v>
      </c>
      <c r="P1983" t="s">
        <v>21</v>
      </c>
      <c r="Q1983">
        <f t="shared" si="150"/>
        <v>15</v>
      </c>
      <c r="R1983" s="4">
        <f>RANK(N1983,$N$2:N$2800,0)</f>
        <v>1</v>
      </c>
      <c r="S1983">
        <f t="shared" si="151"/>
        <v>1.6666666666666667</v>
      </c>
      <c r="T1983" t="str">
        <f t="shared" si="152"/>
        <v>Good</v>
      </c>
      <c r="U1983" t="str" cm="1">
        <f t="array" ref="U1983">_xlfn.LET(_xlpm.roles,_xlfn.UNIQUE(D1983:D4781),_xlpm.kills, SUMIF(D1983:D4781,_xlpm.roles,G1983:G4781),INDEX(_xlpm.roles,MATCH(MAX(_xlpm.kills),_xlpm.kills,0)))</f>
        <v>Sniper</v>
      </c>
      <c r="V1983" t="str">
        <f t="shared" si="153"/>
        <v>Medium Accuracy</v>
      </c>
      <c r="W1983" t="str" cm="1">
        <f t="array" ref="W1983">_xlfn.LET(_xlpm.roles,_xlfn.UNIQUE(D1983:D4781), _xlpm.counts,COUNTIF(D1983:D4781,_xlpm.roles), INDEX(_xlpm.roles,MATCH(MAX(_xlpm.counts),_xlpm.counts,0)))</f>
        <v>Sniper</v>
      </c>
      <c r="X1983" s="2">
        <f t="shared" si="154"/>
        <v>12.809421841541756</v>
      </c>
    </row>
    <row r="1984" spans="1:24" x14ac:dyDescent="0.3">
      <c r="A1984">
        <v>478</v>
      </c>
      <c r="B1984">
        <v>352</v>
      </c>
      <c r="C1984" t="s">
        <v>27</v>
      </c>
      <c r="D1984" t="s">
        <v>28</v>
      </c>
      <c r="E1984" t="s">
        <v>32</v>
      </c>
      <c r="F1984" t="s">
        <v>24</v>
      </c>
      <c r="G1984">
        <v>14</v>
      </c>
      <c r="H1984">
        <v>10</v>
      </c>
      <c r="I1984">
        <v>11</v>
      </c>
      <c r="J1984">
        <v>37.54</v>
      </c>
      <c r="K1984">
        <v>253.55</v>
      </c>
      <c r="L1984">
        <v>0.85</v>
      </c>
      <c r="M1984">
        <v>37.270000000000003</v>
      </c>
      <c r="N1984">
        <v>0.74</v>
      </c>
      <c r="O1984" t="s">
        <v>20</v>
      </c>
      <c r="P1984" t="s">
        <v>21</v>
      </c>
      <c r="Q1984">
        <f t="shared" si="150"/>
        <v>13</v>
      </c>
      <c r="R1984" s="4">
        <f>RANK(N1984,$N$2:N$2800,0)</f>
        <v>2613</v>
      </c>
      <c r="S1984">
        <f t="shared" si="151"/>
        <v>1.2727272727272727</v>
      </c>
      <c r="T1984" t="str">
        <f t="shared" si="152"/>
        <v>Low</v>
      </c>
      <c r="U1984" t="str" cm="1">
        <f t="array" ref="U1984">_xlfn.LET(_xlpm.roles,_xlfn.UNIQUE(D1984:D4782),_xlpm.kills, SUMIF(D1984:D4782,_xlpm.roles,G1984:G4782),INDEX(_xlpm.roles,MATCH(MAX(_xlpm.kills),_xlpm.kills,0)))</f>
        <v>Sniper</v>
      </c>
      <c r="V1984" t="str">
        <f t="shared" si="153"/>
        <v>Medium Accuracy</v>
      </c>
      <c r="W1984" t="str" cm="1">
        <f t="array" ref="W1984">_xlfn.LET(_xlpm.roles,_xlfn.UNIQUE(D1984:D4782), _xlpm.counts,COUNTIF(D1984:D4782,_xlpm.roles), INDEX(_xlpm.roles,MATCH(MAX(_xlpm.counts),_xlpm.counts,0)))</f>
        <v>Sniper</v>
      </c>
      <c r="X1984" s="2">
        <f t="shared" si="154"/>
        <v>13.057077625570777</v>
      </c>
    </row>
    <row r="1985" spans="1:24" x14ac:dyDescent="0.3">
      <c r="A1985">
        <v>494</v>
      </c>
      <c r="B1985">
        <v>352</v>
      </c>
      <c r="C1985" t="s">
        <v>16</v>
      </c>
      <c r="D1985" t="s">
        <v>22</v>
      </c>
      <c r="E1985" t="s">
        <v>18</v>
      </c>
      <c r="F1985" t="s">
        <v>37</v>
      </c>
      <c r="G1985">
        <v>18</v>
      </c>
      <c r="H1985">
        <v>7</v>
      </c>
      <c r="I1985">
        <v>6</v>
      </c>
      <c r="J1985">
        <v>40.880000000000003</v>
      </c>
      <c r="K1985">
        <v>226.72</v>
      </c>
      <c r="L1985">
        <v>0.66</v>
      </c>
      <c r="M1985">
        <v>50.84</v>
      </c>
      <c r="N1985">
        <v>0.81</v>
      </c>
      <c r="O1985" t="s">
        <v>20</v>
      </c>
      <c r="P1985" t="s">
        <v>21</v>
      </c>
      <c r="Q1985">
        <f t="shared" si="150"/>
        <v>19</v>
      </c>
      <c r="R1985" s="4">
        <f>RANK(N1985,$N$2:N$2800,0)</f>
        <v>2341</v>
      </c>
      <c r="S1985">
        <f t="shared" si="151"/>
        <v>3</v>
      </c>
      <c r="T1985" t="str">
        <f t="shared" si="152"/>
        <v>Good</v>
      </c>
      <c r="U1985" t="str" cm="1">
        <f t="array" ref="U1985">_xlfn.LET(_xlpm.roles,_xlfn.UNIQUE(D1985:D4783),_xlpm.kills, SUMIF(D1985:D4783,_xlpm.roles,G1985:G4783),INDEX(_xlpm.roles,MATCH(MAX(_xlpm.kills),_xlpm.kills,0)))</f>
        <v>Sniper</v>
      </c>
      <c r="V1985" t="str">
        <f t="shared" si="153"/>
        <v>Medium Accuracy</v>
      </c>
      <c r="W1985" t="str" cm="1">
        <f t="array" ref="W1985">_xlfn.LET(_xlpm.roles,_xlfn.UNIQUE(D1985:D4783), _xlpm.counts,COUNTIF(D1985:D4783,_xlpm.roles), INDEX(_xlpm.roles,MATCH(MAX(_xlpm.counts),_xlpm.counts,0)))</f>
        <v>Sniper</v>
      </c>
      <c r="X1985" s="2">
        <f t="shared" si="154"/>
        <v>12.520971302428256</v>
      </c>
    </row>
    <row r="1986" spans="1:24" x14ac:dyDescent="0.3">
      <c r="A1986">
        <v>1327</v>
      </c>
      <c r="B1986">
        <v>352</v>
      </c>
      <c r="C1986" t="s">
        <v>30</v>
      </c>
      <c r="D1986" t="s">
        <v>28</v>
      </c>
      <c r="E1986" t="s">
        <v>29</v>
      </c>
      <c r="F1986" t="s">
        <v>24</v>
      </c>
      <c r="G1986">
        <v>9</v>
      </c>
      <c r="H1986">
        <v>15</v>
      </c>
      <c r="I1986">
        <v>10</v>
      </c>
      <c r="J1986">
        <v>37.36</v>
      </c>
      <c r="K1986">
        <v>229.68</v>
      </c>
      <c r="L1986">
        <v>0.39</v>
      </c>
      <c r="M1986">
        <v>37.78</v>
      </c>
      <c r="N1986">
        <v>0.85</v>
      </c>
      <c r="O1986" t="s">
        <v>20</v>
      </c>
      <c r="P1986" t="s">
        <v>21</v>
      </c>
      <c r="Q1986">
        <f t="shared" si="150"/>
        <v>14</v>
      </c>
      <c r="R1986" s="4">
        <f>RANK(N1986,$N$2:N$2800,0)</f>
        <v>2105</v>
      </c>
      <c r="S1986">
        <f t="shared" si="151"/>
        <v>0.9</v>
      </c>
      <c r="T1986" t="str">
        <f t="shared" si="152"/>
        <v>Low</v>
      </c>
      <c r="U1986" t="str" cm="1">
        <f t="array" ref="U1986">_xlfn.LET(_xlpm.roles,_xlfn.UNIQUE(D1986:D4784),_xlpm.kills, SUMIF(D1986:D4784,_xlpm.roles,G1986:G4784),INDEX(_xlpm.roles,MATCH(MAX(_xlpm.kills),_xlpm.kills,0)))</f>
        <v>Sniper</v>
      </c>
      <c r="V1986" t="str">
        <f t="shared" si="153"/>
        <v>Medium Accuracy</v>
      </c>
      <c r="W1986" t="str" cm="1">
        <f t="array" ref="W1986">_xlfn.LET(_xlpm.roles,_xlfn.UNIQUE(D1986:D4784), _xlpm.counts,COUNTIF(D1986:D4784,_xlpm.roles), INDEX(_xlpm.roles,MATCH(MAX(_xlpm.counts),_xlpm.counts,0)))</f>
        <v>Sniper</v>
      </c>
      <c r="X1986" s="2">
        <f t="shared" si="154"/>
        <v>13.135802469135802</v>
      </c>
    </row>
    <row r="1987" spans="1:24" x14ac:dyDescent="0.3">
      <c r="A1987">
        <v>1642</v>
      </c>
      <c r="B1987">
        <v>352</v>
      </c>
      <c r="C1987" t="s">
        <v>30</v>
      </c>
      <c r="D1987" t="s">
        <v>36</v>
      </c>
      <c r="E1987" t="s">
        <v>33</v>
      </c>
      <c r="F1987" t="s">
        <v>34</v>
      </c>
      <c r="G1987">
        <v>20</v>
      </c>
      <c r="H1987">
        <v>12</v>
      </c>
      <c r="I1987">
        <v>12</v>
      </c>
      <c r="J1987">
        <v>53.97</v>
      </c>
      <c r="K1987">
        <v>215.22</v>
      </c>
      <c r="L1987">
        <v>0.41</v>
      </c>
      <c r="M1987">
        <v>62.88</v>
      </c>
      <c r="N1987">
        <v>1</v>
      </c>
      <c r="O1987" t="s">
        <v>20</v>
      </c>
      <c r="P1987" t="s">
        <v>38</v>
      </c>
      <c r="Q1987">
        <f t="shared" ref="Q1987:Q2050" si="155">G1987+H1987-I1987</f>
        <v>20</v>
      </c>
      <c r="R1987" s="4">
        <f>RANK(N1987,$N$2:N$2800,0)</f>
        <v>1</v>
      </c>
      <c r="S1987">
        <f t="shared" ref="S1987:S2050" si="156">G1987/I1987</f>
        <v>1.6666666666666667</v>
      </c>
      <c r="T1987" t="str">
        <f t="shared" ref="T1987:T2050" si="157">IF(Q1987&lt;15,"Low",IF(Q1987&lt;25,"Good","Excellent"))</f>
        <v>Good</v>
      </c>
      <c r="U1987" t="str" cm="1">
        <f t="array" ref="U1987">_xlfn.LET(_xlpm.roles,_xlfn.UNIQUE(D1987:D4785),_xlpm.kills, SUMIF(D1987:D4785,_xlpm.roles,G1987:G4785),INDEX(_xlpm.roles,MATCH(MAX(_xlpm.kills),_xlpm.kills,0)))</f>
        <v>Sniper</v>
      </c>
      <c r="V1987" t="str">
        <f t="shared" ref="V1987:V2050" si="158">IF(J1987&gt;=50,"High Accuracy",IF(J1987&gt;=30,"Medium Accuracy","Low Accuracy"))</f>
        <v>High Accuracy</v>
      </c>
      <c r="W1987" t="str" cm="1">
        <f t="array" ref="W1987">_xlfn.LET(_xlpm.roles,_xlfn.UNIQUE(D1987:D4785), _xlpm.counts,COUNTIF(D1987:D4785,_xlpm.roles), INDEX(_xlpm.roles,MATCH(MAX(_xlpm.counts),_xlpm.counts,0)))</f>
        <v>Sniper</v>
      </c>
      <c r="X1987" s="2">
        <f t="shared" ref="X1987:X2050" si="159">AVERAGEIF($C$2:$C$2800,C1987,$Q$2:$Q$2800)</f>
        <v>13.135802469135802</v>
      </c>
    </row>
    <row r="1988" spans="1:24" x14ac:dyDescent="0.3">
      <c r="A1988">
        <v>1787</v>
      </c>
      <c r="B1988">
        <v>352</v>
      </c>
      <c r="C1988" t="s">
        <v>35</v>
      </c>
      <c r="D1988" t="s">
        <v>31</v>
      </c>
      <c r="E1988" t="s">
        <v>32</v>
      </c>
      <c r="F1988" t="s">
        <v>24</v>
      </c>
      <c r="G1988">
        <v>13</v>
      </c>
      <c r="H1988">
        <v>10</v>
      </c>
      <c r="I1988">
        <v>14</v>
      </c>
      <c r="J1988">
        <v>53.6</v>
      </c>
      <c r="K1988">
        <v>184.54</v>
      </c>
      <c r="L1988">
        <v>0.71</v>
      </c>
      <c r="M1988">
        <v>41.7</v>
      </c>
      <c r="N1988">
        <v>0.95</v>
      </c>
      <c r="O1988" t="s">
        <v>20</v>
      </c>
      <c r="P1988" t="s">
        <v>21</v>
      </c>
      <c r="Q1988">
        <f t="shared" si="155"/>
        <v>9</v>
      </c>
      <c r="R1988" s="4">
        <f>RANK(N1988,$N$2:N$2800,0)</f>
        <v>1367</v>
      </c>
      <c r="S1988">
        <f t="shared" si="156"/>
        <v>0.9285714285714286</v>
      </c>
      <c r="T1988" t="str">
        <f t="shared" si="157"/>
        <v>Low</v>
      </c>
      <c r="U1988" t="str" cm="1">
        <f t="array" ref="U1988">_xlfn.LET(_xlpm.roles,_xlfn.UNIQUE(D1988:D4786),_xlpm.kills, SUMIF(D1988:D4786,_xlpm.roles,G1988:G4786),INDEX(_xlpm.roles,MATCH(MAX(_xlpm.kills),_xlpm.kills,0)))</f>
        <v>Sniper</v>
      </c>
      <c r="V1988" t="str">
        <f t="shared" si="158"/>
        <v>High Accuracy</v>
      </c>
      <c r="W1988" t="str" cm="1">
        <f t="array" ref="W1988">_xlfn.LET(_xlpm.roles,_xlfn.UNIQUE(D1988:D4786), _xlpm.counts,COUNTIF(D1988:D4786,_xlpm.roles), INDEX(_xlpm.roles,MATCH(MAX(_xlpm.counts),_xlpm.counts,0)))</f>
        <v>Sniper</v>
      </c>
      <c r="X1988" s="2">
        <f t="shared" si="159"/>
        <v>12.599585062240664</v>
      </c>
    </row>
    <row r="1989" spans="1:24" x14ac:dyDescent="0.3">
      <c r="A1989">
        <v>1790</v>
      </c>
      <c r="B1989">
        <v>352</v>
      </c>
      <c r="C1989" t="s">
        <v>39</v>
      </c>
      <c r="D1989" t="s">
        <v>28</v>
      </c>
      <c r="E1989" t="s">
        <v>18</v>
      </c>
      <c r="F1989" t="s">
        <v>37</v>
      </c>
      <c r="G1989">
        <v>14</v>
      </c>
      <c r="H1989">
        <v>8</v>
      </c>
      <c r="I1989">
        <v>10</v>
      </c>
      <c r="J1989">
        <v>46.8</v>
      </c>
      <c r="K1989">
        <v>264.97000000000003</v>
      </c>
      <c r="L1989">
        <v>0.22</v>
      </c>
      <c r="M1989">
        <v>47.2</v>
      </c>
      <c r="N1989">
        <v>0.9</v>
      </c>
      <c r="O1989" t="s">
        <v>20</v>
      </c>
      <c r="P1989" t="s">
        <v>21</v>
      </c>
      <c r="Q1989">
        <f t="shared" si="155"/>
        <v>12</v>
      </c>
      <c r="R1989" s="4">
        <f>RANK(N1989,$N$2:N$2800,0)</f>
        <v>1738</v>
      </c>
      <c r="S1989">
        <f t="shared" si="156"/>
        <v>1.4</v>
      </c>
      <c r="T1989" t="str">
        <f t="shared" si="157"/>
        <v>Low</v>
      </c>
      <c r="U1989" t="str" cm="1">
        <f t="array" ref="U1989">_xlfn.LET(_xlpm.roles,_xlfn.UNIQUE(D1989:D4787),_xlpm.kills, SUMIF(D1989:D4787,_xlpm.roles,G1989:G4787),INDEX(_xlpm.roles,MATCH(MAX(_xlpm.kills),_xlpm.kills,0)))</f>
        <v>Sniper</v>
      </c>
      <c r="V1989" t="str">
        <f t="shared" si="158"/>
        <v>Medium Accuracy</v>
      </c>
      <c r="W1989" t="str" cm="1">
        <f t="array" ref="W1989">_xlfn.LET(_xlpm.roles,_xlfn.UNIQUE(D1989:D4787), _xlpm.counts,COUNTIF(D1989:D4787,_xlpm.roles), INDEX(_xlpm.roles,MATCH(MAX(_xlpm.counts),_xlpm.counts,0)))</f>
        <v>Sniper</v>
      </c>
      <c r="X1989" s="2">
        <f t="shared" si="159"/>
        <v>13.103594080338267</v>
      </c>
    </row>
    <row r="1990" spans="1:24" x14ac:dyDescent="0.3">
      <c r="A1990">
        <v>2231</v>
      </c>
      <c r="B1990">
        <v>352</v>
      </c>
      <c r="C1990" t="s">
        <v>39</v>
      </c>
      <c r="D1990" t="s">
        <v>22</v>
      </c>
      <c r="E1990" t="s">
        <v>29</v>
      </c>
      <c r="F1990" t="s">
        <v>24</v>
      </c>
      <c r="G1990">
        <v>9</v>
      </c>
      <c r="H1990">
        <v>9</v>
      </c>
      <c r="I1990">
        <v>7</v>
      </c>
      <c r="J1990">
        <v>40.14</v>
      </c>
      <c r="K1990">
        <v>216.94</v>
      </c>
      <c r="L1990">
        <v>0.13</v>
      </c>
      <c r="M1990">
        <v>38.770000000000003</v>
      </c>
      <c r="N1990">
        <v>0.68</v>
      </c>
      <c r="O1990" t="s">
        <v>20</v>
      </c>
      <c r="P1990" t="s">
        <v>21</v>
      </c>
      <c r="Q1990">
        <f t="shared" si="155"/>
        <v>11</v>
      </c>
      <c r="R1990" s="4">
        <f>RANK(N1990,$N$2:N$2800,0)</f>
        <v>2719</v>
      </c>
      <c r="S1990">
        <f t="shared" si="156"/>
        <v>1.2857142857142858</v>
      </c>
      <c r="T1990" t="str">
        <f t="shared" si="157"/>
        <v>Low</v>
      </c>
      <c r="U1990" t="str" cm="1">
        <f t="array" ref="U1990">_xlfn.LET(_xlpm.roles,_xlfn.UNIQUE(D1990:D4788),_xlpm.kills, SUMIF(D1990:D4788,_xlpm.roles,G1990:G4788),INDEX(_xlpm.roles,MATCH(MAX(_xlpm.kills),_xlpm.kills,0)))</f>
        <v>Sniper</v>
      </c>
      <c r="V1990" t="str">
        <f t="shared" si="158"/>
        <v>Medium Accuracy</v>
      </c>
      <c r="W1990" t="str" cm="1">
        <f t="array" ref="W1990">_xlfn.LET(_xlpm.roles,_xlfn.UNIQUE(D1990:D4788), _xlpm.counts,COUNTIF(D1990:D4788,_xlpm.roles), INDEX(_xlpm.roles,MATCH(MAX(_xlpm.counts),_xlpm.counts,0)))</f>
        <v>Sniper</v>
      </c>
      <c r="X1990" s="2">
        <f t="shared" si="159"/>
        <v>13.103594080338267</v>
      </c>
    </row>
    <row r="1991" spans="1:24" x14ac:dyDescent="0.3">
      <c r="A1991">
        <v>690</v>
      </c>
      <c r="B1991">
        <v>353</v>
      </c>
      <c r="C1991" t="s">
        <v>39</v>
      </c>
      <c r="D1991" t="s">
        <v>28</v>
      </c>
      <c r="E1991" t="s">
        <v>23</v>
      </c>
      <c r="F1991" t="s">
        <v>37</v>
      </c>
      <c r="G1991">
        <v>13</v>
      </c>
      <c r="H1991">
        <v>12</v>
      </c>
      <c r="I1991">
        <v>17</v>
      </c>
      <c r="J1991">
        <v>52.45</v>
      </c>
      <c r="K1991">
        <v>217.19</v>
      </c>
      <c r="L1991">
        <v>0.04</v>
      </c>
      <c r="M1991">
        <v>46.83</v>
      </c>
      <c r="N1991">
        <v>0.97</v>
      </c>
      <c r="O1991" t="s">
        <v>20</v>
      </c>
      <c r="P1991" t="s">
        <v>21</v>
      </c>
      <c r="Q1991">
        <f t="shared" si="155"/>
        <v>8</v>
      </c>
      <c r="R1991" s="4">
        <f>RANK(N1991,$N$2:N$2800,0)</f>
        <v>1243</v>
      </c>
      <c r="S1991">
        <f t="shared" si="156"/>
        <v>0.76470588235294112</v>
      </c>
      <c r="T1991" t="str">
        <f t="shared" si="157"/>
        <v>Low</v>
      </c>
      <c r="U1991" t="str" cm="1">
        <f t="array" ref="U1991">_xlfn.LET(_xlpm.roles,_xlfn.UNIQUE(D1991:D4789),_xlpm.kills, SUMIF(D1991:D4789,_xlpm.roles,G1991:G4789),INDEX(_xlpm.roles,MATCH(MAX(_xlpm.kills),_xlpm.kills,0)))</f>
        <v>Sniper</v>
      </c>
      <c r="V1991" t="str">
        <f t="shared" si="158"/>
        <v>High Accuracy</v>
      </c>
      <c r="W1991" t="str" cm="1">
        <f t="array" ref="W1991">_xlfn.LET(_xlpm.roles,_xlfn.UNIQUE(D1991:D4789), _xlpm.counts,COUNTIF(D1991:D4789,_xlpm.roles), INDEX(_xlpm.roles,MATCH(MAX(_xlpm.counts),_xlpm.counts,0)))</f>
        <v>Sniper</v>
      </c>
      <c r="X1991" s="2">
        <f t="shared" si="159"/>
        <v>13.103594080338267</v>
      </c>
    </row>
    <row r="1992" spans="1:24" x14ac:dyDescent="0.3">
      <c r="A1992">
        <v>940</v>
      </c>
      <c r="B1992">
        <v>353</v>
      </c>
      <c r="C1992" t="s">
        <v>35</v>
      </c>
      <c r="D1992" t="s">
        <v>31</v>
      </c>
      <c r="E1992" t="s">
        <v>33</v>
      </c>
      <c r="F1992" t="s">
        <v>24</v>
      </c>
      <c r="G1992">
        <v>19</v>
      </c>
      <c r="H1992">
        <v>6</v>
      </c>
      <c r="I1992">
        <v>8</v>
      </c>
      <c r="J1992">
        <v>56.22</v>
      </c>
      <c r="K1992">
        <v>223.75</v>
      </c>
      <c r="L1992">
        <v>0.43</v>
      </c>
      <c r="M1992">
        <v>59.81</v>
      </c>
      <c r="N1992">
        <v>1</v>
      </c>
      <c r="O1992" t="s">
        <v>20</v>
      </c>
      <c r="P1992" t="s">
        <v>21</v>
      </c>
      <c r="Q1992">
        <f t="shared" si="155"/>
        <v>17</v>
      </c>
      <c r="R1992" s="4">
        <f>RANK(N1992,$N$2:N$2800,0)</f>
        <v>1</v>
      </c>
      <c r="S1992">
        <f t="shared" si="156"/>
        <v>2.375</v>
      </c>
      <c r="T1992" t="str">
        <f t="shared" si="157"/>
        <v>Good</v>
      </c>
      <c r="U1992" t="str" cm="1">
        <f t="array" ref="U1992">_xlfn.LET(_xlpm.roles,_xlfn.UNIQUE(D1992:D4790),_xlpm.kills, SUMIF(D1992:D4790,_xlpm.roles,G1992:G4790),INDEX(_xlpm.roles,MATCH(MAX(_xlpm.kills),_xlpm.kills,0)))</f>
        <v>Sniper</v>
      </c>
      <c r="V1992" t="str">
        <f t="shared" si="158"/>
        <v>High Accuracy</v>
      </c>
      <c r="W1992" t="str" cm="1">
        <f t="array" ref="W1992">_xlfn.LET(_xlpm.roles,_xlfn.UNIQUE(D1992:D4790), _xlpm.counts,COUNTIF(D1992:D4790,_xlpm.roles), INDEX(_xlpm.roles,MATCH(MAX(_xlpm.counts),_xlpm.counts,0)))</f>
        <v>Sniper</v>
      </c>
      <c r="X1992" s="2">
        <f t="shared" si="159"/>
        <v>12.599585062240664</v>
      </c>
    </row>
    <row r="1993" spans="1:24" x14ac:dyDescent="0.3">
      <c r="A1993">
        <v>1074</v>
      </c>
      <c r="B1993">
        <v>353</v>
      </c>
      <c r="C1993" t="s">
        <v>39</v>
      </c>
      <c r="D1993" t="s">
        <v>22</v>
      </c>
      <c r="E1993" t="s">
        <v>32</v>
      </c>
      <c r="F1993" t="s">
        <v>37</v>
      </c>
      <c r="G1993">
        <v>20</v>
      </c>
      <c r="H1993">
        <v>11</v>
      </c>
      <c r="I1993">
        <v>9</v>
      </c>
      <c r="J1993">
        <v>46.3</v>
      </c>
      <c r="K1993">
        <v>260.94</v>
      </c>
      <c r="L1993">
        <v>0.44</v>
      </c>
      <c r="M1993">
        <v>60.75</v>
      </c>
      <c r="N1993">
        <v>1</v>
      </c>
      <c r="O1993" t="s">
        <v>20</v>
      </c>
      <c r="P1993" t="s">
        <v>38</v>
      </c>
      <c r="Q1993">
        <f t="shared" si="155"/>
        <v>22</v>
      </c>
      <c r="R1993" s="4">
        <f>RANK(N1993,$N$2:N$2800,0)</f>
        <v>1</v>
      </c>
      <c r="S1993">
        <f t="shared" si="156"/>
        <v>2.2222222222222223</v>
      </c>
      <c r="T1993" t="str">
        <f t="shared" si="157"/>
        <v>Good</v>
      </c>
      <c r="U1993" t="str" cm="1">
        <f t="array" ref="U1993">_xlfn.LET(_xlpm.roles,_xlfn.UNIQUE(D1993:D4791),_xlpm.kills, SUMIF(D1993:D4791,_xlpm.roles,G1993:G4791),INDEX(_xlpm.roles,MATCH(MAX(_xlpm.kills),_xlpm.kills,0)))</f>
        <v>Sniper</v>
      </c>
      <c r="V1993" t="str">
        <f t="shared" si="158"/>
        <v>Medium Accuracy</v>
      </c>
      <c r="W1993" t="str" cm="1">
        <f t="array" ref="W1993">_xlfn.LET(_xlpm.roles,_xlfn.UNIQUE(D1993:D4791), _xlpm.counts,COUNTIF(D1993:D4791,_xlpm.roles), INDEX(_xlpm.roles,MATCH(MAX(_xlpm.counts),_xlpm.counts,0)))</f>
        <v>Sniper</v>
      </c>
      <c r="X1993" s="2">
        <f t="shared" si="159"/>
        <v>13.103594080338267</v>
      </c>
    </row>
    <row r="1994" spans="1:24" x14ac:dyDescent="0.3">
      <c r="A1994">
        <v>1198</v>
      </c>
      <c r="B1994">
        <v>353</v>
      </c>
      <c r="C1994" t="s">
        <v>16</v>
      </c>
      <c r="D1994" t="s">
        <v>28</v>
      </c>
      <c r="E1994" t="s">
        <v>29</v>
      </c>
      <c r="F1994" t="s">
        <v>19</v>
      </c>
      <c r="G1994">
        <v>22</v>
      </c>
      <c r="H1994">
        <v>6</v>
      </c>
      <c r="I1994">
        <v>13</v>
      </c>
      <c r="J1994">
        <v>47</v>
      </c>
      <c r="K1994">
        <v>279.39999999999998</v>
      </c>
      <c r="L1994">
        <v>0.91</v>
      </c>
      <c r="M1994">
        <v>51.4</v>
      </c>
      <c r="N1994">
        <v>1</v>
      </c>
      <c r="O1994" t="s">
        <v>20</v>
      </c>
      <c r="P1994" t="s">
        <v>21</v>
      </c>
      <c r="Q1994">
        <f t="shared" si="155"/>
        <v>15</v>
      </c>
      <c r="R1994" s="4">
        <f>RANK(N1994,$N$2:N$2800,0)</f>
        <v>1</v>
      </c>
      <c r="S1994">
        <f t="shared" si="156"/>
        <v>1.6923076923076923</v>
      </c>
      <c r="T1994" t="str">
        <f t="shared" si="157"/>
        <v>Good</v>
      </c>
      <c r="U1994" t="str" cm="1">
        <f t="array" ref="U1994">_xlfn.LET(_xlpm.roles,_xlfn.UNIQUE(D1994:D4792),_xlpm.kills, SUMIF(D1994:D4792,_xlpm.roles,G1994:G4792),INDEX(_xlpm.roles,MATCH(MAX(_xlpm.kills),_xlpm.kills,0)))</f>
        <v>Sniper</v>
      </c>
      <c r="V1994" t="str">
        <f t="shared" si="158"/>
        <v>Medium Accuracy</v>
      </c>
      <c r="W1994" t="str" cm="1">
        <f t="array" ref="W1994">_xlfn.LET(_xlpm.roles,_xlfn.UNIQUE(D1994:D4792), _xlpm.counts,COUNTIF(D1994:D4792,_xlpm.roles), INDEX(_xlpm.roles,MATCH(MAX(_xlpm.counts),_xlpm.counts,0)))</f>
        <v>Sniper</v>
      </c>
      <c r="X1994" s="2">
        <f t="shared" si="159"/>
        <v>12.520971302428256</v>
      </c>
    </row>
    <row r="1995" spans="1:24" x14ac:dyDescent="0.3">
      <c r="A1995">
        <v>1935</v>
      </c>
      <c r="B1995">
        <v>353</v>
      </c>
      <c r="C1995" t="s">
        <v>30</v>
      </c>
      <c r="D1995" t="s">
        <v>17</v>
      </c>
      <c r="E1995" t="s">
        <v>29</v>
      </c>
      <c r="F1995" t="s">
        <v>34</v>
      </c>
      <c r="G1995">
        <v>12</v>
      </c>
      <c r="H1995">
        <v>3</v>
      </c>
      <c r="I1995">
        <v>7</v>
      </c>
      <c r="J1995">
        <v>39.61</v>
      </c>
      <c r="K1995">
        <v>243.2</v>
      </c>
      <c r="L1995">
        <v>0.54</v>
      </c>
      <c r="M1995">
        <v>34.409999999999997</v>
      </c>
      <c r="N1995">
        <v>0.84</v>
      </c>
      <c r="O1995" t="s">
        <v>20</v>
      </c>
      <c r="P1995" t="s">
        <v>21</v>
      </c>
      <c r="Q1995">
        <f t="shared" si="155"/>
        <v>8</v>
      </c>
      <c r="R1995" s="4">
        <f>RANK(N1995,$N$2:N$2800,0)</f>
        <v>2156</v>
      </c>
      <c r="S1995">
        <f t="shared" si="156"/>
        <v>1.7142857142857142</v>
      </c>
      <c r="T1995" t="str">
        <f t="shared" si="157"/>
        <v>Low</v>
      </c>
      <c r="U1995" t="str" cm="1">
        <f t="array" ref="U1995">_xlfn.LET(_xlpm.roles,_xlfn.UNIQUE(D1995:D4793),_xlpm.kills, SUMIF(D1995:D4793,_xlpm.roles,G1995:G4793),INDEX(_xlpm.roles,MATCH(MAX(_xlpm.kills),_xlpm.kills,0)))</f>
        <v>Sniper</v>
      </c>
      <c r="V1995" t="str">
        <f t="shared" si="158"/>
        <v>Medium Accuracy</v>
      </c>
      <c r="W1995" t="str" cm="1">
        <f t="array" ref="W1995">_xlfn.LET(_xlpm.roles,_xlfn.UNIQUE(D1995:D4793), _xlpm.counts,COUNTIF(D1995:D4793,_xlpm.roles), INDEX(_xlpm.roles,MATCH(MAX(_xlpm.counts),_xlpm.counts,0)))</f>
        <v>Sniper</v>
      </c>
      <c r="X1995" s="2">
        <f t="shared" si="159"/>
        <v>13.135802469135802</v>
      </c>
    </row>
    <row r="1996" spans="1:24" x14ac:dyDescent="0.3">
      <c r="A1996">
        <v>2415</v>
      </c>
      <c r="B1996">
        <v>353</v>
      </c>
      <c r="C1996" t="s">
        <v>25</v>
      </c>
      <c r="D1996" t="s">
        <v>36</v>
      </c>
      <c r="E1996" t="s">
        <v>23</v>
      </c>
      <c r="F1996" t="s">
        <v>19</v>
      </c>
      <c r="G1996">
        <v>16</v>
      </c>
      <c r="H1996">
        <v>6</v>
      </c>
      <c r="I1996">
        <v>7</v>
      </c>
      <c r="J1996">
        <v>39.28</v>
      </c>
      <c r="K1996">
        <v>217.62</v>
      </c>
      <c r="L1996">
        <v>0.12</v>
      </c>
      <c r="M1996">
        <v>49.44</v>
      </c>
      <c r="N1996">
        <v>0.87</v>
      </c>
      <c r="O1996" t="s">
        <v>20</v>
      </c>
      <c r="P1996" t="s">
        <v>21</v>
      </c>
      <c r="Q1996">
        <f t="shared" si="155"/>
        <v>15</v>
      </c>
      <c r="R1996" s="4">
        <f>RANK(N1996,$N$2:N$2800,0)</f>
        <v>1965</v>
      </c>
      <c r="S1996">
        <f t="shared" si="156"/>
        <v>2.2857142857142856</v>
      </c>
      <c r="T1996" t="str">
        <f t="shared" si="157"/>
        <v>Good</v>
      </c>
      <c r="U1996" t="str" cm="1">
        <f t="array" ref="U1996">_xlfn.LET(_xlpm.roles,_xlfn.UNIQUE(D1996:D4794),_xlpm.kills, SUMIF(D1996:D4794,_xlpm.roles,G1996:G4794),INDEX(_xlpm.roles,MATCH(MAX(_xlpm.kills),_xlpm.kills,0)))</f>
        <v>Sniper</v>
      </c>
      <c r="V1996" t="str">
        <f t="shared" si="158"/>
        <v>Medium Accuracy</v>
      </c>
      <c r="W1996" t="str" cm="1">
        <f t="array" ref="W1996">_xlfn.LET(_xlpm.roles,_xlfn.UNIQUE(D1996:D4794), _xlpm.counts,COUNTIF(D1996:D4794,_xlpm.roles), INDEX(_xlpm.roles,MATCH(MAX(_xlpm.counts),_xlpm.counts,0)))</f>
        <v>Sniper</v>
      </c>
      <c r="X1996" s="2">
        <f t="shared" si="159"/>
        <v>12.809421841541756</v>
      </c>
    </row>
    <row r="1997" spans="1:24" x14ac:dyDescent="0.3">
      <c r="A1997">
        <v>2506</v>
      </c>
      <c r="B1997">
        <v>353</v>
      </c>
      <c r="C1997" t="s">
        <v>39</v>
      </c>
      <c r="D1997" t="s">
        <v>31</v>
      </c>
      <c r="E1997" t="s">
        <v>18</v>
      </c>
      <c r="F1997" t="s">
        <v>37</v>
      </c>
      <c r="G1997">
        <v>18</v>
      </c>
      <c r="H1997">
        <v>8</v>
      </c>
      <c r="I1997">
        <v>14</v>
      </c>
      <c r="J1997">
        <v>53.93</v>
      </c>
      <c r="K1997">
        <v>227.64</v>
      </c>
      <c r="L1997">
        <v>0.62</v>
      </c>
      <c r="M1997">
        <v>50.77</v>
      </c>
      <c r="N1997">
        <v>1</v>
      </c>
      <c r="O1997" t="s">
        <v>20</v>
      </c>
      <c r="P1997" t="s">
        <v>21</v>
      </c>
      <c r="Q1997">
        <f t="shared" si="155"/>
        <v>12</v>
      </c>
      <c r="R1997" s="4">
        <f>RANK(N1997,$N$2:N$2800,0)</f>
        <v>1</v>
      </c>
      <c r="S1997">
        <f t="shared" si="156"/>
        <v>1.2857142857142858</v>
      </c>
      <c r="T1997" t="str">
        <f t="shared" si="157"/>
        <v>Low</v>
      </c>
      <c r="U1997" t="str" cm="1">
        <f t="array" ref="U1997">_xlfn.LET(_xlpm.roles,_xlfn.UNIQUE(D1997:D4795),_xlpm.kills, SUMIF(D1997:D4795,_xlpm.roles,G1997:G4795),INDEX(_xlpm.roles,MATCH(MAX(_xlpm.kills),_xlpm.kills,0)))</f>
        <v>Sniper</v>
      </c>
      <c r="V1997" t="str">
        <f t="shared" si="158"/>
        <v>High Accuracy</v>
      </c>
      <c r="W1997" t="str" cm="1">
        <f t="array" ref="W1997">_xlfn.LET(_xlpm.roles,_xlfn.UNIQUE(D1997:D4795), _xlpm.counts,COUNTIF(D1997:D4795,_xlpm.roles), INDEX(_xlpm.roles,MATCH(MAX(_xlpm.counts),_xlpm.counts,0)))</f>
        <v>Sniper</v>
      </c>
      <c r="X1997" s="2">
        <f t="shared" si="159"/>
        <v>13.103594080338267</v>
      </c>
    </row>
    <row r="1998" spans="1:24" x14ac:dyDescent="0.3">
      <c r="A1998">
        <v>14</v>
      </c>
      <c r="B1998">
        <v>354</v>
      </c>
      <c r="C1998" t="s">
        <v>25</v>
      </c>
      <c r="D1998" t="s">
        <v>36</v>
      </c>
      <c r="E1998" t="s">
        <v>18</v>
      </c>
      <c r="F1998" t="s">
        <v>26</v>
      </c>
      <c r="G1998">
        <v>11</v>
      </c>
      <c r="H1998">
        <v>12</v>
      </c>
      <c r="I1998">
        <v>8</v>
      </c>
      <c r="J1998">
        <v>51.85</v>
      </c>
      <c r="K1998">
        <v>229.13</v>
      </c>
      <c r="L1998">
        <v>0.91</v>
      </c>
      <c r="M1998">
        <v>42.82</v>
      </c>
      <c r="N1998">
        <v>0.95</v>
      </c>
      <c r="O1998" t="s">
        <v>20</v>
      </c>
      <c r="P1998" t="s">
        <v>21</v>
      </c>
      <c r="Q1998">
        <f t="shared" si="155"/>
        <v>15</v>
      </c>
      <c r="R1998" s="4">
        <f>RANK(N1998,$N$2:N$2800,0)</f>
        <v>1367</v>
      </c>
      <c r="S1998">
        <f t="shared" si="156"/>
        <v>1.375</v>
      </c>
      <c r="T1998" t="str">
        <f t="shared" si="157"/>
        <v>Good</v>
      </c>
      <c r="U1998" t="str" cm="1">
        <f t="array" ref="U1998">_xlfn.LET(_xlpm.roles,_xlfn.UNIQUE(D1998:D4796),_xlpm.kills, SUMIF(D1998:D4796,_xlpm.roles,G1998:G4796),INDEX(_xlpm.roles,MATCH(MAX(_xlpm.kills),_xlpm.kills,0)))</f>
        <v>Sniper</v>
      </c>
      <c r="V1998" t="str">
        <f t="shared" si="158"/>
        <v>High Accuracy</v>
      </c>
      <c r="W1998" t="str" cm="1">
        <f t="array" ref="W1998">_xlfn.LET(_xlpm.roles,_xlfn.UNIQUE(D1998:D4796), _xlpm.counts,COUNTIF(D1998:D4796,_xlpm.roles), INDEX(_xlpm.roles,MATCH(MAX(_xlpm.counts),_xlpm.counts,0)))</f>
        <v>Sniper</v>
      </c>
      <c r="X1998" s="2">
        <f t="shared" si="159"/>
        <v>12.809421841541756</v>
      </c>
    </row>
    <row r="1999" spans="1:24" x14ac:dyDescent="0.3">
      <c r="A1999">
        <v>75</v>
      </c>
      <c r="B1999">
        <v>354</v>
      </c>
      <c r="C1999" t="s">
        <v>35</v>
      </c>
      <c r="D1999" t="s">
        <v>17</v>
      </c>
      <c r="E1999" t="s">
        <v>32</v>
      </c>
      <c r="F1999" t="s">
        <v>24</v>
      </c>
      <c r="G1999">
        <v>13</v>
      </c>
      <c r="H1999">
        <v>4</v>
      </c>
      <c r="I1999">
        <v>17</v>
      </c>
      <c r="J1999">
        <v>43.93</v>
      </c>
      <c r="K1999">
        <v>252.58</v>
      </c>
      <c r="L1999">
        <v>0.52</v>
      </c>
      <c r="M1999">
        <v>29.77</v>
      </c>
      <c r="N1999">
        <v>1</v>
      </c>
      <c r="O1999" t="s">
        <v>20</v>
      </c>
      <c r="P1999" t="s">
        <v>21</v>
      </c>
      <c r="Q1999">
        <f t="shared" si="155"/>
        <v>0</v>
      </c>
      <c r="R1999" s="4">
        <f>RANK(N1999,$N$2:N$2800,0)</f>
        <v>1</v>
      </c>
      <c r="S1999">
        <f t="shared" si="156"/>
        <v>0.76470588235294112</v>
      </c>
      <c r="T1999" t="str">
        <f t="shared" si="157"/>
        <v>Low</v>
      </c>
      <c r="U1999" t="str" cm="1">
        <f t="array" ref="U1999">_xlfn.LET(_xlpm.roles,_xlfn.UNIQUE(D1999:D4797),_xlpm.kills, SUMIF(D1999:D4797,_xlpm.roles,G1999:G4797),INDEX(_xlpm.roles,MATCH(MAX(_xlpm.kills),_xlpm.kills,0)))</f>
        <v>Sniper</v>
      </c>
      <c r="V1999" t="str">
        <f t="shared" si="158"/>
        <v>Medium Accuracy</v>
      </c>
      <c r="W1999" t="str" cm="1">
        <f t="array" ref="W1999">_xlfn.LET(_xlpm.roles,_xlfn.UNIQUE(D1999:D4797), _xlpm.counts,COUNTIF(D1999:D4797,_xlpm.roles), INDEX(_xlpm.roles,MATCH(MAX(_xlpm.counts),_xlpm.counts,0)))</f>
        <v>Sniper</v>
      </c>
      <c r="X1999" s="2">
        <f t="shared" si="159"/>
        <v>12.599585062240664</v>
      </c>
    </row>
    <row r="2000" spans="1:24" x14ac:dyDescent="0.3">
      <c r="A2000">
        <v>128</v>
      </c>
      <c r="B2000">
        <v>354</v>
      </c>
      <c r="C2000" t="s">
        <v>39</v>
      </c>
      <c r="D2000" t="s">
        <v>17</v>
      </c>
      <c r="E2000" t="s">
        <v>32</v>
      </c>
      <c r="F2000" t="s">
        <v>34</v>
      </c>
      <c r="G2000">
        <v>16</v>
      </c>
      <c r="H2000">
        <v>6</v>
      </c>
      <c r="I2000">
        <v>9</v>
      </c>
      <c r="J2000">
        <v>35.53</v>
      </c>
      <c r="K2000">
        <v>217.35</v>
      </c>
      <c r="L2000">
        <v>0.16</v>
      </c>
      <c r="M2000">
        <v>45.16</v>
      </c>
      <c r="N2000">
        <v>0.91</v>
      </c>
      <c r="O2000" t="s">
        <v>20</v>
      </c>
      <c r="P2000" t="s">
        <v>21</v>
      </c>
      <c r="Q2000">
        <f t="shared" si="155"/>
        <v>13</v>
      </c>
      <c r="R2000" s="4">
        <f>RANK(N2000,$N$2:N$2800,0)</f>
        <v>1665</v>
      </c>
      <c r="S2000">
        <f t="shared" si="156"/>
        <v>1.7777777777777777</v>
      </c>
      <c r="T2000" t="str">
        <f t="shared" si="157"/>
        <v>Low</v>
      </c>
      <c r="U2000" t="str" cm="1">
        <f t="array" ref="U2000">_xlfn.LET(_xlpm.roles,_xlfn.UNIQUE(D2000:D4798),_xlpm.kills, SUMIF(D2000:D4798,_xlpm.roles,G2000:G4798),INDEX(_xlpm.roles,MATCH(MAX(_xlpm.kills),_xlpm.kills,0)))</f>
        <v>Sniper</v>
      </c>
      <c r="V2000" t="str">
        <f t="shared" si="158"/>
        <v>Medium Accuracy</v>
      </c>
      <c r="W2000" t="str" cm="1">
        <f t="array" ref="W2000">_xlfn.LET(_xlpm.roles,_xlfn.UNIQUE(D2000:D4798), _xlpm.counts,COUNTIF(D2000:D4798,_xlpm.roles), INDEX(_xlpm.roles,MATCH(MAX(_xlpm.counts),_xlpm.counts,0)))</f>
        <v>Sniper</v>
      </c>
      <c r="X2000" s="2">
        <f t="shared" si="159"/>
        <v>13.103594080338267</v>
      </c>
    </row>
    <row r="2001" spans="1:24" x14ac:dyDescent="0.3">
      <c r="A2001">
        <v>152</v>
      </c>
      <c r="B2001">
        <v>354</v>
      </c>
      <c r="C2001" t="s">
        <v>39</v>
      </c>
      <c r="D2001" t="s">
        <v>36</v>
      </c>
      <c r="E2001" t="s">
        <v>18</v>
      </c>
      <c r="F2001" t="s">
        <v>24</v>
      </c>
      <c r="G2001">
        <v>24</v>
      </c>
      <c r="H2001">
        <v>13</v>
      </c>
      <c r="I2001">
        <v>11</v>
      </c>
      <c r="J2001">
        <v>50.49</v>
      </c>
      <c r="K2001">
        <v>246.61</v>
      </c>
      <c r="L2001">
        <v>0.21</v>
      </c>
      <c r="M2001">
        <v>73.150000000000006</v>
      </c>
      <c r="N2001">
        <v>1</v>
      </c>
      <c r="O2001" t="s">
        <v>20</v>
      </c>
      <c r="P2001" t="s">
        <v>38</v>
      </c>
      <c r="Q2001">
        <f t="shared" si="155"/>
        <v>26</v>
      </c>
      <c r="R2001" s="4">
        <f>RANK(N2001,$N$2:N$2800,0)</f>
        <v>1</v>
      </c>
      <c r="S2001">
        <f t="shared" si="156"/>
        <v>2.1818181818181817</v>
      </c>
      <c r="T2001" t="str">
        <f t="shared" si="157"/>
        <v>Excellent</v>
      </c>
      <c r="U2001" t="str" cm="1">
        <f t="array" ref="U2001">_xlfn.LET(_xlpm.roles,_xlfn.UNIQUE(D2001:D4799),_xlpm.kills, SUMIF(D2001:D4799,_xlpm.roles,G2001:G4799),INDEX(_xlpm.roles,MATCH(MAX(_xlpm.kills),_xlpm.kills,0)))</f>
        <v>Sniper</v>
      </c>
      <c r="V2001" t="str">
        <f t="shared" si="158"/>
        <v>High Accuracy</v>
      </c>
      <c r="W2001" t="str" cm="1">
        <f t="array" ref="W2001">_xlfn.LET(_xlpm.roles,_xlfn.UNIQUE(D2001:D4799), _xlpm.counts,COUNTIF(D2001:D4799,_xlpm.roles), INDEX(_xlpm.roles,MATCH(MAX(_xlpm.counts),_xlpm.counts,0)))</f>
        <v>Sniper</v>
      </c>
      <c r="X2001" s="2">
        <f t="shared" si="159"/>
        <v>13.103594080338267</v>
      </c>
    </row>
    <row r="2002" spans="1:24" x14ac:dyDescent="0.3">
      <c r="A2002">
        <v>187</v>
      </c>
      <c r="B2002">
        <v>354</v>
      </c>
      <c r="C2002" t="s">
        <v>30</v>
      </c>
      <c r="D2002" t="s">
        <v>31</v>
      </c>
      <c r="E2002" t="s">
        <v>29</v>
      </c>
      <c r="F2002" t="s">
        <v>19</v>
      </c>
      <c r="G2002">
        <v>13</v>
      </c>
      <c r="H2002">
        <v>5</v>
      </c>
      <c r="I2002">
        <v>7</v>
      </c>
      <c r="J2002">
        <v>41.7</v>
      </c>
      <c r="K2002">
        <v>192.2</v>
      </c>
      <c r="L2002">
        <v>0.86</v>
      </c>
      <c r="M2002">
        <v>36.25</v>
      </c>
      <c r="N2002">
        <v>0.67</v>
      </c>
      <c r="O2002" t="s">
        <v>20</v>
      </c>
      <c r="P2002" t="s">
        <v>21</v>
      </c>
      <c r="Q2002">
        <f t="shared" si="155"/>
        <v>11</v>
      </c>
      <c r="R2002" s="4">
        <f>RANK(N2002,$N$2:N$2800,0)</f>
        <v>2731</v>
      </c>
      <c r="S2002">
        <f t="shared" si="156"/>
        <v>1.8571428571428572</v>
      </c>
      <c r="T2002" t="str">
        <f t="shared" si="157"/>
        <v>Low</v>
      </c>
      <c r="U2002" t="str" cm="1">
        <f t="array" ref="U2002">_xlfn.LET(_xlpm.roles,_xlfn.UNIQUE(D2002:D4800),_xlpm.kills, SUMIF(D2002:D4800,_xlpm.roles,G2002:G4800),INDEX(_xlpm.roles,MATCH(MAX(_xlpm.kills),_xlpm.kills,0)))</f>
        <v>Sniper</v>
      </c>
      <c r="V2002" t="str">
        <f t="shared" si="158"/>
        <v>Medium Accuracy</v>
      </c>
      <c r="W2002" t="str" cm="1">
        <f t="array" ref="W2002">_xlfn.LET(_xlpm.roles,_xlfn.UNIQUE(D2002:D4800), _xlpm.counts,COUNTIF(D2002:D4800,_xlpm.roles), INDEX(_xlpm.roles,MATCH(MAX(_xlpm.counts),_xlpm.counts,0)))</f>
        <v>Sniper</v>
      </c>
      <c r="X2002" s="2">
        <f t="shared" si="159"/>
        <v>13.135802469135802</v>
      </c>
    </row>
    <row r="2003" spans="1:24" x14ac:dyDescent="0.3">
      <c r="A2003">
        <v>349</v>
      </c>
      <c r="B2003">
        <v>354</v>
      </c>
      <c r="C2003" t="s">
        <v>16</v>
      </c>
      <c r="D2003" t="s">
        <v>31</v>
      </c>
      <c r="E2003" t="s">
        <v>18</v>
      </c>
      <c r="F2003" t="s">
        <v>37</v>
      </c>
      <c r="G2003">
        <v>19</v>
      </c>
      <c r="H2003">
        <v>5</v>
      </c>
      <c r="I2003">
        <v>7</v>
      </c>
      <c r="J2003">
        <v>44.18</v>
      </c>
      <c r="K2003">
        <v>249.7</v>
      </c>
      <c r="L2003">
        <v>0.61</v>
      </c>
      <c r="M2003">
        <v>51.99</v>
      </c>
      <c r="N2003">
        <v>1</v>
      </c>
      <c r="O2003" t="s">
        <v>20</v>
      </c>
      <c r="P2003" t="s">
        <v>21</v>
      </c>
      <c r="Q2003">
        <f t="shared" si="155"/>
        <v>17</v>
      </c>
      <c r="R2003" s="4">
        <f>RANK(N2003,$N$2:N$2800,0)</f>
        <v>1</v>
      </c>
      <c r="S2003">
        <f t="shared" si="156"/>
        <v>2.7142857142857144</v>
      </c>
      <c r="T2003" t="str">
        <f t="shared" si="157"/>
        <v>Good</v>
      </c>
      <c r="U2003" t="str" cm="1">
        <f t="array" ref="U2003">_xlfn.LET(_xlpm.roles,_xlfn.UNIQUE(D2003:D4801),_xlpm.kills, SUMIF(D2003:D4801,_xlpm.roles,G2003:G4801),INDEX(_xlpm.roles,MATCH(MAX(_xlpm.kills),_xlpm.kills,0)))</f>
        <v>Sniper</v>
      </c>
      <c r="V2003" t="str">
        <f t="shared" si="158"/>
        <v>Medium Accuracy</v>
      </c>
      <c r="W2003" t="str" cm="1">
        <f t="array" ref="W2003">_xlfn.LET(_xlpm.roles,_xlfn.UNIQUE(D2003:D4801), _xlpm.counts,COUNTIF(D2003:D4801,_xlpm.roles), INDEX(_xlpm.roles,MATCH(MAX(_xlpm.counts),_xlpm.counts,0)))</f>
        <v>Sniper</v>
      </c>
      <c r="X2003" s="2">
        <f t="shared" si="159"/>
        <v>12.520971302428256</v>
      </c>
    </row>
    <row r="2004" spans="1:24" x14ac:dyDescent="0.3">
      <c r="A2004">
        <v>433</v>
      </c>
      <c r="B2004">
        <v>354</v>
      </c>
      <c r="C2004" t="s">
        <v>35</v>
      </c>
      <c r="D2004" t="s">
        <v>28</v>
      </c>
      <c r="E2004" t="s">
        <v>33</v>
      </c>
      <c r="F2004" t="s">
        <v>37</v>
      </c>
      <c r="G2004">
        <v>17</v>
      </c>
      <c r="H2004">
        <v>7</v>
      </c>
      <c r="I2004">
        <v>11</v>
      </c>
      <c r="J2004">
        <v>50.9</v>
      </c>
      <c r="K2004">
        <v>198.82</v>
      </c>
      <c r="L2004">
        <v>0.61</v>
      </c>
      <c r="M2004">
        <v>49.35</v>
      </c>
      <c r="N2004">
        <v>0.99</v>
      </c>
      <c r="O2004" t="s">
        <v>20</v>
      </c>
      <c r="P2004" t="s">
        <v>21</v>
      </c>
      <c r="Q2004">
        <f t="shared" si="155"/>
        <v>13</v>
      </c>
      <c r="R2004" s="4">
        <f>RANK(N2004,$N$2:N$2800,0)</f>
        <v>1080</v>
      </c>
      <c r="S2004">
        <f t="shared" si="156"/>
        <v>1.5454545454545454</v>
      </c>
      <c r="T2004" t="str">
        <f t="shared" si="157"/>
        <v>Low</v>
      </c>
      <c r="U2004" t="str" cm="1">
        <f t="array" ref="U2004">_xlfn.LET(_xlpm.roles,_xlfn.UNIQUE(D2004:D4802),_xlpm.kills, SUMIF(D2004:D4802,_xlpm.roles,G2004:G4802),INDEX(_xlpm.roles,MATCH(MAX(_xlpm.kills),_xlpm.kills,0)))</f>
        <v>Sniper</v>
      </c>
      <c r="V2004" t="str">
        <f t="shared" si="158"/>
        <v>High Accuracy</v>
      </c>
      <c r="W2004" t="str" cm="1">
        <f t="array" ref="W2004">_xlfn.LET(_xlpm.roles,_xlfn.UNIQUE(D2004:D4802), _xlpm.counts,COUNTIF(D2004:D4802,_xlpm.roles), INDEX(_xlpm.roles,MATCH(MAX(_xlpm.counts),_xlpm.counts,0)))</f>
        <v>Sniper</v>
      </c>
      <c r="X2004" s="2">
        <f t="shared" si="159"/>
        <v>12.599585062240664</v>
      </c>
    </row>
    <row r="2005" spans="1:24" x14ac:dyDescent="0.3">
      <c r="A2005">
        <v>553</v>
      </c>
      <c r="B2005">
        <v>354</v>
      </c>
      <c r="C2005" t="s">
        <v>25</v>
      </c>
      <c r="D2005" t="s">
        <v>31</v>
      </c>
      <c r="E2005" t="s">
        <v>23</v>
      </c>
      <c r="F2005" t="s">
        <v>37</v>
      </c>
      <c r="G2005">
        <v>12</v>
      </c>
      <c r="H2005">
        <v>10</v>
      </c>
      <c r="I2005">
        <v>12</v>
      </c>
      <c r="J2005">
        <v>45.32</v>
      </c>
      <c r="K2005">
        <v>286.24</v>
      </c>
      <c r="L2005">
        <v>0.49</v>
      </c>
      <c r="M2005">
        <v>39.76</v>
      </c>
      <c r="N2005">
        <v>0.84</v>
      </c>
      <c r="O2005" t="s">
        <v>20</v>
      </c>
      <c r="P2005" t="s">
        <v>21</v>
      </c>
      <c r="Q2005">
        <f t="shared" si="155"/>
        <v>10</v>
      </c>
      <c r="R2005" s="4">
        <f>RANK(N2005,$N$2:N$2800,0)</f>
        <v>2156</v>
      </c>
      <c r="S2005">
        <f t="shared" si="156"/>
        <v>1</v>
      </c>
      <c r="T2005" t="str">
        <f t="shared" si="157"/>
        <v>Low</v>
      </c>
      <c r="U2005" t="str" cm="1">
        <f t="array" ref="U2005">_xlfn.LET(_xlpm.roles,_xlfn.UNIQUE(D2005:D4803),_xlpm.kills, SUMIF(D2005:D4803,_xlpm.roles,G2005:G4803),INDEX(_xlpm.roles,MATCH(MAX(_xlpm.kills),_xlpm.kills,0)))</f>
        <v>Sniper</v>
      </c>
      <c r="V2005" t="str">
        <f t="shared" si="158"/>
        <v>Medium Accuracy</v>
      </c>
      <c r="W2005" t="str" cm="1">
        <f t="array" ref="W2005">_xlfn.LET(_xlpm.roles,_xlfn.UNIQUE(D2005:D4803), _xlpm.counts,COUNTIF(D2005:D4803,_xlpm.roles), INDEX(_xlpm.roles,MATCH(MAX(_xlpm.counts),_xlpm.counts,0)))</f>
        <v>Sniper</v>
      </c>
      <c r="X2005" s="2">
        <f t="shared" si="159"/>
        <v>12.809421841541756</v>
      </c>
    </row>
    <row r="2006" spans="1:24" x14ac:dyDescent="0.3">
      <c r="A2006">
        <v>798</v>
      </c>
      <c r="B2006">
        <v>354</v>
      </c>
      <c r="C2006" t="s">
        <v>39</v>
      </c>
      <c r="D2006" t="s">
        <v>22</v>
      </c>
      <c r="E2006" t="s">
        <v>32</v>
      </c>
      <c r="F2006" t="s">
        <v>37</v>
      </c>
      <c r="G2006">
        <v>16</v>
      </c>
      <c r="H2006">
        <v>6</v>
      </c>
      <c r="I2006">
        <v>11</v>
      </c>
      <c r="J2006">
        <v>46.22</v>
      </c>
      <c r="K2006">
        <v>187.37</v>
      </c>
      <c r="L2006">
        <v>0.45</v>
      </c>
      <c r="M2006">
        <v>45.61</v>
      </c>
      <c r="N2006">
        <v>0.98</v>
      </c>
      <c r="O2006" t="s">
        <v>20</v>
      </c>
      <c r="P2006" t="s">
        <v>21</v>
      </c>
      <c r="Q2006">
        <f t="shared" si="155"/>
        <v>11</v>
      </c>
      <c r="R2006" s="4">
        <f>RANK(N2006,$N$2:N$2800,0)</f>
        <v>1157</v>
      </c>
      <c r="S2006">
        <f t="shared" si="156"/>
        <v>1.4545454545454546</v>
      </c>
      <c r="T2006" t="str">
        <f t="shared" si="157"/>
        <v>Low</v>
      </c>
      <c r="U2006" t="str" cm="1">
        <f t="array" ref="U2006">_xlfn.LET(_xlpm.roles,_xlfn.UNIQUE(D2006:D4804),_xlpm.kills, SUMIF(D2006:D4804,_xlpm.roles,G2006:G4804),INDEX(_xlpm.roles,MATCH(MAX(_xlpm.kills),_xlpm.kills,0)))</f>
        <v>Sniper</v>
      </c>
      <c r="V2006" t="str">
        <f t="shared" si="158"/>
        <v>Medium Accuracy</v>
      </c>
      <c r="W2006" t="str" cm="1">
        <f t="array" ref="W2006">_xlfn.LET(_xlpm.roles,_xlfn.UNIQUE(D2006:D4804), _xlpm.counts,COUNTIF(D2006:D4804,_xlpm.roles), INDEX(_xlpm.roles,MATCH(MAX(_xlpm.counts),_xlpm.counts,0)))</f>
        <v>Sniper</v>
      </c>
      <c r="X2006" s="2">
        <f t="shared" si="159"/>
        <v>13.103594080338267</v>
      </c>
    </row>
    <row r="2007" spans="1:24" x14ac:dyDescent="0.3">
      <c r="A2007">
        <v>1087</v>
      </c>
      <c r="B2007">
        <v>354</v>
      </c>
      <c r="C2007" t="s">
        <v>30</v>
      </c>
      <c r="D2007" t="s">
        <v>36</v>
      </c>
      <c r="E2007" t="s">
        <v>18</v>
      </c>
      <c r="F2007" t="s">
        <v>26</v>
      </c>
      <c r="G2007">
        <v>13</v>
      </c>
      <c r="H2007">
        <v>11</v>
      </c>
      <c r="I2007">
        <v>9</v>
      </c>
      <c r="J2007">
        <v>49.53</v>
      </c>
      <c r="K2007">
        <v>249.01</v>
      </c>
      <c r="L2007">
        <v>0.84</v>
      </c>
      <c r="M2007">
        <v>44.37</v>
      </c>
      <c r="N2007">
        <v>0.84</v>
      </c>
      <c r="O2007" t="s">
        <v>20</v>
      </c>
      <c r="P2007" t="s">
        <v>21</v>
      </c>
      <c r="Q2007">
        <f t="shared" si="155"/>
        <v>15</v>
      </c>
      <c r="R2007" s="4">
        <f>RANK(N2007,$N$2:N$2800,0)</f>
        <v>2156</v>
      </c>
      <c r="S2007">
        <f t="shared" si="156"/>
        <v>1.4444444444444444</v>
      </c>
      <c r="T2007" t="str">
        <f t="shared" si="157"/>
        <v>Good</v>
      </c>
      <c r="U2007" t="str" cm="1">
        <f t="array" ref="U2007">_xlfn.LET(_xlpm.roles,_xlfn.UNIQUE(D2007:D4805),_xlpm.kills, SUMIF(D2007:D4805,_xlpm.roles,G2007:G4805),INDEX(_xlpm.roles,MATCH(MAX(_xlpm.kills),_xlpm.kills,0)))</f>
        <v>Sniper</v>
      </c>
      <c r="V2007" t="str">
        <f t="shared" si="158"/>
        <v>Medium Accuracy</v>
      </c>
      <c r="W2007" t="str" cm="1">
        <f t="array" ref="W2007">_xlfn.LET(_xlpm.roles,_xlfn.UNIQUE(D2007:D4805), _xlpm.counts,COUNTIF(D2007:D4805,_xlpm.roles), INDEX(_xlpm.roles,MATCH(MAX(_xlpm.counts),_xlpm.counts,0)))</f>
        <v>Sniper</v>
      </c>
      <c r="X2007" s="2">
        <f t="shared" si="159"/>
        <v>13.135802469135802</v>
      </c>
    </row>
    <row r="2008" spans="1:24" x14ac:dyDescent="0.3">
      <c r="A2008">
        <v>1257</v>
      </c>
      <c r="B2008">
        <v>354</v>
      </c>
      <c r="C2008" t="s">
        <v>16</v>
      </c>
      <c r="D2008" t="s">
        <v>28</v>
      </c>
      <c r="E2008" t="s">
        <v>33</v>
      </c>
      <c r="F2008" t="s">
        <v>34</v>
      </c>
      <c r="G2008">
        <v>9</v>
      </c>
      <c r="H2008">
        <v>9</v>
      </c>
      <c r="I2008">
        <v>7</v>
      </c>
      <c r="J2008">
        <v>62.21</v>
      </c>
      <c r="K2008">
        <v>274.19</v>
      </c>
      <c r="L2008">
        <v>0.23</v>
      </c>
      <c r="M2008">
        <v>48.81</v>
      </c>
      <c r="N2008">
        <v>1</v>
      </c>
      <c r="O2008" t="s">
        <v>20</v>
      </c>
      <c r="P2008" t="s">
        <v>21</v>
      </c>
      <c r="Q2008">
        <f t="shared" si="155"/>
        <v>11</v>
      </c>
      <c r="R2008" s="4">
        <f>RANK(N2008,$N$2:N$2800,0)</f>
        <v>1</v>
      </c>
      <c r="S2008">
        <f t="shared" si="156"/>
        <v>1.2857142857142858</v>
      </c>
      <c r="T2008" t="str">
        <f t="shared" si="157"/>
        <v>Low</v>
      </c>
      <c r="U2008" t="str" cm="1">
        <f t="array" ref="U2008">_xlfn.LET(_xlpm.roles,_xlfn.UNIQUE(D2008:D4806),_xlpm.kills, SUMIF(D2008:D4806,_xlpm.roles,G2008:G4806),INDEX(_xlpm.roles,MATCH(MAX(_xlpm.kills),_xlpm.kills,0)))</f>
        <v>Sniper</v>
      </c>
      <c r="V2008" t="str">
        <f t="shared" si="158"/>
        <v>High Accuracy</v>
      </c>
      <c r="W2008" t="str" cm="1">
        <f t="array" ref="W2008">_xlfn.LET(_xlpm.roles,_xlfn.UNIQUE(D2008:D4806), _xlpm.counts,COUNTIF(D2008:D4806,_xlpm.roles), INDEX(_xlpm.roles,MATCH(MAX(_xlpm.counts),_xlpm.counts,0)))</f>
        <v>Sniper</v>
      </c>
      <c r="X2008" s="2">
        <f t="shared" si="159"/>
        <v>12.520971302428256</v>
      </c>
    </row>
    <row r="2009" spans="1:24" x14ac:dyDescent="0.3">
      <c r="A2009">
        <v>461</v>
      </c>
      <c r="B2009">
        <v>355</v>
      </c>
      <c r="C2009" t="s">
        <v>16</v>
      </c>
      <c r="D2009" t="s">
        <v>36</v>
      </c>
      <c r="E2009" t="s">
        <v>33</v>
      </c>
      <c r="F2009" t="s">
        <v>26</v>
      </c>
      <c r="G2009">
        <v>12</v>
      </c>
      <c r="H2009">
        <v>6</v>
      </c>
      <c r="I2009">
        <v>9</v>
      </c>
      <c r="J2009">
        <v>30.44</v>
      </c>
      <c r="K2009">
        <v>255.63</v>
      </c>
      <c r="L2009">
        <v>0.45</v>
      </c>
      <c r="M2009">
        <v>31.72</v>
      </c>
      <c r="N2009">
        <v>0.67</v>
      </c>
      <c r="O2009" t="s">
        <v>20</v>
      </c>
      <c r="P2009" t="s">
        <v>21</v>
      </c>
      <c r="Q2009">
        <f t="shared" si="155"/>
        <v>9</v>
      </c>
      <c r="R2009" s="4">
        <f>RANK(N2009,$N$2:N$2800,0)</f>
        <v>2731</v>
      </c>
      <c r="S2009">
        <f t="shared" si="156"/>
        <v>1.3333333333333333</v>
      </c>
      <c r="T2009" t="str">
        <f t="shared" si="157"/>
        <v>Low</v>
      </c>
      <c r="U2009" t="str" cm="1">
        <f t="array" ref="U2009">_xlfn.LET(_xlpm.roles,_xlfn.UNIQUE(D2009:D4807),_xlpm.kills, SUMIF(D2009:D4807,_xlpm.roles,G2009:G4807),INDEX(_xlpm.roles,MATCH(MAX(_xlpm.kills),_xlpm.kills,0)))</f>
        <v>Sniper</v>
      </c>
      <c r="V2009" t="str">
        <f t="shared" si="158"/>
        <v>Medium Accuracy</v>
      </c>
      <c r="W2009" t="str" cm="1">
        <f t="array" ref="W2009">_xlfn.LET(_xlpm.roles,_xlfn.UNIQUE(D2009:D4807), _xlpm.counts,COUNTIF(D2009:D4807,_xlpm.roles), INDEX(_xlpm.roles,MATCH(MAX(_xlpm.counts),_xlpm.counts,0)))</f>
        <v>Sniper</v>
      </c>
      <c r="X2009" s="2">
        <f t="shared" si="159"/>
        <v>12.520971302428256</v>
      </c>
    </row>
    <row r="2010" spans="1:24" x14ac:dyDescent="0.3">
      <c r="A2010">
        <v>916</v>
      </c>
      <c r="B2010">
        <v>355</v>
      </c>
      <c r="C2010" t="s">
        <v>30</v>
      </c>
      <c r="D2010" t="s">
        <v>17</v>
      </c>
      <c r="E2010" t="s">
        <v>32</v>
      </c>
      <c r="F2010" t="s">
        <v>37</v>
      </c>
      <c r="G2010">
        <v>15</v>
      </c>
      <c r="H2010">
        <v>5</v>
      </c>
      <c r="I2010">
        <v>11</v>
      </c>
      <c r="J2010">
        <v>57.29</v>
      </c>
      <c r="K2010">
        <v>262.27999999999997</v>
      </c>
      <c r="L2010">
        <v>0.55000000000000004</v>
      </c>
      <c r="M2010">
        <v>47.14</v>
      </c>
      <c r="N2010">
        <v>0.97</v>
      </c>
      <c r="O2010" t="s">
        <v>20</v>
      </c>
      <c r="P2010" t="s">
        <v>21</v>
      </c>
      <c r="Q2010">
        <f t="shared" si="155"/>
        <v>9</v>
      </c>
      <c r="R2010" s="4">
        <f>RANK(N2010,$N$2:N$2800,0)</f>
        <v>1243</v>
      </c>
      <c r="S2010">
        <f t="shared" si="156"/>
        <v>1.3636363636363635</v>
      </c>
      <c r="T2010" t="str">
        <f t="shared" si="157"/>
        <v>Low</v>
      </c>
      <c r="U2010" t="str" cm="1">
        <f t="array" ref="U2010">_xlfn.LET(_xlpm.roles,_xlfn.UNIQUE(D2010:D4808),_xlpm.kills, SUMIF(D2010:D4808,_xlpm.roles,G2010:G4808),INDEX(_xlpm.roles,MATCH(MAX(_xlpm.kills),_xlpm.kills,0)))</f>
        <v>Sniper</v>
      </c>
      <c r="V2010" t="str">
        <f t="shared" si="158"/>
        <v>High Accuracy</v>
      </c>
      <c r="W2010" t="str" cm="1">
        <f t="array" ref="W2010">_xlfn.LET(_xlpm.roles,_xlfn.UNIQUE(D2010:D4808), _xlpm.counts,COUNTIF(D2010:D4808,_xlpm.roles), INDEX(_xlpm.roles,MATCH(MAX(_xlpm.counts),_xlpm.counts,0)))</f>
        <v>Sniper</v>
      </c>
      <c r="X2010" s="2">
        <f t="shared" si="159"/>
        <v>13.135802469135802</v>
      </c>
    </row>
    <row r="2011" spans="1:24" x14ac:dyDescent="0.3">
      <c r="A2011">
        <v>927</v>
      </c>
      <c r="B2011">
        <v>356</v>
      </c>
      <c r="C2011" t="s">
        <v>30</v>
      </c>
      <c r="D2011" t="s">
        <v>17</v>
      </c>
      <c r="E2011" t="s">
        <v>23</v>
      </c>
      <c r="F2011" t="s">
        <v>24</v>
      </c>
      <c r="G2011">
        <v>16</v>
      </c>
      <c r="H2011">
        <v>14</v>
      </c>
      <c r="I2011">
        <v>9</v>
      </c>
      <c r="J2011">
        <v>47.6</v>
      </c>
      <c r="K2011">
        <v>263.79000000000002</v>
      </c>
      <c r="L2011">
        <v>0.99</v>
      </c>
      <c r="M2011">
        <v>50.9</v>
      </c>
      <c r="N2011">
        <v>1</v>
      </c>
      <c r="O2011" t="s">
        <v>20</v>
      </c>
      <c r="P2011" t="s">
        <v>21</v>
      </c>
      <c r="Q2011">
        <f t="shared" si="155"/>
        <v>21</v>
      </c>
      <c r="R2011" s="4">
        <f>RANK(N2011,$N$2:N$2800,0)</f>
        <v>1</v>
      </c>
      <c r="S2011">
        <f t="shared" si="156"/>
        <v>1.7777777777777777</v>
      </c>
      <c r="T2011" t="str">
        <f t="shared" si="157"/>
        <v>Good</v>
      </c>
      <c r="U2011" t="str" cm="1">
        <f t="array" ref="U2011">_xlfn.LET(_xlpm.roles,_xlfn.UNIQUE(D2011:D4809),_xlpm.kills, SUMIF(D2011:D4809,_xlpm.roles,G2011:G4809),INDEX(_xlpm.roles,MATCH(MAX(_xlpm.kills),_xlpm.kills,0)))</f>
        <v>Sniper</v>
      </c>
      <c r="V2011" t="str">
        <f t="shared" si="158"/>
        <v>Medium Accuracy</v>
      </c>
      <c r="W2011" t="str" cm="1">
        <f t="array" ref="W2011">_xlfn.LET(_xlpm.roles,_xlfn.UNIQUE(D2011:D4809), _xlpm.counts,COUNTIF(D2011:D4809,_xlpm.roles), INDEX(_xlpm.roles,MATCH(MAX(_xlpm.counts),_xlpm.counts,0)))</f>
        <v>Sniper</v>
      </c>
      <c r="X2011" s="2">
        <f t="shared" si="159"/>
        <v>13.135802469135802</v>
      </c>
    </row>
    <row r="2012" spans="1:24" x14ac:dyDescent="0.3">
      <c r="A2012">
        <v>1260</v>
      </c>
      <c r="B2012">
        <v>356</v>
      </c>
      <c r="C2012" t="s">
        <v>27</v>
      </c>
      <c r="D2012" t="s">
        <v>36</v>
      </c>
      <c r="E2012" t="s">
        <v>32</v>
      </c>
      <c r="F2012" t="s">
        <v>19</v>
      </c>
      <c r="G2012">
        <v>13</v>
      </c>
      <c r="H2012">
        <v>8</v>
      </c>
      <c r="I2012">
        <v>14</v>
      </c>
      <c r="J2012">
        <v>56.79</v>
      </c>
      <c r="K2012">
        <v>187.68</v>
      </c>
      <c r="L2012">
        <v>0.99</v>
      </c>
      <c r="M2012">
        <v>38.49</v>
      </c>
      <c r="N2012">
        <v>0.95</v>
      </c>
      <c r="O2012" t="s">
        <v>20</v>
      </c>
      <c r="P2012" t="s">
        <v>21</v>
      </c>
      <c r="Q2012">
        <f t="shared" si="155"/>
        <v>7</v>
      </c>
      <c r="R2012" s="4">
        <f>RANK(N2012,$N$2:N$2800,0)</f>
        <v>1367</v>
      </c>
      <c r="S2012">
        <f t="shared" si="156"/>
        <v>0.9285714285714286</v>
      </c>
      <c r="T2012" t="str">
        <f t="shared" si="157"/>
        <v>Low</v>
      </c>
      <c r="U2012" t="str" cm="1">
        <f t="array" ref="U2012">_xlfn.LET(_xlpm.roles,_xlfn.UNIQUE(D2012:D4810),_xlpm.kills, SUMIF(D2012:D4810,_xlpm.roles,G2012:G4810),INDEX(_xlpm.roles,MATCH(MAX(_xlpm.kills),_xlpm.kills,0)))</f>
        <v>Sniper</v>
      </c>
      <c r="V2012" t="str">
        <f t="shared" si="158"/>
        <v>High Accuracy</v>
      </c>
      <c r="W2012" t="str" cm="1">
        <f t="array" ref="W2012">_xlfn.LET(_xlpm.roles,_xlfn.UNIQUE(D2012:D4810), _xlpm.counts,COUNTIF(D2012:D4810,_xlpm.roles), INDEX(_xlpm.roles,MATCH(MAX(_xlpm.counts),_xlpm.counts,0)))</f>
        <v>Sniper</v>
      </c>
      <c r="X2012" s="2">
        <f t="shared" si="159"/>
        <v>13.057077625570777</v>
      </c>
    </row>
    <row r="2013" spans="1:24" x14ac:dyDescent="0.3">
      <c r="A2013">
        <v>1631</v>
      </c>
      <c r="B2013">
        <v>356</v>
      </c>
      <c r="C2013" t="s">
        <v>39</v>
      </c>
      <c r="D2013" t="s">
        <v>17</v>
      </c>
      <c r="E2013" t="s">
        <v>18</v>
      </c>
      <c r="F2013" t="s">
        <v>34</v>
      </c>
      <c r="G2013">
        <v>11</v>
      </c>
      <c r="H2013">
        <v>8</v>
      </c>
      <c r="I2013">
        <v>9</v>
      </c>
      <c r="J2013">
        <v>49.75</v>
      </c>
      <c r="K2013">
        <v>200.27</v>
      </c>
      <c r="L2013">
        <v>0.26</v>
      </c>
      <c r="M2013">
        <v>43.27</v>
      </c>
      <c r="N2013">
        <v>0.82</v>
      </c>
      <c r="O2013" t="s">
        <v>20</v>
      </c>
      <c r="P2013" t="s">
        <v>21</v>
      </c>
      <c r="Q2013">
        <f t="shared" si="155"/>
        <v>10</v>
      </c>
      <c r="R2013" s="4">
        <f>RANK(N2013,$N$2:N$2800,0)</f>
        <v>2275</v>
      </c>
      <c r="S2013">
        <f t="shared" si="156"/>
        <v>1.2222222222222223</v>
      </c>
      <c r="T2013" t="str">
        <f t="shared" si="157"/>
        <v>Low</v>
      </c>
      <c r="U2013" t="str" cm="1">
        <f t="array" ref="U2013">_xlfn.LET(_xlpm.roles,_xlfn.UNIQUE(D2013:D4811),_xlpm.kills, SUMIF(D2013:D4811,_xlpm.roles,G2013:G4811),INDEX(_xlpm.roles,MATCH(MAX(_xlpm.kills),_xlpm.kills,0)))</f>
        <v>Sniper</v>
      </c>
      <c r="V2013" t="str">
        <f t="shared" si="158"/>
        <v>Medium Accuracy</v>
      </c>
      <c r="W2013" t="str" cm="1">
        <f t="array" ref="W2013">_xlfn.LET(_xlpm.roles,_xlfn.UNIQUE(D2013:D4811), _xlpm.counts,COUNTIF(D2013:D4811,_xlpm.roles), INDEX(_xlpm.roles,MATCH(MAX(_xlpm.counts),_xlpm.counts,0)))</f>
        <v>Sniper</v>
      </c>
      <c r="X2013" s="2">
        <f t="shared" si="159"/>
        <v>13.103594080338267</v>
      </c>
    </row>
    <row r="2014" spans="1:24" x14ac:dyDescent="0.3">
      <c r="A2014">
        <v>1941</v>
      </c>
      <c r="B2014">
        <v>356</v>
      </c>
      <c r="C2014" t="s">
        <v>39</v>
      </c>
      <c r="D2014" t="s">
        <v>31</v>
      </c>
      <c r="E2014" t="s">
        <v>32</v>
      </c>
      <c r="F2014" t="s">
        <v>37</v>
      </c>
      <c r="G2014">
        <v>16</v>
      </c>
      <c r="H2014">
        <v>9</v>
      </c>
      <c r="I2014">
        <v>9</v>
      </c>
      <c r="J2014">
        <v>52.34</v>
      </c>
      <c r="K2014">
        <v>256.93</v>
      </c>
      <c r="L2014">
        <v>7.0000000000000007E-2</v>
      </c>
      <c r="M2014">
        <v>57.47</v>
      </c>
      <c r="N2014">
        <v>1</v>
      </c>
      <c r="O2014" t="s">
        <v>20</v>
      </c>
      <c r="P2014" t="s">
        <v>21</v>
      </c>
      <c r="Q2014">
        <f t="shared" si="155"/>
        <v>16</v>
      </c>
      <c r="R2014" s="4">
        <f>RANK(N2014,$N$2:N$2800,0)</f>
        <v>1</v>
      </c>
      <c r="S2014">
        <f t="shared" si="156"/>
        <v>1.7777777777777777</v>
      </c>
      <c r="T2014" t="str">
        <f t="shared" si="157"/>
        <v>Good</v>
      </c>
      <c r="U2014" t="str" cm="1">
        <f t="array" ref="U2014">_xlfn.LET(_xlpm.roles,_xlfn.UNIQUE(D2014:D4812),_xlpm.kills, SUMIF(D2014:D4812,_xlpm.roles,G2014:G4812),INDEX(_xlpm.roles,MATCH(MAX(_xlpm.kills),_xlpm.kills,0)))</f>
        <v>Sniper</v>
      </c>
      <c r="V2014" t="str">
        <f t="shared" si="158"/>
        <v>High Accuracy</v>
      </c>
      <c r="W2014" t="str" cm="1">
        <f t="array" ref="W2014">_xlfn.LET(_xlpm.roles,_xlfn.UNIQUE(D2014:D4812), _xlpm.counts,COUNTIF(D2014:D4812,_xlpm.roles), INDEX(_xlpm.roles,MATCH(MAX(_xlpm.counts),_xlpm.counts,0)))</f>
        <v>Sniper</v>
      </c>
      <c r="X2014" s="2">
        <f t="shared" si="159"/>
        <v>13.103594080338267</v>
      </c>
    </row>
    <row r="2015" spans="1:24" x14ac:dyDescent="0.3">
      <c r="A2015">
        <v>2228</v>
      </c>
      <c r="B2015">
        <v>356</v>
      </c>
      <c r="C2015" t="s">
        <v>25</v>
      </c>
      <c r="D2015" t="s">
        <v>36</v>
      </c>
      <c r="E2015" t="s">
        <v>32</v>
      </c>
      <c r="F2015" t="s">
        <v>37</v>
      </c>
      <c r="G2015">
        <v>22</v>
      </c>
      <c r="H2015">
        <v>8</v>
      </c>
      <c r="I2015">
        <v>14</v>
      </c>
      <c r="J2015">
        <v>41.96</v>
      </c>
      <c r="K2015">
        <v>278.70999999999998</v>
      </c>
      <c r="L2015">
        <v>7.0000000000000007E-2</v>
      </c>
      <c r="M2015">
        <v>58.28</v>
      </c>
      <c r="N2015">
        <v>0.98</v>
      </c>
      <c r="O2015" t="s">
        <v>20</v>
      </c>
      <c r="P2015" t="s">
        <v>21</v>
      </c>
      <c r="Q2015">
        <f t="shared" si="155"/>
        <v>16</v>
      </c>
      <c r="R2015" s="4">
        <f>RANK(N2015,$N$2:N$2800,0)</f>
        <v>1157</v>
      </c>
      <c r="S2015">
        <f t="shared" si="156"/>
        <v>1.5714285714285714</v>
      </c>
      <c r="T2015" t="str">
        <f t="shared" si="157"/>
        <v>Good</v>
      </c>
      <c r="U2015" t="str" cm="1">
        <f t="array" ref="U2015">_xlfn.LET(_xlpm.roles,_xlfn.UNIQUE(D2015:D4813),_xlpm.kills, SUMIF(D2015:D4813,_xlpm.roles,G2015:G4813),INDEX(_xlpm.roles,MATCH(MAX(_xlpm.kills),_xlpm.kills,0)))</f>
        <v>Sniper</v>
      </c>
      <c r="V2015" t="str">
        <f t="shared" si="158"/>
        <v>Medium Accuracy</v>
      </c>
      <c r="W2015" t="str" cm="1">
        <f t="array" ref="W2015">_xlfn.LET(_xlpm.roles,_xlfn.UNIQUE(D2015:D4813), _xlpm.counts,COUNTIF(D2015:D4813,_xlpm.roles), INDEX(_xlpm.roles,MATCH(MAX(_xlpm.counts),_xlpm.counts,0)))</f>
        <v>Sniper</v>
      </c>
      <c r="X2015" s="2">
        <f t="shared" si="159"/>
        <v>12.809421841541756</v>
      </c>
    </row>
    <row r="2016" spans="1:24" x14ac:dyDescent="0.3">
      <c r="A2016">
        <v>2311</v>
      </c>
      <c r="B2016">
        <v>356</v>
      </c>
      <c r="C2016" t="s">
        <v>27</v>
      </c>
      <c r="D2016" t="s">
        <v>17</v>
      </c>
      <c r="E2016" t="s">
        <v>18</v>
      </c>
      <c r="F2016" t="s">
        <v>24</v>
      </c>
      <c r="G2016">
        <v>16</v>
      </c>
      <c r="H2016">
        <v>11</v>
      </c>
      <c r="I2016">
        <v>13</v>
      </c>
      <c r="J2016">
        <v>66.42</v>
      </c>
      <c r="K2016">
        <v>238.88</v>
      </c>
      <c r="L2016">
        <v>0.76</v>
      </c>
      <c r="M2016">
        <v>55.61</v>
      </c>
      <c r="N2016">
        <v>1</v>
      </c>
      <c r="O2016" t="s">
        <v>20</v>
      </c>
      <c r="P2016" t="s">
        <v>21</v>
      </c>
      <c r="Q2016">
        <f t="shared" si="155"/>
        <v>14</v>
      </c>
      <c r="R2016" s="4">
        <f>RANK(N2016,$N$2:N$2800,0)</f>
        <v>1</v>
      </c>
      <c r="S2016">
        <f t="shared" si="156"/>
        <v>1.2307692307692308</v>
      </c>
      <c r="T2016" t="str">
        <f t="shared" si="157"/>
        <v>Low</v>
      </c>
      <c r="U2016" t="str" cm="1">
        <f t="array" ref="U2016">_xlfn.LET(_xlpm.roles,_xlfn.UNIQUE(D2016:D4814),_xlpm.kills, SUMIF(D2016:D4814,_xlpm.roles,G2016:G4814),INDEX(_xlpm.roles,MATCH(MAX(_xlpm.kills),_xlpm.kills,0)))</f>
        <v>Sniper</v>
      </c>
      <c r="V2016" t="str">
        <f t="shared" si="158"/>
        <v>High Accuracy</v>
      </c>
      <c r="W2016" t="str" cm="1">
        <f t="array" ref="W2016">_xlfn.LET(_xlpm.roles,_xlfn.UNIQUE(D2016:D4814), _xlpm.counts,COUNTIF(D2016:D4814,_xlpm.roles), INDEX(_xlpm.roles,MATCH(MAX(_xlpm.counts),_xlpm.counts,0)))</f>
        <v>Sniper</v>
      </c>
      <c r="X2016" s="2">
        <f t="shared" si="159"/>
        <v>13.057077625570777</v>
      </c>
    </row>
    <row r="2017" spans="1:24" x14ac:dyDescent="0.3">
      <c r="A2017">
        <v>2327</v>
      </c>
      <c r="B2017">
        <v>356</v>
      </c>
      <c r="C2017" t="s">
        <v>25</v>
      </c>
      <c r="D2017" t="s">
        <v>22</v>
      </c>
      <c r="E2017" t="s">
        <v>33</v>
      </c>
      <c r="F2017" t="s">
        <v>24</v>
      </c>
      <c r="G2017">
        <v>19</v>
      </c>
      <c r="H2017">
        <v>5</v>
      </c>
      <c r="I2017">
        <v>9</v>
      </c>
      <c r="J2017">
        <v>45.05</v>
      </c>
      <c r="K2017">
        <v>267.29000000000002</v>
      </c>
      <c r="L2017">
        <v>0.79</v>
      </c>
      <c r="M2017">
        <v>48.62</v>
      </c>
      <c r="N2017">
        <v>1</v>
      </c>
      <c r="O2017" t="s">
        <v>20</v>
      </c>
      <c r="P2017" t="s">
        <v>21</v>
      </c>
      <c r="Q2017">
        <f t="shared" si="155"/>
        <v>15</v>
      </c>
      <c r="R2017" s="4">
        <f>RANK(N2017,$N$2:N$2800,0)</f>
        <v>1</v>
      </c>
      <c r="S2017">
        <f t="shared" si="156"/>
        <v>2.1111111111111112</v>
      </c>
      <c r="T2017" t="str">
        <f t="shared" si="157"/>
        <v>Good</v>
      </c>
      <c r="U2017" t="str" cm="1">
        <f t="array" ref="U2017">_xlfn.LET(_xlpm.roles,_xlfn.UNIQUE(D2017:D4815),_xlpm.kills, SUMIF(D2017:D4815,_xlpm.roles,G2017:G4815),INDEX(_xlpm.roles,MATCH(MAX(_xlpm.kills),_xlpm.kills,0)))</f>
        <v>Sniper</v>
      </c>
      <c r="V2017" t="str">
        <f t="shared" si="158"/>
        <v>Medium Accuracy</v>
      </c>
      <c r="W2017" t="str" cm="1">
        <f t="array" ref="W2017">_xlfn.LET(_xlpm.roles,_xlfn.UNIQUE(D2017:D4815), _xlpm.counts,COUNTIF(D2017:D4815,_xlpm.roles), INDEX(_xlpm.roles,MATCH(MAX(_xlpm.counts),_xlpm.counts,0)))</f>
        <v>Sniper</v>
      </c>
      <c r="X2017" s="2">
        <f t="shared" si="159"/>
        <v>12.809421841541756</v>
      </c>
    </row>
    <row r="2018" spans="1:24" x14ac:dyDescent="0.3">
      <c r="A2018">
        <v>2380</v>
      </c>
      <c r="B2018">
        <v>356</v>
      </c>
      <c r="C2018" t="s">
        <v>25</v>
      </c>
      <c r="D2018" t="s">
        <v>22</v>
      </c>
      <c r="E2018" t="s">
        <v>29</v>
      </c>
      <c r="F2018" t="s">
        <v>26</v>
      </c>
      <c r="G2018">
        <v>12</v>
      </c>
      <c r="H2018">
        <v>10</v>
      </c>
      <c r="I2018">
        <v>4</v>
      </c>
      <c r="J2018">
        <v>63.06</v>
      </c>
      <c r="K2018">
        <v>225.35</v>
      </c>
      <c r="L2018">
        <v>0.35</v>
      </c>
      <c r="M2018">
        <v>58.03</v>
      </c>
      <c r="N2018">
        <v>0.95</v>
      </c>
      <c r="O2018" t="s">
        <v>20</v>
      </c>
      <c r="P2018" t="s">
        <v>21</v>
      </c>
      <c r="Q2018">
        <f t="shared" si="155"/>
        <v>18</v>
      </c>
      <c r="R2018" s="4">
        <f>RANK(N2018,$N$2:N$2800,0)</f>
        <v>1367</v>
      </c>
      <c r="S2018">
        <f t="shared" si="156"/>
        <v>3</v>
      </c>
      <c r="T2018" t="str">
        <f t="shared" si="157"/>
        <v>Good</v>
      </c>
      <c r="U2018" t="str" cm="1">
        <f t="array" ref="U2018">_xlfn.LET(_xlpm.roles,_xlfn.UNIQUE(D2018:D4816),_xlpm.kills, SUMIF(D2018:D4816,_xlpm.roles,G2018:G4816),INDEX(_xlpm.roles,MATCH(MAX(_xlpm.kills),_xlpm.kills,0)))</f>
        <v>Sniper</v>
      </c>
      <c r="V2018" t="str">
        <f t="shared" si="158"/>
        <v>High Accuracy</v>
      </c>
      <c r="W2018" t="str" cm="1">
        <f t="array" ref="W2018">_xlfn.LET(_xlpm.roles,_xlfn.UNIQUE(D2018:D4816), _xlpm.counts,COUNTIF(D2018:D4816,_xlpm.roles), INDEX(_xlpm.roles,MATCH(MAX(_xlpm.counts),_xlpm.counts,0)))</f>
        <v>Sniper</v>
      </c>
      <c r="X2018" s="2">
        <f t="shared" si="159"/>
        <v>12.809421841541756</v>
      </c>
    </row>
    <row r="2019" spans="1:24" x14ac:dyDescent="0.3">
      <c r="A2019">
        <v>54</v>
      </c>
      <c r="B2019">
        <v>357</v>
      </c>
      <c r="C2019" t="s">
        <v>25</v>
      </c>
      <c r="D2019" t="s">
        <v>31</v>
      </c>
      <c r="E2019" t="s">
        <v>23</v>
      </c>
      <c r="F2019" t="s">
        <v>34</v>
      </c>
      <c r="G2019">
        <v>17</v>
      </c>
      <c r="H2019">
        <v>9</v>
      </c>
      <c r="I2019">
        <v>10</v>
      </c>
      <c r="J2019">
        <v>45.96</v>
      </c>
      <c r="K2019">
        <v>206.04</v>
      </c>
      <c r="L2019">
        <v>0.83</v>
      </c>
      <c r="M2019">
        <v>47.68</v>
      </c>
      <c r="N2019">
        <v>1</v>
      </c>
      <c r="O2019" t="s">
        <v>20</v>
      </c>
      <c r="P2019" t="s">
        <v>21</v>
      </c>
      <c r="Q2019">
        <f t="shared" si="155"/>
        <v>16</v>
      </c>
      <c r="R2019" s="4">
        <f>RANK(N2019,$N$2:N$2800,0)</f>
        <v>1</v>
      </c>
      <c r="S2019">
        <f t="shared" si="156"/>
        <v>1.7</v>
      </c>
      <c r="T2019" t="str">
        <f t="shared" si="157"/>
        <v>Good</v>
      </c>
      <c r="U2019" t="str" cm="1">
        <f t="array" ref="U2019">_xlfn.LET(_xlpm.roles,_xlfn.UNIQUE(D2019:D4817),_xlpm.kills, SUMIF(D2019:D4817,_xlpm.roles,G2019:G4817),INDEX(_xlpm.roles,MATCH(MAX(_xlpm.kills),_xlpm.kills,0)))</f>
        <v>Sniper</v>
      </c>
      <c r="V2019" t="str">
        <f t="shared" si="158"/>
        <v>Medium Accuracy</v>
      </c>
      <c r="W2019" t="str" cm="1">
        <f t="array" ref="W2019">_xlfn.LET(_xlpm.roles,_xlfn.UNIQUE(D2019:D4817), _xlpm.counts,COUNTIF(D2019:D4817,_xlpm.roles), INDEX(_xlpm.roles,MATCH(MAX(_xlpm.counts),_xlpm.counts,0)))</f>
        <v>Sniper</v>
      </c>
      <c r="X2019" s="2">
        <f t="shared" si="159"/>
        <v>12.809421841541756</v>
      </c>
    </row>
    <row r="2020" spans="1:24" x14ac:dyDescent="0.3">
      <c r="A2020">
        <v>186</v>
      </c>
      <c r="B2020">
        <v>357</v>
      </c>
      <c r="C2020" t="s">
        <v>25</v>
      </c>
      <c r="D2020" t="s">
        <v>31</v>
      </c>
      <c r="E2020" t="s">
        <v>33</v>
      </c>
      <c r="F2020" t="s">
        <v>37</v>
      </c>
      <c r="G2020">
        <v>23</v>
      </c>
      <c r="H2020">
        <v>5</v>
      </c>
      <c r="I2020">
        <v>5</v>
      </c>
      <c r="J2020">
        <v>47.47</v>
      </c>
      <c r="K2020">
        <v>168.93</v>
      </c>
      <c r="L2020">
        <v>0.8</v>
      </c>
      <c r="M2020">
        <v>61.73</v>
      </c>
      <c r="N2020">
        <v>1</v>
      </c>
      <c r="O2020" t="s">
        <v>20</v>
      </c>
      <c r="P2020" t="s">
        <v>38</v>
      </c>
      <c r="Q2020">
        <f t="shared" si="155"/>
        <v>23</v>
      </c>
      <c r="R2020" s="4">
        <f>RANK(N2020,$N$2:N$2800,0)</f>
        <v>1</v>
      </c>
      <c r="S2020">
        <f t="shared" si="156"/>
        <v>4.5999999999999996</v>
      </c>
      <c r="T2020" t="str">
        <f t="shared" si="157"/>
        <v>Good</v>
      </c>
      <c r="U2020" t="str" cm="1">
        <f t="array" ref="U2020">_xlfn.LET(_xlpm.roles,_xlfn.UNIQUE(D2020:D4818),_xlpm.kills, SUMIF(D2020:D4818,_xlpm.roles,G2020:G4818),INDEX(_xlpm.roles,MATCH(MAX(_xlpm.kills),_xlpm.kills,0)))</f>
        <v>Sniper</v>
      </c>
      <c r="V2020" t="str">
        <f t="shared" si="158"/>
        <v>Medium Accuracy</v>
      </c>
      <c r="W2020" t="str" cm="1">
        <f t="array" ref="W2020">_xlfn.LET(_xlpm.roles,_xlfn.UNIQUE(D2020:D4818), _xlpm.counts,COUNTIF(D2020:D4818,_xlpm.roles), INDEX(_xlpm.roles,MATCH(MAX(_xlpm.counts),_xlpm.counts,0)))</f>
        <v>Sniper</v>
      </c>
      <c r="X2020" s="2">
        <f t="shared" si="159"/>
        <v>12.809421841541756</v>
      </c>
    </row>
    <row r="2021" spans="1:24" x14ac:dyDescent="0.3">
      <c r="A2021">
        <v>831</v>
      </c>
      <c r="B2021">
        <v>357</v>
      </c>
      <c r="C2021" t="s">
        <v>39</v>
      </c>
      <c r="D2021" t="s">
        <v>28</v>
      </c>
      <c r="E2021" t="s">
        <v>23</v>
      </c>
      <c r="F2021" t="s">
        <v>34</v>
      </c>
      <c r="G2021">
        <v>19</v>
      </c>
      <c r="H2021">
        <v>5</v>
      </c>
      <c r="I2021">
        <v>5</v>
      </c>
      <c r="J2021">
        <v>47.63</v>
      </c>
      <c r="K2021">
        <v>279.05</v>
      </c>
      <c r="L2021">
        <v>0.08</v>
      </c>
      <c r="M2021">
        <v>61.02</v>
      </c>
      <c r="N2021">
        <v>1</v>
      </c>
      <c r="O2021" t="s">
        <v>20</v>
      </c>
      <c r="P2021" t="s">
        <v>38</v>
      </c>
      <c r="Q2021">
        <f t="shared" si="155"/>
        <v>19</v>
      </c>
      <c r="R2021" s="4">
        <f>RANK(N2021,$N$2:N$2800,0)</f>
        <v>1</v>
      </c>
      <c r="S2021">
        <f t="shared" si="156"/>
        <v>3.8</v>
      </c>
      <c r="T2021" t="str">
        <f t="shared" si="157"/>
        <v>Good</v>
      </c>
      <c r="U2021" t="str" cm="1">
        <f t="array" ref="U2021">_xlfn.LET(_xlpm.roles,_xlfn.UNIQUE(D2021:D4819),_xlpm.kills, SUMIF(D2021:D4819,_xlpm.roles,G2021:G4819),INDEX(_xlpm.roles,MATCH(MAX(_xlpm.kills),_xlpm.kills,0)))</f>
        <v>Sniper</v>
      </c>
      <c r="V2021" t="str">
        <f t="shared" si="158"/>
        <v>Medium Accuracy</v>
      </c>
      <c r="W2021" t="str" cm="1">
        <f t="array" ref="W2021">_xlfn.LET(_xlpm.roles,_xlfn.UNIQUE(D2021:D4819), _xlpm.counts,COUNTIF(D2021:D4819,_xlpm.roles), INDEX(_xlpm.roles,MATCH(MAX(_xlpm.counts),_xlpm.counts,0)))</f>
        <v>Sniper</v>
      </c>
      <c r="X2021" s="2">
        <f t="shared" si="159"/>
        <v>13.103594080338267</v>
      </c>
    </row>
    <row r="2022" spans="1:24" x14ac:dyDescent="0.3">
      <c r="A2022">
        <v>835</v>
      </c>
      <c r="B2022">
        <v>357</v>
      </c>
      <c r="C2022" t="s">
        <v>30</v>
      </c>
      <c r="D2022" t="s">
        <v>17</v>
      </c>
      <c r="E2022" t="s">
        <v>32</v>
      </c>
      <c r="F2022" t="s">
        <v>19</v>
      </c>
      <c r="G2022">
        <v>14</v>
      </c>
      <c r="H2022">
        <v>4</v>
      </c>
      <c r="I2022">
        <v>5</v>
      </c>
      <c r="J2022">
        <v>39.270000000000003</v>
      </c>
      <c r="K2022">
        <v>222.55</v>
      </c>
      <c r="L2022">
        <v>0.14000000000000001</v>
      </c>
      <c r="M2022">
        <v>45.24</v>
      </c>
      <c r="N2022">
        <v>1</v>
      </c>
      <c r="O2022" t="s">
        <v>20</v>
      </c>
      <c r="P2022" t="s">
        <v>21</v>
      </c>
      <c r="Q2022">
        <f t="shared" si="155"/>
        <v>13</v>
      </c>
      <c r="R2022" s="4">
        <f>RANK(N2022,$N$2:N$2800,0)</f>
        <v>1</v>
      </c>
      <c r="S2022">
        <f t="shared" si="156"/>
        <v>2.8</v>
      </c>
      <c r="T2022" t="str">
        <f t="shared" si="157"/>
        <v>Low</v>
      </c>
      <c r="U2022" t="str" cm="1">
        <f t="array" ref="U2022">_xlfn.LET(_xlpm.roles,_xlfn.UNIQUE(D2022:D4820),_xlpm.kills, SUMIF(D2022:D4820,_xlpm.roles,G2022:G4820),INDEX(_xlpm.roles,MATCH(MAX(_xlpm.kills),_xlpm.kills,0)))</f>
        <v>Sniper</v>
      </c>
      <c r="V2022" t="str">
        <f t="shared" si="158"/>
        <v>Medium Accuracy</v>
      </c>
      <c r="W2022" t="str" cm="1">
        <f t="array" ref="W2022">_xlfn.LET(_xlpm.roles,_xlfn.UNIQUE(D2022:D4820), _xlpm.counts,COUNTIF(D2022:D4820,_xlpm.roles), INDEX(_xlpm.roles,MATCH(MAX(_xlpm.counts),_xlpm.counts,0)))</f>
        <v>Sniper</v>
      </c>
      <c r="X2022" s="2">
        <f t="shared" si="159"/>
        <v>13.135802469135802</v>
      </c>
    </row>
    <row r="2023" spans="1:24" x14ac:dyDescent="0.3">
      <c r="A2023">
        <v>1582</v>
      </c>
      <c r="B2023">
        <v>357</v>
      </c>
      <c r="C2023" t="s">
        <v>35</v>
      </c>
      <c r="D2023" t="s">
        <v>22</v>
      </c>
      <c r="E2023" t="s">
        <v>32</v>
      </c>
      <c r="F2023" t="s">
        <v>19</v>
      </c>
      <c r="G2023">
        <v>15</v>
      </c>
      <c r="H2023">
        <v>10</v>
      </c>
      <c r="I2023">
        <v>2</v>
      </c>
      <c r="J2023">
        <v>50.89</v>
      </c>
      <c r="K2023">
        <v>194.78</v>
      </c>
      <c r="L2023">
        <v>0.51</v>
      </c>
      <c r="M2023">
        <v>58.34</v>
      </c>
      <c r="N2023">
        <v>1</v>
      </c>
      <c r="O2023" t="s">
        <v>20</v>
      </c>
      <c r="P2023" t="s">
        <v>21</v>
      </c>
      <c r="Q2023">
        <f t="shared" si="155"/>
        <v>23</v>
      </c>
      <c r="R2023" s="4">
        <f>RANK(N2023,$N$2:N$2800,0)</f>
        <v>1</v>
      </c>
      <c r="S2023">
        <f t="shared" si="156"/>
        <v>7.5</v>
      </c>
      <c r="T2023" t="str">
        <f t="shared" si="157"/>
        <v>Good</v>
      </c>
      <c r="U2023" t="str" cm="1">
        <f t="array" ref="U2023">_xlfn.LET(_xlpm.roles,_xlfn.UNIQUE(D2023:D4821),_xlpm.kills, SUMIF(D2023:D4821,_xlpm.roles,G2023:G4821),INDEX(_xlpm.roles,MATCH(MAX(_xlpm.kills),_xlpm.kills,0)))</f>
        <v>Sniper</v>
      </c>
      <c r="V2023" t="str">
        <f t="shared" si="158"/>
        <v>High Accuracy</v>
      </c>
      <c r="W2023" t="str" cm="1">
        <f t="array" ref="W2023">_xlfn.LET(_xlpm.roles,_xlfn.UNIQUE(D2023:D4821), _xlpm.counts,COUNTIF(D2023:D4821,_xlpm.roles), INDEX(_xlpm.roles,MATCH(MAX(_xlpm.counts),_xlpm.counts,0)))</f>
        <v>Sniper</v>
      </c>
      <c r="X2023" s="2">
        <f t="shared" si="159"/>
        <v>12.599585062240664</v>
      </c>
    </row>
    <row r="2024" spans="1:24" x14ac:dyDescent="0.3">
      <c r="A2024">
        <v>1634</v>
      </c>
      <c r="B2024">
        <v>357</v>
      </c>
      <c r="C2024" t="s">
        <v>16</v>
      </c>
      <c r="D2024" t="s">
        <v>28</v>
      </c>
      <c r="E2024" t="s">
        <v>29</v>
      </c>
      <c r="F2024" t="s">
        <v>26</v>
      </c>
      <c r="G2024">
        <v>20</v>
      </c>
      <c r="H2024">
        <v>13</v>
      </c>
      <c r="I2024">
        <v>9</v>
      </c>
      <c r="J2024">
        <v>42.65</v>
      </c>
      <c r="K2024">
        <v>255.17</v>
      </c>
      <c r="L2024">
        <v>0.63</v>
      </c>
      <c r="M2024">
        <v>59.03</v>
      </c>
      <c r="N2024">
        <v>1</v>
      </c>
      <c r="O2024" t="s">
        <v>20</v>
      </c>
      <c r="P2024" t="s">
        <v>21</v>
      </c>
      <c r="Q2024">
        <f t="shared" si="155"/>
        <v>24</v>
      </c>
      <c r="R2024" s="4">
        <f>RANK(N2024,$N$2:N$2800,0)</f>
        <v>1</v>
      </c>
      <c r="S2024">
        <f t="shared" si="156"/>
        <v>2.2222222222222223</v>
      </c>
      <c r="T2024" t="str">
        <f t="shared" si="157"/>
        <v>Good</v>
      </c>
      <c r="U2024" t="str" cm="1">
        <f t="array" ref="U2024">_xlfn.LET(_xlpm.roles,_xlfn.UNIQUE(D2024:D4822),_xlpm.kills, SUMIF(D2024:D4822,_xlpm.roles,G2024:G4822),INDEX(_xlpm.roles,MATCH(MAX(_xlpm.kills),_xlpm.kills,0)))</f>
        <v>Sniper</v>
      </c>
      <c r="V2024" t="str">
        <f t="shared" si="158"/>
        <v>Medium Accuracy</v>
      </c>
      <c r="W2024" t="str" cm="1">
        <f t="array" ref="W2024">_xlfn.LET(_xlpm.roles,_xlfn.UNIQUE(D2024:D4822), _xlpm.counts,COUNTIF(D2024:D4822,_xlpm.roles), INDEX(_xlpm.roles,MATCH(MAX(_xlpm.counts),_xlpm.counts,0)))</f>
        <v>Sniper</v>
      </c>
      <c r="X2024" s="2">
        <f t="shared" si="159"/>
        <v>12.520971302428256</v>
      </c>
    </row>
    <row r="2025" spans="1:24" x14ac:dyDescent="0.3">
      <c r="A2025">
        <v>2243</v>
      </c>
      <c r="B2025">
        <v>357</v>
      </c>
      <c r="C2025" t="s">
        <v>30</v>
      </c>
      <c r="D2025" t="s">
        <v>22</v>
      </c>
      <c r="E2025" t="s">
        <v>29</v>
      </c>
      <c r="F2025" t="s">
        <v>19</v>
      </c>
      <c r="G2025">
        <v>15</v>
      </c>
      <c r="H2025">
        <v>7</v>
      </c>
      <c r="I2025">
        <v>6</v>
      </c>
      <c r="J2025">
        <v>40.24</v>
      </c>
      <c r="K2025">
        <v>201.26</v>
      </c>
      <c r="L2025">
        <v>0.23</v>
      </c>
      <c r="M2025">
        <v>48.82</v>
      </c>
      <c r="N2025">
        <v>0.92</v>
      </c>
      <c r="O2025" t="s">
        <v>20</v>
      </c>
      <c r="P2025" t="s">
        <v>21</v>
      </c>
      <c r="Q2025">
        <f t="shared" si="155"/>
        <v>16</v>
      </c>
      <c r="R2025" s="4">
        <f>RANK(N2025,$N$2:N$2800,0)</f>
        <v>1585</v>
      </c>
      <c r="S2025">
        <f t="shared" si="156"/>
        <v>2.5</v>
      </c>
      <c r="T2025" t="str">
        <f t="shared" si="157"/>
        <v>Good</v>
      </c>
      <c r="U2025" t="str" cm="1">
        <f t="array" ref="U2025">_xlfn.LET(_xlpm.roles,_xlfn.UNIQUE(D2025:D4823),_xlpm.kills, SUMIF(D2025:D4823,_xlpm.roles,G2025:G4823),INDEX(_xlpm.roles,MATCH(MAX(_xlpm.kills),_xlpm.kills,0)))</f>
        <v>Sniper</v>
      </c>
      <c r="V2025" t="str">
        <f t="shared" si="158"/>
        <v>Medium Accuracy</v>
      </c>
      <c r="W2025" t="str" cm="1">
        <f t="array" ref="W2025">_xlfn.LET(_xlpm.roles,_xlfn.UNIQUE(D2025:D4823), _xlpm.counts,COUNTIF(D2025:D4823,_xlpm.roles), INDEX(_xlpm.roles,MATCH(MAX(_xlpm.counts),_xlpm.counts,0)))</f>
        <v>Sniper</v>
      </c>
      <c r="X2025" s="2">
        <f t="shared" si="159"/>
        <v>13.135802469135802</v>
      </c>
    </row>
    <row r="2026" spans="1:24" x14ac:dyDescent="0.3">
      <c r="A2026">
        <v>414</v>
      </c>
      <c r="B2026">
        <v>358</v>
      </c>
      <c r="C2026" t="s">
        <v>25</v>
      </c>
      <c r="D2026" t="s">
        <v>31</v>
      </c>
      <c r="E2026" t="s">
        <v>23</v>
      </c>
      <c r="F2026" t="s">
        <v>26</v>
      </c>
      <c r="G2026">
        <v>12</v>
      </c>
      <c r="H2026">
        <v>8</v>
      </c>
      <c r="I2026">
        <v>9</v>
      </c>
      <c r="J2026">
        <v>38.299999999999997</v>
      </c>
      <c r="K2026">
        <v>220.97</v>
      </c>
      <c r="L2026">
        <v>0.71</v>
      </c>
      <c r="M2026">
        <v>35.049999999999997</v>
      </c>
      <c r="N2026">
        <v>1</v>
      </c>
      <c r="O2026" t="s">
        <v>20</v>
      </c>
      <c r="P2026" t="s">
        <v>21</v>
      </c>
      <c r="Q2026">
        <f t="shared" si="155"/>
        <v>11</v>
      </c>
      <c r="R2026" s="4">
        <f>RANK(N2026,$N$2:N$2800,0)</f>
        <v>1</v>
      </c>
      <c r="S2026">
        <f t="shared" si="156"/>
        <v>1.3333333333333333</v>
      </c>
      <c r="T2026" t="str">
        <f t="shared" si="157"/>
        <v>Low</v>
      </c>
      <c r="U2026" t="str" cm="1">
        <f t="array" ref="U2026">_xlfn.LET(_xlpm.roles,_xlfn.UNIQUE(D2026:D4824),_xlpm.kills, SUMIF(D2026:D4824,_xlpm.roles,G2026:G4824),INDEX(_xlpm.roles,MATCH(MAX(_xlpm.kills),_xlpm.kills,0)))</f>
        <v>Sniper</v>
      </c>
      <c r="V2026" t="str">
        <f t="shared" si="158"/>
        <v>Medium Accuracy</v>
      </c>
      <c r="W2026" t="str" cm="1">
        <f t="array" ref="W2026">_xlfn.LET(_xlpm.roles,_xlfn.UNIQUE(D2026:D4824), _xlpm.counts,COUNTIF(D2026:D4824,_xlpm.roles), INDEX(_xlpm.roles,MATCH(MAX(_xlpm.counts),_xlpm.counts,0)))</f>
        <v>Sniper</v>
      </c>
      <c r="X2026" s="2">
        <f t="shared" si="159"/>
        <v>12.809421841541756</v>
      </c>
    </row>
    <row r="2027" spans="1:24" x14ac:dyDescent="0.3">
      <c r="A2027">
        <v>688</v>
      </c>
      <c r="B2027">
        <v>358</v>
      </c>
      <c r="C2027" t="s">
        <v>27</v>
      </c>
      <c r="D2027" t="s">
        <v>28</v>
      </c>
      <c r="E2027" t="s">
        <v>32</v>
      </c>
      <c r="F2027" t="s">
        <v>34</v>
      </c>
      <c r="G2027">
        <v>15</v>
      </c>
      <c r="H2027">
        <v>6</v>
      </c>
      <c r="I2027">
        <v>12</v>
      </c>
      <c r="J2027">
        <v>50.05</v>
      </c>
      <c r="K2027">
        <v>192.78</v>
      </c>
      <c r="L2027">
        <v>0.92</v>
      </c>
      <c r="M2027">
        <v>39.82</v>
      </c>
      <c r="N2027">
        <v>0.9</v>
      </c>
      <c r="O2027" t="s">
        <v>20</v>
      </c>
      <c r="P2027" t="s">
        <v>21</v>
      </c>
      <c r="Q2027">
        <f t="shared" si="155"/>
        <v>9</v>
      </c>
      <c r="R2027" s="4">
        <f>RANK(N2027,$N$2:N$2800,0)</f>
        <v>1738</v>
      </c>
      <c r="S2027">
        <f t="shared" si="156"/>
        <v>1.25</v>
      </c>
      <c r="T2027" t="str">
        <f t="shared" si="157"/>
        <v>Low</v>
      </c>
      <c r="U2027" t="str" cm="1">
        <f t="array" ref="U2027">_xlfn.LET(_xlpm.roles,_xlfn.UNIQUE(D2027:D4825),_xlpm.kills, SUMIF(D2027:D4825,_xlpm.roles,G2027:G4825),INDEX(_xlpm.roles,MATCH(MAX(_xlpm.kills),_xlpm.kills,0)))</f>
        <v>Sniper</v>
      </c>
      <c r="V2027" t="str">
        <f t="shared" si="158"/>
        <v>High Accuracy</v>
      </c>
      <c r="W2027" t="str" cm="1">
        <f t="array" ref="W2027">_xlfn.LET(_xlpm.roles,_xlfn.UNIQUE(D2027:D4825), _xlpm.counts,COUNTIF(D2027:D4825,_xlpm.roles), INDEX(_xlpm.roles,MATCH(MAX(_xlpm.counts),_xlpm.counts,0)))</f>
        <v>Sniper</v>
      </c>
      <c r="X2027" s="2">
        <f t="shared" si="159"/>
        <v>13.057077625570777</v>
      </c>
    </row>
    <row r="2028" spans="1:24" x14ac:dyDescent="0.3">
      <c r="A2028">
        <v>1505</v>
      </c>
      <c r="B2028">
        <v>358</v>
      </c>
      <c r="C2028" t="s">
        <v>30</v>
      </c>
      <c r="D2028" t="s">
        <v>22</v>
      </c>
      <c r="E2028" t="s">
        <v>32</v>
      </c>
      <c r="F2028" t="s">
        <v>37</v>
      </c>
      <c r="G2028">
        <v>17</v>
      </c>
      <c r="H2028">
        <v>11</v>
      </c>
      <c r="I2028">
        <v>5</v>
      </c>
      <c r="J2028">
        <v>51.3</v>
      </c>
      <c r="K2028">
        <v>196.69</v>
      </c>
      <c r="L2028">
        <v>0.56999999999999995</v>
      </c>
      <c r="M2028">
        <v>59.95</v>
      </c>
      <c r="N2028">
        <v>1</v>
      </c>
      <c r="O2028" t="s">
        <v>20</v>
      </c>
      <c r="P2028" t="s">
        <v>21</v>
      </c>
      <c r="Q2028">
        <f t="shared" si="155"/>
        <v>23</v>
      </c>
      <c r="R2028" s="4">
        <f>RANK(N2028,$N$2:N$2800,0)</f>
        <v>1</v>
      </c>
      <c r="S2028">
        <f t="shared" si="156"/>
        <v>3.4</v>
      </c>
      <c r="T2028" t="str">
        <f t="shared" si="157"/>
        <v>Good</v>
      </c>
      <c r="U2028" t="str" cm="1">
        <f t="array" ref="U2028">_xlfn.LET(_xlpm.roles,_xlfn.UNIQUE(D2028:D4826),_xlpm.kills, SUMIF(D2028:D4826,_xlpm.roles,G2028:G4826),INDEX(_xlpm.roles,MATCH(MAX(_xlpm.kills),_xlpm.kills,0)))</f>
        <v>Sniper</v>
      </c>
      <c r="V2028" t="str">
        <f t="shared" si="158"/>
        <v>High Accuracy</v>
      </c>
      <c r="W2028" t="str" cm="1">
        <f t="array" ref="W2028">_xlfn.LET(_xlpm.roles,_xlfn.UNIQUE(D2028:D4826), _xlpm.counts,COUNTIF(D2028:D4826,_xlpm.roles), INDEX(_xlpm.roles,MATCH(MAX(_xlpm.counts),_xlpm.counts,0)))</f>
        <v>Sniper</v>
      </c>
      <c r="X2028" s="2">
        <f t="shared" si="159"/>
        <v>13.135802469135802</v>
      </c>
    </row>
    <row r="2029" spans="1:24" x14ac:dyDescent="0.3">
      <c r="A2029">
        <v>1800</v>
      </c>
      <c r="B2029">
        <v>358</v>
      </c>
      <c r="C2029" t="s">
        <v>25</v>
      </c>
      <c r="D2029" t="s">
        <v>36</v>
      </c>
      <c r="E2029" t="s">
        <v>29</v>
      </c>
      <c r="F2029" t="s">
        <v>34</v>
      </c>
      <c r="G2029">
        <v>10</v>
      </c>
      <c r="H2029">
        <v>9</v>
      </c>
      <c r="I2029">
        <v>7</v>
      </c>
      <c r="J2029">
        <v>41.62</v>
      </c>
      <c r="K2029">
        <v>272.56</v>
      </c>
      <c r="L2029">
        <v>0.46</v>
      </c>
      <c r="M2029">
        <v>38.21</v>
      </c>
      <c r="N2029">
        <v>0.87</v>
      </c>
      <c r="O2029" t="s">
        <v>20</v>
      </c>
      <c r="P2029" t="s">
        <v>21</v>
      </c>
      <c r="Q2029">
        <f t="shared" si="155"/>
        <v>12</v>
      </c>
      <c r="R2029" s="4">
        <f>RANK(N2029,$N$2:N$2800,0)</f>
        <v>1965</v>
      </c>
      <c r="S2029">
        <f t="shared" si="156"/>
        <v>1.4285714285714286</v>
      </c>
      <c r="T2029" t="str">
        <f t="shared" si="157"/>
        <v>Low</v>
      </c>
      <c r="U2029" t="str" cm="1">
        <f t="array" ref="U2029">_xlfn.LET(_xlpm.roles,_xlfn.UNIQUE(D2029:D4827),_xlpm.kills, SUMIF(D2029:D4827,_xlpm.roles,G2029:G4827),INDEX(_xlpm.roles,MATCH(MAX(_xlpm.kills),_xlpm.kills,0)))</f>
        <v>Sniper</v>
      </c>
      <c r="V2029" t="str">
        <f t="shared" si="158"/>
        <v>Medium Accuracy</v>
      </c>
      <c r="W2029" t="str" cm="1">
        <f t="array" ref="W2029">_xlfn.LET(_xlpm.roles,_xlfn.UNIQUE(D2029:D4827), _xlpm.counts,COUNTIF(D2029:D4827,_xlpm.roles), INDEX(_xlpm.roles,MATCH(MAX(_xlpm.counts),_xlpm.counts,0)))</f>
        <v>Sniper</v>
      </c>
      <c r="X2029" s="2">
        <f t="shared" si="159"/>
        <v>12.809421841541756</v>
      </c>
    </row>
    <row r="2030" spans="1:24" x14ac:dyDescent="0.3">
      <c r="A2030">
        <v>2606</v>
      </c>
      <c r="B2030">
        <v>358</v>
      </c>
      <c r="C2030" t="s">
        <v>39</v>
      </c>
      <c r="D2030" t="s">
        <v>17</v>
      </c>
      <c r="E2030" t="s">
        <v>29</v>
      </c>
      <c r="F2030" t="s">
        <v>19</v>
      </c>
      <c r="G2030">
        <v>15</v>
      </c>
      <c r="H2030">
        <v>7</v>
      </c>
      <c r="I2030">
        <v>8</v>
      </c>
      <c r="J2030">
        <v>42.42</v>
      </c>
      <c r="K2030">
        <v>154.63999999999999</v>
      </c>
      <c r="L2030">
        <v>0.9</v>
      </c>
      <c r="M2030">
        <v>41.21</v>
      </c>
      <c r="N2030">
        <v>0.88</v>
      </c>
      <c r="O2030" t="s">
        <v>20</v>
      </c>
      <c r="P2030" t="s">
        <v>21</v>
      </c>
      <c r="Q2030">
        <f t="shared" si="155"/>
        <v>14</v>
      </c>
      <c r="R2030" s="4">
        <f>RANK(N2030,$N$2:N$2800,0)</f>
        <v>1894</v>
      </c>
      <c r="S2030">
        <f t="shared" si="156"/>
        <v>1.875</v>
      </c>
      <c r="T2030" t="str">
        <f t="shared" si="157"/>
        <v>Low</v>
      </c>
      <c r="U2030" t="str" cm="1">
        <f t="array" ref="U2030">_xlfn.LET(_xlpm.roles,_xlfn.UNIQUE(D2030:D4828),_xlpm.kills, SUMIF(D2030:D4828,_xlpm.roles,G2030:G4828),INDEX(_xlpm.roles,MATCH(MAX(_xlpm.kills),_xlpm.kills,0)))</f>
        <v>Sniper</v>
      </c>
      <c r="V2030" t="str">
        <f t="shared" si="158"/>
        <v>Medium Accuracy</v>
      </c>
      <c r="W2030" t="str" cm="1">
        <f t="array" ref="W2030">_xlfn.LET(_xlpm.roles,_xlfn.UNIQUE(D2030:D4828), _xlpm.counts,COUNTIF(D2030:D4828,_xlpm.roles), INDEX(_xlpm.roles,MATCH(MAX(_xlpm.counts),_xlpm.counts,0)))</f>
        <v>Sniper</v>
      </c>
      <c r="X2030" s="2">
        <f t="shared" si="159"/>
        <v>13.103594080338267</v>
      </c>
    </row>
    <row r="2031" spans="1:24" x14ac:dyDescent="0.3">
      <c r="A2031">
        <v>106</v>
      </c>
      <c r="B2031">
        <v>359</v>
      </c>
      <c r="C2031" t="s">
        <v>16</v>
      </c>
      <c r="D2031" t="s">
        <v>22</v>
      </c>
      <c r="E2031" t="s">
        <v>32</v>
      </c>
      <c r="F2031" t="s">
        <v>26</v>
      </c>
      <c r="G2031">
        <v>10</v>
      </c>
      <c r="H2031">
        <v>5</v>
      </c>
      <c r="I2031">
        <v>7</v>
      </c>
      <c r="J2031">
        <v>36.22</v>
      </c>
      <c r="K2031">
        <v>210.89</v>
      </c>
      <c r="L2031">
        <v>0.78</v>
      </c>
      <c r="M2031">
        <v>28.31</v>
      </c>
      <c r="N2031">
        <v>0.94</v>
      </c>
      <c r="O2031" t="s">
        <v>20</v>
      </c>
      <c r="P2031" t="s">
        <v>21</v>
      </c>
      <c r="Q2031">
        <f t="shared" si="155"/>
        <v>8</v>
      </c>
      <c r="R2031" s="4">
        <f>RANK(N2031,$N$2:N$2800,0)</f>
        <v>1431</v>
      </c>
      <c r="S2031">
        <f t="shared" si="156"/>
        <v>1.4285714285714286</v>
      </c>
      <c r="T2031" t="str">
        <f t="shared" si="157"/>
        <v>Low</v>
      </c>
      <c r="U2031" t="str" cm="1">
        <f t="array" ref="U2031">_xlfn.LET(_xlpm.roles,_xlfn.UNIQUE(D2031:D4829),_xlpm.kills, SUMIF(D2031:D4829,_xlpm.roles,G2031:G4829),INDEX(_xlpm.roles,MATCH(MAX(_xlpm.kills),_xlpm.kills,0)))</f>
        <v>Sniper</v>
      </c>
      <c r="V2031" t="str">
        <f t="shared" si="158"/>
        <v>Medium Accuracy</v>
      </c>
      <c r="W2031" t="str" cm="1">
        <f t="array" ref="W2031">_xlfn.LET(_xlpm.roles,_xlfn.UNIQUE(D2031:D4829), _xlpm.counts,COUNTIF(D2031:D4829,_xlpm.roles), INDEX(_xlpm.roles,MATCH(MAX(_xlpm.counts),_xlpm.counts,0)))</f>
        <v>Sniper</v>
      </c>
      <c r="X2031" s="2">
        <f t="shared" si="159"/>
        <v>12.520971302428256</v>
      </c>
    </row>
    <row r="2032" spans="1:24" x14ac:dyDescent="0.3">
      <c r="A2032">
        <v>818</v>
      </c>
      <c r="B2032">
        <v>359</v>
      </c>
      <c r="C2032" t="s">
        <v>16</v>
      </c>
      <c r="D2032" t="s">
        <v>31</v>
      </c>
      <c r="E2032" t="s">
        <v>32</v>
      </c>
      <c r="F2032" t="s">
        <v>37</v>
      </c>
      <c r="G2032">
        <v>22</v>
      </c>
      <c r="H2032">
        <v>9</v>
      </c>
      <c r="I2032">
        <v>13</v>
      </c>
      <c r="J2032">
        <v>37.4</v>
      </c>
      <c r="K2032">
        <v>217.72</v>
      </c>
      <c r="L2032">
        <v>0.51</v>
      </c>
      <c r="M2032">
        <v>53.6</v>
      </c>
      <c r="N2032">
        <v>1</v>
      </c>
      <c r="O2032" t="s">
        <v>20</v>
      </c>
      <c r="P2032" t="s">
        <v>21</v>
      </c>
      <c r="Q2032">
        <f t="shared" si="155"/>
        <v>18</v>
      </c>
      <c r="R2032" s="4">
        <f>RANK(N2032,$N$2:N$2800,0)</f>
        <v>1</v>
      </c>
      <c r="S2032">
        <f t="shared" si="156"/>
        <v>1.6923076923076923</v>
      </c>
      <c r="T2032" t="str">
        <f t="shared" si="157"/>
        <v>Good</v>
      </c>
      <c r="U2032" t="str" cm="1">
        <f t="array" ref="U2032">_xlfn.LET(_xlpm.roles,_xlfn.UNIQUE(D2032:D4830),_xlpm.kills, SUMIF(D2032:D4830,_xlpm.roles,G2032:G4830),INDEX(_xlpm.roles,MATCH(MAX(_xlpm.kills),_xlpm.kills,0)))</f>
        <v>Sniper</v>
      </c>
      <c r="V2032" t="str">
        <f t="shared" si="158"/>
        <v>Medium Accuracy</v>
      </c>
      <c r="W2032" t="str" cm="1">
        <f t="array" ref="W2032">_xlfn.LET(_xlpm.roles,_xlfn.UNIQUE(D2032:D4830), _xlpm.counts,COUNTIF(D2032:D4830,_xlpm.roles), INDEX(_xlpm.roles,MATCH(MAX(_xlpm.counts),_xlpm.counts,0)))</f>
        <v>Sniper</v>
      </c>
      <c r="X2032" s="2">
        <f t="shared" si="159"/>
        <v>12.520971302428256</v>
      </c>
    </row>
    <row r="2033" spans="1:24" x14ac:dyDescent="0.3">
      <c r="A2033">
        <v>1299</v>
      </c>
      <c r="B2033">
        <v>359</v>
      </c>
      <c r="C2033" t="s">
        <v>16</v>
      </c>
      <c r="D2033" t="s">
        <v>31</v>
      </c>
      <c r="E2033" t="s">
        <v>23</v>
      </c>
      <c r="F2033" t="s">
        <v>26</v>
      </c>
      <c r="G2033">
        <v>14</v>
      </c>
      <c r="H2033">
        <v>11</v>
      </c>
      <c r="I2033">
        <v>8</v>
      </c>
      <c r="J2033">
        <v>48.3</v>
      </c>
      <c r="K2033">
        <v>235.6</v>
      </c>
      <c r="L2033">
        <v>0.85</v>
      </c>
      <c r="M2033">
        <v>46.65</v>
      </c>
      <c r="N2033">
        <v>1</v>
      </c>
      <c r="O2033" t="s">
        <v>20</v>
      </c>
      <c r="P2033" t="s">
        <v>21</v>
      </c>
      <c r="Q2033">
        <f t="shared" si="155"/>
        <v>17</v>
      </c>
      <c r="R2033" s="4">
        <f>RANK(N2033,$N$2:N$2800,0)</f>
        <v>1</v>
      </c>
      <c r="S2033">
        <f t="shared" si="156"/>
        <v>1.75</v>
      </c>
      <c r="T2033" t="str">
        <f t="shared" si="157"/>
        <v>Good</v>
      </c>
      <c r="U2033" t="str" cm="1">
        <f t="array" ref="U2033">_xlfn.LET(_xlpm.roles,_xlfn.UNIQUE(D2033:D4831),_xlpm.kills, SUMIF(D2033:D4831,_xlpm.roles,G2033:G4831),INDEX(_xlpm.roles,MATCH(MAX(_xlpm.kills),_xlpm.kills,0)))</f>
        <v>Sniper</v>
      </c>
      <c r="V2033" t="str">
        <f t="shared" si="158"/>
        <v>Medium Accuracy</v>
      </c>
      <c r="W2033" t="str" cm="1">
        <f t="array" ref="W2033">_xlfn.LET(_xlpm.roles,_xlfn.UNIQUE(D2033:D4831), _xlpm.counts,COUNTIF(D2033:D4831,_xlpm.roles), INDEX(_xlpm.roles,MATCH(MAX(_xlpm.counts),_xlpm.counts,0)))</f>
        <v>Sniper</v>
      </c>
      <c r="X2033" s="2">
        <f t="shared" si="159"/>
        <v>12.520971302428256</v>
      </c>
    </row>
    <row r="2034" spans="1:24" x14ac:dyDescent="0.3">
      <c r="A2034">
        <v>1637</v>
      </c>
      <c r="B2034">
        <v>359</v>
      </c>
      <c r="C2034" t="s">
        <v>25</v>
      </c>
      <c r="D2034" t="s">
        <v>28</v>
      </c>
      <c r="E2034" t="s">
        <v>23</v>
      </c>
      <c r="F2034" t="s">
        <v>34</v>
      </c>
      <c r="G2034">
        <v>18</v>
      </c>
      <c r="H2034">
        <v>10</v>
      </c>
      <c r="I2034">
        <v>13</v>
      </c>
      <c r="J2034">
        <v>56.42</v>
      </c>
      <c r="K2034">
        <v>174.64</v>
      </c>
      <c r="L2034">
        <v>0.08</v>
      </c>
      <c r="M2034">
        <v>60.41</v>
      </c>
      <c r="N2034">
        <v>1</v>
      </c>
      <c r="O2034" t="s">
        <v>20</v>
      </c>
      <c r="P2034" t="s">
        <v>38</v>
      </c>
      <c r="Q2034">
        <f t="shared" si="155"/>
        <v>15</v>
      </c>
      <c r="R2034" s="4">
        <f>RANK(N2034,$N$2:N$2800,0)</f>
        <v>1</v>
      </c>
      <c r="S2034">
        <f t="shared" si="156"/>
        <v>1.3846153846153846</v>
      </c>
      <c r="T2034" t="str">
        <f t="shared" si="157"/>
        <v>Good</v>
      </c>
      <c r="U2034" t="str" cm="1">
        <f t="array" ref="U2034">_xlfn.LET(_xlpm.roles,_xlfn.UNIQUE(D2034:D4832),_xlpm.kills, SUMIF(D2034:D4832,_xlpm.roles,G2034:G4832),INDEX(_xlpm.roles,MATCH(MAX(_xlpm.kills),_xlpm.kills,0)))</f>
        <v>Sniper</v>
      </c>
      <c r="V2034" t="str">
        <f t="shared" si="158"/>
        <v>High Accuracy</v>
      </c>
      <c r="W2034" t="str" cm="1">
        <f t="array" ref="W2034">_xlfn.LET(_xlpm.roles,_xlfn.UNIQUE(D2034:D4832), _xlpm.counts,COUNTIF(D2034:D4832,_xlpm.roles), INDEX(_xlpm.roles,MATCH(MAX(_xlpm.counts),_xlpm.counts,0)))</f>
        <v>Sniper</v>
      </c>
      <c r="X2034" s="2">
        <f t="shared" si="159"/>
        <v>12.809421841541756</v>
      </c>
    </row>
    <row r="2035" spans="1:24" x14ac:dyDescent="0.3">
      <c r="A2035">
        <v>1723</v>
      </c>
      <c r="B2035">
        <v>359</v>
      </c>
      <c r="C2035" t="s">
        <v>30</v>
      </c>
      <c r="D2035" t="s">
        <v>17</v>
      </c>
      <c r="E2035" t="s">
        <v>18</v>
      </c>
      <c r="F2035" t="s">
        <v>37</v>
      </c>
      <c r="G2035">
        <v>16</v>
      </c>
      <c r="H2035">
        <v>7</v>
      </c>
      <c r="I2035">
        <v>6</v>
      </c>
      <c r="J2035">
        <v>51.17</v>
      </c>
      <c r="K2035">
        <v>273.64</v>
      </c>
      <c r="L2035">
        <v>0.76</v>
      </c>
      <c r="M2035">
        <v>50.98</v>
      </c>
      <c r="N2035">
        <v>1</v>
      </c>
      <c r="O2035" t="s">
        <v>20</v>
      </c>
      <c r="P2035" t="s">
        <v>21</v>
      </c>
      <c r="Q2035">
        <f t="shared" si="155"/>
        <v>17</v>
      </c>
      <c r="R2035" s="4">
        <f>RANK(N2035,$N$2:N$2800,0)</f>
        <v>1</v>
      </c>
      <c r="S2035">
        <f t="shared" si="156"/>
        <v>2.6666666666666665</v>
      </c>
      <c r="T2035" t="str">
        <f t="shared" si="157"/>
        <v>Good</v>
      </c>
      <c r="U2035" t="str" cm="1">
        <f t="array" ref="U2035">_xlfn.LET(_xlpm.roles,_xlfn.UNIQUE(D2035:D4833),_xlpm.kills, SUMIF(D2035:D4833,_xlpm.roles,G2035:G4833),INDEX(_xlpm.roles,MATCH(MAX(_xlpm.kills),_xlpm.kills,0)))</f>
        <v>Sniper</v>
      </c>
      <c r="V2035" t="str">
        <f t="shared" si="158"/>
        <v>High Accuracy</v>
      </c>
      <c r="W2035" t="str" cm="1">
        <f t="array" ref="W2035">_xlfn.LET(_xlpm.roles,_xlfn.UNIQUE(D2035:D4833), _xlpm.counts,COUNTIF(D2035:D4833,_xlpm.roles), INDEX(_xlpm.roles,MATCH(MAX(_xlpm.counts),_xlpm.counts,0)))</f>
        <v>Sniper</v>
      </c>
      <c r="X2035" s="2">
        <f t="shared" si="159"/>
        <v>13.135802469135802</v>
      </c>
    </row>
    <row r="2036" spans="1:24" x14ac:dyDescent="0.3">
      <c r="A2036">
        <v>1980</v>
      </c>
      <c r="B2036">
        <v>359</v>
      </c>
      <c r="C2036" t="s">
        <v>25</v>
      </c>
      <c r="D2036" t="s">
        <v>31</v>
      </c>
      <c r="E2036" t="s">
        <v>23</v>
      </c>
      <c r="F2036" t="s">
        <v>34</v>
      </c>
      <c r="G2036">
        <v>15</v>
      </c>
      <c r="H2036">
        <v>10</v>
      </c>
      <c r="I2036">
        <v>14</v>
      </c>
      <c r="J2036">
        <v>42.35</v>
      </c>
      <c r="K2036">
        <v>185.27</v>
      </c>
      <c r="L2036">
        <v>0.56000000000000005</v>
      </c>
      <c r="M2036">
        <v>41.57</v>
      </c>
      <c r="N2036">
        <v>0.87</v>
      </c>
      <c r="O2036" t="s">
        <v>20</v>
      </c>
      <c r="P2036" t="s">
        <v>21</v>
      </c>
      <c r="Q2036">
        <f t="shared" si="155"/>
        <v>11</v>
      </c>
      <c r="R2036" s="4">
        <f>RANK(N2036,$N$2:N$2800,0)</f>
        <v>1965</v>
      </c>
      <c r="S2036">
        <f t="shared" si="156"/>
        <v>1.0714285714285714</v>
      </c>
      <c r="T2036" t="str">
        <f t="shared" si="157"/>
        <v>Low</v>
      </c>
      <c r="U2036" t="str" cm="1">
        <f t="array" ref="U2036">_xlfn.LET(_xlpm.roles,_xlfn.UNIQUE(D2036:D4834),_xlpm.kills, SUMIF(D2036:D4834,_xlpm.roles,G2036:G4834),INDEX(_xlpm.roles,MATCH(MAX(_xlpm.kills),_xlpm.kills,0)))</f>
        <v>Sniper</v>
      </c>
      <c r="V2036" t="str">
        <f t="shared" si="158"/>
        <v>Medium Accuracy</v>
      </c>
      <c r="W2036" t="str" cm="1">
        <f t="array" ref="W2036">_xlfn.LET(_xlpm.roles,_xlfn.UNIQUE(D2036:D4834), _xlpm.counts,COUNTIF(D2036:D4834,_xlpm.roles), INDEX(_xlpm.roles,MATCH(MAX(_xlpm.counts),_xlpm.counts,0)))</f>
        <v>Sniper</v>
      </c>
      <c r="X2036" s="2">
        <f t="shared" si="159"/>
        <v>12.809421841541756</v>
      </c>
    </row>
    <row r="2037" spans="1:24" x14ac:dyDescent="0.3">
      <c r="A2037">
        <v>2264</v>
      </c>
      <c r="B2037">
        <v>359</v>
      </c>
      <c r="C2037" t="s">
        <v>35</v>
      </c>
      <c r="D2037" t="s">
        <v>31</v>
      </c>
      <c r="E2037" t="s">
        <v>33</v>
      </c>
      <c r="F2037" t="s">
        <v>34</v>
      </c>
      <c r="G2037">
        <v>10</v>
      </c>
      <c r="H2037">
        <v>9</v>
      </c>
      <c r="I2037">
        <v>15</v>
      </c>
      <c r="J2037">
        <v>54.38</v>
      </c>
      <c r="K2037">
        <v>191.75</v>
      </c>
      <c r="L2037">
        <v>0.03</v>
      </c>
      <c r="M2037">
        <v>40.89</v>
      </c>
      <c r="N2037">
        <v>1</v>
      </c>
      <c r="O2037" t="s">
        <v>20</v>
      </c>
      <c r="P2037" t="s">
        <v>21</v>
      </c>
      <c r="Q2037">
        <f t="shared" si="155"/>
        <v>4</v>
      </c>
      <c r="R2037" s="4">
        <f>RANK(N2037,$N$2:N$2800,0)</f>
        <v>1</v>
      </c>
      <c r="S2037">
        <f t="shared" si="156"/>
        <v>0.66666666666666663</v>
      </c>
      <c r="T2037" t="str">
        <f t="shared" si="157"/>
        <v>Low</v>
      </c>
      <c r="U2037" t="str" cm="1">
        <f t="array" ref="U2037">_xlfn.LET(_xlpm.roles,_xlfn.UNIQUE(D2037:D4835),_xlpm.kills, SUMIF(D2037:D4835,_xlpm.roles,G2037:G4835),INDEX(_xlpm.roles,MATCH(MAX(_xlpm.kills),_xlpm.kills,0)))</f>
        <v>Sniper</v>
      </c>
      <c r="V2037" t="str">
        <f t="shared" si="158"/>
        <v>High Accuracy</v>
      </c>
      <c r="W2037" t="str" cm="1">
        <f t="array" ref="W2037">_xlfn.LET(_xlpm.roles,_xlfn.UNIQUE(D2037:D4835), _xlpm.counts,COUNTIF(D2037:D4835,_xlpm.roles), INDEX(_xlpm.roles,MATCH(MAX(_xlpm.counts),_xlpm.counts,0)))</f>
        <v>Sniper</v>
      </c>
      <c r="X2037" s="2">
        <f t="shared" si="159"/>
        <v>12.599585062240664</v>
      </c>
    </row>
    <row r="2038" spans="1:24" x14ac:dyDescent="0.3">
      <c r="A2038">
        <v>2457</v>
      </c>
      <c r="B2038">
        <v>359</v>
      </c>
      <c r="C2038" t="s">
        <v>35</v>
      </c>
      <c r="D2038" t="s">
        <v>22</v>
      </c>
      <c r="E2038" t="s">
        <v>32</v>
      </c>
      <c r="F2038" t="s">
        <v>26</v>
      </c>
      <c r="G2038">
        <v>10</v>
      </c>
      <c r="H2038">
        <v>7</v>
      </c>
      <c r="I2038">
        <v>7</v>
      </c>
      <c r="J2038">
        <v>35.729999999999997</v>
      </c>
      <c r="K2038">
        <v>191.72</v>
      </c>
      <c r="L2038">
        <v>0.02</v>
      </c>
      <c r="M2038">
        <v>37.659999999999997</v>
      </c>
      <c r="N2038">
        <v>0.9</v>
      </c>
      <c r="O2038" t="s">
        <v>20</v>
      </c>
      <c r="P2038" t="s">
        <v>21</v>
      </c>
      <c r="Q2038">
        <f t="shared" si="155"/>
        <v>10</v>
      </c>
      <c r="R2038" s="4">
        <f>RANK(N2038,$N$2:N$2800,0)</f>
        <v>1738</v>
      </c>
      <c r="S2038">
        <f t="shared" si="156"/>
        <v>1.4285714285714286</v>
      </c>
      <c r="T2038" t="str">
        <f t="shared" si="157"/>
        <v>Low</v>
      </c>
      <c r="U2038" t="str" cm="1">
        <f t="array" ref="U2038">_xlfn.LET(_xlpm.roles,_xlfn.UNIQUE(D2038:D4836),_xlpm.kills, SUMIF(D2038:D4836,_xlpm.roles,G2038:G4836),INDEX(_xlpm.roles,MATCH(MAX(_xlpm.kills),_xlpm.kills,0)))</f>
        <v>Sniper</v>
      </c>
      <c r="V2038" t="str">
        <f t="shared" si="158"/>
        <v>Medium Accuracy</v>
      </c>
      <c r="W2038" t="str" cm="1">
        <f t="array" ref="W2038">_xlfn.LET(_xlpm.roles,_xlfn.UNIQUE(D2038:D4836), _xlpm.counts,COUNTIF(D2038:D4836,_xlpm.roles), INDEX(_xlpm.roles,MATCH(MAX(_xlpm.counts),_xlpm.counts,0)))</f>
        <v>Sniper</v>
      </c>
      <c r="X2038" s="2">
        <f t="shared" si="159"/>
        <v>12.599585062240664</v>
      </c>
    </row>
    <row r="2039" spans="1:24" x14ac:dyDescent="0.3">
      <c r="A2039">
        <v>556</v>
      </c>
      <c r="B2039">
        <v>360</v>
      </c>
      <c r="C2039" t="s">
        <v>25</v>
      </c>
      <c r="D2039" t="s">
        <v>22</v>
      </c>
      <c r="E2039" t="s">
        <v>23</v>
      </c>
      <c r="F2039" t="s">
        <v>24</v>
      </c>
      <c r="G2039">
        <v>13</v>
      </c>
      <c r="H2039">
        <v>16</v>
      </c>
      <c r="I2039">
        <v>10</v>
      </c>
      <c r="J2039">
        <v>45.42</v>
      </c>
      <c r="K2039">
        <v>207.72</v>
      </c>
      <c r="L2039">
        <v>0.42</v>
      </c>
      <c r="M2039">
        <v>50.51</v>
      </c>
      <c r="N2039">
        <v>0.9</v>
      </c>
      <c r="O2039" t="s">
        <v>20</v>
      </c>
      <c r="P2039" t="s">
        <v>21</v>
      </c>
      <c r="Q2039">
        <f t="shared" si="155"/>
        <v>19</v>
      </c>
      <c r="R2039" s="4">
        <f>RANK(N2039,$N$2:N$2800,0)</f>
        <v>1738</v>
      </c>
      <c r="S2039">
        <f t="shared" si="156"/>
        <v>1.3</v>
      </c>
      <c r="T2039" t="str">
        <f t="shared" si="157"/>
        <v>Good</v>
      </c>
      <c r="U2039" t="str" cm="1">
        <f t="array" ref="U2039">_xlfn.LET(_xlpm.roles,_xlfn.UNIQUE(D2039:D4837),_xlpm.kills, SUMIF(D2039:D4837,_xlpm.roles,G2039:G4837),INDEX(_xlpm.roles,MATCH(MAX(_xlpm.kills),_xlpm.kills,0)))</f>
        <v>Sniper</v>
      </c>
      <c r="V2039" t="str">
        <f t="shared" si="158"/>
        <v>Medium Accuracy</v>
      </c>
      <c r="W2039" t="str" cm="1">
        <f t="array" ref="W2039">_xlfn.LET(_xlpm.roles,_xlfn.UNIQUE(D2039:D4837), _xlpm.counts,COUNTIF(D2039:D4837,_xlpm.roles), INDEX(_xlpm.roles,MATCH(MAX(_xlpm.counts),_xlpm.counts,0)))</f>
        <v>Sniper</v>
      </c>
      <c r="X2039" s="2">
        <f t="shared" si="159"/>
        <v>12.809421841541756</v>
      </c>
    </row>
    <row r="2040" spans="1:24" x14ac:dyDescent="0.3">
      <c r="A2040">
        <v>592</v>
      </c>
      <c r="B2040">
        <v>360</v>
      </c>
      <c r="C2040" t="s">
        <v>27</v>
      </c>
      <c r="D2040" t="s">
        <v>17</v>
      </c>
      <c r="E2040" t="s">
        <v>32</v>
      </c>
      <c r="F2040" t="s">
        <v>24</v>
      </c>
      <c r="G2040">
        <v>15</v>
      </c>
      <c r="H2040">
        <v>5</v>
      </c>
      <c r="I2040">
        <v>9</v>
      </c>
      <c r="J2040">
        <v>30.81</v>
      </c>
      <c r="K2040">
        <v>232.46</v>
      </c>
      <c r="L2040">
        <v>0.28999999999999998</v>
      </c>
      <c r="M2040">
        <v>38.51</v>
      </c>
      <c r="N2040">
        <v>0.94</v>
      </c>
      <c r="O2040" t="s">
        <v>20</v>
      </c>
      <c r="P2040" t="s">
        <v>21</v>
      </c>
      <c r="Q2040">
        <f t="shared" si="155"/>
        <v>11</v>
      </c>
      <c r="R2040" s="4">
        <f>RANK(N2040,$N$2:N$2800,0)</f>
        <v>1431</v>
      </c>
      <c r="S2040">
        <f t="shared" si="156"/>
        <v>1.6666666666666667</v>
      </c>
      <c r="T2040" t="str">
        <f t="shared" si="157"/>
        <v>Low</v>
      </c>
      <c r="U2040" t="str" cm="1">
        <f t="array" ref="U2040">_xlfn.LET(_xlpm.roles,_xlfn.UNIQUE(D2040:D4838),_xlpm.kills, SUMIF(D2040:D4838,_xlpm.roles,G2040:G4838),INDEX(_xlpm.roles,MATCH(MAX(_xlpm.kills),_xlpm.kills,0)))</f>
        <v>Sniper</v>
      </c>
      <c r="V2040" t="str">
        <f t="shared" si="158"/>
        <v>Medium Accuracy</v>
      </c>
      <c r="W2040" t="str" cm="1">
        <f t="array" ref="W2040">_xlfn.LET(_xlpm.roles,_xlfn.UNIQUE(D2040:D4838), _xlpm.counts,COUNTIF(D2040:D4838,_xlpm.roles), INDEX(_xlpm.roles,MATCH(MAX(_xlpm.counts),_xlpm.counts,0)))</f>
        <v>Sniper</v>
      </c>
      <c r="X2040" s="2">
        <f t="shared" si="159"/>
        <v>13.057077625570777</v>
      </c>
    </row>
    <row r="2041" spans="1:24" x14ac:dyDescent="0.3">
      <c r="A2041">
        <v>1652</v>
      </c>
      <c r="B2041">
        <v>360</v>
      </c>
      <c r="C2041" t="s">
        <v>39</v>
      </c>
      <c r="D2041" t="s">
        <v>36</v>
      </c>
      <c r="E2041" t="s">
        <v>33</v>
      </c>
      <c r="F2041" t="s">
        <v>19</v>
      </c>
      <c r="G2041">
        <v>10</v>
      </c>
      <c r="H2041">
        <v>13</v>
      </c>
      <c r="I2041">
        <v>10</v>
      </c>
      <c r="J2041">
        <v>49.3</v>
      </c>
      <c r="K2041">
        <v>192.06</v>
      </c>
      <c r="L2041">
        <v>0.62</v>
      </c>
      <c r="M2041">
        <v>41.45</v>
      </c>
      <c r="N2041">
        <v>0.93</v>
      </c>
      <c r="O2041" t="s">
        <v>20</v>
      </c>
      <c r="P2041" t="s">
        <v>21</v>
      </c>
      <c r="Q2041">
        <f t="shared" si="155"/>
        <v>13</v>
      </c>
      <c r="R2041" s="4">
        <f>RANK(N2041,$N$2:N$2800,0)</f>
        <v>1505</v>
      </c>
      <c r="S2041">
        <f t="shared" si="156"/>
        <v>1</v>
      </c>
      <c r="T2041" t="str">
        <f t="shared" si="157"/>
        <v>Low</v>
      </c>
      <c r="U2041" t="str" cm="1">
        <f t="array" ref="U2041">_xlfn.LET(_xlpm.roles,_xlfn.UNIQUE(D2041:D4839),_xlpm.kills, SUMIF(D2041:D4839,_xlpm.roles,G2041:G4839),INDEX(_xlpm.roles,MATCH(MAX(_xlpm.kills),_xlpm.kills,0)))</f>
        <v>Sniper</v>
      </c>
      <c r="V2041" t="str">
        <f t="shared" si="158"/>
        <v>Medium Accuracy</v>
      </c>
      <c r="W2041" t="str" cm="1">
        <f t="array" ref="W2041">_xlfn.LET(_xlpm.roles,_xlfn.UNIQUE(D2041:D4839), _xlpm.counts,COUNTIF(D2041:D4839,_xlpm.roles), INDEX(_xlpm.roles,MATCH(MAX(_xlpm.counts),_xlpm.counts,0)))</f>
        <v>Sniper</v>
      </c>
      <c r="X2041" s="2">
        <f t="shared" si="159"/>
        <v>13.103594080338267</v>
      </c>
    </row>
    <row r="2042" spans="1:24" x14ac:dyDescent="0.3">
      <c r="A2042">
        <v>1954</v>
      </c>
      <c r="B2042">
        <v>360</v>
      </c>
      <c r="C2042" t="s">
        <v>30</v>
      </c>
      <c r="D2042" t="s">
        <v>17</v>
      </c>
      <c r="E2042" t="s">
        <v>29</v>
      </c>
      <c r="F2042" t="s">
        <v>24</v>
      </c>
      <c r="G2042">
        <v>18</v>
      </c>
      <c r="H2042">
        <v>7</v>
      </c>
      <c r="I2042">
        <v>3</v>
      </c>
      <c r="J2042">
        <v>39.46</v>
      </c>
      <c r="K2042">
        <v>223.87</v>
      </c>
      <c r="L2042">
        <v>0.36</v>
      </c>
      <c r="M2042">
        <v>56.13</v>
      </c>
      <c r="N2042">
        <v>0.97</v>
      </c>
      <c r="O2042" t="s">
        <v>20</v>
      </c>
      <c r="P2042" t="s">
        <v>21</v>
      </c>
      <c r="Q2042">
        <f t="shared" si="155"/>
        <v>22</v>
      </c>
      <c r="R2042" s="4">
        <f>RANK(N2042,$N$2:N$2800,0)</f>
        <v>1243</v>
      </c>
      <c r="S2042">
        <f t="shared" si="156"/>
        <v>6</v>
      </c>
      <c r="T2042" t="str">
        <f t="shared" si="157"/>
        <v>Good</v>
      </c>
      <c r="U2042" t="str" cm="1">
        <f t="array" ref="U2042">_xlfn.LET(_xlpm.roles,_xlfn.UNIQUE(D2042:D4840),_xlpm.kills, SUMIF(D2042:D4840,_xlpm.roles,G2042:G4840),INDEX(_xlpm.roles,MATCH(MAX(_xlpm.kills),_xlpm.kills,0)))</f>
        <v>Sniper</v>
      </c>
      <c r="V2042" t="str">
        <f t="shared" si="158"/>
        <v>Medium Accuracy</v>
      </c>
      <c r="W2042" t="str" cm="1">
        <f t="array" ref="W2042">_xlfn.LET(_xlpm.roles,_xlfn.UNIQUE(D2042:D4840), _xlpm.counts,COUNTIF(D2042:D4840,_xlpm.roles), INDEX(_xlpm.roles,MATCH(MAX(_xlpm.counts),_xlpm.counts,0)))</f>
        <v>Sniper</v>
      </c>
      <c r="X2042" s="2">
        <f t="shared" si="159"/>
        <v>13.135802469135802</v>
      </c>
    </row>
    <row r="2043" spans="1:24" x14ac:dyDescent="0.3">
      <c r="A2043">
        <v>2019</v>
      </c>
      <c r="B2043">
        <v>360</v>
      </c>
      <c r="C2043" t="s">
        <v>27</v>
      </c>
      <c r="D2043" t="s">
        <v>22</v>
      </c>
      <c r="E2043" t="s">
        <v>32</v>
      </c>
      <c r="F2043" t="s">
        <v>26</v>
      </c>
      <c r="G2043">
        <v>14</v>
      </c>
      <c r="H2043">
        <v>6</v>
      </c>
      <c r="I2043">
        <v>16</v>
      </c>
      <c r="J2043">
        <v>57.49</v>
      </c>
      <c r="K2043">
        <v>203.61</v>
      </c>
      <c r="L2043">
        <v>0.27</v>
      </c>
      <c r="M2043">
        <v>44.05</v>
      </c>
      <c r="N2043">
        <v>1</v>
      </c>
      <c r="O2043" t="s">
        <v>20</v>
      </c>
      <c r="P2043" t="s">
        <v>21</v>
      </c>
      <c r="Q2043">
        <f t="shared" si="155"/>
        <v>4</v>
      </c>
      <c r="R2043" s="4">
        <f>RANK(N2043,$N$2:N$2800,0)</f>
        <v>1</v>
      </c>
      <c r="S2043">
        <f t="shared" si="156"/>
        <v>0.875</v>
      </c>
      <c r="T2043" t="str">
        <f t="shared" si="157"/>
        <v>Low</v>
      </c>
      <c r="U2043" t="str" cm="1">
        <f t="array" ref="U2043">_xlfn.LET(_xlpm.roles,_xlfn.UNIQUE(D2043:D4841),_xlpm.kills, SUMIF(D2043:D4841,_xlpm.roles,G2043:G4841),INDEX(_xlpm.roles,MATCH(MAX(_xlpm.kills),_xlpm.kills,0)))</f>
        <v>Sniper</v>
      </c>
      <c r="V2043" t="str">
        <f t="shared" si="158"/>
        <v>High Accuracy</v>
      </c>
      <c r="W2043" t="str" cm="1">
        <f t="array" ref="W2043">_xlfn.LET(_xlpm.roles,_xlfn.UNIQUE(D2043:D4841), _xlpm.counts,COUNTIF(D2043:D4841,_xlpm.roles), INDEX(_xlpm.roles,MATCH(MAX(_xlpm.counts),_xlpm.counts,0)))</f>
        <v>Sniper</v>
      </c>
      <c r="X2043" s="2">
        <f t="shared" si="159"/>
        <v>13.057077625570777</v>
      </c>
    </row>
    <row r="2044" spans="1:24" x14ac:dyDescent="0.3">
      <c r="A2044">
        <v>2490</v>
      </c>
      <c r="B2044">
        <v>360</v>
      </c>
      <c r="C2044" t="s">
        <v>25</v>
      </c>
      <c r="D2044" t="s">
        <v>36</v>
      </c>
      <c r="E2044" t="s">
        <v>29</v>
      </c>
      <c r="F2044" t="s">
        <v>37</v>
      </c>
      <c r="G2044">
        <v>19</v>
      </c>
      <c r="H2044">
        <v>6</v>
      </c>
      <c r="I2044">
        <v>10</v>
      </c>
      <c r="J2044">
        <v>45.73</v>
      </c>
      <c r="K2044">
        <v>211.15</v>
      </c>
      <c r="L2044">
        <v>0.32</v>
      </c>
      <c r="M2044">
        <v>53.66</v>
      </c>
      <c r="N2044">
        <v>0.96</v>
      </c>
      <c r="O2044" t="s">
        <v>20</v>
      </c>
      <c r="P2044" t="s">
        <v>21</v>
      </c>
      <c r="Q2044">
        <f t="shared" si="155"/>
        <v>15</v>
      </c>
      <c r="R2044" s="4">
        <f>RANK(N2044,$N$2:N$2800,0)</f>
        <v>1301</v>
      </c>
      <c r="S2044">
        <f t="shared" si="156"/>
        <v>1.9</v>
      </c>
      <c r="T2044" t="str">
        <f t="shared" si="157"/>
        <v>Good</v>
      </c>
      <c r="U2044" t="str" cm="1">
        <f t="array" ref="U2044">_xlfn.LET(_xlpm.roles,_xlfn.UNIQUE(D2044:D4842),_xlpm.kills, SUMIF(D2044:D4842,_xlpm.roles,G2044:G4842),INDEX(_xlpm.roles,MATCH(MAX(_xlpm.kills),_xlpm.kills,0)))</f>
        <v>Sniper</v>
      </c>
      <c r="V2044" t="str">
        <f t="shared" si="158"/>
        <v>Medium Accuracy</v>
      </c>
      <c r="W2044" t="str" cm="1">
        <f t="array" ref="W2044">_xlfn.LET(_xlpm.roles,_xlfn.UNIQUE(D2044:D4842), _xlpm.counts,COUNTIF(D2044:D4842,_xlpm.roles), INDEX(_xlpm.roles,MATCH(MAX(_xlpm.counts),_xlpm.counts,0)))</f>
        <v>Sniper</v>
      </c>
      <c r="X2044" s="2">
        <f t="shared" si="159"/>
        <v>12.809421841541756</v>
      </c>
    </row>
    <row r="2045" spans="1:24" x14ac:dyDescent="0.3">
      <c r="A2045">
        <v>268</v>
      </c>
      <c r="B2045">
        <v>361</v>
      </c>
      <c r="C2045" t="s">
        <v>25</v>
      </c>
      <c r="D2045" t="s">
        <v>31</v>
      </c>
      <c r="E2045" t="s">
        <v>32</v>
      </c>
      <c r="F2045" t="s">
        <v>24</v>
      </c>
      <c r="G2045">
        <v>15</v>
      </c>
      <c r="H2045">
        <v>12</v>
      </c>
      <c r="I2045">
        <v>10</v>
      </c>
      <c r="J2045">
        <v>39.36</v>
      </c>
      <c r="K2045">
        <v>227.29</v>
      </c>
      <c r="L2045">
        <v>0.2</v>
      </c>
      <c r="M2045">
        <v>49.68</v>
      </c>
      <c r="N2045">
        <v>0.79</v>
      </c>
      <c r="O2045" t="s">
        <v>20</v>
      </c>
      <c r="P2045" t="s">
        <v>21</v>
      </c>
      <c r="Q2045">
        <f t="shared" si="155"/>
        <v>17</v>
      </c>
      <c r="R2045" s="4">
        <f>RANK(N2045,$N$2:N$2800,0)</f>
        <v>2436</v>
      </c>
      <c r="S2045">
        <f t="shared" si="156"/>
        <v>1.5</v>
      </c>
      <c r="T2045" t="str">
        <f t="shared" si="157"/>
        <v>Good</v>
      </c>
      <c r="U2045" t="str" cm="1">
        <f t="array" ref="U2045">_xlfn.LET(_xlpm.roles,_xlfn.UNIQUE(D2045:D4843),_xlpm.kills, SUMIF(D2045:D4843,_xlpm.roles,G2045:G4843),INDEX(_xlpm.roles,MATCH(MAX(_xlpm.kills),_xlpm.kills,0)))</f>
        <v>Sniper</v>
      </c>
      <c r="V2045" t="str">
        <f t="shared" si="158"/>
        <v>Medium Accuracy</v>
      </c>
      <c r="W2045" t="str" cm="1">
        <f t="array" ref="W2045">_xlfn.LET(_xlpm.roles,_xlfn.UNIQUE(D2045:D4843), _xlpm.counts,COUNTIF(D2045:D4843,_xlpm.roles), INDEX(_xlpm.roles,MATCH(MAX(_xlpm.counts),_xlpm.counts,0)))</f>
        <v>Sniper</v>
      </c>
      <c r="X2045" s="2">
        <f t="shared" si="159"/>
        <v>12.809421841541756</v>
      </c>
    </row>
    <row r="2046" spans="1:24" x14ac:dyDescent="0.3">
      <c r="A2046">
        <v>1133</v>
      </c>
      <c r="B2046">
        <v>361</v>
      </c>
      <c r="C2046" t="s">
        <v>39</v>
      </c>
      <c r="D2046" t="s">
        <v>17</v>
      </c>
      <c r="E2046" t="s">
        <v>33</v>
      </c>
      <c r="F2046" t="s">
        <v>24</v>
      </c>
      <c r="G2046">
        <v>21</v>
      </c>
      <c r="H2046">
        <v>2</v>
      </c>
      <c r="I2046">
        <v>14</v>
      </c>
      <c r="J2046">
        <v>47.77</v>
      </c>
      <c r="K2046">
        <v>240.9</v>
      </c>
      <c r="L2046">
        <v>0.67</v>
      </c>
      <c r="M2046">
        <v>47.19</v>
      </c>
      <c r="N2046">
        <v>0.92</v>
      </c>
      <c r="O2046" t="s">
        <v>20</v>
      </c>
      <c r="P2046" t="s">
        <v>21</v>
      </c>
      <c r="Q2046">
        <f t="shared" si="155"/>
        <v>9</v>
      </c>
      <c r="R2046" s="4">
        <f>RANK(N2046,$N$2:N$2800,0)</f>
        <v>1585</v>
      </c>
      <c r="S2046">
        <f t="shared" si="156"/>
        <v>1.5</v>
      </c>
      <c r="T2046" t="str">
        <f t="shared" si="157"/>
        <v>Low</v>
      </c>
      <c r="U2046" t="str" cm="1">
        <f t="array" ref="U2046">_xlfn.LET(_xlpm.roles,_xlfn.UNIQUE(D2046:D4844),_xlpm.kills, SUMIF(D2046:D4844,_xlpm.roles,G2046:G4844),INDEX(_xlpm.roles,MATCH(MAX(_xlpm.kills),_xlpm.kills,0)))</f>
        <v>Sniper</v>
      </c>
      <c r="V2046" t="str">
        <f t="shared" si="158"/>
        <v>Medium Accuracy</v>
      </c>
      <c r="W2046" t="str" cm="1">
        <f t="array" ref="W2046">_xlfn.LET(_xlpm.roles,_xlfn.UNIQUE(D2046:D4844), _xlpm.counts,COUNTIF(D2046:D4844,_xlpm.roles), INDEX(_xlpm.roles,MATCH(MAX(_xlpm.counts),_xlpm.counts,0)))</f>
        <v>Sniper</v>
      </c>
      <c r="X2046" s="2">
        <f t="shared" si="159"/>
        <v>13.103594080338267</v>
      </c>
    </row>
    <row r="2047" spans="1:24" x14ac:dyDescent="0.3">
      <c r="A2047">
        <v>1292</v>
      </c>
      <c r="B2047">
        <v>361</v>
      </c>
      <c r="C2047" t="s">
        <v>25</v>
      </c>
      <c r="D2047" t="s">
        <v>28</v>
      </c>
      <c r="E2047" t="s">
        <v>32</v>
      </c>
      <c r="F2047" t="s">
        <v>24</v>
      </c>
      <c r="G2047">
        <v>22</v>
      </c>
      <c r="H2047">
        <v>5</v>
      </c>
      <c r="I2047">
        <v>7</v>
      </c>
      <c r="J2047">
        <v>37.03</v>
      </c>
      <c r="K2047">
        <v>217.69</v>
      </c>
      <c r="L2047">
        <v>0.59</v>
      </c>
      <c r="M2047">
        <v>54.62</v>
      </c>
      <c r="N2047">
        <v>1</v>
      </c>
      <c r="O2047" t="s">
        <v>20</v>
      </c>
      <c r="P2047" t="s">
        <v>21</v>
      </c>
      <c r="Q2047">
        <f t="shared" si="155"/>
        <v>20</v>
      </c>
      <c r="R2047" s="4">
        <f>RANK(N2047,$N$2:N$2800,0)</f>
        <v>1</v>
      </c>
      <c r="S2047">
        <f t="shared" si="156"/>
        <v>3.1428571428571428</v>
      </c>
      <c r="T2047" t="str">
        <f t="shared" si="157"/>
        <v>Good</v>
      </c>
      <c r="U2047" t="str" cm="1">
        <f t="array" ref="U2047">_xlfn.LET(_xlpm.roles,_xlfn.UNIQUE(D2047:D4845),_xlpm.kills, SUMIF(D2047:D4845,_xlpm.roles,G2047:G4845),INDEX(_xlpm.roles,MATCH(MAX(_xlpm.kills),_xlpm.kills,0)))</f>
        <v>Sniper</v>
      </c>
      <c r="V2047" t="str">
        <f t="shared" si="158"/>
        <v>Medium Accuracy</v>
      </c>
      <c r="W2047" t="str" cm="1">
        <f t="array" ref="W2047">_xlfn.LET(_xlpm.roles,_xlfn.UNIQUE(D2047:D4845), _xlpm.counts,COUNTIF(D2047:D4845,_xlpm.roles), INDEX(_xlpm.roles,MATCH(MAX(_xlpm.counts),_xlpm.counts,0)))</f>
        <v>Sniper</v>
      </c>
      <c r="X2047" s="2">
        <f t="shared" si="159"/>
        <v>12.809421841541756</v>
      </c>
    </row>
    <row r="2048" spans="1:24" x14ac:dyDescent="0.3">
      <c r="A2048">
        <v>1507</v>
      </c>
      <c r="B2048">
        <v>361</v>
      </c>
      <c r="C2048" t="s">
        <v>27</v>
      </c>
      <c r="D2048" t="s">
        <v>36</v>
      </c>
      <c r="E2048" t="s">
        <v>29</v>
      </c>
      <c r="F2048" t="s">
        <v>34</v>
      </c>
      <c r="G2048">
        <v>11</v>
      </c>
      <c r="H2048">
        <v>8</v>
      </c>
      <c r="I2048">
        <v>14</v>
      </c>
      <c r="J2048">
        <v>41.28</v>
      </c>
      <c r="K2048">
        <v>267.11</v>
      </c>
      <c r="L2048">
        <v>0.84</v>
      </c>
      <c r="M2048">
        <v>28.24</v>
      </c>
      <c r="N2048">
        <v>0.94</v>
      </c>
      <c r="O2048" t="s">
        <v>20</v>
      </c>
      <c r="P2048" t="s">
        <v>21</v>
      </c>
      <c r="Q2048">
        <f t="shared" si="155"/>
        <v>5</v>
      </c>
      <c r="R2048" s="4">
        <f>RANK(N2048,$N$2:N$2800,0)</f>
        <v>1431</v>
      </c>
      <c r="S2048">
        <f t="shared" si="156"/>
        <v>0.7857142857142857</v>
      </c>
      <c r="T2048" t="str">
        <f t="shared" si="157"/>
        <v>Low</v>
      </c>
      <c r="U2048" t="str" cm="1">
        <f t="array" ref="U2048">_xlfn.LET(_xlpm.roles,_xlfn.UNIQUE(D2048:D4846),_xlpm.kills, SUMIF(D2048:D4846,_xlpm.roles,G2048:G4846),INDEX(_xlpm.roles,MATCH(MAX(_xlpm.kills),_xlpm.kills,0)))</f>
        <v>Sniper</v>
      </c>
      <c r="V2048" t="str">
        <f t="shared" si="158"/>
        <v>Medium Accuracy</v>
      </c>
      <c r="W2048" t="str" cm="1">
        <f t="array" ref="W2048">_xlfn.LET(_xlpm.roles,_xlfn.UNIQUE(D2048:D4846), _xlpm.counts,COUNTIF(D2048:D4846,_xlpm.roles), INDEX(_xlpm.roles,MATCH(MAX(_xlpm.counts),_xlpm.counts,0)))</f>
        <v>Sniper</v>
      </c>
      <c r="X2048" s="2">
        <f t="shared" si="159"/>
        <v>13.057077625570777</v>
      </c>
    </row>
    <row r="2049" spans="1:24" x14ac:dyDescent="0.3">
      <c r="A2049">
        <v>2438</v>
      </c>
      <c r="B2049">
        <v>361</v>
      </c>
      <c r="C2049" t="s">
        <v>25</v>
      </c>
      <c r="D2049" t="s">
        <v>28</v>
      </c>
      <c r="E2049" t="s">
        <v>18</v>
      </c>
      <c r="F2049" t="s">
        <v>34</v>
      </c>
      <c r="G2049">
        <v>15</v>
      </c>
      <c r="H2049">
        <v>11</v>
      </c>
      <c r="I2049">
        <v>8</v>
      </c>
      <c r="J2049">
        <v>50.07</v>
      </c>
      <c r="K2049">
        <v>157.84</v>
      </c>
      <c r="L2049">
        <v>0.45</v>
      </c>
      <c r="M2049">
        <v>53.53</v>
      </c>
      <c r="N2049">
        <v>1</v>
      </c>
      <c r="O2049" t="s">
        <v>20</v>
      </c>
      <c r="P2049" t="s">
        <v>21</v>
      </c>
      <c r="Q2049">
        <f t="shared" si="155"/>
        <v>18</v>
      </c>
      <c r="R2049" s="4">
        <f>RANK(N2049,$N$2:N$2800,0)</f>
        <v>1</v>
      </c>
      <c r="S2049">
        <f t="shared" si="156"/>
        <v>1.875</v>
      </c>
      <c r="T2049" t="str">
        <f t="shared" si="157"/>
        <v>Good</v>
      </c>
      <c r="U2049" t="str" cm="1">
        <f t="array" ref="U2049">_xlfn.LET(_xlpm.roles,_xlfn.UNIQUE(D2049:D4847),_xlpm.kills, SUMIF(D2049:D4847,_xlpm.roles,G2049:G4847),INDEX(_xlpm.roles,MATCH(MAX(_xlpm.kills),_xlpm.kills,0)))</f>
        <v>Sniper</v>
      </c>
      <c r="V2049" t="str">
        <f t="shared" si="158"/>
        <v>High Accuracy</v>
      </c>
      <c r="W2049" t="str" cm="1">
        <f t="array" ref="W2049">_xlfn.LET(_xlpm.roles,_xlfn.UNIQUE(D2049:D4847), _xlpm.counts,COUNTIF(D2049:D4847,_xlpm.roles), INDEX(_xlpm.roles,MATCH(MAX(_xlpm.counts),_xlpm.counts,0)))</f>
        <v>Sniper</v>
      </c>
      <c r="X2049" s="2">
        <f t="shared" si="159"/>
        <v>12.809421841541756</v>
      </c>
    </row>
    <row r="2050" spans="1:24" x14ac:dyDescent="0.3">
      <c r="A2050">
        <v>2645</v>
      </c>
      <c r="B2050">
        <v>361</v>
      </c>
      <c r="C2050" t="s">
        <v>25</v>
      </c>
      <c r="D2050" t="s">
        <v>22</v>
      </c>
      <c r="E2050" t="s">
        <v>33</v>
      </c>
      <c r="F2050" t="s">
        <v>34</v>
      </c>
      <c r="G2050">
        <v>15</v>
      </c>
      <c r="H2050">
        <v>13</v>
      </c>
      <c r="I2050">
        <v>7</v>
      </c>
      <c r="J2050">
        <v>31.23</v>
      </c>
      <c r="K2050">
        <v>209.37</v>
      </c>
      <c r="L2050">
        <v>0.74</v>
      </c>
      <c r="M2050">
        <v>44.22</v>
      </c>
      <c r="N2050">
        <v>1</v>
      </c>
      <c r="O2050" t="s">
        <v>20</v>
      </c>
      <c r="P2050" t="s">
        <v>21</v>
      </c>
      <c r="Q2050">
        <f t="shared" si="155"/>
        <v>21</v>
      </c>
      <c r="R2050" s="4">
        <f>RANK(N2050,$N$2:N$2800,0)</f>
        <v>1</v>
      </c>
      <c r="S2050">
        <f t="shared" si="156"/>
        <v>2.1428571428571428</v>
      </c>
      <c r="T2050" t="str">
        <f t="shared" si="157"/>
        <v>Good</v>
      </c>
      <c r="U2050" t="str" cm="1">
        <f t="array" ref="U2050">_xlfn.LET(_xlpm.roles,_xlfn.UNIQUE(D2050:D4848),_xlpm.kills, SUMIF(D2050:D4848,_xlpm.roles,G2050:G4848),INDEX(_xlpm.roles,MATCH(MAX(_xlpm.kills),_xlpm.kills,0)))</f>
        <v>Sniper</v>
      </c>
      <c r="V2050" t="str">
        <f t="shared" si="158"/>
        <v>Medium Accuracy</v>
      </c>
      <c r="W2050" t="str" cm="1">
        <f t="array" ref="W2050">_xlfn.LET(_xlpm.roles,_xlfn.UNIQUE(D2050:D4848), _xlpm.counts,COUNTIF(D2050:D4848,_xlpm.roles), INDEX(_xlpm.roles,MATCH(MAX(_xlpm.counts),_xlpm.counts,0)))</f>
        <v>Sniper</v>
      </c>
      <c r="X2050" s="2">
        <f t="shared" si="159"/>
        <v>12.809421841541756</v>
      </c>
    </row>
    <row r="2051" spans="1:24" x14ac:dyDescent="0.3">
      <c r="A2051">
        <v>1757</v>
      </c>
      <c r="B2051">
        <v>362</v>
      </c>
      <c r="C2051" t="s">
        <v>39</v>
      </c>
      <c r="D2051" t="s">
        <v>31</v>
      </c>
      <c r="E2051" t="s">
        <v>32</v>
      </c>
      <c r="F2051" t="s">
        <v>19</v>
      </c>
      <c r="G2051">
        <v>14</v>
      </c>
      <c r="H2051">
        <v>8</v>
      </c>
      <c r="I2051">
        <v>4</v>
      </c>
      <c r="J2051">
        <v>43.69</v>
      </c>
      <c r="K2051">
        <v>220.95</v>
      </c>
      <c r="L2051">
        <v>0.34</v>
      </c>
      <c r="M2051">
        <v>50.45</v>
      </c>
      <c r="N2051">
        <v>1</v>
      </c>
      <c r="O2051" t="s">
        <v>20</v>
      </c>
      <c r="P2051" t="s">
        <v>21</v>
      </c>
      <c r="Q2051">
        <f t="shared" ref="Q2051:Q2114" si="160">G2051+H2051-I2051</f>
        <v>18</v>
      </c>
      <c r="R2051" s="4">
        <f>RANK(N2051,$N$2:N$2800,0)</f>
        <v>1</v>
      </c>
      <c r="S2051">
        <f t="shared" ref="S2051:S2114" si="161">G2051/I2051</f>
        <v>3.5</v>
      </c>
      <c r="T2051" t="str">
        <f t="shared" ref="T2051:T2114" si="162">IF(Q2051&lt;15,"Low",IF(Q2051&lt;25,"Good","Excellent"))</f>
        <v>Good</v>
      </c>
      <c r="U2051" t="str" cm="1">
        <f t="array" ref="U2051">_xlfn.LET(_xlpm.roles,_xlfn.UNIQUE(D2051:D4849),_xlpm.kills, SUMIF(D2051:D4849,_xlpm.roles,G2051:G4849),INDEX(_xlpm.roles,MATCH(MAX(_xlpm.kills),_xlpm.kills,0)))</f>
        <v>Sniper</v>
      </c>
      <c r="V2051" t="str">
        <f t="shared" ref="V2051:V2114" si="163">IF(J2051&gt;=50,"High Accuracy",IF(J2051&gt;=30,"Medium Accuracy","Low Accuracy"))</f>
        <v>Medium Accuracy</v>
      </c>
      <c r="W2051" t="str" cm="1">
        <f t="array" ref="W2051">_xlfn.LET(_xlpm.roles,_xlfn.UNIQUE(D2051:D4849), _xlpm.counts,COUNTIF(D2051:D4849,_xlpm.roles), INDEX(_xlpm.roles,MATCH(MAX(_xlpm.counts),_xlpm.counts,0)))</f>
        <v>Sniper</v>
      </c>
      <c r="X2051" s="2">
        <f t="shared" ref="X2051:X2114" si="164">AVERAGEIF($C$2:$C$2800,C2051,$Q$2:$Q$2800)</f>
        <v>13.103594080338267</v>
      </c>
    </row>
    <row r="2052" spans="1:24" x14ac:dyDescent="0.3">
      <c r="A2052">
        <v>2206</v>
      </c>
      <c r="B2052">
        <v>362</v>
      </c>
      <c r="C2052" t="s">
        <v>35</v>
      </c>
      <c r="D2052" t="s">
        <v>22</v>
      </c>
      <c r="E2052" t="s">
        <v>32</v>
      </c>
      <c r="F2052" t="s">
        <v>24</v>
      </c>
      <c r="G2052">
        <v>16</v>
      </c>
      <c r="H2052">
        <v>12</v>
      </c>
      <c r="I2052">
        <v>12</v>
      </c>
      <c r="J2052">
        <v>44.02</v>
      </c>
      <c r="K2052">
        <v>215.82</v>
      </c>
      <c r="L2052">
        <v>0.11</v>
      </c>
      <c r="M2052">
        <v>52.91</v>
      </c>
      <c r="N2052">
        <v>0.91</v>
      </c>
      <c r="O2052" t="s">
        <v>20</v>
      </c>
      <c r="P2052" t="s">
        <v>21</v>
      </c>
      <c r="Q2052">
        <f t="shared" si="160"/>
        <v>16</v>
      </c>
      <c r="R2052" s="4">
        <f>RANK(N2052,$N$2:N$2800,0)</f>
        <v>1665</v>
      </c>
      <c r="S2052">
        <f t="shared" si="161"/>
        <v>1.3333333333333333</v>
      </c>
      <c r="T2052" t="str">
        <f t="shared" si="162"/>
        <v>Good</v>
      </c>
      <c r="U2052" t="str" cm="1">
        <f t="array" ref="U2052">_xlfn.LET(_xlpm.roles,_xlfn.UNIQUE(D2052:D4850),_xlpm.kills, SUMIF(D2052:D4850,_xlpm.roles,G2052:G4850),INDEX(_xlpm.roles,MATCH(MAX(_xlpm.kills),_xlpm.kills,0)))</f>
        <v>Sniper</v>
      </c>
      <c r="V2052" t="str">
        <f t="shared" si="163"/>
        <v>Medium Accuracy</v>
      </c>
      <c r="W2052" t="str" cm="1">
        <f t="array" ref="W2052">_xlfn.LET(_xlpm.roles,_xlfn.UNIQUE(D2052:D4850), _xlpm.counts,COUNTIF(D2052:D4850,_xlpm.roles), INDEX(_xlpm.roles,MATCH(MAX(_xlpm.counts),_xlpm.counts,0)))</f>
        <v>Sniper</v>
      </c>
      <c r="X2052" s="2">
        <f t="shared" si="164"/>
        <v>12.599585062240664</v>
      </c>
    </row>
    <row r="2053" spans="1:24" x14ac:dyDescent="0.3">
      <c r="A2053">
        <v>2573</v>
      </c>
      <c r="B2053">
        <v>362</v>
      </c>
      <c r="C2053" t="s">
        <v>39</v>
      </c>
      <c r="D2053" t="s">
        <v>31</v>
      </c>
      <c r="E2053" t="s">
        <v>29</v>
      </c>
      <c r="F2053" t="s">
        <v>24</v>
      </c>
      <c r="G2053">
        <v>17</v>
      </c>
      <c r="H2053">
        <v>9</v>
      </c>
      <c r="I2053">
        <v>12</v>
      </c>
      <c r="J2053">
        <v>36.76</v>
      </c>
      <c r="K2053">
        <v>202.06</v>
      </c>
      <c r="L2053">
        <v>0.31</v>
      </c>
      <c r="M2053">
        <v>46.28</v>
      </c>
      <c r="N2053">
        <v>0.99</v>
      </c>
      <c r="O2053" t="s">
        <v>20</v>
      </c>
      <c r="P2053" t="s">
        <v>21</v>
      </c>
      <c r="Q2053">
        <f t="shared" si="160"/>
        <v>14</v>
      </c>
      <c r="R2053" s="4">
        <f>RANK(N2053,$N$2:N$2800,0)</f>
        <v>1080</v>
      </c>
      <c r="S2053">
        <f t="shared" si="161"/>
        <v>1.4166666666666667</v>
      </c>
      <c r="T2053" t="str">
        <f t="shared" si="162"/>
        <v>Low</v>
      </c>
      <c r="U2053" t="str" cm="1">
        <f t="array" ref="U2053">_xlfn.LET(_xlpm.roles,_xlfn.UNIQUE(D2053:D4851),_xlpm.kills, SUMIF(D2053:D4851,_xlpm.roles,G2053:G4851),INDEX(_xlpm.roles,MATCH(MAX(_xlpm.kills),_xlpm.kills,0)))</f>
        <v>Sniper</v>
      </c>
      <c r="V2053" t="str">
        <f t="shared" si="163"/>
        <v>Medium Accuracy</v>
      </c>
      <c r="W2053" t="str" cm="1">
        <f t="array" ref="W2053">_xlfn.LET(_xlpm.roles,_xlfn.UNIQUE(D2053:D4851), _xlpm.counts,COUNTIF(D2053:D4851,_xlpm.roles), INDEX(_xlpm.roles,MATCH(MAX(_xlpm.counts),_xlpm.counts,0)))</f>
        <v>Sniper</v>
      </c>
      <c r="X2053" s="2">
        <f t="shared" si="164"/>
        <v>13.103594080338267</v>
      </c>
    </row>
    <row r="2054" spans="1:24" x14ac:dyDescent="0.3">
      <c r="A2054">
        <v>87</v>
      </c>
      <c r="B2054">
        <v>363</v>
      </c>
      <c r="C2054" t="s">
        <v>25</v>
      </c>
      <c r="D2054" t="s">
        <v>22</v>
      </c>
      <c r="E2054" t="s">
        <v>23</v>
      </c>
      <c r="F2054" t="s">
        <v>26</v>
      </c>
      <c r="G2054">
        <v>17</v>
      </c>
      <c r="H2054">
        <v>10</v>
      </c>
      <c r="I2054">
        <v>13</v>
      </c>
      <c r="J2054">
        <v>49.03</v>
      </c>
      <c r="K2054">
        <v>237.47</v>
      </c>
      <c r="L2054">
        <v>0.71</v>
      </c>
      <c r="M2054">
        <v>48.41</v>
      </c>
      <c r="N2054">
        <v>0.91</v>
      </c>
      <c r="O2054" t="s">
        <v>20</v>
      </c>
      <c r="P2054" t="s">
        <v>21</v>
      </c>
      <c r="Q2054">
        <f t="shared" si="160"/>
        <v>14</v>
      </c>
      <c r="R2054" s="4">
        <f>RANK(N2054,$N$2:N$2800,0)</f>
        <v>1665</v>
      </c>
      <c r="S2054">
        <f t="shared" si="161"/>
        <v>1.3076923076923077</v>
      </c>
      <c r="T2054" t="str">
        <f t="shared" si="162"/>
        <v>Low</v>
      </c>
      <c r="U2054" t="str" cm="1">
        <f t="array" ref="U2054">_xlfn.LET(_xlpm.roles,_xlfn.UNIQUE(D2054:D4852),_xlpm.kills, SUMIF(D2054:D4852,_xlpm.roles,G2054:G4852),INDEX(_xlpm.roles,MATCH(MAX(_xlpm.kills),_xlpm.kills,0)))</f>
        <v>Sniper</v>
      </c>
      <c r="V2054" t="str">
        <f t="shared" si="163"/>
        <v>Medium Accuracy</v>
      </c>
      <c r="W2054" t="str" cm="1">
        <f t="array" ref="W2054">_xlfn.LET(_xlpm.roles,_xlfn.UNIQUE(D2054:D4852), _xlpm.counts,COUNTIF(D2054:D4852,_xlpm.roles), INDEX(_xlpm.roles,MATCH(MAX(_xlpm.counts),_xlpm.counts,0)))</f>
        <v>Sniper</v>
      </c>
      <c r="X2054" s="2">
        <f t="shared" si="164"/>
        <v>12.809421841541756</v>
      </c>
    </row>
    <row r="2055" spans="1:24" x14ac:dyDescent="0.3">
      <c r="A2055">
        <v>126</v>
      </c>
      <c r="B2055">
        <v>363</v>
      </c>
      <c r="C2055" t="s">
        <v>27</v>
      </c>
      <c r="D2055" t="s">
        <v>28</v>
      </c>
      <c r="E2055" t="s">
        <v>33</v>
      </c>
      <c r="F2055" t="s">
        <v>34</v>
      </c>
      <c r="G2055">
        <v>13</v>
      </c>
      <c r="H2055">
        <v>14</v>
      </c>
      <c r="I2055">
        <v>11</v>
      </c>
      <c r="J2055">
        <v>36.78</v>
      </c>
      <c r="K2055">
        <v>267.57</v>
      </c>
      <c r="L2055">
        <v>0.69</v>
      </c>
      <c r="M2055">
        <v>40.49</v>
      </c>
      <c r="N2055">
        <v>0.98</v>
      </c>
      <c r="O2055" t="s">
        <v>20</v>
      </c>
      <c r="P2055" t="s">
        <v>21</v>
      </c>
      <c r="Q2055">
        <f t="shared" si="160"/>
        <v>16</v>
      </c>
      <c r="R2055" s="4">
        <f>RANK(N2055,$N$2:N$2800,0)</f>
        <v>1157</v>
      </c>
      <c r="S2055">
        <f t="shared" si="161"/>
        <v>1.1818181818181819</v>
      </c>
      <c r="T2055" t="str">
        <f t="shared" si="162"/>
        <v>Good</v>
      </c>
      <c r="U2055" t="str" cm="1">
        <f t="array" ref="U2055">_xlfn.LET(_xlpm.roles,_xlfn.UNIQUE(D2055:D4853),_xlpm.kills, SUMIF(D2055:D4853,_xlpm.roles,G2055:G4853),INDEX(_xlpm.roles,MATCH(MAX(_xlpm.kills),_xlpm.kills,0)))</f>
        <v>Sniper</v>
      </c>
      <c r="V2055" t="str">
        <f t="shared" si="163"/>
        <v>Medium Accuracy</v>
      </c>
      <c r="W2055" t="str" cm="1">
        <f t="array" ref="W2055">_xlfn.LET(_xlpm.roles,_xlfn.UNIQUE(D2055:D4853), _xlpm.counts,COUNTIF(D2055:D4853,_xlpm.roles), INDEX(_xlpm.roles,MATCH(MAX(_xlpm.counts),_xlpm.counts,0)))</f>
        <v>Sniper</v>
      </c>
      <c r="X2055" s="2">
        <f t="shared" si="164"/>
        <v>13.057077625570777</v>
      </c>
    </row>
    <row r="2056" spans="1:24" x14ac:dyDescent="0.3">
      <c r="A2056">
        <v>377</v>
      </c>
      <c r="B2056">
        <v>363</v>
      </c>
      <c r="C2056" t="s">
        <v>27</v>
      </c>
      <c r="D2056" t="s">
        <v>31</v>
      </c>
      <c r="E2056" t="s">
        <v>29</v>
      </c>
      <c r="F2056" t="s">
        <v>37</v>
      </c>
      <c r="G2056">
        <v>13</v>
      </c>
      <c r="H2056">
        <v>8</v>
      </c>
      <c r="I2056">
        <v>13</v>
      </c>
      <c r="J2056">
        <v>62.51</v>
      </c>
      <c r="K2056">
        <v>212.99</v>
      </c>
      <c r="L2056">
        <v>0.02</v>
      </c>
      <c r="M2056">
        <v>52.05</v>
      </c>
      <c r="N2056">
        <v>1</v>
      </c>
      <c r="O2056" t="s">
        <v>20</v>
      </c>
      <c r="P2056" t="s">
        <v>21</v>
      </c>
      <c r="Q2056">
        <f t="shared" si="160"/>
        <v>8</v>
      </c>
      <c r="R2056" s="4">
        <f>RANK(N2056,$N$2:N$2800,0)</f>
        <v>1</v>
      </c>
      <c r="S2056">
        <f t="shared" si="161"/>
        <v>1</v>
      </c>
      <c r="T2056" t="str">
        <f t="shared" si="162"/>
        <v>Low</v>
      </c>
      <c r="U2056" t="str" cm="1">
        <f t="array" ref="U2056">_xlfn.LET(_xlpm.roles,_xlfn.UNIQUE(D2056:D4854),_xlpm.kills, SUMIF(D2056:D4854,_xlpm.roles,G2056:G4854),INDEX(_xlpm.roles,MATCH(MAX(_xlpm.kills),_xlpm.kills,0)))</f>
        <v>Sniper</v>
      </c>
      <c r="V2056" t="str">
        <f t="shared" si="163"/>
        <v>High Accuracy</v>
      </c>
      <c r="W2056" t="str" cm="1">
        <f t="array" ref="W2056">_xlfn.LET(_xlpm.roles,_xlfn.UNIQUE(D2056:D4854), _xlpm.counts,COUNTIF(D2056:D4854,_xlpm.roles), INDEX(_xlpm.roles,MATCH(MAX(_xlpm.counts),_xlpm.counts,0)))</f>
        <v>Sniper</v>
      </c>
      <c r="X2056" s="2">
        <f t="shared" si="164"/>
        <v>13.057077625570777</v>
      </c>
    </row>
    <row r="2057" spans="1:24" x14ac:dyDescent="0.3">
      <c r="A2057">
        <v>726</v>
      </c>
      <c r="B2057">
        <v>363</v>
      </c>
      <c r="C2057" t="s">
        <v>25</v>
      </c>
      <c r="D2057" t="s">
        <v>22</v>
      </c>
      <c r="E2057" t="s">
        <v>23</v>
      </c>
      <c r="F2057" t="s">
        <v>37</v>
      </c>
      <c r="G2057">
        <v>20</v>
      </c>
      <c r="H2057">
        <v>5</v>
      </c>
      <c r="I2057">
        <v>15</v>
      </c>
      <c r="J2057">
        <v>42.54</v>
      </c>
      <c r="K2057">
        <v>231.65</v>
      </c>
      <c r="L2057">
        <v>0.85</v>
      </c>
      <c r="M2057">
        <v>42.77</v>
      </c>
      <c r="N2057">
        <v>0.91</v>
      </c>
      <c r="O2057" t="s">
        <v>20</v>
      </c>
      <c r="P2057" t="s">
        <v>21</v>
      </c>
      <c r="Q2057">
        <f t="shared" si="160"/>
        <v>10</v>
      </c>
      <c r="R2057" s="4">
        <f>RANK(N2057,$N$2:N$2800,0)</f>
        <v>1665</v>
      </c>
      <c r="S2057">
        <f t="shared" si="161"/>
        <v>1.3333333333333333</v>
      </c>
      <c r="T2057" t="str">
        <f t="shared" si="162"/>
        <v>Low</v>
      </c>
      <c r="U2057" t="str" cm="1">
        <f t="array" ref="U2057">_xlfn.LET(_xlpm.roles,_xlfn.UNIQUE(D2057:D4855),_xlpm.kills, SUMIF(D2057:D4855,_xlpm.roles,G2057:G4855),INDEX(_xlpm.roles,MATCH(MAX(_xlpm.kills),_xlpm.kills,0)))</f>
        <v>Sniper</v>
      </c>
      <c r="V2057" t="str">
        <f t="shared" si="163"/>
        <v>Medium Accuracy</v>
      </c>
      <c r="W2057" t="str" cm="1">
        <f t="array" ref="W2057">_xlfn.LET(_xlpm.roles,_xlfn.UNIQUE(D2057:D4855), _xlpm.counts,COUNTIF(D2057:D4855,_xlpm.roles), INDEX(_xlpm.roles,MATCH(MAX(_xlpm.counts),_xlpm.counts,0)))</f>
        <v>Sniper</v>
      </c>
      <c r="X2057" s="2">
        <f t="shared" si="164"/>
        <v>12.809421841541756</v>
      </c>
    </row>
    <row r="2058" spans="1:24" x14ac:dyDescent="0.3">
      <c r="A2058">
        <v>1297</v>
      </c>
      <c r="B2058">
        <v>363</v>
      </c>
      <c r="C2058" t="s">
        <v>35</v>
      </c>
      <c r="D2058" t="s">
        <v>36</v>
      </c>
      <c r="E2058" t="s">
        <v>23</v>
      </c>
      <c r="F2058" t="s">
        <v>34</v>
      </c>
      <c r="G2058">
        <v>15</v>
      </c>
      <c r="H2058">
        <v>7</v>
      </c>
      <c r="I2058">
        <v>5</v>
      </c>
      <c r="J2058">
        <v>42.47</v>
      </c>
      <c r="K2058">
        <v>204.98</v>
      </c>
      <c r="L2058">
        <v>0.18</v>
      </c>
      <c r="M2058">
        <v>51.44</v>
      </c>
      <c r="N2058">
        <v>1</v>
      </c>
      <c r="O2058" t="s">
        <v>20</v>
      </c>
      <c r="P2058" t="s">
        <v>21</v>
      </c>
      <c r="Q2058">
        <f t="shared" si="160"/>
        <v>17</v>
      </c>
      <c r="R2058" s="4">
        <f>RANK(N2058,$N$2:N$2800,0)</f>
        <v>1</v>
      </c>
      <c r="S2058">
        <f t="shared" si="161"/>
        <v>3</v>
      </c>
      <c r="T2058" t="str">
        <f t="shared" si="162"/>
        <v>Good</v>
      </c>
      <c r="U2058" t="str" cm="1">
        <f t="array" ref="U2058">_xlfn.LET(_xlpm.roles,_xlfn.UNIQUE(D2058:D4856),_xlpm.kills, SUMIF(D2058:D4856,_xlpm.roles,G2058:G4856),INDEX(_xlpm.roles,MATCH(MAX(_xlpm.kills),_xlpm.kills,0)))</f>
        <v>Sniper</v>
      </c>
      <c r="V2058" t="str">
        <f t="shared" si="163"/>
        <v>Medium Accuracy</v>
      </c>
      <c r="W2058" t="str" cm="1">
        <f t="array" ref="W2058">_xlfn.LET(_xlpm.roles,_xlfn.UNIQUE(D2058:D4856), _xlpm.counts,COUNTIF(D2058:D4856,_xlpm.roles), INDEX(_xlpm.roles,MATCH(MAX(_xlpm.counts),_xlpm.counts,0)))</f>
        <v>Sniper</v>
      </c>
      <c r="X2058" s="2">
        <f t="shared" si="164"/>
        <v>12.599585062240664</v>
      </c>
    </row>
    <row r="2059" spans="1:24" x14ac:dyDescent="0.3">
      <c r="A2059">
        <v>1333</v>
      </c>
      <c r="B2059">
        <v>363</v>
      </c>
      <c r="C2059" t="s">
        <v>39</v>
      </c>
      <c r="D2059" t="s">
        <v>36</v>
      </c>
      <c r="E2059" t="s">
        <v>23</v>
      </c>
      <c r="F2059" t="s">
        <v>37</v>
      </c>
      <c r="G2059">
        <v>17</v>
      </c>
      <c r="H2059">
        <v>3</v>
      </c>
      <c r="I2059">
        <v>12</v>
      </c>
      <c r="J2059">
        <v>44.82</v>
      </c>
      <c r="K2059">
        <v>241.55</v>
      </c>
      <c r="L2059">
        <v>0.45</v>
      </c>
      <c r="M2059">
        <v>42.91</v>
      </c>
      <c r="N2059">
        <v>1</v>
      </c>
      <c r="O2059" t="s">
        <v>20</v>
      </c>
      <c r="P2059" t="s">
        <v>21</v>
      </c>
      <c r="Q2059">
        <f t="shared" si="160"/>
        <v>8</v>
      </c>
      <c r="R2059" s="4">
        <f>RANK(N2059,$N$2:N$2800,0)</f>
        <v>1</v>
      </c>
      <c r="S2059">
        <f t="shared" si="161"/>
        <v>1.4166666666666667</v>
      </c>
      <c r="T2059" t="str">
        <f t="shared" si="162"/>
        <v>Low</v>
      </c>
      <c r="U2059" t="str" cm="1">
        <f t="array" ref="U2059">_xlfn.LET(_xlpm.roles,_xlfn.UNIQUE(D2059:D4857),_xlpm.kills, SUMIF(D2059:D4857,_xlpm.roles,G2059:G4857),INDEX(_xlpm.roles,MATCH(MAX(_xlpm.kills),_xlpm.kills,0)))</f>
        <v>Sniper</v>
      </c>
      <c r="V2059" t="str">
        <f t="shared" si="163"/>
        <v>Medium Accuracy</v>
      </c>
      <c r="W2059" t="str" cm="1">
        <f t="array" ref="W2059">_xlfn.LET(_xlpm.roles,_xlfn.UNIQUE(D2059:D4857), _xlpm.counts,COUNTIF(D2059:D4857,_xlpm.roles), INDEX(_xlpm.roles,MATCH(MAX(_xlpm.counts),_xlpm.counts,0)))</f>
        <v>Sniper</v>
      </c>
      <c r="X2059" s="2">
        <f t="shared" si="164"/>
        <v>13.103594080338267</v>
      </c>
    </row>
    <row r="2060" spans="1:24" x14ac:dyDescent="0.3">
      <c r="A2060">
        <v>2360</v>
      </c>
      <c r="B2060">
        <v>363</v>
      </c>
      <c r="C2060" t="s">
        <v>39</v>
      </c>
      <c r="D2060" t="s">
        <v>36</v>
      </c>
      <c r="E2060" t="s">
        <v>29</v>
      </c>
      <c r="F2060" t="s">
        <v>19</v>
      </c>
      <c r="G2060">
        <v>13</v>
      </c>
      <c r="H2060">
        <v>8</v>
      </c>
      <c r="I2060">
        <v>9</v>
      </c>
      <c r="J2060">
        <v>35.03</v>
      </c>
      <c r="K2060">
        <v>235.4</v>
      </c>
      <c r="L2060">
        <v>0.62</v>
      </c>
      <c r="M2060">
        <v>36.31</v>
      </c>
      <c r="N2060">
        <v>0.84</v>
      </c>
      <c r="O2060" t="s">
        <v>20</v>
      </c>
      <c r="P2060" t="s">
        <v>21</v>
      </c>
      <c r="Q2060">
        <f t="shared" si="160"/>
        <v>12</v>
      </c>
      <c r="R2060" s="4">
        <f>RANK(N2060,$N$2:N$2800,0)</f>
        <v>2156</v>
      </c>
      <c r="S2060">
        <f t="shared" si="161"/>
        <v>1.4444444444444444</v>
      </c>
      <c r="T2060" t="str">
        <f t="shared" si="162"/>
        <v>Low</v>
      </c>
      <c r="U2060" t="str" cm="1">
        <f t="array" ref="U2060">_xlfn.LET(_xlpm.roles,_xlfn.UNIQUE(D2060:D4858),_xlpm.kills, SUMIF(D2060:D4858,_xlpm.roles,G2060:G4858),INDEX(_xlpm.roles,MATCH(MAX(_xlpm.kills),_xlpm.kills,0)))</f>
        <v>Sniper</v>
      </c>
      <c r="V2060" t="str">
        <f t="shared" si="163"/>
        <v>Medium Accuracy</v>
      </c>
      <c r="W2060" t="str" cm="1">
        <f t="array" ref="W2060">_xlfn.LET(_xlpm.roles,_xlfn.UNIQUE(D2060:D4858), _xlpm.counts,COUNTIF(D2060:D4858,_xlpm.roles), INDEX(_xlpm.roles,MATCH(MAX(_xlpm.counts),_xlpm.counts,0)))</f>
        <v>Sniper</v>
      </c>
      <c r="X2060" s="2">
        <f t="shared" si="164"/>
        <v>13.103594080338267</v>
      </c>
    </row>
    <row r="2061" spans="1:24" x14ac:dyDescent="0.3">
      <c r="A2061">
        <v>2661</v>
      </c>
      <c r="B2061">
        <v>363</v>
      </c>
      <c r="C2061" t="s">
        <v>27</v>
      </c>
      <c r="D2061" t="s">
        <v>17</v>
      </c>
      <c r="E2061" t="s">
        <v>32</v>
      </c>
      <c r="F2061" t="s">
        <v>37</v>
      </c>
      <c r="G2061">
        <v>16</v>
      </c>
      <c r="H2061">
        <v>7</v>
      </c>
      <c r="I2061">
        <v>7</v>
      </c>
      <c r="J2061">
        <v>45.28</v>
      </c>
      <c r="K2061">
        <v>253.24</v>
      </c>
      <c r="L2061">
        <v>0.65</v>
      </c>
      <c r="M2061">
        <v>48.14</v>
      </c>
      <c r="N2061">
        <v>1</v>
      </c>
      <c r="O2061" t="s">
        <v>20</v>
      </c>
      <c r="P2061" t="s">
        <v>21</v>
      </c>
      <c r="Q2061">
        <f t="shared" si="160"/>
        <v>16</v>
      </c>
      <c r="R2061" s="4">
        <f>RANK(N2061,$N$2:N$2800,0)</f>
        <v>1</v>
      </c>
      <c r="S2061">
        <f t="shared" si="161"/>
        <v>2.2857142857142856</v>
      </c>
      <c r="T2061" t="str">
        <f t="shared" si="162"/>
        <v>Good</v>
      </c>
      <c r="U2061" t="str" cm="1">
        <f t="array" ref="U2061">_xlfn.LET(_xlpm.roles,_xlfn.UNIQUE(D2061:D4859),_xlpm.kills, SUMIF(D2061:D4859,_xlpm.roles,G2061:G4859),INDEX(_xlpm.roles,MATCH(MAX(_xlpm.kills),_xlpm.kills,0)))</f>
        <v>Sniper</v>
      </c>
      <c r="V2061" t="str">
        <f t="shared" si="163"/>
        <v>Medium Accuracy</v>
      </c>
      <c r="W2061" t="str" cm="1">
        <f t="array" ref="W2061">_xlfn.LET(_xlpm.roles,_xlfn.UNIQUE(D2061:D4859), _xlpm.counts,COUNTIF(D2061:D4859,_xlpm.roles), INDEX(_xlpm.roles,MATCH(MAX(_xlpm.counts),_xlpm.counts,0)))</f>
        <v>Sniper</v>
      </c>
      <c r="X2061" s="2">
        <f t="shared" si="164"/>
        <v>13.057077625570777</v>
      </c>
    </row>
    <row r="2062" spans="1:24" x14ac:dyDescent="0.3">
      <c r="A2062">
        <v>2129</v>
      </c>
      <c r="B2062">
        <v>364</v>
      </c>
      <c r="C2062" t="s">
        <v>30</v>
      </c>
      <c r="D2062" t="s">
        <v>28</v>
      </c>
      <c r="E2062" t="s">
        <v>32</v>
      </c>
      <c r="F2062" t="s">
        <v>34</v>
      </c>
      <c r="G2062">
        <v>14</v>
      </c>
      <c r="H2062">
        <v>8</v>
      </c>
      <c r="I2062">
        <v>10</v>
      </c>
      <c r="J2062">
        <v>29.24</v>
      </c>
      <c r="K2062">
        <v>189.22</v>
      </c>
      <c r="L2062">
        <v>0.91</v>
      </c>
      <c r="M2062">
        <v>31.52</v>
      </c>
      <c r="N2062">
        <v>0.72</v>
      </c>
      <c r="O2062" t="s">
        <v>20</v>
      </c>
      <c r="P2062" t="s">
        <v>21</v>
      </c>
      <c r="Q2062">
        <f t="shared" si="160"/>
        <v>12</v>
      </c>
      <c r="R2062" s="4">
        <f>RANK(N2062,$N$2:N$2800,0)</f>
        <v>2663</v>
      </c>
      <c r="S2062">
        <f t="shared" si="161"/>
        <v>1.4</v>
      </c>
      <c r="T2062" t="str">
        <f t="shared" si="162"/>
        <v>Low</v>
      </c>
      <c r="U2062" t="str" cm="1">
        <f t="array" ref="U2062">_xlfn.LET(_xlpm.roles,_xlfn.UNIQUE(D2062:D4860),_xlpm.kills, SUMIF(D2062:D4860,_xlpm.roles,G2062:G4860),INDEX(_xlpm.roles,MATCH(MAX(_xlpm.kills),_xlpm.kills,0)))</f>
        <v>Sniper</v>
      </c>
      <c r="V2062" t="str">
        <f t="shared" si="163"/>
        <v>Low Accuracy</v>
      </c>
      <c r="W2062" t="str" cm="1">
        <f t="array" ref="W2062">_xlfn.LET(_xlpm.roles,_xlfn.UNIQUE(D2062:D4860), _xlpm.counts,COUNTIF(D2062:D4860,_xlpm.roles), INDEX(_xlpm.roles,MATCH(MAX(_xlpm.counts),_xlpm.counts,0)))</f>
        <v>Sniper</v>
      </c>
      <c r="X2062" s="2">
        <f t="shared" si="164"/>
        <v>13.135802469135802</v>
      </c>
    </row>
    <row r="2063" spans="1:24" x14ac:dyDescent="0.3">
      <c r="A2063">
        <v>409</v>
      </c>
      <c r="B2063">
        <v>365</v>
      </c>
      <c r="C2063" t="s">
        <v>30</v>
      </c>
      <c r="D2063" t="s">
        <v>28</v>
      </c>
      <c r="E2063" t="s">
        <v>18</v>
      </c>
      <c r="F2063" t="s">
        <v>34</v>
      </c>
      <c r="G2063">
        <v>16</v>
      </c>
      <c r="H2063">
        <v>13</v>
      </c>
      <c r="I2063">
        <v>18</v>
      </c>
      <c r="J2063">
        <v>63.57</v>
      </c>
      <c r="K2063">
        <v>238.1</v>
      </c>
      <c r="L2063">
        <v>0.48</v>
      </c>
      <c r="M2063">
        <v>53.98</v>
      </c>
      <c r="N2063">
        <v>1</v>
      </c>
      <c r="O2063" t="s">
        <v>20</v>
      </c>
      <c r="P2063" t="s">
        <v>21</v>
      </c>
      <c r="Q2063">
        <f t="shared" si="160"/>
        <v>11</v>
      </c>
      <c r="R2063" s="4">
        <f>RANK(N2063,$N$2:N$2800,0)</f>
        <v>1</v>
      </c>
      <c r="S2063">
        <f t="shared" si="161"/>
        <v>0.88888888888888884</v>
      </c>
      <c r="T2063" t="str">
        <f t="shared" si="162"/>
        <v>Low</v>
      </c>
      <c r="U2063" t="str" cm="1">
        <f t="array" ref="U2063">_xlfn.LET(_xlpm.roles,_xlfn.UNIQUE(D2063:D4861),_xlpm.kills, SUMIF(D2063:D4861,_xlpm.roles,G2063:G4861),INDEX(_xlpm.roles,MATCH(MAX(_xlpm.kills),_xlpm.kills,0)))</f>
        <v>Sniper</v>
      </c>
      <c r="V2063" t="str">
        <f t="shared" si="163"/>
        <v>High Accuracy</v>
      </c>
      <c r="W2063" t="str" cm="1">
        <f t="array" ref="W2063">_xlfn.LET(_xlpm.roles,_xlfn.UNIQUE(D2063:D4861), _xlpm.counts,COUNTIF(D2063:D4861,_xlpm.roles), INDEX(_xlpm.roles,MATCH(MAX(_xlpm.counts),_xlpm.counts,0)))</f>
        <v>Sniper</v>
      </c>
      <c r="X2063" s="2">
        <f t="shared" si="164"/>
        <v>13.135802469135802</v>
      </c>
    </row>
    <row r="2064" spans="1:24" x14ac:dyDescent="0.3">
      <c r="A2064">
        <v>426</v>
      </c>
      <c r="B2064">
        <v>365</v>
      </c>
      <c r="C2064" t="s">
        <v>25</v>
      </c>
      <c r="D2064" t="s">
        <v>31</v>
      </c>
      <c r="E2064" t="s">
        <v>33</v>
      </c>
      <c r="F2064" t="s">
        <v>26</v>
      </c>
      <c r="G2064">
        <v>18</v>
      </c>
      <c r="H2064">
        <v>11</v>
      </c>
      <c r="I2064">
        <v>8</v>
      </c>
      <c r="J2064">
        <v>45.45</v>
      </c>
      <c r="K2064">
        <v>209.6</v>
      </c>
      <c r="L2064">
        <v>0.21</v>
      </c>
      <c r="M2064">
        <v>59.62</v>
      </c>
      <c r="N2064">
        <v>1</v>
      </c>
      <c r="O2064" t="s">
        <v>20</v>
      </c>
      <c r="P2064" t="s">
        <v>21</v>
      </c>
      <c r="Q2064">
        <f t="shared" si="160"/>
        <v>21</v>
      </c>
      <c r="R2064" s="4">
        <f>RANK(N2064,$N$2:N$2800,0)</f>
        <v>1</v>
      </c>
      <c r="S2064">
        <f t="shared" si="161"/>
        <v>2.25</v>
      </c>
      <c r="T2064" t="str">
        <f t="shared" si="162"/>
        <v>Good</v>
      </c>
      <c r="U2064" t="str" cm="1">
        <f t="array" ref="U2064">_xlfn.LET(_xlpm.roles,_xlfn.UNIQUE(D2064:D4862),_xlpm.kills, SUMIF(D2064:D4862,_xlpm.roles,G2064:G4862),INDEX(_xlpm.roles,MATCH(MAX(_xlpm.kills),_xlpm.kills,0)))</f>
        <v>Sniper</v>
      </c>
      <c r="V2064" t="str">
        <f t="shared" si="163"/>
        <v>Medium Accuracy</v>
      </c>
      <c r="W2064" t="str" cm="1">
        <f t="array" ref="W2064">_xlfn.LET(_xlpm.roles,_xlfn.UNIQUE(D2064:D4862), _xlpm.counts,COUNTIF(D2064:D4862,_xlpm.roles), INDEX(_xlpm.roles,MATCH(MAX(_xlpm.counts),_xlpm.counts,0)))</f>
        <v>Sniper</v>
      </c>
      <c r="X2064" s="2">
        <f t="shared" si="164"/>
        <v>12.809421841541756</v>
      </c>
    </row>
    <row r="2065" spans="1:24" x14ac:dyDescent="0.3">
      <c r="A2065">
        <v>572</v>
      </c>
      <c r="B2065">
        <v>365</v>
      </c>
      <c r="C2065" t="s">
        <v>35</v>
      </c>
      <c r="D2065" t="s">
        <v>31</v>
      </c>
      <c r="E2065" t="s">
        <v>29</v>
      </c>
      <c r="F2065" t="s">
        <v>26</v>
      </c>
      <c r="G2065">
        <v>17</v>
      </c>
      <c r="H2065">
        <v>7</v>
      </c>
      <c r="I2065">
        <v>7</v>
      </c>
      <c r="J2065">
        <v>61.75</v>
      </c>
      <c r="K2065">
        <v>255.89</v>
      </c>
      <c r="L2065">
        <v>0.35</v>
      </c>
      <c r="M2065">
        <v>61.38</v>
      </c>
      <c r="N2065">
        <v>1</v>
      </c>
      <c r="O2065" t="s">
        <v>20</v>
      </c>
      <c r="P2065" t="s">
        <v>38</v>
      </c>
      <c r="Q2065">
        <f t="shared" si="160"/>
        <v>17</v>
      </c>
      <c r="R2065" s="4">
        <f>RANK(N2065,$N$2:N$2800,0)</f>
        <v>1</v>
      </c>
      <c r="S2065">
        <f t="shared" si="161"/>
        <v>2.4285714285714284</v>
      </c>
      <c r="T2065" t="str">
        <f t="shared" si="162"/>
        <v>Good</v>
      </c>
      <c r="U2065" t="str" cm="1">
        <f t="array" ref="U2065">_xlfn.LET(_xlpm.roles,_xlfn.UNIQUE(D2065:D4863),_xlpm.kills, SUMIF(D2065:D4863,_xlpm.roles,G2065:G4863),INDEX(_xlpm.roles,MATCH(MAX(_xlpm.kills),_xlpm.kills,0)))</f>
        <v>Sniper</v>
      </c>
      <c r="V2065" t="str">
        <f t="shared" si="163"/>
        <v>High Accuracy</v>
      </c>
      <c r="W2065" t="str" cm="1">
        <f t="array" ref="W2065">_xlfn.LET(_xlpm.roles,_xlfn.UNIQUE(D2065:D4863), _xlpm.counts,COUNTIF(D2065:D4863,_xlpm.roles), INDEX(_xlpm.roles,MATCH(MAX(_xlpm.counts),_xlpm.counts,0)))</f>
        <v>Sniper</v>
      </c>
      <c r="X2065" s="2">
        <f t="shared" si="164"/>
        <v>12.599585062240664</v>
      </c>
    </row>
    <row r="2066" spans="1:24" x14ac:dyDescent="0.3">
      <c r="A2066">
        <v>795</v>
      </c>
      <c r="B2066">
        <v>365</v>
      </c>
      <c r="C2066" t="s">
        <v>27</v>
      </c>
      <c r="D2066" t="s">
        <v>36</v>
      </c>
      <c r="E2066" t="s">
        <v>32</v>
      </c>
      <c r="F2066" t="s">
        <v>37</v>
      </c>
      <c r="G2066">
        <v>10</v>
      </c>
      <c r="H2066">
        <v>11</v>
      </c>
      <c r="I2066">
        <v>11</v>
      </c>
      <c r="J2066">
        <v>56.43</v>
      </c>
      <c r="K2066">
        <v>203.18</v>
      </c>
      <c r="L2066">
        <v>0.65</v>
      </c>
      <c r="M2066">
        <v>41.72</v>
      </c>
      <c r="N2066">
        <v>0.81</v>
      </c>
      <c r="O2066" t="s">
        <v>20</v>
      </c>
      <c r="P2066" t="s">
        <v>21</v>
      </c>
      <c r="Q2066">
        <f t="shared" si="160"/>
        <v>10</v>
      </c>
      <c r="R2066" s="4">
        <f>RANK(N2066,$N$2:N$2800,0)</f>
        <v>2341</v>
      </c>
      <c r="S2066">
        <f t="shared" si="161"/>
        <v>0.90909090909090906</v>
      </c>
      <c r="T2066" t="str">
        <f t="shared" si="162"/>
        <v>Low</v>
      </c>
      <c r="U2066" t="str" cm="1">
        <f t="array" ref="U2066">_xlfn.LET(_xlpm.roles,_xlfn.UNIQUE(D2066:D4864),_xlpm.kills, SUMIF(D2066:D4864,_xlpm.roles,G2066:G4864),INDEX(_xlpm.roles,MATCH(MAX(_xlpm.kills),_xlpm.kills,0)))</f>
        <v>Sniper</v>
      </c>
      <c r="V2066" t="str">
        <f t="shared" si="163"/>
        <v>High Accuracy</v>
      </c>
      <c r="W2066" t="str" cm="1">
        <f t="array" ref="W2066">_xlfn.LET(_xlpm.roles,_xlfn.UNIQUE(D2066:D4864), _xlpm.counts,COUNTIF(D2066:D4864,_xlpm.roles), INDEX(_xlpm.roles,MATCH(MAX(_xlpm.counts),_xlpm.counts,0)))</f>
        <v>Sniper</v>
      </c>
      <c r="X2066" s="2">
        <f t="shared" si="164"/>
        <v>13.057077625570777</v>
      </c>
    </row>
    <row r="2067" spans="1:24" x14ac:dyDescent="0.3">
      <c r="A2067">
        <v>1212</v>
      </c>
      <c r="B2067">
        <v>365</v>
      </c>
      <c r="C2067" t="s">
        <v>25</v>
      </c>
      <c r="D2067" t="s">
        <v>17</v>
      </c>
      <c r="E2067" t="s">
        <v>33</v>
      </c>
      <c r="F2067" t="s">
        <v>24</v>
      </c>
      <c r="G2067">
        <v>18</v>
      </c>
      <c r="H2067">
        <v>7</v>
      </c>
      <c r="I2067">
        <v>10</v>
      </c>
      <c r="J2067">
        <v>43.73</v>
      </c>
      <c r="K2067">
        <v>254.5</v>
      </c>
      <c r="L2067">
        <v>7.0000000000000007E-2</v>
      </c>
      <c r="M2067">
        <v>54.16</v>
      </c>
      <c r="N2067">
        <v>0.9</v>
      </c>
      <c r="O2067" t="s">
        <v>20</v>
      </c>
      <c r="P2067" t="s">
        <v>21</v>
      </c>
      <c r="Q2067">
        <f t="shared" si="160"/>
        <v>15</v>
      </c>
      <c r="R2067" s="4">
        <f>RANK(N2067,$N$2:N$2800,0)</f>
        <v>1738</v>
      </c>
      <c r="S2067">
        <f t="shared" si="161"/>
        <v>1.8</v>
      </c>
      <c r="T2067" t="str">
        <f t="shared" si="162"/>
        <v>Good</v>
      </c>
      <c r="U2067" t="str" cm="1">
        <f t="array" ref="U2067">_xlfn.LET(_xlpm.roles,_xlfn.UNIQUE(D2067:D4865),_xlpm.kills, SUMIF(D2067:D4865,_xlpm.roles,G2067:G4865),INDEX(_xlpm.roles,MATCH(MAX(_xlpm.kills),_xlpm.kills,0)))</f>
        <v>Sniper</v>
      </c>
      <c r="V2067" t="str">
        <f t="shared" si="163"/>
        <v>Medium Accuracy</v>
      </c>
      <c r="W2067" t="str" cm="1">
        <f t="array" ref="W2067">_xlfn.LET(_xlpm.roles,_xlfn.UNIQUE(D2067:D4865), _xlpm.counts,COUNTIF(D2067:D4865,_xlpm.roles), INDEX(_xlpm.roles,MATCH(MAX(_xlpm.counts),_xlpm.counts,0)))</f>
        <v>Sniper</v>
      </c>
      <c r="X2067" s="2">
        <f t="shared" si="164"/>
        <v>12.809421841541756</v>
      </c>
    </row>
    <row r="2068" spans="1:24" x14ac:dyDescent="0.3">
      <c r="A2068">
        <v>2384</v>
      </c>
      <c r="B2068">
        <v>365</v>
      </c>
      <c r="C2068" t="s">
        <v>30</v>
      </c>
      <c r="D2068" t="s">
        <v>36</v>
      </c>
      <c r="E2068" t="s">
        <v>32</v>
      </c>
      <c r="F2068" t="s">
        <v>34</v>
      </c>
      <c r="G2068">
        <v>13</v>
      </c>
      <c r="H2068">
        <v>8</v>
      </c>
      <c r="I2068">
        <v>12</v>
      </c>
      <c r="J2068">
        <v>46.46</v>
      </c>
      <c r="K2068">
        <v>155.82</v>
      </c>
      <c r="L2068">
        <v>0.88</v>
      </c>
      <c r="M2068">
        <v>36.43</v>
      </c>
      <c r="N2068">
        <v>0.87</v>
      </c>
      <c r="O2068" t="s">
        <v>20</v>
      </c>
      <c r="P2068" t="s">
        <v>21</v>
      </c>
      <c r="Q2068">
        <f t="shared" si="160"/>
        <v>9</v>
      </c>
      <c r="R2068" s="4">
        <f>RANK(N2068,$N$2:N$2800,0)</f>
        <v>1965</v>
      </c>
      <c r="S2068">
        <f t="shared" si="161"/>
        <v>1.0833333333333333</v>
      </c>
      <c r="T2068" t="str">
        <f t="shared" si="162"/>
        <v>Low</v>
      </c>
      <c r="U2068" t="str" cm="1">
        <f t="array" ref="U2068">_xlfn.LET(_xlpm.roles,_xlfn.UNIQUE(D2068:D4866),_xlpm.kills, SUMIF(D2068:D4866,_xlpm.roles,G2068:G4866),INDEX(_xlpm.roles,MATCH(MAX(_xlpm.kills),_xlpm.kills,0)))</f>
        <v>Sniper</v>
      </c>
      <c r="V2068" t="str">
        <f t="shared" si="163"/>
        <v>Medium Accuracy</v>
      </c>
      <c r="W2068" t="str" cm="1">
        <f t="array" ref="W2068">_xlfn.LET(_xlpm.roles,_xlfn.UNIQUE(D2068:D4866), _xlpm.counts,COUNTIF(D2068:D4866,_xlpm.roles), INDEX(_xlpm.roles,MATCH(MAX(_xlpm.counts),_xlpm.counts,0)))</f>
        <v>Sniper</v>
      </c>
      <c r="X2068" s="2">
        <f t="shared" si="164"/>
        <v>13.135802469135802</v>
      </c>
    </row>
    <row r="2069" spans="1:24" x14ac:dyDescent="0.3">
      <c r="A2069">
        <v>2702</v>
      </c>
      <c r="B2069">
        <v>365</v>
      </c>
      <c r="C2069" t="s">
        <v>39</v>
      </c>
      <c r="D2069" t="s">
        <v>36</v>
      </c>
      <c r="E2069" t="s">
        <v>33</v>
      </c>
      <c r="F2069" t="s">
        <v>19</v>
      </c>
      <c r="G2069">
        <v>23</v>
      </c>
      <c r="H2069">
        <v>12</v>
      </c>
      <c r="I2069">
        <v>10</v>
      </c>
      <c r="J2069">
        <v>39.17</v>
      </c>
      <c r="K2069">
        <v>225.08</v>
      </c>
      <c r="L2069">
        <v>0.21</v>
      </c>
      <c r="M2069">
        <v>65.489999999999995</v>
      </c>
      <c r="N2069">
        <v>1</v>
      </c>
      <c r="O2069" t="s">
        <v>20</v>
      </c>
      <c r="P2069" t="s">
        <v>38</v>
      </c>
      <c r="Q2069">
        <f t="shared" si="160"/>
        <v>25</v>
      </c>
      <c r="R2069" s="4">
        <f>RANK(N2069,$N$2:N$2800,0)</f>
        <v>1</v>
      </c>
      <c r="S2069">
        <f t="shared" si="161"/>
        <v>2.2999999999999998</v>
      </c>
      <c r="T2069" t="str">
        <f t="shared" si="162"/>
        <v>Excellent</v>
      </c>
      <c r="U2069" t="str" cm="1">
        <f t="array" ref="U2069">_xlfn.LET(_xlpm.roles,_xlfn.UNIQUE(D2069:D4867),_xlpm.kills, SUMIF(D2069:D4867,_xlpm.roles,G2069:G4867),INDEX(_xlpm.roles,MATCH(MAX(_xlpm.kills),_xlpm.kills,0)))</f>
        <v>Sniper</v>
      </c>
      <c r="V2069" t="str">
        <f t="shared" si="163"/>
        <v>Medium Accuracy</v>
      </c>
      <c r="W2069" t="str" cm="1">
        <f t="array" ref="W2069">_xlfn.LET(_xlpm.roles,_xlfn.UNIQUE(D2069:D4867), _xlpm.counts,COUNTIF(D2069:D4867,_xlpm.roles), INDEX(_xlpm.roles,MATCH(MAX(_xlpm.counts),_xlpm.counts,0)))</f>
        <v>Sniper</v>
      </c>
      <c r="X2069" s="2">
        <f t="shared" si="164"/>
        <v>13.103594080338267</v>
      </c>
    </row>
    <row r="2070" spans="1:24" x14ac:dyDescent="0.3">
      <c r="A2070">
        <v>2781</v>
      </c>
      <c r="B2070">
        <v>365</v>
      </c>
      <c r="C2070" t="s">
        <v>39</v>
      </c>
      <c r="D2070" t="s">
        <v>17</v>
      </c>
      <c r="E2070" t="s">
        <v>18</v>
      </c>
      <c r="F2070" t="s">
        <v>26</v>
      </c>
      <c r="G2070">
        <v>14</v>
      </c>
      <c r="H2070">
        <v>3</v>
      </c>
      <c r="I2070">
        <v>7</v>
      </c>
      <c r="J2070">
        <v>37.14</v>
      </c>
      <c r="K2070">
        <v>232.39</v>
      </c>
      <c r="L2070">
        <v>0.92</v>
      </c>
      <c r="M2070">
        <v>33.369999999999997</v>
      </c>
      <c r="N2070">
        <v>0.79</v>
      </c>
      <c r="O2070" t="s">
        <v>20</v>
      </c>
      <c r="P2070" t="s">
        <v>21</v>
      </c>
      <c r="Q2070">
        <f t="shared" si="160"/>
        <v>10</v>
      </c>
      <c r="R2070" s="4">
        <f>RANK(N2070,$N$2:N$2800,0)</f>
        <v>2436</v>
      </c>
      <c r="S2070">
        <f t="shared" si="161"/>
        <v>2</v>
      </c>
      <c r="T2070" t="str">
        <f t="shared" si="162"/>
        <v>Low</v>
      </c>
      <c r="U2070" t="str" cm="1">
        <f t="array" ref="U2070">_xlfn.LET(_xlpm.roles,_xlfn.UNIQUE(D2070:D4868),_xlpm.kills, SUMIF(D2070:D4868,_xlpm.roles,G2070:G4868),INDEX(_xlpm.roles,MATCH(MAX(_xlpm.kills),_xlpm.kills,0)))</f>
        <v>Sniper</v>
      </c>
      <c r="V2070" t="str">
        <f t="shared" si="163"/>
        <v>Medium Accuracy</v>
      </c>
      <c r="W2070" t="str" cm="1">
        <f t="array" ref="W2070">_xlfn.LET(_xlpm.roles,_xlfn.UNIQUE(D2070:D4868), _xlpm.counts,COUNTIF(D2070:D4868,_xlpm.roles), INDEX(_xlpm.roles,MATCH(MAX(_xlpm.counts),_xlpm.counts,0)))</f>
        <v>Sniper</v>
      </c>
      <c r="X2070" s="2">
        <f t="shared" si="164"/>
        <v>13.103594080338267</v>
      </c>
    </row>
    <row r="2071" spans="1:24" x14ac:dyDescent="0.3">
      <c r="A2071">
        <v>467</v>
      </c>
      <c r="B2071">
        <v>366</v>
      </c>
      <c r="C2071" t="s">
        <v>35</v>
      </c>
      <c r="D2071" t="s">
        <v>36</v>
      </c>
      <c r="E2071" t="s">
        <v>23</v>
      </c>
      <c r="F2071" t="s">
        <v>37</v>
      </c>
      <c r="G2071">
        <v>12</v>
      </c>
      <c r="H2071">
        <v>6</v>
      </c>
      <c r="I2071">
        <v>12</v>
      </c>
      <c r="J2071">
        <v>49.58</v>
      </c>
      <c r="K2071">
        <v>237.88</v>
      </c>
      <c r="L2071">
        <v>0.13</v>
      </c>
      <c r="M2071">
        <v>41.49</v>
      </c>
      <c r="N2071">
        <v>0.8</v>
      </c>
      <c r="O2071" t="s">
        <v>20</v>
      </c>
      <c r="P2071" t="s">
        <v>21</v>
      </c>
      <c r="Q2071">
        <f t="shared" si="160"/>
        <v>6</v>
      </c>
      <c r="R2071" s="4">
        <f>RANK(N2071,$N$2:N$2800,0)</f>
        <v>2393</v>
      </c>
      <c r="S2071">
        <f t="shared" si="161"/>
        <v>1</v>
      </c>
      <c r="T2071" t="str">
        <f t="shared" si="162"/>
        <v>Low</v>
      </c>
      <c r="U2071" t="str" cm="1">
        <f t="array" ref="U2071">_xlfn.LET(_xlpm.roles,_xlfn.UNIQUE(D2071:D4869),_xlpm.kills, SUMIF(D2071:D4869,_xlpm.roles,G2071:G4869),INDEX(_xlpm.roles,MATCH(MAX(_xlpm.kills),_xlpm.kills,0)))</f>
        <v>Sniper</v>
      </c>
      <c r="V2071" t="str">
        <f t="shared" si="163"/>
        <v>Medium Accuracy</v>
      </c>
      <c r="W2071" t="str" cm="1">
        <f t="array" ref="W2071">_xlfn.LET(_xlpm.roles,_xlfn.UNIQUE(D2071:D4869), _xlpm.counts,COUNTIF(D2071:D4869,_xlpm.roles), INDEX(_xlpm.roles,MATCH(MAX(_xlpm.counts),_xlpm.counts,0)))</f>
        <v>Sniper</v>
      </c>
      <c r="X2071" s="2">
        <f t="shared" si="164"/>
        <v>12.599585062240664</v>
      </c>
    </row>
    <row r="2072" spans="1:24" x14ac:dyDescent="0.3">
      <c r="A2072">
        <v>557</v>
      </c>
      <c r="B2072">
        <v>366</v>
      </c>
      <c r="C2072" t="s">
        <v>30</v>
      </c>
      <c r="D2072" t="s">
        <v>17</v>
      </c>
      <c r="E2072" t="s">
        <v>18</v>
      </c>
      <c r="F2072" t="s">
        <v>34</v>
      </c>
      <c r="G2072">
        <v>13</v>
      </c>
      <c r="H2072">
        <v>8</v>
      </c>
      <c r="I2072">
        <v>10</v>
      </c>
      <c r="J2072">
        <v>51.69</v>
      </c>
      <c r="K2072">
        <v>187.97</v>
      </c>
      <c r="L2072">
        <v>0.77</v>
      </c>
      <c r="M2072">
        <v>42.14</v>
      </c>
      <c r="N2072">
        <v>0.94</v>
      </c>
      <c r="O2072" t="s">
        <v>20</v>
      </c>
      <c r="P2072" t="s">
        <v>21</v>
      </c>
      <c r="Q2072">
        <f t="shared" si="160"/>
        <v>11</v>
      </c>
      <c r="R2072" s="4">
        <f>RANK(N2072,$N$2:N$2800,0)</f>
        <v>1431</v>
      </c>
      <c r="S2072">
        <f t="shared" si="161"/>
        <v>1.3</v>
      </c>
      <c r="T2072" t="str">
        <f t="shared" si="162"/>
        <v>Low</v>
      </c>
      <c r="U2072" t="str" cm="1">
        <f t="array" ref="U2072">_xlfn.LET(_xlpm.roles,_xlfn.UNIQUE(D2072:D4870),_xlpm.kills, SUMIF(D2072:D4870,_xlpm.roles,G2072:G4870),INDEX(_xlpm.roles,MATCH(MAX(_xlpm.kills),_xlpm.kills,0)))</f>
        <v>Sniper</v>
      </c>
      <c r="V2072" t="str">
        <f t="shared" si="163"/>
        <v>High Accuracy</v>
      </c>
      <c r="W2072" t="str" cm="1">
        <f t="array" ref="W2072">_xlfn.LET(_xlpm.roles,_xlfn.UNIQUE(D2072:D4870), _xlpm.counts,COUNTIF(D2072:D4870,_xlpm.roles), INDEX(_xlpm.roles,MATCH(MAX(_xlpm.counts),_xlpm.counts,0)))</f>
        <v>Sniper</v>
      </c>
      <c r="X2072" s="2">
        <f t="shared" si="164"/>
        <v>13.135802469135802</v>
      </c>
    </row>
    <row r="2073" spans="1:24" x14ac:dyDescent="0.3">
      <c r="A2073">
        <v>996</v>
      </c>
      <c r="B2073">
        <v>366</v>
      </c>
      <c r="C2073" t="s">
        <v>16</v>
      </c>
      <c r="D2073" t="s">
        <v>22</v>
      </c>
      <c r="E2073" t="s">
        <v>18</v>
      </c>
      <c r="F2073" t="s">
        <v>37</v>
      </c>
      <c r="G2073">
        <v>13</v>
      </c>
      <c r="H2073">
        <v>9</v>
      </c>
      <c r="I2073">
        <v>12</v>
      </c>
      <c r="J2073">
        <v>35.130000000000003</v>
      </c>
      <c r="K2073">
        <v>191.29</v>
      </c>
      <c r="L2073">
        <v>0.48</v>
      </c>
      <c r="M2073">
        <v>35.770000000000003</v>
      </c>
      <c r="N2073">
        <v>0.88</v>
      </c>
      <c r="O2073" t="s">
        <v>20</v>
      </c>
      <c r="P2073" t="s">
        <v>21</v>
      </c>
      <c r="Q2073">
        <f t="shared" si="160"/>
        <v>10</v>
      </c>
      <c r="R2073" s="4">
        <f>RANK(N2073,$N$2:N$2800,0)</f>
        <v>1894</v>
      </c>
      <c r="S2073">
        <f t="shared" si="161"/>
        <v>1.0833333333333333</v>
      </c>
      <c r="T2073" t="str">
        <f t="shared" si="162"/>
        <v>Low</v>
      </c>
      <c r="U2073" t="str" cm="1">
        <f t="array" ref="U2073">_xlfn.LET(_xlpm.roles,_xlfn.UNIQUE(D2073:D4871),_xlpm.kills, SUMIF(D2073:D4871,_xlpm.roles,G2073:G4871),INDEX(_xlpm.roles,MATCH(MAX(_xlpm.kills),_xlpm.kills,0)))</f>
        <v>Sniper</v>
      </c>
      <c r="V2073" t="str">
        <f t="shared" si="163"/>
        <v>Medium Accuracy</v>
      </c>
      <c r="W2073" t="str" cm="1">
        <f t="array" ref="W2073">_xlfn.LET(_xlpm.roles,_xlfn.UNIQUE(D2073:D4871), _xlpm.counts,COUNTIF(D2073:D4871,_xlpm.roles), INDEX(_xlpm.roles,MATCH(MAX(_xlpm.counts),_xlpm.counts,0)))</f>
        <v>Sniper</v>
      </c>
      <c r="X2073" s="2">
        <f t="shared" si="164"/>
        <v>12.520971302428256</v>
      </c>
    </row>
    <row r="2074" spans="1:24" x14ac:dyDescent="0.3">
      <c r="A2074">
        <v>1622</v>
      </c>
      <c r="B2074">
        <v>366</v>
      </c>
      <c r="C2074" t="s">
        <v>16</v>
      </c>
      <c r="D2074" t="s">
        <v>17</v>
      </c>
      <c r="E2074" t="s">
        <v>29</v>
      </c>
      <c r="F2074" t="s">
        <v>19</v>
      </c>
      <c r="G2074">
        <v>21</v>
      </c>
      <c r="H2074">
        <v>8</v>
      </c>
      <c r="I2074">
        <v>11</v>
      </c>
      <c r="J2074">
        <v>55.73</v>
      </c>
      <c r="K2074">
        <v>242.88</v>
      </c>
      <c r="L2074">
        <v>0.72</v>
      </c>
      <c r="M2074">
        <v>59.66</v>
      </c>
      <c r="N2074">
        <v>1</v>
      </c>
      <c r="O2074" t="s">
        <v>20</v>
      </c>
      <c r="P2074" t="s">
        <v>21</v>
      </c>
      <c r="Q2074">
        <f t="shared" si="160"/>
        <v>18</v>
      </c>
      <c r="R2074" s="4">
        <f>RANK(N2074,$N$2:N$2800,0)</f>
        <v>1</v>
      </c>
      <c r="S2074">
        <f t="shared" si="161"/>
        <v>1.9090909090909092</v>
      </c>
      <c r="T2074" t="str">
        <f t="shared" si="162"/>
        <v>Good</v>
      </c>
      <c r="U2074" t="str" cm="1">
        <f t="array" ref="U2074">_xlfn.LET(_xlpm.roles,_xlfn.UNIQUE(D2074:D4872),_xlpm.kills, SUMIF(D2074:D4872,_xlpm.roles,G2074:G4872),INDEX(_xlpm.roles,MATCH(MAX(_xlpm.kills),_xlpm.kills,0)))</f>
        <v>Sniper</v>
      </c>
      <c r="V2074" t="str">
        <f t="shared" si="163"/>
        <v>High Accuracy</v>
      </c>
      <c r="W2074" t="str" cm="1">
        <f t="array" ref="W2074">_xlfn.LET(_xlpm.roles,_xlfn.UNIQUE(D2074:D4872), _xlpm.counts,COUNTIF(D2074:D4872,_xlpm.roles), INDEX(_xlpm.roles,MATCH(MAX(_xlpm.counts),_xlpm.counts,0)))</f>
        <v>Sniper</v>
      </c>
      <c r="X2074" s="2">
        <f t="shared" si="164"/>
        <v>12.520971302428256</v>
      </c>
    </row>
    <row r="2075" spans="1:24" x14ac:dyDescent="0.3">
      <c r="A2075">
        <v>1789</v>
      </c>
      <c r="B2075">
        <v>366</v>
      </c>
      <c r="C2075" t="s">
        <v>35</v>
      </c>
      <c r="D2075" t="s">
        <v>22</v>
      </c>
      <c r="E2075" t="s">
        <v>18</v>
      </c>
      <c r="F2075" t="s">
        <v>24</v>
      </c>
      <c r="G2075">
        <v>25</v>
      </c>
      <c r="H2075">
        <v>6</v>
      </c>
      <c r="I2075">
        <v>15</v>
      </c>
      <c r="J2075">
        <v>43.82</v>
      </c>
      <c r="K2075">
        <v>243.97</v>
      </c>
      <c r="L2075">
        <v>0.85</v>
      </c>
      <c r="M2075">
        <v>54.41</v>
      </c>
      <c r="N2075">
        <v>0.85</v>
      </c>
      <c r="O2075" t="s">
        <v>20</v>
      </c>
      <c r="P2075" t="s">
        <v>21</v>
      </c>
      <c r="Q2075">
        <f t="shared" si="160"/>
        <v>16</v>
      </c>
      <c r="R2075" s="4">
        <f>RANK(N2075,$N$2:N$2800,0)</f>
        <v>2105</v>
      </c>
      <c r="S2075">
        <f t="shared" si="161"/>
        <v>1.6666666666666667</v>
      </c>
      <c r="T2075" t="str">
        <f t="shared" si="162"/>
        <v>Good</v>
      </c>
      <c r="U2075" t="str" cm="1">
        <f t="array" ref="U2075">_xlfn.LET(_xlpm.roles,_xlfn.UNIQUE(D2075:D4873),_xlpm.kills, SUMIF(D2075:D4873,_xlpm.roles,G2075:G4873),INDEX(_xlpm.roles,MATCH(MAX(_xlpm.kills),_xlpm.kills,0)))</f>
        <v>Sniper</v>
      </c>
      <c r="V2075" t="str">
        <f t="shared" si="163"/>
        <v>Medium Accuracy</v>
      </c>
      <c r="W2075" t="str" cm="1">
        <f t="array" ref="W2075">_xlfn.LET(_xlpm.roles,_xlfn.UNIQUE(D2075:D4873), _xlpm.counts,COUNTIF(D2075:D4873,_xlpm.roles), INDEX(_xlpm.roles,MATCH(MAX(_xlpm.counts),_xlpm.counts,0)))</f>
        <v>Sniper</v>
      </c>
      <c r="X2075" s="2">
        <f t="shared" si="164"/>
        <v>12.599585062240664</v>
      </c>
    </row>
    <row r="2076" spans="1:24" x14ac:dyDescent="0.3">
      <c r="A2076">
        <v>2015</v>
      </c>
      <c r="B2076">
        <v>366</v>
      </c>
      <c r="C2076" t="s">
        <v>35</v>
      </c>
      <c r="D2076" t="s">
        <v>31</v>
      </c>
      <c r="E2076" t="s">
        <v>29</v>
      </c>
      <c r="F2076" t="s">
        <v>24</v>
      </c>
      <c r="G2076">
        <v>21</v>
      </c>
      <c r="H2076">
        <v>10</v>
      </c>
      <c r="I2076">
        <v>12</v>
      </c>
      <c r="J2076">
        <v>49.84</v>
      </c>
      <c r="K2076">
        <v>227.66</v>
      </c>
      <c r="L2076">
        <v>0.5</v>
      </c>
      <c r="M2076">
        <v>59.92</v>
      </c>
      <c r="N2076">
        <v>1</v>
      </c>
      <c r="O2076" t="s">
        <v>20</v>
      </c>
      <c r="P2076" t="s">
        <v>21</v>
      </c>
      <c r="Q2076">
        <f t="shared" si="160"/>
        <v>19</v>
      </c>
      <c r="R2076" s="4">
        <f>RANK(N2076,$N$2:N$2800,0)</f>
        <v>1</v>
      </c>
      <c r="S2076">
        <f t="shared" si="161"/>
        <v>1.75</v>
      </c>
      <c r="T2076" t="str">
        <f t="shared" si="162"/>
        <v>Good</v>
      </c>
      <c r="U2076" t="str" cm="1">
        <f t="array" ref="U2076">_xlfn.LET(_xlpm.roles,_xlfn.UNIQUE(D2076:D4874),_xlpm.kills, SUMIF(D2076:D4874,_xlpm.roles,G2076:G4874),INDEX(_xlpm.roles,MATCH(MAX(_xlpm.kills),_xlpm.kills,0)))</f>
        <v>Sniper</v>
      </c>
      <c r="V2076" t="str">
        <f t="shared" si="163"/>
        <v>Medium Accuracy</v>
      </c>
      <c r="W2076" t="str" cm="1">
        <f t="array" ref="W2076">_xlfn.LET(_xlpm.roles,_xlfn.UNIQUE(D2076:D4874), _xlpm.counts,COUNTIF(D2076:D4874,_xlpm.roles), INDEX(_xlpm.roles,MATCH(MAX(_xlpm.counts),_xlpm.counts,0)))</f>
        <v>Sniper</v>
      </c>
      <c r="X2076" s="2">
        <f t="shared" si="164"/>
        <v>12.599585062240664</v>
      </c>
    </row>
    <row r="2077" spans="1:24" x14ac:dyDescent="0.3">
      <c r="A2077">
        <v>2382</v>
      </c>
      <c r="B2077">
        <v>366</v>
      </c>
      <c r="C2077" t="s">
        <v>25</v>
      </c>
      <c r="D2077" t="s">
        <v>36</v>
      </c>
      <c r="E2077" t="s">
        <v>29</v>
      </c>
      <c r="F2077" t="s">
        <v>24</v>
      </c>
      <c r="G2077">
        <v>13</v>
      </c>
      <c r="H2077">
        <v>8</v>
      </c>
      <c r="I2077">
        <v>6</v>
      </c>
      <c r="J2077">
        <v>42.54</v>
      </c>
      <c r="K2077">
        <v>235.88</v>
      </c>
      <c r="L2077">
        <v>0.84</v>
      </c>
      <c r="M2077">
        <v>40.869999999999997</v>
      </c>
      <c r="N2077">
        <v>0.92</v>
      </c>
      <c r="O2077" t="s">
        <v>20</v>
      </c>
      <c r="P2077" t="s">
        <v>21</v>
      </c>
      <c r="Q2077">
        <f t="shared" si="160"/>
        <v>15</v>
      </c>
      <c r="R2077" s="4">
        <f>RANK(N2077,$N$2:N$2800,0)</f>
        <v>1585</v>
      </c>
      <c r="S2077">
        <f t="shared" si="161"/>
        <v>2.1666666666666665</v>
      </c>
      <c r="T2077" t="str">
        <f t="shared" si="162"/>
        <v>Good</v>
      </c>
      <c r="U2077" t="str" cm="1">
        <f t="array" ref="U2077">_xlfn.LET(_xlpm.roles,_xlfn.UNIQUE(D2077:D4875),_xlpm.kills, SUMIF(D2077:D4875,_xlpm.roles,G2077:G4875),INDEX(_xlpm.roles,MATCH(MAX(_xlpm.kills),_xlpm.kills,0)))</f>
        <v>Sniper</v>
      </c>
      <c r="V2077" t="str">
        <f t="shared" si="163"/>
        <v>Medium Accuracy</v>
      </c>
      <c r="W2077" t="str" cm="1">
        <f t="array" ref="W2077">_xlfn.LET(_xlpm.roles,_xlfn.UNIQUE(D2077:D4875), _xlpm.counts,COUNTIF(D2077:D4875,_xlpm.roles), INDEX(_xlpm.roles,MATCH(MAX(_xlpm.counts),_xlpm.counts,0)))</f>
        <v>Sniper</v>
      </c>
      <c r="X2077" s="2">
        <f t="shared" si="164"/>
        <v>12.809421841541756</v>
      </c>
    </row>
    <row r="2078" spans="1:24" x14ac:dyDescent="0.3">
      <c r="A2078">
        <v>2540</v>
      </c>
      <c r="B2078">
        <v>366</v>
      </c>
      <c r="C2078" t="s">
        <v>30</v>
      </c>
      <c r="D2078" t="s">
        <v>17</v>
      </c>
      <c r="E2078" t="s">
        <v>18</v>
      </c>
      <c r="F2078" t="s">
        <v>34</v>
      </c>
      <c r="G2078">
        <v>14</v>
      </c>
      <c r="H2078">
        <v>6</v>
      </c>
      <c r="I2078">
        <v>7</v>
      </c>
      <c r="J2078">
        <v>42.32</v>
      </c>
      <c r="K2078">
        <v>186</v>
      </c>
      <c r="L2078">
        <v>0.24</v>
      </c>
      <c r="M2078">
        <v>45.76</v>
      </c>
      <c r="N2078">
        <v>1</v>
      </c>
      <c r="O2078" t="s">
        <v>20</v>
      </c>
      <c r="P2078" t="s">
        <v>21</v>
      </c>
      <c r="Q2078">
        <f t="shared" si="160"/>
        <v>13</v>
      </c>
      <c r="R2078" s="4">
        <f>RANK(N2078,$N$2:N$2800,0)</f>
        <v>1</v>
      </c>
      <c r="S2078">
        <f t="shared" si="161"/>
        <v>2</v>
      </c>
      <c r="T2078" t="str">
        <f t="shared" si="162"/>
        <v>Low</v>
      </c>
      <c r="U2078" t="str" cm="1">
        <f t="array" ref="U2078">_xlfn.LET(_xlpm.roles,_xlfn.UNIQUE(D2078:D4876),_xlpm.kills, SUMIF(D2078:D4876,_xlpm.roles,G2078:G4876),INDEX(_xlpm.roles,MATCH(MAX(_xlpm.kills),_xlpm.kills,0)))</f>
        <v>Sniper</v>
      </c>
      <c r="V2078" t="str">
        <f t="shared" si="163"/>
        <v>Medium Accuracy</v>
      </c>
      <c r="W2078" t="str" cm="1">
        <f t="array" ref="W2078">_xlfn.LET(_xlpm.roles,_xlfn.UNIQUE(D2078:D4876), _xlpm.counts,COUNTIF(D2078:D4876,_xlpm.roles), INDEX(_xlpm.roles,MATCH(MAX(_xlpm.counts),_xlpm.counts,0)))</f>
        <v>Sniper</v>
      </c>
      <c r="X2078" s="2">
        <f t="shared" si="164"/>
        <v>13.135802469135802</v>
      </c>
    </row>
    <row r="2079" spans="1:24" x14ac:dyDescent="0.3">
      <c r="A2079">
        <v>2753</v>
      </c>
      <c r="B2079">
        <v>366</v>
      </c>
      <c r="C2079" t="s">
        <v>35</v>
      </c>
      <c r="D2079" t="s">
        <v>17</v>
      </c>
      <c r="E2079" t="s">
        <v>32</v>
      </c>
      <c r="F2079" t="s">
        <v>37</v>
      </c>
      <c r="G2079">
        <v>14</v>
      </c>
      <c r="H2079">
        <v>9</v>
      </c>
      <c r="I2079">
        <v>12</v>
      </c>
      <c r="J2079">
        <v>39.06</v>
      </c>
      <c r="K2079">
        <v>235.19</v>
      </c>
      <c r="L2079">
        <v>0.99</v>
      </c>
      <c r="M2079">
        <v>34.630000000000003</v>
      </c>
      <c r="N2079">
        <v>0.78</v>
      </c>
      <c r="O2079" t="s">
        <v>20</v>
      </c>
      <c r="P2079" t="s">
        <v>21</v>
      </c>
      <c r="Q2079">
        <f t="shared" si="160"/>
        <v>11</v>
      </c>
      <c r="R2079" s="4">
        <f>RANK(N2079,$N$2:N$2800,0)</f>
        <v>2469</v>
      </c>
      <c r="S2079">
        <f t="shared" si="161"/>
        <v>1.1666666666666667</v>
      </c>
      <c r="T2079" t="str">
        <f t="shared" si="162"/>
        <v>Low</v>
      </c>
      <c r="U2079" t="str" cm="1">
        <f t="array" ref="U2079">_xlfn.LET(_xlpm.roles,_xlfn.UNIQUE(D2079:D4877),_xlpm.kills, SUMIF(D2079:D4877,_xlpm.roles,G2079:G4877),INDEX(_xlpm.roles,MATCH(MAX(_xlpm.kills),_xlpm.kills,0)))</f>
        <v>Sniper</v>
      </c>
      <c r="V2079" t="str">
        <f t="shared" si="163"/>
        <v>Medium Accuracy</v>
      </c>
      <c r="W2079" t="str" cm="1">
        <f t="array" ref="W2079">_xlfn.LET(_xlpm.roles,_xlfn.UNIQUE(D2079:D4877), _xlpm.counts,COUNTIF(D2079:D4877,_xlpm.roles), INDEX(_xlpm.roles,MATCH(MAX(_xlpm.counts),_xlpm.counts,0)))</f>
        <v>Sniper</v>
      </c>
      <c r="X2079" s="2">
        <f t="shared" si="164"/>
        <v>12.599585062240664</v>
      </c>
    </row>
    <row r="2080" spans="1:24" x14ac:dyDescent="0.3">
      <c r="A2080">
        <v>74</v>
      </c>
      <c r="B2080">
        <v>368</v>
      </c>
      <c r="C2080" t="s">
        <v>27</v>
      </c>
      <c r="D2080" t="s">
        <v>36</v>
      </c>
      <c r="E2080" t="s">
        <v>32</v>
      </c>
      <c r="F2080" t="s">
        <v>24</v>
      </c>
      <c r="G2080">
        <v>16</v>
      </c>
      <c r="H2080">
        <v>4</v>
      </c>
      <c r="I2080">
        <v>16</v>
      </c>
      <c r="J2080">
        <v>61.61</v>
      </c>
      <c r="K2080">
        <v>216.07</v>
      </c>
      <c r="L2080">
        <v>0.93</v>
      </c>
      <c r="M2080">
        <v>41.5</v>
      </c>
      <c r="N2080">
        <v>0.81</v>
      </c>
      <c r="O2080" t="s">
        <v>20</v>
      </c>
      <c r="P2080" t="s">
        <v>21</v>
      </c>
      <c r="Q2080">
        <f t="shared" si="160"/>
        <v>4</v>
      </c>
      <c r="R2080" s="4">
        <f>RANK(N2080,$N$2:N$2800,0)</f>
        <v>2341</v>
      </c>
      <c r="S2080">
        <f t="shared" si="161"/>
        <v>1</v>
      </c>
      <c r="T2080" t="str">
        <f t="shared" si="162"/>
        <v>Low</v>
      </c>
      <c r="U2080" t="str" cm="1">
        <f t="array" ref="U2080">_xlfn.LET(_xlpm.roles,_xlfn.UNIQUE(D2080:D4878),_xlpm.kills, SUMIF(D2080:D4878,_xlpm.roles,G2080:G4878),INDEX(_xlpm.roles,MATCH(MAX(_xlpm.kills),_xlpm.kills,0)))</f>
        <v>Sniper</v>
      </c>
      <c r="V2080" t="str">
        <f t="shared" si="163"/>
        <v>High Accuracy</v>
      </c>
      <c r="W2080" t="str" cm="1">
        <f t="array" ref="W2080">_xlfn.LET(_xlpm.roles,_xlfn.UNIQUE(D2080:D4878), _xlpm.counts,COUNTIF(D2080:D4878,_xlpm.roles), INDEX(_xlpm.roles,MATCH(MAX(_xlpm.counts),_xlpm.counts,0)))</f>
        <v>Sniper</v>
      </c>
      <c r="X2080" s="2">
        <f t="shared" si="164"/>
        <v>13.057077625570777</v>
      </c>
    </row>
    <row r="2081" spans="1:24" x14ac:dyDescent="0.3">
      <c r="A2081">
        <v>1139</v>
      </c>
      <c r="B2081">
        <v>368</v>
      </c>
      <c r="C2081" t="s">
        <v>30</v>
      </c>
      <c r="D2081" t="s">
        <v>22</v>
      </c>
      <c r="E2081" t="s">
        <v>29</v>
      </c>
      <c r="F2081" t="s">
        <v>19</v>
      </c>
      <c r="G2081">
        <v>18</v>
      </c>
      <c r="H2081">
        <v>8</v>
      </c>
      <c r="I2081">
        <v>8</v>
      </c>
      <c r="J2081">
        <v>37.67</v>
      </c>
      <c r="K2081">
        <v>218.44</v>
      </c>
      <c r="L2081">
        <v>0.19</v>
      </c>
      <c r="M2081">
        <v>52.94</v>
      </c>
      <c r="N2081">
        <v>1</v>
      </c>
      <c r="O2081" t="s">
        <v>20</v>
      </c>
      <c r="P2081" t="s">
        <v>21</v>
      </c>
      <c r="Q2081">
        <f t="shared" si="160"/>
        <v>18</v>
      </c>
      <c r="R2081" s="4">
        <f>RANK(N2081,$N$2:N$2800,0)</f>
        <v>1</v>
      </c>
      <c r="S2081">
        <f t="shared" si="161"/>
        <v>2.25</v>
      </c>
      <c r="T2081" t="str">
        <f t="shared" si="162"/>
        <v>Good</v>
      </c>
      <c r="U2081" t="str" cm="1">
        <f t="array" ref="U2081">_xlfn.LET(_xlpm.roles,_xlfn.UNIQUE(D2081:D4879),_xlpm.kills, SUMIF(D2081:D4879,_xlpm.roles,G2081:G4879),INDEX(_xlpm.roles,MATCH(MAX(_xlpm.kills),_xlpm.kills,0)))</f>
        <v>Sniper</v>
      </c>
      <c r="V2081" t="str">
        <f t="shared" si="163"/>
        <v>Medium Accuracy</v>
      </c>
      <c r="W2081" t="str" cm="1">
        <f t="array" ref="W2081">_xlfn.LET(_xlpm.roles,_xlfn.UNIQUE(D2081:D4879), _xlpm.counts,COUNTIF(D2081:D4879,_xlpm.roles), INDEX(_xlpm.roles,MATCH(MAX(_xlpm.counts),_xlpm.counts,0)))</f>
        <v>Sniper</v>
      </c>
      <c r="X2081" s="2">
        <f t="shared" si="164"/>
        <v>13.135802469135802</v>
      </c>
    </row>
    <row r="2082" spans="1:24" x14ac:dyDescent="0.3">
      <c r="A2082">
        <v>2509</v>
      </c>
      <c r="B2082">
        <v>368</v>
      </c>
      <c r="C2082" t="s">
        <v>16</v>
      </c>
      <c r="D2082" t="s">
        <v>28</v>
      </c>
      <c r="E2082" t="s">
        <v>18</v>
      </c>
      <c r="F2082" t="s">
        <v>26</v>
      </c>
      <c r="G2082">
        <v>15</v>
      </c>
      <c r="H2082">
        <v>11</v>
      </c>
      <c r="I2082">
        <v>6</v>
      </c>
      <c r="J2082">
        <v>36.31</v>
      </c>
      <c r="K2082">
        <v>227.82</v>
      </c>
      <c r="L2082">
        <v>0.78</v>
      </c>
      <c r="M2082">
        <v>45.36</v>
      </c>
      <c r="N2082">
        <v>0.78</v>
      </c>
      <c r="O2082" t="s">
        <v>20</v>
      </c>
      <c r="P2082" t="s">
        <v>21</v>
      </c>
      <c r="Q2082">
        <f t="shared" si="160"/>
        <v>20</v>
      </c>
      <c r="R2082" s="4">
        <f>RANK(N2082,$N$2:N$2800,0)</f>
        <v>2469</v>
      </c>
      <c r="S2082">
        <f t="shared" si="161"/>
        <v>2.5</v>
      </c>
      <c r="T2082" t="str">
        <f t="shared" si="162"/>
        <v>Good</v>
      </c>
      <c r="U2082" t="str" cm="1">
        <f t="array" ref="U2082">_xlfn.LET(_xlpm.roles,_xlfn.UNIQUE(D2082:D4880),_xlpm.kills, SUMIF(D2082:D4880,_xlpm.roles,G2082:G4880),INDEX(_xlpm.roles,MATCH(MAX(_xlpm.kills),_xlpm.kills,0)))</f>
        <v>Sniper</v>
      </c>
      <c r="V2082" t="str">
        <f t="shared" si="163"/>
        <v>Medium Accuracy</v>
      </c>
      <c r="W2082" t="str" cm="1">
        <f t="array" ref="W2082">_xlfn.LET(_xlpm.roles,_xlfn.UNIQUE(D2082:D4880), _xlpm.counts,COUNTIF(D2082:D4880,_xlpm.roles), INDEX(_xlpm.roles,MATCH(MAX(_xlpm.counts),_xlpm.counts,0)))</f>
        <v>Sniper</v>
      </c>
      <c r="X2082" s="2">
        <f t="shared" si="164"/>
        <v>12.520971302428256</v>
      </c>
    </row>
    <row r="2083" spans="1:24" x14ac:dyDescent="0.3">
      <c r="A2083">
        <v>658</v>
      </c>
      <c r="B2083">
        <v>369</v>
      </c>
      <c r="C2083" t="s">
        <v>35</v>
      </c>
      <c r="D2083" t="s">
        <v>36</v>
      </c>
      <c r="E2083" t="s">
        <v>29</v>
      </c>
      <c r="F2083" t="s">
        <v>19</v>
      </c>
      <c r="G2083">
        <v>15</v>
      </c>
      <c r="H2083">
        <v>4</v>
      </c>
      <c r="I2083">
        <v>11</v>
      </c>
      <c r="J2083">
        <v>38.299999999999997</v>
      </c>
      <c r="K2083">
        <v>225.41</v>
      </c>
      <c r="L2083">
        <v>0.78</v>
      </c>
      <c r="M2083">
        <v>34.35</v>
      </c>
      <c r="N2083">
        <v>0.75</v>
      </c>
      <c r="O2083" t="s">
        <v>20</v>
      </c>
      <c r="P2083" t="s">
        <v>21</v>
      </c>
      <c r="Q2083">
        <f t="shared" si="160"/>
        <v>8</v>
      </c>
      <c r="R2083" s="4">
        <f>RANK(N2083,$N$2:N$2800,0)</f>
        <v>2586</v>
      </c>
      <c r="S2083">
        <f t="shared" si="161"/>
        <v>1.3636363636363635</v>
      </c>
      <c r="T2083" t="str">
        <f t="shared" si="162"/>
        <v>Low</v>
      </c>
      <c r="U2083" t="str" cm="1">
        <f t="array" ref="U2083">_xlfn.LET(_xlpm.roles,_xlfn.UNIQUE(D2083:D4881),_xlpm.kills, SUMIF(D2083:D4881,_xlpm.roles,G2083:G4881),INDEX(_xlpm.roles,MATCH(MAX(_xlpm.kills),_xlpm.kills,0)))</f>
        <v>Sniper</v>
      </c>
      <c r="V2083" t="str">
        <f t="shared" si="163"/>
        <v>Medium Accuracy</v>
      </c>
      <c r="W2083" t="str" cm="1">
        <f t="array" ref="W2083">_xlfn.LET(_xlpm.roles,_xlfn.UNIQUE(D2083:D4881), _xlpm.counts,COUNTIF(D2083:D4881,_xlpm.roles), INDEX(_xlpm.roles,MATCH(MAX(_xlpm.counts),_xlpm.counts,0)))</f>
        <v>Sniper</v>
      </c>
      <c r="X2083" s="2">
        <f t="shared" si="164"/>
        <v>12.599585062240664</v>
      </c>
    </row>
    <row r="2084" spans="1:24" x14ac:dyDescent="0.3">
      <c r="A2084">
        <v>875</v>
      </c>
      <c r="B2084">
        <v>369</v>
      </c>
      <c r="C2084" t="s">
        <v>27</v>
      </c>
      <c r="D2084" t="s">
        <v>31</v>
      </c>
      <c r="E2084" t="s">
        <v>18</v>
      </c>
      <c r="F2084" t="s">
        <v>24</v>
      </c>
      <c r="G2084">
        <v>16</v>
      </c>
      <c r="H2084">
        <v>7</v>
      </c>
      <c r="I2084">
        <v>11</v>
      </c>
      <c r="J2084">
        <v>46.07</v>
      </c>
      <c r="K2084">
        <v>251.85</v>
      </c>
      <c r="L2084">
        <v>0.48</v>
      </c>
      <c r="M2084">
        <v>46.23</v>
      </c>
      <c r="N2084">
        <v>0.98</v>
      </c>
      <c r="O2084" t="s">
        <v>20</v>
      </c>
      <c r="P2084" t="s">
        <v>21</v>
      </c>
      <c r="Q2084">
        <f t="shared" si="160"/>
        <v>12</v>
      </c>
      <c r="R2084" s="4">
        <f>RANK(N2084,$N$2:N$2800,0)</f>
        <v>1157</v>
      </c>
      <c r="S2084">
        <f t="shared" si="161"/>
        <v>1.4545454545454546</v>
      </c>
      <c r="T2084" t="str">
        <f t="shared" si="162"/>
        <v>Low</v>
      </c>
      <c r="U2084" t="str" cm="1">
        <f t="array" ref="U2084">_xlfn.LET(_xlpm.roles,_xlfn.UNIQUE(D2084:D4882),_xlpm.kills, SUMIF(D2084:D4882,_xlpm.roles,G2084:G4882),INDEX(_xlpm.roles,MATCH(MAX(_xlpm.kills),_xlpm.kills,0)))</f>
        <v>Sniper</v>
      </c>
      <c r="V2084" t="str">
        <f t="shared" si="163"/>
        <v>Medium Accuracy</v>
      </c>
      <c r="W2084" t="str" cm="1">
        <f t="array" ref="W2084">_xlfn.LET(_xlpm.roles,_xlfn.UNIQUE(D2084:D4882), _xlpm.counts,COUNTIF(D2084:D4882,_xlpm.roles), INDEX(_xlpm.roles,MATCH(MAX(_xlpm.counts),_xlpm.counts,0)))</f>
        <v>Sniper</v>
      </c>
      <c r="X2084" s="2">
        <f t="shared" si="164"/>
        <v>13.057077625570777</v>
      </c>
    </row>
    <row r="2085" spans="1:24" x14ac:dyDescent="0.3">
      <c r="A2085">
        <v>879</v>
      </c>
      <c r="B2085">
        <v>369</v>
      </c>
      <c r="C2085" t="s">
        <v>30</v>
      </c>
      <c r="D2085" t="s">
        <v>36</v>
      </c>
      <c r="E2085" t="s">
        <v>18</v>
      </c>
      <c r="F2085" t="s">
        <v>34</v>
      </c>
      <c r="G2085">
        <v>17</v>
      </c>
      <c r="H2085">
        <v>5</v>
      </c>
      <c r="I2085">
        <v>9</v>
      </c>
      <c r="J2085">
        <v>38.58</v>
      </c>
      <c r="K2085">
        <v>278.27999999999997</v>
      </c>
      <c r="L2085">
        <v>0.65</v>
      </c>
      <c r="M2085">
        <v>42.79</v>
      </c>
      <c r="N2085">
        <v>1</v>
      </c>
      <c r="O2085" t="s">
        <v>20</v>
      </c>
      <c r="P2085" t="s">
        <v>21</v>
      </c>
      <c r="Q2085">
        <f t="shared" si="160"/>
        <v>13</v>
      </c>
      <c r="R2085" s="4">
        <f>RANK(N2085,$N$2:N$2800,0)</f>
        <v>1</v>
      </c>
      <c r="S2085">
        <f t="shared" si="161"/>
        <v>1.8888888888888888</v>
      </c>
      <c r="T2085" t="str">
        <f t="shared" si="162"/>
        <v>Low</v>
      </c>
      <c r="U2085" t="str" cm="1">
        <f t="array" ref="U2085">_xlfn.LET(_xlpm.roles,_xlfn.UNIQUE(D2085:D4883),_xlpm.kills, SUMIF(D2085:D4883,_xlpm.roles,G2085:G4883),INDEX(_xlpm.roles,MATCH(MAX(_xlpm.kills),_xlpm.kills,0)))</f>
        <v>Sniper</v>
      </c>
      <c r="V2085" t="str">
        <f t="shared" si="163"/>
        <v>Medium Accuracy</v>
      </c>
      <c r="W2085" t="str" cm="1">
        <f t="array" ref="W2085">_xlfn.LET(_xlpm.roles,_xlfn.UNIQUE(D2085:D4883), _xlpm.counts,COUNTIF(D2085:D4883,_xlpm.roles), INDEX(_xlpm.roles,MATCH(MAX(_xlpm.counts),_xlpm.counts,0)))</f>
        <v>Sniper</v>
      </c>
      <c r="X2085" s="2">
        <f t="shared" si="164"/>
        <v>13.135802469135802</v>
      </c>
    </row>
    <row r="2086" spans="1:24" x14ac:dyDescent="0.3">
      <c r="A2086">
        <v>1518</v>
      </c>
      <c r="B2086">
        <v>369</v>
      </c>
      <c r="C2086" t="s">
        <v>16</v>
      </c>
      <c r="D2086" t="s">
        <v>31</v>
      </c>
      <c r="E2086" t="s">
        <v>29</v>
      </c>
      <c r="F2086" t="s">
        <v>24</v>
      </c>
      <c r="G2086">
        <v>15</v>
      </c>
      <c r="H2086">
        <v>10</v>
      </c>
      <c r="I2086">
        <v>8</v>
      </c>
      <c r="J2086">
        <v>40.159999999999997</v>
      </c>
      <c r="K2086">
        <v>172.78</v>
      </c>
      <c r="L2086">
        <v>0.71</v>
      </c>
      <c r="M2086">
        <v>44.98</v>
      </c>
      <c r="N2086">
        <v>0.87</v>
      </c>
      <c r="O2086" t="s">
        <v>20</v>
      </c>
      <c r="P2086" t="s">
        <v>21</v>
      </c>
      <c r="Q2086">
        <f t="shared" si="160"/>
        <v>17</v>
      </c>
      <c r="R2086" s="4">
        <f>RANK(N2086,$N$2:N$2800,0)</f>
        <v>1965</v>
      </c>
      <c r="S2086">
        <f t="shared" si="161"/>
        <v>1.875</v>
      </c>
      <c r="T2086" t="str">
        <f t="shared" si="162"/>
        <v>Good</v>
      </c>
      <c r="U2086" t="str" cm="1">
        <f t="array" ref="U2086">_xlfn.LET(_xlpm.roles,_xlfn.UNIQUE(D2086:D4884),_xlpm.kills, SUMIF(D2086:D4884,_xlpm.roles,G2086:G4884),INDEX(_xlpm.roles,MATCH(MAX(_xlpm.kills),_xlpm.kills,0)))</f>
        <v>Sniper</v>
      </c>
      <c r="V2086" t="str">
        <f t="shared" si="163"/>
        <v>Medium Accuracy</v>
      </c>
      <c r="W2086" t="str" cm="1">
        <f t="array" ref="W2086">_xlfn.LET(_xlpm.roles,_xlfn.UNIQUE(D2086:D4884), _xlpm.counts,COUNTIF(D2086:D4884,_xlpm.roles), INDEX(_xlpm.roles,MATCH(MAX(_xlpm.counts),_xlpm.counts,0)))</f>
        <v>Sniper</v>
      </c>
      <c r="X2086" s="2">
        <f t="shared" si="164"/>
        <v>12.520971302428256</v>
      </c>
    </row>
    <row r="2087" spans="1:24" x14ac:dyDescent="0.3">
      <c r="A2087">
        <v>1919</v>
      </c>
      <c r="B2087">
        <v>369</v>
      </c>
      <c r="C2087" t="s">
        <v>16</v>
      </c>
      <c r="D2087" t="s">
        <v>31</v>
      </c>
      <c r="E2087" t="s">
        <v>18</v>
      </c>
      <c r="F2087" t="s">
        <v>26</v>
      </c>
      <c r="G2087">
        <v>20</v>
      </c>
      <c r="H2087">
        <v>8</v>
      </c>
      <c r="I2087">
        <v>6</v>
      </c>
      <c r="J2087">
        <v>32.1</v>
      </c>
      <c r="K2087">
        <v>230.12</v>
      </c>
      <c r="L2087">
        <v>0.5</v>
      </c>
      <c r="M2087">
        <v>53.05</v>
      </c>
      <c r="N2087">
        <v>1</v>
      </c>
      <c r="O2087" t="s">
        <v>20</v>
      </c>
      <c r="P2087" t="s">
        <v>21</v>
      </c>
      <c r="Q2087">
        <f t="shared" si="160"/>
        <v>22</v>
      </c>
      <c r="R2087" s="4">
        <f>RANK(N2087,$N$2:N$2800,0)</f>
        <v>1</v>
      </c>
      <c r="S2087">
        <f t="shared" si="161"/>
        <v>3.3333333333333335</v>
      </c>
      <c r="T2087" t="str">
        <f t="shared" si="162"/>
        <v>Good</v>
      </c>
      <c r="U2087" t="str" cm="1">
        <f t="array" ref="U2087">_xlfn.LET(_xlpm.roles,_xlfn.UNIQUE(D2087:D4885),_xlpm.kills, SUMIF(D2087:D4885,_xlpm.roles,G2087:G4885),INDEX(_xlpm.roles,MATCH(MAX(_xlpm.kills),_xlpm.kills,0)))</f>
        <v>Sniper</v>
      </c>
      <c r="V2087" t="str">
        <f t="shared" si="163"/>
        <v>Medium Accuracy</v>
      </c>
      <c r="W2087" t="str" cm="1">
        <f t="array" ref="W2087">_xlfn.LET(_xlpm.roles,_xlfn.UNIQUE(D2087:D4885), _xlpm.counts,COUNTIF(D2087:D4885,_xlpm.roles), INDEX(_xlpm.roles,MATCH(MAX(_xlpm.counts),_xlpm.counts,0)))</f>
        <v>Sniper</v>
      </c>
      <c r="X2087" s="2">
        <f t="shared" si="164"/>
        <v>12.520971302428256</v>
      </c>
    </row>
    <row r="2088" spans="1:24" x14ac:dyDescent="0.3">
      <c r="A2088">
        <v>1985</v>
      </c>
      <c r="B2088">
        <v>369</v>
      </c>
      <c r="C2088" t="s">
        <v>35</v>
      </c>
      <c r="D2088" t="s">
        <v>28</v>
      </c>
      <c r="E2088" t="s">
        <v>32</v>
      </c>
      <c r="F2088" t="s">
        <v>26</v>
      </c>
      <c r="G2088">
        <v>17</v>
      </c>
      <c r="H2088">
        <v>6</v>
      </c>
      <c r="I2088">
        <v>7</v>
      </c>
      <c r="J2088">
        <v>23.64</v>
      </c>
      <c r="K2088">
        <v>202.12</v>
      </c>
      <c r="L2088">
        <v>0.43</v>
      </c>
      <c r="M2088">
        <v>40.520000000000003</v>
      </c>
      <c r="N2088">
        <v>0.83</v>
      </c>
      <c r="O2088" t="s">
        <v>20</v>
      </c>
      <c r="P2088" t="s">
        <v>21</v>
      </c>
      <c r="Q2088">
        <f t="shared" si="160"/>
        <v>16</v>
      </c>
      <c r="R2088" s="4">
        <f>RANK(N2088,$N$2:N$2800,0)</f>
        <v>2218</v>
      </c>
      <c r="S2088">
        <f t="shared" si="161"/>
        <v>2.4285714285714284</v>
      </c>
      <c r="T2088" t="str">
        <f t="shared" si="162"/>
        <v>Good</v>
      </c>
      <c r="U2088" t="str" cm="1">
        <f t="array" ref="U2088">_xlfn.LET(_xlpm.roles,_xlfn.UNIQUE(D2088:D4886),_xlpm.kills, SUMIF(D2088:D4886,_xlpm.roles,G2088:G4886),INDEX(_xlpm.roles,MATCH(MAX(_xlpm.kills),_xlpm.kills,0)))</f>
        <v>Sniper</v>
      </c>
      <c r="V2088" t="str">
        <f t="shared" si="163"/>
        <v>Low Accuracy</v>
      </c>
      <c r="W2088" t="str" cm="1">
        <f t="array" ref="W2088">_xlfn.LET(_xlpm.roles,_xlfn.UNIQUE(D2088:D4886), _xlpm.counts,COUNTIF(D2088:D4886,_xlpm.roles), INDEX(_xlpm.roles,MATCH(MAX(_xlpm.counts),_xlpm.counts,0)))</f>
        <v>Sniper</v>
      </c>
      <c r="X2088" s="2">
        <f t="shared" si="164"/>
        <v>12.599585062240664</v>
      </c>
    </row>
    <row r="2089" spans="1:24" x14ac:dyDescent="0.3">
      <c r="A2089">
        <v>2471</v>
      </c>
      <c r="B2089">
        <v>369</v>
      </c>
      <c r="C2089" t="s">
        <v>16</v>
      </c>
      <c r="D2089" t="s">
        <v>36</v>
      </c>
      <c r="E2089" t="s">
        <v>29</v>
      </c>
      <c r="F2089" t="s">
        <v>34</v>
      </c>
      <c r="G2089">
        <v>14</v>
      </c>
      <c r="H2089">
        <v>10</v>
      </c>
      <c r="I2089">
        <v>15</v>
      </c>
      <c r="J2089">
        <v>50.69</v>
      </c>
      <c r="K2089">
        <v>247.4</v>
      </c>
      <c r="L2089">
        <v>0.27</v>
      </c>
      <c r="M2089">
        <v>45.64</v>
      </c>
      <c r="N2089">
        <v>0.95</v>
      </c>
      <c r="O2089" t="s">
        <v>20</v>
      </c>
      <c r="P2089" t="s">
        <v>21</v>
      </c>
      <c r="Q2089">
        <f t="shared" si="160"/>
        <v>9</v>
      </c>
      <c r="R2089" s="4">
        <f>RANK(N2089,$N$2:N$2800,0)</f>
        <v>1367</v>
      </c>
      <c r="S2089">
        <f t="shared" si="161"/>
        <v>0.93333333333333335</v>
      </c>
      <c r="T2089" t="str">
        <f t="shared" si="162"/>
        <v>Low</v>
      </c>
      <c r="U2089" t="str" cm="1">
        <f t="array" ref="U2089">_xlfn.LET(_xlpm.roles,_xlfn.UNIQUE(D2089:D4887),_xlpm.kills, SUMIF(D2089:D4887,_xlpm.roles,G2089:G4887),INDEX(_xlpm.roles,MATCH(MAX(_xlpm.kills),_xlpm.kills,0)))</f>
        <v>Sniper</v>
      </c>
      <c r="V2089" t="str">
        <f t="shared" si="163"/>
        <v>High Accuracy</v>
      </c>
      <c r="W2089" t="str" cm="1">
        <f t="array" ref="W2089">_xlfn.LET(_xlpm.roles,_xlfn.UNIQUE(D2089:D4887), _xlpm.counts,COUNTIF(D2089:D4887,_xlpm.roles), INDEX(_xlpm.roles,MATCH(MAX(_xlpm.counts),_xlpm.counts,0)))</f>
        <v>Sniper</v>
      </c>
      <c r="X2089" s="2">
        <f t="shared" si="164"/>
        <v>12.520971302428256</v>
      </c>
    </row>
    <row r="2090" spans="1:24" x14ac:dyDescent="0.3">
      <c r="A2090">
        <v>123</v>
      </c>
      <c r="B2090">
        <v>370</v>
      </c>
      <c r="C2090" t="s">
        <v>35</v>
      </c>
      <c r="D2090" t="s">
        <v>17</v>
      </c>
      <c r="E2090" t="s">
        <v>29</v>
      </c>
      <c r="F2090" t="s">
        <v>34</v>
      </c>
      <c r="G2090">
        <v>12</v>
      </c>
      <c r="H2090">
        <v>9</v>
      </c>
      <c r="I2090">
        <v>11</v>
      </c>
      <c r="J2090">
        <v>57.9</v>
      </c>
      <c r="K2090">
        <v>246.91</v>
      </c>
      <c r="L2090">
        <v>0.11</v>
      </c>
      <c r="M2090">
        <v>49.85</v>
      </c>
      <c r="N2090">
        <v>0.92</v>
      </c>
      <c r="O2090" t="s">
        <v>20</v>
      </c>
      <c r="P2090" t="s">
        <v>21</v>
      </c>
      <c r="Q2090">
        <f t="shared" si="160"/>
        <v>10</v>
      </c>
      <c r="R2090" s="4">
        <f>RANK(N2090,$N$2:N$2800,0)</f>
        <v>1585</v>
      </c>
      <c r="S2090">
        <f t="shared" si="161"/>
        <v>1.0909090909090908</v>
      </c>
      <c r="T2090" t="str">
        <f t="shared" si="162"/>
        <v>Low</v>
      </c>
      <c r="U2090" t="str" cm="1">
        <f t="array" ref="U2090">_xlfn.LET(_xlpm.roles,_xlfn.UNIQUE(D2090:D4888),_xlpm.kills, SUMIF(D2090:D4888,_xlpm.roles,G2090:G4888),INDEX(_xlpm.roles,MATCH(MAX(_xlpm.kills),_xlpm.kills,0)))</f>
        <v>Sniper</v>
      </c>
      <c r="V2090" t="str">
        <f t="shared" si="163"/>
        <v>High Accuracy</v>
      </c>
      <c r="W2090" t="str" cm="1">
        <f t="array" ref="W2090">_xlfn.LET(_xlpm.roles,_xlfn.UNIQUE(D2090:D4888), _xlpm.counts,COUNTIF(D2090:D4888,_xlpm.roles), INDEX(_xlpm.roles,MATCH(MAX(_xlpm.counts),_xlpm.counts,0)))</f>
        <v>Sniper</v>
      </c>
      <c r="X2090" s="2">
        <f t="shared" si="164"/>
        <v>12.599585062240664</v>
      </c>
    </row>
    <row r="2091" spans="1:24" x14ac:dyDescent="0.3">
      <c r="A2091">
        <v>564</v>
      </c>
      <c r="B2091">
        <v>370</v>
      </c>
      <c r="C2091" t="s">
        <v>27</v>
      </c>
      <c r="D2091" t="s">
        <v>31</v>
      </c>
      <c r="E2091" t="s">
        <v>32</v>
      </c>
      <c r="F2091" t="s">
        <v>37</v>
      </c>
      <c r="G2091">
        <v>16</v>
      </c>
      <c r="H2091">
        <v>11</v>
      </c>
      <c r="I2091">
        <v>13</v>
      </c>
      <c r="J2091">
        <v>59.66</v>
      </c>
      <c r="K2091">
        <v>185.04</v>
      </c>
      <c r="L2091">
        <v>0.51</v>
      </c>
      <c r="M2091">
        <v>54.73</v>
      </c>
      <c r="N2091">
        <v>0.89</v>
      </c>
      <c r="O2091" t="s">
        <v>20</v>
      </c>
      <c r="P2091" t="s">
        <v>21</v>
      </c>
      <c r="Q2091">
        <f t="shared" si="160"/>
        <v>14</v>
      </c>
      <c r="R2091" s="4">
        <f>RANK(N2091,$N$2:N$2800,0)</f>
        <v>1815</v>
      </c>
      <c r="S2091">
        <f t="shared" si="161"/>
        <v>1.2307692307692308</v>
      </c>
      <c r="T2091" t="str">
        <f t="shared" si="162"/>
        <v>Low</v>
      </c>
      <c r="U2091" t="str" cm="1">
        <f t="array" ref="U2091">_xlfn.LET(_xlpm.roles,_xlfn.UNIQUE(D2091:D4889),_xlpm.kills, SUMIF(D2091:D4889,_xlpm.roles,G2091:G4889),INDEX(_xlpm.roles,MATCH(MAX(_xlpm.kills),_xlpm.kills,0)))</f>
        <v>Sniper</v>
      </c>
      <c r="V2091" t="str">
        <f t="shared" si="163"/>
        <v>High Accuracy</v>
      </c>
      <c r="W2091" t="str" cm="1">
        <f t="array" ref="W2091">_xlfn.LET(_xlpm.roles,_xlfn.UNIQUE(D2091:D4889), _xlpm.counts,COUNTIF(D2091:D4889,_xlpm.roles), INDEX(_xlpm.roles,MATCH(MAX(_xlpm.counts),_xlpm.counts,0)))</f>
        <v>Sniper</v>
      </c>
      <c r="X2091" s="2">
        <f t="shared" si="164"/>
        <v>13.057077625570777</v>
      </c>
    </row>
    <row r="2092" spans="1:24" x14ac:dyDescent="0.3">
      <c r="A2092">
        <v>919</v>
      </c>
      <c r="B2092">
        <v>370</v>
      </c>
      <c r="C2092" t="s">
        <v>16</v>
      </c>
      <c r="D2092" t="s">
        <v>31</v>
      </c>
      <c r="E2092" t="s">
        <v>33</v>
      </c>
      <c r="F2092" t="s">
        <v>34</v>
      </c>
      <c r="G2092">
        <v>22</v>
      </c>
      <c r="H2092">
        <v>8</v>
      </c>
      <c r="I2092">
        <v>12</v>
      </c>
      <c r="J2092">
        <v>41.03</v>
      </c>
      <c r="K2092">
        <v>253.34</v>
      </c>
      <c r="L2092">
        <v>0.48</v>
      </c>
      <c r="M2092">
        <v>55.72</v>
      </c>
      <c r="N2092">
        <v>1</v>
      </c>
      <c r="O2092" t="s">
        <v>20</v>
      </c>
      <c r="P2092" t="s">
        <v>21</v>
      </c>
      <c r="Q2092">
        <f t="shared" si="160"/>
        <v>18</v>
      </c>
      <c r="R2092" s="4">
        <f>RANK(N2092,$N$2:N$2800,0)</f>
        <v>1</v>
      </c>
      <c r="S2092">
        <f t="shared" si="161"/>
        <v>1.8333333333333333</v>
      </c>
      <c r="T2092" t="str">
        <f t="shared" si="162"/>
        <v>Good</v>
      </c>
      <c r="U2092" t="str" cm="1">
        <f t="array" ref="U2092">_xlfn.LET(_xlpm.roles,_xlfn.UNIQUE(D2092:D4890),_xlpm.kills, SUMIF(D2092:D4890,_xlpm.roles,G2092:G4890),INDEX(_xlpm.roles,MATCH(MAX(_xlpm.kills),_xlpm.kills,0)))</f>
        <v>Sniper</v>
      </c>
      <c r="V2092" t="str">
        <f t="shared" si="163"/>
        <v>Medium Accuracy</v>
      </c>
      <c r="W2092" t="str" cm="1">
        <f t="array" ref="W2092">_xlfn.LET(_xlpm.roles,_xlfn.UNIQUE(D2092:D4890), _xlpm.counts,COUNTIF(D2092:D4890,_xlpm.roles), INDEX(_xlpm.roles,MATCH(MAX(_xlpm.counts),_xlpm.counts,0)))</f>
        <v>Sniper</v>
      </c>
      <c r="X2092" s="2">
        <f t="shared" si="164"/>
        <v>12.520971302428256</v>
      </c>
    </row>
    <row r="2093" spans="1:24" x14ac:dyDescent="0.3">
      <c r="A2093">
        <v>1129</v>
      </c>
      <c r="B2093">
        <v>370</v>
      </c>
      <c r="C2093" t="s">
        <v>16</v>
      </c>
      <c r="D2093" t="s">
        <v>31</v>
      </c>
      <c r="E2093" t="s">
        <v>32</v>
      </c>
      <c r="F2093" t="s">
        <v>37</v>
      </c>
      <c r="G2093">
        <v>12</v>
      </c>
      <c r="H2093">
        <v>11</v>
      </c>
      <c r="I2093">
        <v>10</v>
      </c>
      <c r="J2093">
        <v>46.38</v>
      </c>
      <c r="K2093">
        <v>276.87</v>
      </c>
      <c r="L2093">
        <v>0.5</v>
      </c>
      <c r="M2093">
        <v>43.19</v>
      </c>
      <c r="N2093">
        <v>0.99</v>
      </c>
      <c r="O2093" t="s">
        <v>20</v>
      </c>
      <c r="P2093" t="s">
        <v>21</v>
      </c>
      <c r="Q2093">
        <f t="shared" si="160"/>
        <v>13</v>
      </c>
      <c r="R2093" s="4">
        <f>RANK(N2093,$N$2:N$2800,0)</f>
        <v>1080</v>
      </c>
      <c r="S2093">
        <f t="shared" si="161"/>
        <v>1.2</v>
      </c>
      <c r="T2093" t="str">
        <f t="shared" si="162"/>
        <v>Low</v>
      </c>
      <c r="U2093" t="str" cm="1">
        <f t="array" ref="U2093">_xlfn.LET(_xlpm.roles,_xlfn.UNIQUE(D2093:D4891),_xlpm.kills, SUMIF(D2093:D4891,_xlpm.roles,G2093:G4891),INDEX(_xlpm.roles,MATCH(MAX(_xlpm.kills),_xlpm.kills,0)))</f>
        <v>Sniper</v>
      </c>
      <c r="V2093" t="str">
        <f t="shared" si="163"/>
        <v>Medium Accuracy</v>
      </c>
      <c r="W2093" t="str" cm="1">
        <f t="array" ref="W2093">_xlfn.LET(_xlpm.roles,_xlfn.UNIQUE(D2093:D4891), _xlpm.counts,COUNTIF(D2093:D4891,_xlpm.roles), INDEX(_xlpm.roles,MATCH(MAX(_xlpm.counts),_xlpm.counts,0)))</f>
        <v>Sniper</v>
      </c>
      <c r="X2093" s="2">
        <f t="shared" si="164"/>
        <v>12.520971302428256</v>
      </c>
    </row>
    <row r="2094" spans="1:24" x14ac:dyDescent="0.3">
      <c r="A2094">
        <v>1479</v>
      </c>
      <c r="B2094">
        <v>370</v>
      </c>
      <c r="C2094" t="s">
        <v>27</v>
      </c>
      <c r="D2094" t="s">
        <v>28</v>
      </c>
      <c r="E2094" t="s">
        <v>18</v>
      </c>
      <c r="F2094" t="s">
        <v>37</v>
      </c>
      <c r="G2094">
        <v>14</v>
      </c>
      <c r="H2094">
        <v>4</v>
      </c>
      <c r="I2094">
        <v>9</v>
      </c>
      <c r="J2094">
        <v>49.36</v>
      </c>
      <c r="K2094">
        <v>201.89</v>
      </c>
      <c r="L2094">
        <v>0.13</v>
      </c>
      <c r="M2094">
        <v>46.38</v>
      </c>
      <c r="N2094">
        <v>0.98</v>
      </c>
      <c r="O2094" t="s">
        <v>20</v>
      </c>
      <c r="P2094" t="s">
        <v>21</v>
      </c>
      <c r="Q2094">
        <f t="shared" si="160"/>
        <v>9</v>
      </c>
      <c r="R2094" s="4">
        <f>RANK(N2094,$N$2:N$2800,0)</f>
        <v>1157</v>
      </c>
      <c r="S2094">
        <f t="shared" si="161"/>
        <v>1.5555555555555556</v>
      </c>
      <c r="T2094" t="str">
        <f t="shared" si="162"/>
        <v>Low</v>
      </c>
      <c r="U2094" t="str" cm="1">
        <f t="array" ref="U2094">_xlfn.LET(_xlpm.roles,_xlfn.UNIQUE(D2094:D4892),_xlpm.kills, SUMIF(D2094:D4892,_xlpm.roles,G2094:G4892),INDEX(_xlpm.roles,MATCH(MAX(_xlpm.kills),_xlpm.kills,0)))</f>
        <v>Sniper</v>
      </c>
      <c r="V2094" t="str">
        <f t="shared" si="163"/>
        <v>Medium Accuracy</v>
      </c>
      <c r="W2094" t="str" cm="1">
        <f t="array" ref="W2094">_xlfn.LET(_xlpm.roles,_xlfn.UNIQUE(D2094:D4892), _xlpm.counts,COUNTIF(D2094:D4892,_xlpm.roles), INDEX(_xlpm.roles,MATCH(MAX(_xlpm.counts),_xlpm.counts,0)))</f>
        <v>Sniper</v>
      </c>
      <c r="X2094" s="2">
        <f t="shared" si="164"/>
        <v>13.057077625570777</v>
      </c>
    </row>
    <row r="2095" spans="1:24" x14ac:dyDescent="0.3">
      <c r="A2095">
        <v>1868</v>
      </c>
      <c r="B2095">
        <v>370</v>
      </c>
      <c r="C2095" t="s">
        <v>16</v>
      </c>
      <c r="D2095" t="s">
        <v>31</v>
      </c>
      <c r="E2095" t="s">
        <v>33</v>
      </c>
      <c r="F2095" t="s">
        <v>26</v>
      </c>
      <c r="G2095">
        <v>21</v>
      </c>
      <c r="H2095">
        <v>8</v>
      </c>
      <c r="I2095">
        <v>6</v>
      </c>
      <c r="J2095">
        <v>55.61</v>
      </c>
      <c r="K2095">
        <v>286.18</v>
      </c>
      <c r="L2095">
        <v>0.27</v>
      </c>
      <c r="M2095">
        <v>69.11</v>
      </c>
      <c r="N2095">
        <v>1</v>
      </c>
      <c r="O2095" t="s">
        <v>20</v>
      </c>
      <c r="P2095" t="s">
        <v>38</v>
      </c>
      <c r="Q2095">
        <f t="shared" si="160"/>
        <v>23</v>
      </c>
      <c r="R2095" s="4">
        <f>RANK(N2095,$N$2:N$2800,0)</f>
        <v>1</v>
      </c>
      <c r="S2095">
        <f t="shared" si="161"/>
        <v>3.5</v>
      </c>
      <c r="T2095" t="str">
        <f t="shared" si="162"/>
        <v>Good</v>
      </c>
      <c r="U2095" t="str" cm="1">
        <f t="array" ref="U2095">_xlfn.LET(_xlpm.roles,_xlfn.UNIQUE(D2095:D4893),_xlpm.kills, SUMIF(D2095:D4893,_xlpm.roles,G2095:G4893),INDEX(_xlpm.roles,MATCH(MAX(_xlpm.kills),_xlpm.kills,0)))</f>
        <v>Sniper</v>
      </c>
      <c r="V2095" t="str">
        <f t="shared" si="163"/>
        <v>High Accuracy</v>
      </c>
      <c r="W2095" t="str" cm="1">
        <f t="array" ref="W2095">_xlfn.LET(_xlpm.roles,_xlfn.UNIQUE(D2095:D4893), _xlpm.counts,COUNTIF(D2095:D4893,_xlpm.roles), INDEX(_xlpm.roles,MATCH(MAX(_xlpm.counts),_xlpm.counts,0)))</f>
        <v>Sniper</v>
      </c>
      <c r="X2095" s="2">
        <f t="shared" si="164"/>
        <v>12.520971302428256</v>
      </c>
    </row>
    <row r="2096" spans="1:24" x14ac:dyDescent="0.3">
      <c r="A2096">
        <v>2508</v>
      </c>
      <c r="B2096">
        <v>370</v>
      </c>
      <c r="C2096" t="s">
        <v>39</v>
      </c>
      <c r="D2096" t="s">
        <v>17</v>
      </c>
      <c r="E2096" t="s">
        <v>18</v>
      </c>
      <c r="F2096" t="s">
        <v>37</v>
      </c>
      <c r="G2096">
        <v>14</v>
      </c>
      <c r="H2096">
        <v>18</v>
      </c>
      <c r="I2096">
        <v>7</v>
      </c>
      <c r="J2096">
        <v>49.76</v>
      </c>
      <c r="K2096">
        <v>226.42</v>
      </c>
      <c r="L2096">
        <v>0.34</v>
      </c>
      <c r="M2096">
        <v>60.48</v>
      </c>
      <c r="N2096">
        <v>1</v>
      </c>
      <c r="O2096" t="s">
        <v>20</v>
      </c>
      <c r="P2096" t="s">
        <v>38</v>
      </c>
      <c r="Q2096">
        <f t="shared" si="160"/>
        <v>25</v>
      </c>
      <c r="R2096" s="4">
        <f>RANK(N2096,$N$2:N$2800,0)</f>
        <v>1</v>
      </c>
      <c r="S2096">
        <f t="shared" si="161"/>
        <v>2</v>
      </c>
      <c r="T2096" t="str">
        <f t="shared" si="162"/>
        <v>Excellent</v>
      </c>
      <c r="U2096" t="str" cm="1">
        <f t="array" ref="U2096">_xlfn.LET(_xlpm.roles,_xlfn.UNIQUE(D2096:D4894),_xlpm.kills, SUMIF(D2096:D4894,_xlpm.roles,G2096:G4894),INDEX(_xlpm.roles,MATCH(MAX(_xlpm.kills),_xlpm.kills,0)))</f>
        <v>Sniper</v>
      </c>
      <c r="V2096" t="str">
        <f t="shared" si="163"/>
        <v>Medium Accuracy</v>
      </c>
      <c r="W2096" t="str" cm="1">
        <f t="array" ref="W2096">_xlfn.LET(_xlpm.roles,_xlfn.UNIQUE(D2096:D4894), _xlpm.counts,COUNTIF(D2096:D4894,_xlpm.roles), INDEX(_xlpm.roles,MATCH(MAX(_xlpm.counts),_xlpm.counts,0)))</f>
        <v>Sniper</v>
      </c>
      <c r="X2096" s="2">
        <f t="shared" si="164"/>
        <v>13.103594080338267</v>
      </c>
    </row>
    <row r="2097" spans="1:24" x14ac:dyDescent="0.3">
      <c r="A2097">
        <v>217</v>
      </c>
      <c r="B2097">
        <v>371</v>
      </c>
      <c r="C2097" t="s">
        <v>16</v>
      </c>
      <c r="D2097" t="s">
        <v>17</v>
      </c>
      <c r="E2097" t="s">
        <v>29</v>
      </c>
      <c r="F2097" t="s">
        <v>19</v>
      </c>
      <c r="G2097">
        <v>10</v>
      </c>
      <c r="H2097">
        <v>8</v>
      </c>
      <c r="I2097">
        <v>5</v>
      </c>
      <c r="J2097">
        <v>45.61</v>
      </c>
      <c r="K2097">
        <v>211.82</v>
      </c>
      <c r="L2097">
        <v>0.43</v>
      </c>
      <c r="M2097">
        <v>41.51</v>
      </c>
      <c r="N2097">
        <v>0.79</v>
      </c>
      <c r="O2097" t="s">
        <v>20</v>
      </c>
      <c r="P2097" t="s">
        <v>21</v>
      </c>
      <c r="Q2097">
        <f t="shared" si="160"/>
        <v>13</v>
      </c>
      <c r="R2097" s="4">
        <f>RANK(N2097,$N$2:N$2800,0)</f>
        <v>2436</v>
      </c>
      <c r="S2097">
        <f t="shared" si="161"/>
        <v>2</v>
      </c>
      <c r="T2097" t="str">
        <f t="shared" si="162"/>
        <v>Low</v>
      </c>
      <c r="U2097" t="str" cm="1">
        <f t="array" ref="U2097">_xlfn.LET(_xlpm.roles,_xlfn.UNIQUE(D2097:D4895),_xlpm.kills, SUMIF(D2097:D4895,_xlpm.roles,G2097:G4895),INDEX(_xlpm.roles,MATCH(MAX(_xlpm.kills),_xlpm.kills,0)))</f>
        <v>Sniper</v>
      </c>
      <c r="V2097" t="str">
        <f t="shared" si="163"/>
        <v>Medium Accuracy</v>
      </c>
      <c r="W2097" t="str" cm="1">
        <f t="array" ref="W2097">_xlfn.LET(_xlpm.roles,_xlfn.UNIQUE(D2097:D4895), _xlpm.counts,COUNTIF(D2097:D4895,_xlpm.roles), INDEX(_xlpm.roles,MATCH(MAX(_xlpm.counts),_xlpm.counts,0)))</f>
        <v>Sniper</v>
      </c>
      <c r="X2097" s="2">
        <f t="shared" si="164"/>
        <v>12.520971302428256</v>
      </c>
    </row>
    <row r="2098" spans="1:24" x14ac:dyDescent="0.3">
      <c r="A2098">
        <v>571</v>
      </c>
      <c r="B2098">
        <v>371</v>
      </c>
      <c r="C2098" t="s">
        <v>25</v>
      </c>
      <c r="D2098" t="s">
        <v>17</v>
      </c>
      <c r="E2098" t="s">
        <v>18</v>
      </c>
      <c r="F2098" t="s">
        <v>19</v>
      </c>
      <c r="G2098">
        <v>13</v>
      </c>
      <c r="H2098">
        <v>7</v>
      </c>
      <c r="I2098">
        <v>9</v>
      </c>
      <c r="J2098">
        <v>42.43</v>
      </c>
      <c r="K2098">
        <v>219.03</v>
      </c>
      <c r="L2098">
        <v>0.43</v>
      </c>
      <c r="M2098">
        <v>40.92</v>
      </c>
      <c r="N2098">
        <v>1</v>
      </c>
      <c r="O2098" t="s">
        <v>20</v>
      </c>
      <c r="P2098" t="s">
        <v>21</v>
      </c>
      <c r="Q2098">
        <f t="shared" si="160"/>
        <v>11</v>
      </c>
      <c r="R2098" s="4">
        <f>RANK(N2098,$N$2:N$2800,0)</f>
        <v>1</v>
      </c>
      <c r="S2098">
        <f t="shared" si="161"/>
        <v>1.4444444444444444</v>
      </c>
      <c r="T2098" t="str">
        <f t="shared" si="162"/>
        <v>Low</v>
      </c>
      <c r="U2098" t="str" cm="1">
        <f t="array" ref="U2098">_xlfn.LET(_xlpm.roles,_xlfn.UNIQUE(D2098:D4896),_xlpm.kills, SUMIF(D2098:D4896,_xlpm.roles,G2098:G4896),INDEX(_xlpm.roles,MATCH(MAX(_xlpm.kills),_xlpm.kills,0)))</f>
        <v>Sniper</v>
      </c>
      <c r="V2098" t="str">
        <f t="shared" si="163"/>
        <v>Medium Accuracy</v>
      </c>
      <c r="W2098" t="str" cm="1">
        <f t="array" ref="W2098">_xlfn.LET(_xlpm.roles,_xlfn.UNIQUE(D2098:D4896), _xlpm.counts,COUNTIF(D2098:D4896,_xlpm.roles), INDEX(_xlpm.roles,MATCH(MAX(_xlpm.counts),_xlpm.counts,0)))</f>
        <v>Sniper</v>
      </c>
      <c r="X2098" s="2">
        <f t="shared" si="164"/>
        <v>12.809421841541756</v>
      </c>
    </row>
    <row r="2099" spans="1:24" x14ac:dyDescent="0.3">
      <c r="A2099">
        <v>1097</v>
      </c>
      <c r="B2099">
        <v>371</v>
      </c>
      <c r="C2099" t="s">
        <v>27</v>
      </c>
      <c r="D2099" t="s">
        <v>22</v>
      </c>
      <c r="E2099" t="s">
        <v>32</v>
      </c>
      <c r="F2099" t="s">
        <v>24</v>
      </c>
      <c r="G2099">
        <v>19</v>
      </c>
      <c r="H2099">
        <v>3</v>
      </c>
      <c r="I2099">
        <v>12</v>
      </c>
      <c r="J2099">
        <v>42.55</v>
      </c>
      <c r="K2099">
        <v>163.44</v>
      </c>
      <c r="L2099">
        <v>0.21</v>
      </c>
      <c r="M2099">
        <v>48.17</v>
      </c>
      <c r="N2099">
        <v>0.99</v>
      </c>
      <c r="O2099" t="s">
        <v>20</v>
      </c>
      <c r="P2099" t="s">
        <v>21</v>
      </c>
      <c r="Q2099">
        <f t="shared" si="160"/>
        <v>10</v>
      </c>
      <c r="R2099" s="4">
        <f>RANK(N2099,$N$2:N$2800,0)</f>
        <v>1080</v>
      </c>
      <c r="S2099">
        <f t="shared" si="161"/>
        <v>1.5833333333333333</v>
      </c>
      <c r="T2099" t="str">
        <f t="shared" si="162"/>
        <v>Low</v>
      </c>
      <c r="U2099" t="str" cm="1">
        <f t="array" ref="U2099">_xlfn.LET(_xlpm.roles,_xlfn.UNIQUE(D2099:D4897),_xlpm.kills, SUMIF(D2099:D4897,_xlpm.roles,G2099:G4897),INDEX(_xlpm.roles,MATCH(MAX(_xlpm.kills),_xlpm.kills,0)))</f>
        <v>Sniper</v>
      </c>
      <c r="V2099" t="str">
        <f t="shared" si="163"/>
        <v>Medium Accuracy</v>
      </c>
      <c r="W2099" t="str" cm="1">
        <f t="array" ref="W2099">_xlfn.LET(_xlpm.roles,_xlfn.UNIQUE(D2099:D4897), _xlpm.counts,COUNTIF(D2099:D4897,_xlpm.roles), INDEX(_xlpm.roles,MATCH(MAX(_xlpm.counts),_xlpm.counts,0)))</f>
        <v>Sniper</v>
      </c>
      <c r="X2099" s="2">
        <f t="shared" si="164"/>
        <v>13.057077625570777</v>
      </c>
    </row>
    <row r="2100" spans="1:24" x14ac:dyDescent="0.3">
      <c r="A2100">
        <v>1158</v>
      </c>
      <c r="B2100">
        <v>371</v>
      </c>
      <c r="C2100" t="s">
        <v>16</v>
      </c>
      <c r="D2100" t="s">
        <v>31</v>
      </c>
      <c r="E2100" t="s">
        <v>32</v>
      </c>
      <c r="F2100" t="s">
        <v>26</v>
      </c>
      <c r="G2100">
        <v>12</v>
      </c>
      <c r="H2100">
        <v>9</v>
      </c>
      <c r="I2100">
        <v>11</v>
      </c>
      <c r="J2100">
        <v>49.47</v>
      </c>
      <c r="K2100">
        <v>233.55</v>
      </c>
      <c r="L2100">
        <v>0.92</v>
      </c>
      <c r="M2100">
        <v>37.53</v>
      </c>
      <c r="N2100">
        <v>0.85</v>
      </c>
      <c r="O2100" t="s">
        <v>20</v>
      </c>
      <c r="P2100" t="s">
        <v>21</v>
      </c>
      <c r="Q2100">
        <f t="shared" si="160"/>
        <v>10</v>
      </c>
      <c r="R2100" s="4">
        <f>RANK(N2100,$N$2:N$2800,0)</f>
        <v>2105</v>
      </c>
      <c r="S2100">
        <f t="shared" si="161"/>
        <v>1.0909090909090908</v>
      </c>
      <c r="T2100" t="str">
        <f t="shared" si="162"/>
        <v>Low</v>
      </c>
      <c r="U2100" t="str" cm="1">
        <f t="array" ref="U2100">_xlfn.LET(_xlpm.roles,_xlfn.UNIQUE(D2100:D4898),_xlpm.kills, SUMIF(D2100:D4898,_xlpm.roles,G2100:G4898),INDEX(_xlpm.roles,MATCH(MAX(_xlpm.kills),_xlpm.kills,0)))</f>
        <v>Sniper</v>
      </c>
      <c r="V2100" t="str">
        <f t="shared" si="163"/>
        <v>Medium Accuracy</v>
      </c>
      <c r="W2100" t="str" cm="1">
        <f t="array" ref="W2100">_xlfn.LET(_xlpm.roles,_xlfn.UNIQUE(D2100:D4898), _xlpm.counts,COUNTIF(D2100:D4898,_xlpm.roles), INDEX(_xlpm.roles,MATCH(MAX(_xlpm.counts),_xlpm.counts,0)))</f>
        <v>Sniper</v>
      </c>
      <c r="X2100" s="2">
        <f t="shared" si="164"/>
        <v>12.520971302428256</v>
      </c>
    </row>
    <row r="2101" spans="1:24" x14ac:dyDescent="0.3">
      <c r="A2101">
        <v>1745</v>
      </c>
      <c r="B2101">
        <v>371</v>
      </c>
      <c r="C2101" t="s">
        <v>27</v>
      </c>
      <c r="D2101" t="s">
        <v>28</v>
      </c>
      <c r="E2101" t="s">
        <v>33</v>
      </c>
      <c r="F2101" t="s">
        <v>26</v>
      </c>
      <c r="G2101">
        <v>13</v>
      </c>
      <c r="H2101">
        <v>7</v>
      </c>
      <c r="I2101">
        <v>5</v>
      </c>
      <c r="J2101">
        <v>46.29</v>
      </c>
      <c r="K2101">
        <v>260.18</v>
      </c>
      <c r="L2101">
        <v>0.87</v>
      </c>
      <c r="M2101">
        <v>42.44</v>
      </c>
      <c r="N2101">
        <v>0.86</v>
      </c>
      <c r="O2101" t="s">
        <v>20</v>
      </c>
      <c r="P2101" t="s">
        <v>21</v>
      </c>
      <c r="Q2101">
        <f t="shared" si="160"/>
        <v>15</v>
      </c>
      <c r="R2101" s="4">
        <f>RANK(N2101,$N$2:N$2800,0)</f>
        <v>2040</v>
      </c>
      <c r="S2101">
        <f t="shared" si="161"/>
        <v>2.6</v>
      </c>
      <c r="T2101" t="str">
        <f t="shared" si="162"/>
        <v>Good</v>
      </c>
      <c r="U2101" t="str" cm="1">
        <f t="array" ref="U2101">_xlfn.LET(_xlpm.roles,_xlfn.UNIQUE(D2101:D4899),_xlpm.kills, SUMIF(D2101:D4899,_xlpm.roles,G2101:G4899),INDEX(_xlpm.roles,MATCH(MAX(_xlpm.kills),_xlpm.kills,0)))</f>
        <v>Sniper</v>
      </c>
      <c r="V2101" t="str">
        <f t="shared" si="163"/>
        <v>Medium Accuracy</v>
      </c>
      <c r="W2101" t="str" cm="1">
        <f t="array" ref="W2101">_xlfn.LET(_xlpm.roles,_xlfn.UNIQUE(D2101:D4899), _xlpm.counts,COUNTIF(D2101:D4899,_xlpm.roles), INDEX(_xlpm.roles,MATCH(MAX(_xlpm.counts),_xlpm.counts,0)))</f>
        <v>Sniper</v>
      </c>
      <c r="X2101" s="2">
        <f t="shared" si="164"/>
        <v>13.057077625570777</v>
      </c>
    </row>
    <row r="2102" spans="1:24" x14ac:dyDescent="0.3">
      <c r="A2102">
        <v>2420</v>
      </c>
      <c r="B2102">
        <v>371</v>
      </c>
      <c r="C2102" t="s">
        <v>35</v>
      </c>
      <c r="D2102" t="s">
        <v>31</v>
      </c>
      <c r="E2102" t="s">
        <v>23</v>
      </c>
      <c r="F2102" t="s">
        <v>26</v>
      </c>
      <c r="G2102">
        <v>16</v>
      </c>
      <c r="H2102">
        <v>1</v>
      </c>
      <c r="I2102">
        <v>10</v>
      </c>
      <c r="J2102">
        <v>42.3</v>
      </c>
      <c r="K2102">
        <v>228.11</v>
      </c>
      <c r="L2102">
        <v>0.62</v>
      </c>
      <c r="M2102">
        <v>37.950000000000003</v>
      </c>
      <c r="N2102">
        <v>0.81</v>
      </c>
      <c r="O2102" t="s">
        <v>20</v>
      </c>
      <c r="P2102" t="s">
        <v>21</v>
      </c>
      <c r="Q2102">
        <f t="shared" si="160"/>
        <v>7</v>
      </c>
      <c r="R2102" s="4">
        <f>RANK(N2102,$N$2:N$2800,0)</f>
        <v>2341</v>
      </c>
      <c r="S2102">
        <f t="shared" si="161"/>
        <v>1.6</v>
      </c>
      <c r="T2102" t="str">
        <f t="shared" si="162"/>
        <v>Low</v>
      </c>
      <c r="U2102" t="str" cm="1">
        <f t="array" ref="U2102">_xlfn.LET(_xlpm.roles,_xlfn.UNIQUE(D2102:D4900),_xlpm.kills, SUMIF(D2102:D4900,_xlpm.roles,G2102:G4900),INDEX(_xlpm.roles,MATCH(MAX(_xlpm.kills),_xlpm.kills,0)))</f>
        <v>Sniper</v>
      </c>
      <c r="V2102" t="str">
        <f t="shared" si="163"/>
        <v>Medium Accuracy</v>
      </c>
      <c r="W2102" t="str" cm="1">
        <f t="array" ref="W2102">_xlfn.LET(_xlpm.roles,_xlfn.UNIQUE(D2102:D4900), _xlpm.counts,COUNTIF(D2102:D4900,_xlpm.roles), INDEX(_xlpm.roles,MATCH(MAX(_xlpm.counts),_xlpm.counts,0)))</f>
        <v>Sniper</v>
      </c>
      <c r="X2102" s="2">
        <f t="shared" si="164"/>
        <v>12.599585062240664</v>
      </c>
    </row>
    <row r="2103" spans="1:24" x14ac:dyDescent="0.3">
      <c r="A2103">
        <v>702</v>
      </c>
      <c r="B2103">
        <v>372</v>
      </c>
      <c r="C2103" t="s">
        <v>25</v>
      </c>
      <c r="D2103" t="s">
        <v>17</v>
      </c>
      <c r="E2103" t="s">
        <v>23</v>
      </c>
      <c r="F2103" t="s">
        <v>24</v>
      </c>
      <c r="G2103">
        <v>17</v>
      </c>
      <c r="H2103">
        <v>7</v>
      </c>
      <c r="I2103">
        <v>9</v>
      </c>
      <c r="J2103">
        <v>48.18</v>
      </c>
      <c r="K2103">
        <v>268.5</v>
      </c>
      <c r="L2103">
        <v>0.11</v>
      </c>
      <c r="M2103">
        <v>54.99</v>
      </c>
      <c r="N2103">
        <v>0.98</v>
      </c>
      <c r="O2103" t="s">
        <v>20</v>
      </c>
      <c r="P2103" t="s">
        <v>21</v>
      </c>
      <c r="Q2103">
        <f t="shared" si="160"/>
        <v>15</v>
      </c>
      <c r="R2103" s="4">
        <f>RANK(N2103,$N$2:N$2800,0)</f>
        <v>1157</v>
      </c>
      <c r="S2103">
        <f t="shared" si="161"/>
        <v>1.8888888888888888</v>
      </c>
      <c r="T2103" t="str">
        <f t="shared" si="162"/>
        <v>Good</v>
      </c>
      <c r="U2103" t="str" cm="1">
        <f t="array" ref="U2103">_xlfn.LET(_xlpm.roles,_xlfn.UNIQUE(D2103:D4901),_xlpm.kills, SUMIF(D2103:D4901,_xlpm.roles,G2103:G4901),INDEX(_xlpm.roles,MATCH(MAX(_xlpm.kills),_xlpm.kills,0)))</f>
        <v>Sniper</v>
      </c>
      <c r="V2103" t="str">
        <f t="shared" si="163"/>
        <v>Medium Accuracy</v>
      </c>
      <c r="W2103" t="str" cm="1">
        <f t="array" ref="W2103">_xlfn.LET(_xlpm.roles,_xlfn.UNIQUE(D2103:D4901), _xlpm.counts,COUNTIF(D2103:D4901,_xlpm.roles), INDEX(_xlpm.roles,MATCH(MAX(_xlpm.counts),_xlpm.counts,0)))</f>
        <v>Sniper</v>
      </c>
      <c r="X2103" s="2">
        <f t="shared" si="164"/>
        <v>12.809421841541756</v>
      </c>
    </row>
    <row r="2104" spans="1:24" x14ac:dyDescent="0.3">
      <c r="A2104">
        <v>884</v>
      </c>
      <c r="B2104">
        <v>372</v>
      </c>
      <c r="C2104" t="s">
        <v>27</v>
      </c>
      <c r="D2104" t="s">
        <v>17</v>
      </c>
      <c r="E2104" t="s">
        <v>33</v>
      </c>
      <c r="F2104" t="s">
        <v>26</v>
      </c>
      <c r="G2104">
        <v>14</v>
      </c>
      <c r="H2104">
        <v>7</v>
      </c>
      <c r="I2104">
        <v>10</v>
      </c>
      <c r="J2104">
        <v>44.61</v>
      </c>
      <c r="K2104">
        <v>251.65</v>
      </c>
      <c r="L2104">
        <v>0.18</v>
      </c>
      <c r="M2104">
        <v>45.51</v>
      </c>
      <c r="N2104">
        <v>0.89</v>
      </c>
      <c r="O2104" t="s">
        <v>20</v>
      </c>
      <c r="P2104" t="s">
        <v>21</v>
      </c>
      <c r="Q2104">
        <f t="shared" si="160"/>
        <v>11</v>
      </c>
      <c r="R2104" s="4">
        <f>RANK(N2104,$N$2:N$2800,0)</f>
        <v>1815</v>
      </c>
      <c r="S2104">
        <f t="shared" si="161"/>
        <v>1.4</v>
      </c>
      <c r="T2104" t="str">
        <f t="shared" si="162"/>
        <v>Low</v>
      </c>
      <c r="U2104" t="str" cm="1">
        <f t="array" ref="U2104">_xlfn.LET(_xlpm.roles,_xlfn.UNIQUE(D2104:D4902),_xlpm.kills, SUMIF(D2104:D4902,_xlpm.roles,G2104:G4902),INDEX(_xlpm.roles,MATCH(MAX(_xlpm.kills),_xlpm.kills,0)))</f>
        <v>Sniper</v>
      </c>
      <c r="V2104" t="str">
        <f t="shared" si="163"/>
        <v>Medium Accuracy</v>
      </c>
      <c r="W2104" t="str" cm="1">
        <f t="array" ref="W2104">_xlfn.LET(_xlpm.roles,_xlfn.UNIQUE(D2104:D4902), _xlpm.counts,COUNTIF(D2104:D4902,_xlpm.roles), INDEX(_xlpm.roles,MATCH(MAX(_xlpm.counts),_xlpm.counts,0)))</f>
        <v>Sniper</v>
      </c>
      <c r="X2104" s="2">
        <f t="shared" si="164"/>
        <v>13.057077625570777</v>
      </c>
    </row>
    <row r="2105" spans="1:24" x14ac:dyDescent="0.3">
      <c r="A2105">
        <v>1472</v>
      </c>
      <c r="B2105">
        <v>372</v>
      </c>
      <c r="C2105" t="s">
        <v>16</v>
      </c>
      <c r="D2105" t="s">
        <v>17</v>
      </c>
      <c r="E2105" t="s">
        <v>33</v>
      </c>
      <c r="F2105" t="s">
        <v>24</v>
      </c>
      <c r="G2105">
        <v>23</v>
      </c>
      <c r="H2105">
        <v>12</v>
      </c>
      <c r="I2105">
        <v>9</v>
      </c>
      <c r="J2105">
        <v>39.869999999999997</v>
      </c>
      <c r="K2105">
        <v>196.66</v>
      </c>
      <c r="L2105">
        <v>0.35</v>
      </c>
      <c r="M2105">
        <v>65.44</v>
      </c>
      <c r="N2105">
        <v>1</v>
      </c>
      <c r="O2105" t="s">
        <v>20</v>
      </c>
      <c r="P2105" t="s">
        <v>38</v>
      </c>
      <c r="Q2105">
        <f t="shared" si="160"/>
        <v>26</v>
      </c>
      <c r="R2105" s="4">
        <f>RANK(N2105,$N$2:N$2800,0)</f>
        <v>1</v>
      </c>
      <c r="S2105">
        <f t="shared" si="161"/>
        <v>2.5555555555555554</v>
      </c>
      <c r="T2105" t="str">
        <f t="shared" si="162"/>
        <v>Excellent</v>
      </c>
      <c r="U2105" t="str" cm="1">
        <f t="array" ref="U2105">_xlfn.LET(_xlpm.roles,_xlfn.UNIQUE(D2105:D4903),_xlpm.kills, SUMIF(D2105:D4903,_xlpm.roles,G2105:G4903),INDEX(_xlpm.roles,MATCH(MAX(_xlpm.kills),_xlpm.kills,0)))</f>
        <v>Sniper</v>
      </c>
      <c r="V2105" t="str">
        <f t="shared" si="163"/>
        <v>Medium Accuracy</v>
      </c>
      <c r="W2105" t="str" cm="1">
        <f t="array" ref="W2105">_xlfn.LET(_xlpm.roles,_xlfn.UNIQUE(D2105:D4903), _xlpm.counts,COUNTIF(D2105:D4903,_xlpm.roles), INDEX(_xlpm.roles,MATCH(MAX(_xlpm.counts),_xlpm.counts,0)))</f>
        <v>Sniper</v>
      </c>
      <c r="X2105" s="2">
        <f t="shared" si="164"/>
        <v>12.520971302428256</v>
      </c>
    </row>
    <row r="2106" spans="1:24" x14ac:dyDescent="0.3">
      <c r="A2106">
        <v>2498</v>
      </c>
      <c r="B2106">
        <v>372</v>
      </c>
      <c r="C2106" t="s">
        <v>39</v>
      </c>
      <c r="D2106" t="s">
        <v>22</v>
      </c>
      <c r="E2106" t="s">
        <v>18</v>
      </c>
      <c r="F2106" t="s">
        <v>19</v>
      </c>
      <c r="G2106">
        <v>12</v>
      </c>
      <c r="H2106">
        <v>11</v>
      </c>
      <c r="I2106">
        <v>10</v>
      </c>
      <c r="J2106">
        <v>40.020000000000003</v>
      </c>
      <c r="K2106">
        <v>198.18</v>
      </c>
      <c r="L2106">
        <v>0.56999999999999995</v>
      </c>
      <c r="M2106">
        <v>39.31</v>
      </c>
      <c r="N2106">
        <v>1</v>
      </c>
      <c r="O2106" t="s">
        <v>20</v>
      </c>
      <c r="P2106" t="s">
        <v>21</v>
      </c>
      <c r="Q2106">
        <f t="shared" si="160"/>
        <v>13</v>
      </c>
      <c r="R2106" s="4">
        <f>RANK(N2106,$N$2:N$2800,0)</f>
        <v>1</v>
      </c>
      <c r="S2106">
        <f t="shared" si="161"/>
        <v>1.2</v>
      </c>
      <c r="T2106" t="str">
        <f t="shared" si="162"/>
        <v>Low</v>
      </c>
      <c r="U2106" t="str" cm="1">
        <f t="array" ref="U2106">_xlfn.LET(_xlpm.roles,_xlfn.UNIQUE(D2106:D4904),_xlpm.kills, SUMIF(D2106:D4904,_xlpm.roles,G2106:G4904),INDEX(_xlpm.roles,MATCH(MAX(_xlpm.kills),_xlpm.kills,0)))</f>
        <v>Sniper</v>
      </c>
      <c r="V2106" t="str">
        <f t="shared" si="163"/>
        <v>Medium Accuracy</v>
      </c>
      <c r="W2106" t="str" cm="1">
        <f t="array" ref="W2106">_xlfn.LET(_xlpm.roles,_xlfn.UNIQUE(D2106:D4904), _xlpm.counts,COUNTIF(D2106:D4904,_xlpm.roles), INDEX(_xlpm.roles,MATCH(MAX(_xlpm.counts),_xlpm.counts,0)))</f>
        <v>Sniper</v>
      </c>
      <c r="X2106" s="2">
        <f t="shared" si="164"/>
        <v>13.103594080338267</v>
      </c>
    </row>
    <row r="2107" spans="1:24" x14ac:dyDescent="0.3">
      <c r="A2107">
        <v>2703</v>
      </c>
      <c r="B2107">
        <v>372</v>
      </c>
      <c r="C2107" t="s">
        <v>39</v>
      </c>
      <c r="D2107" t="s">
        <v>31</v>
      </c>
      <c r="E2107" t="s">
        <v>32</v>
      </c>
      <c r="F2107" t="s">
        <v>24</v>
      </c>
      <c r="G2107">
        <v>14</v>
      </c>
      <c r="H2107">
        <v>11</v>
      </c>
      <c r="I2107">
        <v>1</v>
      </c>
      <c r="J2107">
        <v>48.5</v>
      </c>
      <c r="K2107">
        <v>242.51</v>
      </c>
      <c r="L2107">
        <v>0.11</v>
      </c>
      <c r="M2107">
        <v>61.15</v>
      </c>
      <c r="N2107">
        <v>1</v>
      </c>
      <c r="O2107" t="s">
        <v>20</v>
      </c>
      <c r="P2107" t="s">
        <v>38</v>
      </c>
      <c r="Q2107">
        <f t="shared" si="160"/>
        <v>24</v>
      </c>
      <c r="R2107" s="4">
        <f>RANK(N2107,$N$2:N$2800,0)</f>
        <v>1</v>
      </c>
      <c r="S2107">
        <f t="shared" si="161"/>
        <v>14</v>
      </c>
      <c r="T2107" t="str">
        <f t="shared" si="162"/>
        <v>Good</v>
      </c>
      <c r="U2107" t="str" cm="1">
        <f t="array" ref="U2107">_xlfn.LET(_xlpm.roles,_xlfn.UNIQUE(D2107:D4905),_xlpm.kills, SUMIF(D2107:D4905,_xlpm.roles,G2107:G4905),INDEX(_xlpm.roles,MATCH(MAX(_xlpm.kills),_xlpm.kills,0)))</f>
        <v>Sniper</v>
      </c>
      <c r="V2107" t="str">
        <f t="shared" si="163"/>
        <v>Medium Accuracy</v>
      </c>
      <c r="W2107" t="str" cm="1">
        <f t="array" ref="W2107">_xlfn.LET(_xlpm.roles,_xlfn.UNIQUE(D2107:D4905), _xlpm.counts,COUNTIF(D2107:D4905,_xlpm.roles), INDEX(_xlpm.roles,MATCH(MAX(_xlpm.counts),_xlpm.counts,0)))</f>
        <v>Sniper</v>
      </c>
      <c r="X2107" s="2">
        <f t="shared" si="164"/>
        <v>13.103594080338267</v>
      </c>
    </row>
    <row r="2108" spans="1:24" x14ac:dyDescent="0.3">
      <c r="A2108">
        <v>332</v>
      </c>
      <c r="B2108">
        <v>373</v>
      </c>
      <c r="C2108" t="s">
        <v>25</v>
      </c>
      <c r="D2108" t="s">
        <v>36</v>
      </c>
      <c r="E2108" t="s">
        <v>32</v>
      </c>
      <c r="F2108" t="s">
        <v>34</v>
      </c>
      <c r="G2108">
        <v>14</v>
      </c>
      <c r="H2108">
        <v>8</v>
      </c>
      <c r="I2108">
        <v>9</v>
      </c>
      <c r="J2108">
        <v>44.92</v>
      </c>
      <c r="K2108">
        <v>193.12</v>
      </c>
      <c r="L2108">
        <v>0.99</v>
      </c>
      <c r="M2108">
        <v>39.56</v>
      </c>
      <c r="N2108">
        <v>0.93</v>
      </c>
      <c r="O2108" t="s">
        <v>20</v>
      </c>
      <c r="P2108" t="s">
        <v>21</v>
      </c>
      <c r="Q2108">
        <f t="shared" si="160"/>
        <v>13</v>
      </c>
      <c r="R2108" s="4">
        <f>RANK(N2108,$N$2:N$2800,0)</f>
        <v>1505</v>
      </c>
      <c r="S2108">
        <f t="shared" si="161"/>
        <v>1.5555555555555556</v>
      </c>
      <c r="T2108" t="str">
        <f t="shared" si="162"/>
        <v>Low</v>
      </c>
      <c r="U2108" t="str" cm="1">
        <f t="array" ref="U2108">_xlfn.LET(_xlpm.roles,_xlfn.UNIQUE(D2108:D4906),_xlpm.kills, SUMIF(D2108:D4906,_xlpm.roles,G2108:G4906),INDEX(_xlpm.roles,MATCH(MAX(_xlpm.kills),_xlpm.kills,0)))</f>
        <v>Sniper</v>
      </c>
      <c r="V2108" t="str">
        <f t="shared" si="163"/>
        <v>Medium Accuracy</v>
      </c>
      <c r="W2108" t="str" cm="1">
        <f t="array" ref="W2108">_xlfn.LET(_xlpm.roles,_xlfn.UNIQUE(D2108:D4906), _xlpm.counts,COUNTIF(D2108:D4906,_xlpm.roles), INDEX(_xlpm.roles,MATCH(MAX(_xlpm.counts),_xlpm.counts,0)))</f>
        <v>Sniper</v>
      </c>
      <c r="X2108" s="2">
        <f t="shared" si="164"/>
        <v>12.809421841541756</v>
      </c>
    </row>
    <row r="2109" spans="1:24" x14ac:dyDescent="0.3">
      <c r="A2109">
        <v>945</v>
      </c>
      <c r="B2109">
        <v>373</v>
      </c>
      <c r="C2109" t="s">
        <v>35</v>
      </c>
      <c r="D2109" t="s">
        <v>28</v>
      </c>
      <c r="E2109" t="s">
        <v>23</v>
      </c>
      <c r="F2109" t="s">
        <v>19</v>
      </c>
      <c r="G2109">
        <v>8</v>
      </c>
      <c r="H2109">
        <v>8</v>
      </c>
      <c r="I2109">
        <v>8</v>
      </c>
      <c r="J2109">
        <v>31.62</v>
      </c>
      <c r="K2109">
        <v>200.59</v>
      </c>
      <c r="L2109">
        <v>0.81</v>
      </c>
      <c r="M2109">
        <v>23.71</v>
      </c>
      <c r="N2109">
        <v>0.95</v>
      </c>
      <c r="O2109" t="s">
        <v>20</v>
      </c>
      <c r="P2109" t="s">
        <v>21</v>
      </c>
      <c r="Q2109">
        <f t="shared" si="160"/>
        <v>8</v>
      </c>
      <c r="R2109" s="4">
        <f>RANK(N2109,$N$2:N$2800,0)</f>
        <v>1367</v>
      </c>
      <c r="S2109">
        <f t="shared" si="161"/>
        <v>1</v>
      </c>
      <c r="T2109" t="str">
        <f t="shared" si="162"/>
        <v>Low</v>
      </c>
      <c r="U2109" t="str" cm="1">
        <f t="array" ref="U2109">_xlfn.LET(_xlpm.roles,_xlfn.UNIQUE(D2109:D4907),_xlpm.kills, SUMIF(D2109:D4907,_xlpm.roles,G2109:G4907),INDEX(_xlpm.roles,MATCH(MAX(_xlpm.kills),_xlpm.kills,0)))</f>
        <v>Sniper</v>
      </c>
      <c r="V2109" t="str">
        <f t="shared" si="163"/>
        <v>Medium Accuracy</v>
      </c>
      <c r="W2109" t="str" cm="1">
        <f t="array" ref="W2109">_xlfn.LET(_xlpm.roles,_xlfn.UNIQUE(D2109:D4907), _xlpm.counts,COUNTIF(D2109:D4907,_xlpm.roles), INDEX(_xlpm.roles,MATCH(MAX(_xlpm.counts),_xlpm.counts,0)))</f>
        <v>Sniper</v>
      </c>
      <c r="X2109" s="2">
        <f t="shared" si="164"/>
        <v>12.599585062240664</v>
      </c>
    </row>
    <row r="2110" spans="1:24" x14ac:dyDescent="0.3">
      <c r="A2110">
        <v>993</v>
      </c>
      <c r="B2110">
        <v>373</v>
      </c>
      <c r="C2110" t="s">
        <v>35</v>
      </c>
      <c r="D2110" t="s">
        <v>36</v>
      </c>
      <c r="E2110" t="s">
        <v>33</v>
      </c>
      <c r="F2110" t="s">
        <v>37</v>
      </c>
      <c r="G2110">
        <v>12</v>
      </c>
      <c r="H2110">
        <v>12</v>
      </c>
      <c r="I2110">
        <v>10</v>
      </c>
      <c r="J2110">
        <v>45.9</v>
      </c>
      <c r="K2110">
        <v>250.9</v>
      </c>
      <c r="L2110">
        <v>0.91</v>
      </c>
      <c r="M2110">
        <v>39.85</v>
      </c>
      <c r="N2110">
        <v>0.89</v>
      </c>
      <c r="O2110" t="s">
        <v>20</v>
      </c>
      <c r="P2110" t="s">
        <v>21</v>
      </c>
      <c r="Q2110">
        <f t="shared" si="160"/>
        <v>14</v>
      </c>
      <c r="R2110" s="4">
        <f>RANK(N2110,$N$2:N$2800,0)</f>
        <v>1815</v>
      </c>
      <c r="S2110">
        <f t="shared" si="161"/>
        <v>1.2</v>
      </c>
      <c r="T2110" t="str">
        <f t="shared" si="162"/>
        <v>Low</v>
      </c>
      <c r="U2110" t="str" cm="1">
        <f t="array" ref="U2110">_xlfn.LET(_xlpm.roles,_xlfn.UNIQUE(D2110:D4908),_xlpm.kills, SUMIF(D2110:D4908,_xlpm.roles,G2110:G4908),INDEX(_xlpm.roles,MATCH(MAX(_xlpm.kills),_xlpm.kills,0)))</f>
        <v>Sniper</v>
      </c>
      <c r="V2110" t="str">
        <f t="shared" si="163"/>
        <v>Medium Accuracy</v>
      </c>
      <c r="W2110" t="str" cm="1">
        <f t="array" ref="W2110">_xlfn.LET(_xlpm.roles,_xlfn.UNIQUE(D2110:D4908), _xlpm.counts,COUNTIF(D2110:D4908,_xlpm.roles), INDEX(_xlpm.roles,MATCH(MAX(_xlpm.counts),_xlpm.counts,0)))</f>
        <v>Sniper</v>
      </c>
      <c r="X2110" s="2">
        <f t="shared" si="164"/>
        <v>12.599585062240664</v>
      </c>
    </row>
    <row r="2111" spans="1:24" x14ac:dyDescent="0.3">
      <c r="A2111">
        <v>1098</v>
      </c>
      <c r="B2111">
        <v>373</v>
      </c>
      <c r="C2111" t="s">
        <v>16</v>
      </c>
      <c r="D2111" t="s">
        <v>31</v>
      </c>
      <c r="E2111" t="s">
        <v>18</v>
      </c>
      <c r="F2111" t="s">
        <v>34</v>
      </c>
      <c r="G2111">
        <v>16</v>
      </c>
      <c r="H2111">
        <v>13</v>
      </c>
      <c r="I2111">
        <v>13</v>
      </c>
      <c r="J2111">
        <v>53.95</v>
      </c>
      <c r="K2111">
        <v>174.3</v>
      </c>
      <c r="L2111">
        <v>0.26</v>
      </c>
      <c r="M2111">
        <v>56.38</v>
      </c>
      <c r="N2111">
        <v>1</v>
      </c>
      <c r="O2111" t="s">
        <v>20</v>
      </c>
      <c r="P2111" t="s">
        <v>21</v>
      </c>
      <c r="Q2111">
        <f t="shared" si="160"/>
        <v>16</v>
      </c>
      <c r="R2111" s="4">
        <f>RANK(N2111,$N$2:N$2800,0)</f>
        <v>1</v>
      </c>
      <c r="S2111">
        <f t="shared" si="161"/>
        <v>1.2307692307692308</v>
      </c>
      <c r="T2111" t="str">
        <f t="shared" si="162"/>
        <v>Good</v>
      </c>
      <c r="U2111" t="str" cm="1">
        <f t="array" ref="U2111">_xlfn.LET(_xlpm.roles,_xlfn.UNIQUE(D2111:D4909),_xlpm.kills, SUMIF(D2111:D4909,_xlpm.roles,G2111:G4909),INDEX(_xlpm.roles,MATCH(MAX(_xlpm.kills),_xlpm.kills,0)))</f>
        <v>Sniper</v>
      </c>
      <c r="V2111" t="str">
        <f t="shared" si="163"/>
        <v>High Accuracy</v>
      </c>
      <c r="W2111" t="str" cm="1">
        <f t="array" ref="W2111">_xlfn.LET(_xlpm.roles,_xlfn.UNIQUE(D2111:D4909), _xlpm.counts,COUNTIF(D2111:D4909,_xlpm.roles), INDEX(_xlpm.roles,MATCH(MAX(_xlpm.counts),_xlpm.counts,0)))</f>
        <v>Sniper</v>
      </c>
      <c r="X2111" s="2">
        <f t="shared" si="164"/>
        <v>12.520971302428256</v>
      </c>
    </row>
    <row r="2112" spans="1:24" x14ac:dyDescent="0.3">
      <c r="A2112">
        <v>1574</v>
      </c>
      <c r="B2112">
        <v>373</v>
      </c>
      <c r="C2112" t="s">
        <v>39</v>
      </c>
      <c r="D2112" t="s">
        <v>22</v>
      </c>
      <c r="E2112" t="s">
        <v>29</v>
      </c>
      <c r="F2112" t="s">
        <v>34</v>
      </c>
      <c r="G2112">
        <v>15</v>
      </c>
      <c r="H2112">
        <v>10</v>
      </c>
      <c r="I2112">
        <v>13</v>
      </c>
      <c r="J2112">
        <v>42.84</v>
      </c>
      <c r="K2112">
        <v>205.41</v>
      </c>
      <c r="L2112">
        <v>0.25</v>
      </c>
      <c r="M2112">
        <v>45.92</v>
      </c>
      <c r="N2112">
        <v>0.85</v>
      </c>
      <c r="O2112" t="s">
        <v>20</v>
      </c>
      <c r="P2112" t="s">
        <v>21</v>
      </c>
      <c r="Q2112">
        <f t="shared" si="160"/>
        <v>12</v>
      </c>
      <c r="R2112" s="4">
        <f>RANK(N2112,$N$2:N$2800,0)</f>
        <v>2105</v>
      </c>
      <c r="S2112">
        <f t="shared" si="161"/>
        <v>1.1538461538461537</v>
      </c>
      <c r="T2112" t="str">
        <f t="shared" si="162"/>
        <v>Low</v>
      </c>
      <c r="U2112" t="str" cm="1">
        <f t="array" ref="U2112">_xlfn.LET(_xlpm.roles,_xlfn.UNIQUE(D2112:D4910),_xlpm.kills, SUMIF(D2112:D4910,_xlpm.roles,G2112:G4910),INDEX(_xlpm.roles,MATCH(MAX(_xlpm.kills),_xlpm.kills,0)))</f>
        <v>Sniper</v>
      </c>
      <c r="V2112" t="str">
        <f t="shared" si="163"/>
        <v>Medium Accuracy</v>
      </c>
      <c r="W2112" t="str" cm="1">
        <f t="array" ref="W2112">_xlfn.LET(_xlpm.roles,_xlfn.UNIQUE(D2112:D4910), _xlpm.counts,COUNTIF(D2112:D4910,_xlpm.roles), INDEX(_xlpm.roles,MATCH(MAX(_xlpm.counts),_xlpm.counts,0)))</f>
        <v>Sniper</v>
      </c>
      <c r="X2112" s="2">
        <f t="shared" si="164"/>
        <v>13.103594080338267</v>
      </c>
    </row>
    <row r="2113" spans="1:24" x14ac:dyDescent="0.3">
      <c r="A2113">
        <v>1962</v>
      </c>
      <c r="B2113">
        <v>373</v>
      </c>
      <c r="C2113" t="s">
        <v>27</v>
      </c>
      <c r="D2113" t="s">
        <v>17</v>
      </c>
      <c r="E2113" t="s">
        <v>18</v>
      </c>
      <c r="F2113" t="s">
        <v>24</v>
      </c>
      <c r="G2113">
        <v>18</v>
      </c>
      <c r="H2113">
        <v>12</v>
      </c>
      <c r="I2113">
        <v>7</v>
      </c>
      <c r="J2113">
        <v>46.36</v>
      </c>
      <c r="K2113">
        <v>196.16</v>
      </c>
      <c r="L2113">
        <v>0.19</v>
      </c>
      <c r="M2113">
        <v>62.28</v>
      </c>
      <c r="N2113">
        <v>1</v>
      </c>
      <c r="O2113" t="s">
        <v>20</v>
      </c>
      <c r="P2113" t="s">
        <v>38</v>
      </c>
      <c r="Q2113">
        <f t="shared" si="160"/>
        <v>23</v>
      </c>
      <c r="R2113" s="4">
        <f>RANK(N2113,$N$2:N$2800,0)</f>
        <v>1</v>
      </c>
      <c r="S2113">
        <f t="shared" si="161"/>
        <v>2.5714285714285716</v>
      </c>
      <c r="T2113" t="str">
        <f t="shared" si="162"/>
        <v>Good</v>
      </c>
      <c r="U2113" t="str" cm="1">
        <f t="array" ref="U2113">_xlfn.LET(_xlpm.roles,_xlfn.UNIQUE(D2113:D4911),_xlpm.kills, SUMIF(D2113:D4911,_xlpm.roles,G2113:G4911),INDEX(_xlpm.roles,MATCH(MAX(_xlpm.kills),_xlpm.kills,0)))</f>
        <v>Sniper</v>
      </c>
      <c r="V2113" t="str">
        <f t="shared" si="163"/>
        <v>Medium Accuracy</v>
      </c>
      <c r="W2113" t="str" cm="1">
        <f t="array" ref="W2113">_xlfn.LET(_xlpm.roles,_xlfn.UNIQUE(D2113:D4911), _xlpm.counts,COUNTIF(D2113:D4911,_xlpm.roles), INDEX(_xlpm.roles,MATCH(MAX(_xlpm.counts),_xlpm.counts,0)))</f>
        <v>Sniper</v>
      </c>
      <c r="X2113" s="2">
        <f t="shared" si="164"/>
        <v>13.057077625570777</v>
      </c>
    </row>
    <row r="2114" spans="1:24" x14ac:dyDescent="0.3">
      <c r="A2114">
        <v>2054</v>
      </c>
      <c r="B2114">
        <v>373</v>
      </c>
      <c r="C2114" t="s">
        <v>30</v>
      </c>
      <c r="D2114" t="s">
        <v>17</v>
      </c>
      <c r="E2114" t="s">
        <v>23</v>
      </c>
      <c r="F2114" t="s">
        <v>26</v>
      </c>
      <c r="G2114">
        <v>14</v>
      </c>
      <c r="H2114">
        <v>12</v>
      </c>
      <c r="I2114">
        <v>7</v>
      </c>
      <c r="J2114">
        <v>42.59</v>
      </c>
      <c r="K2114">
        <v>236.11</v>
      </c>
      <c r="L2114">
        <v>0.44</v>
      </c>
      <c r="M2114">
        <v>49.9</v>
      </c>
      <c r="N2114">
        <v>0.98</v>
      </c>
      <c r="O2114" t="s">
        <v>20</v>
      </c>
      <c r="P2114" t="s">
        <v>21</v>
      </c>
      <c r="Q2114">
        <f t="shared" si="160"/>
        <v>19</v>
      </c>
      <c r="R2114" s="4">
        <f>RANK(N2114,$N$2:N$2800,0)</f>
        <v>1157</v>
      </c>
      <c r="S2114">
        <f t="shared" si="161"/>
        <v>2</v>
      </c>
      <c r="T2114" t="str">
        <f t="shared" si="162"/>
        <v>Good</v>
      </c>
      <c r="U2114" t="str" cm="1">
        <f t="array" ref="U2114">_xlfn.LET(_xlpm.roles,_xlfn.UNIQUE(D2114:D4912),_xlpm.kills, SUMIF(D2114:D4912,_xlpm.roles,G2114:G4912),INDEX(_xlpm.roles,MATCH(MAX(_xlpm.kills),_xlpm.kills,0)))</f>
        <v>Sniper</v>
      </c>
      <c r="V2114" t="str">
        <f t="shared" si="163"/>
        <v>Medium Accuracy</v>
      </c>
      <c r="W2114" t="str" cm="1">
        <f t="array" ref="W2114">_xlfn.LET(_xlpm.roles,_xlfn.UNIQUE(D2114:D4912), _xlpm.counts,COUNTIF(D2114:D4912,_xlpm.roles), INDEX(_xlpm.roles,MATCH(MAX(_xlpm.counts),_xlpm.counts,0)))</f>
        <v>Sniper</v>
      </c>
      <c r="X2114" s="2">
        <f t="shared" si="164"/>
        <v>13.135802469135802</v>
      </c>
    </row>
    <row r="2115" spans="1:24" x14ac:dyDescent="0.3">
      <c r="A2115">
        <v>2724</v>
      </c>
      <c r="B2115">
        <v>373</v>
      </c>
      <c r="C2115" t="s">
        <v>25</v>
      </c>
      <c r="D2115" t="s">
        <v>17</v>
      </c>
      <c r="E2115" t="s">
        <v>23</v>
      </c>
      <c r="F2115" t="s">
        <v>26</v>
      </c>
      <c r="G2115">
        <v>12</v>
      </c>
      <c r="H2115">
        <v>5</v>
      </c>
      <c r="I2115">
        <v>8</v>
      </c>
      <c r="J2115">
        <v>39.450000000000003</v>
      </c>
      <c r="K2115">
        <v>183.58</v>
      </c>
      <c r="L2115">
        <v>0.77</v>
      </c>
      <c r="M2115">
        <v>33.020000000000003</v>
      </c>
      <c r="N2115">
        <v>0.68</v>
      </c>
      <c r="O2115" t="s">
        <v>20</v>
      </c>
      <c r="P2115" t="s">
        <v>21</v>
      </c>
      <c r="Q2115">
        <f t="shared" ref="Q2115:Q2178" si="165">G2115+H2115-I2115</f>
        <v>9</v>
      </c>
      <c r="R2115" s="4">
        <f>RANK(N2115,$N$2:N$2800,0)</f>
        <v>2719</v>
      </c>
      <c r="S2115">
        <f t="shared" ref="S2115:S2178" si="166">G2115/I2115</f>
        <v>1.5</v>
      </c>
      <c r="T2115" t="str">
        <f t="shared" ref="T2115:T2178" si="167">IF(Q2115&lt;15,"Low",IF(Q2115&lt;25,"Good","Excellent"))</f>
        <v>Low</v>
      </c>
      <c r="U2115" t="str" cm="1">
        <f t="array" ref="U2115">_xlfn.LET(_xlpm.roles,_xlfn.UNIQUE(D2115:D4913),_xlpm.kills, SUMIF(D2115:D4913,_xlpm.roles,G2115:G4913),INDEX(_xlpm.roles,MATCH(MAX(_xlpm.kills),_xlpm.kills,0)))</f>
        <v>Sniper</v>
      </c>
      <c r="V2115" t="str">
        <f t="shared" ref="V2115:V2178" si="168">IF(J2115&gt;=50,"High Accuracy",IF(J2115&gt;=30,"Medium Accuracy","Low Accuracy"))</f>
        <v>Medium Accuracy</v>
      </c>
      <c r="W2115" t="str" cm="1">
        <f t="array" ref="W2115">_xlfn.LET(_xlpm.roles,_xlfn.UNIQUE(D2115:D4913), _xlpm.counts,COUNTIF(D2115:D4913,_xlpm.roles), INDEX(_xlpm.roles,MATCH(MAX(_xlpm.counts),_xlpm.counts,0)))</f>
        <v>Sniper</v>
      </c>
      <c r="X2115" s="2">
        <f t="shared" ref="X2115:X2178" si="169">AVERAGEIF($C$2:$C$2800,C2115,$Q$2:$Q$2800)</f>
        <v>12.809421841541756</v>
      </c>
    </row>
    <row r="2116" spans="1:24" x14ac:dyDescent="0.3">
      <c r="A2116">
        <v>2789</v>
      </c>
      <c r="B2116">
        <v>373</v>
      </c>
      <c r="C2116" t="s">
        <v>25</v>
      </c>
      <c r="D2116" t="s">
        <v>31</v>
      </c>
      <c r="E2116" t="s">
        <v>32</v>
      </c>
      <c r="F2116" t="s">
        <v>34</v>
      </c>
      <c r="G2116">
        <v>18</v>
      </c>
      <c r="H2116">
        <v>7</v>
      </c>
      <c r="I2116">
        <v>10</v>
      </c>
      <c r="J2116">
        <v>45.03</v>
      </c>
      <c r="K2116">
        <v>212.43</v>
      </c>
      <c r="L2116">
        <v>0.59</v>
      </c>
      <c r="M2116">
        <v>49.62</v>
      </c>
      <c r="N2116">
        <v>1</v>
      </c>
      <c r="O2116" t="s">
        <v>20</v>
      </c>
      <c r="P2116" t="s">
        <v>21</v>
      </c>
      <c r="Q2116">
        <f t="shared" si="165"/>
        <v>15</v>
      </c>
      <c r="R2116" s="4">
        <f>RANK(N2116,$N$2:N$2800,0)</f>
        <v>1</v>
      </c>
      <c r="S2116">
        <f t="shared" si="166"/>
        <v>1.8</v>
      </c>
      <c r="T2116" t="str">
        <f t="shared" si="167"/>
        <v>Good</v>
      </c>
      <c r="U2116" t="str" cm="1">
        <f t="array" ref="U2116">_xlfn.LET(_xlpm.roles,_xlfn.UNIQUE(D2116:D4914),_xlpm.kills, SUMIF(D2116:D4914,_xlpm.roles,G2116:G4914),INDEX(_xlpm.roles,MATCH(MAX(_xlpm.kills),_xlpm.kills,0)))</f>
        <v>Sniper</v>
      </c>
      <c r="V2116" t="str">
        <f t="shared" si="168"/>
        <v>Medium Accuracy</v>
      </c>
      <c r="W2116" t="str" cm="1">
        <f t="array" ref="W2116">_xlfn.LET(_xlpm.roles,_xlfn.UNIQUE(D2116:D4914), _xlpm.counts,COUNTIF(D2116:D4914,_xlpm.roles), INDEX(_xlpm.roles,MATCH(MAX(_xlpm.counts),_xlpm.counts,0)))</f>
        <v>Sniper</v>
      </c>
      <c r="X2116" s="2">
        <f t="shared" si="169"/>
        <v>12.809421841541756</v>
      </c>
    </row>
    <row r="2117" spans="1:24" x14ac:dyDescent="0.3">
      <c r="A2117">
        <v>56</v>
      </c>
      <c r="B2117">
        <v>374</v>
      </c>
      <c r="C2117" t="s">
        <v>39</v>
      </c>
      <c r="D2117" t="s">
        <v>36</v>
      </c>
      <c r="E2117" t="s">
        <v>23</v>
      </c>
      <c r="F2117" t="s">
        <v>19</v>
      </c>
      <c r="G2117">
        <v>13</v>
      </c>
      <c r="H2117">
        <v>10</v>
      </c>
      <c r="I2117">
        <v>8</v>
      </c>
      <c r="J2117">
        <v>49.68</v>
      </c>
      <c r="K2117">
        <v>189.88</v>
      </c>
      <c r="L2117">
        <v>0.04</v>
      </c>
      <c r="M2117">
        <v>52.44</v>
      </c>
      <c r="N2117">
        <v>0.95</v>
      </c>
      <c r="O2117" t="s">
        <v>20</v>
      </c>
      <c r="P2117" t="s">
        <v>21</v>
      </c>
      <c r="Q2117">
        <f t="shared" si="165"/>
        <v>15</v>
      </c>
      <c r="R2117" s="4">
        <f>RANK(N2117,$N$2:N$2800,0)</f>
        <v>1367</v>
      </c>
      <c r="S2117">
        <f t="shared" si="166"/>
        <v>1.625</v>
      </c>
      <c r="T2117" t="str">
        <f t="shared" si="167"/>
        <v>Good</v>
      </c>
      <c r="U2117" t="str" cm="1">
        <f t="array" ref="U2117">_xlfn.LET(_xlpm.roles,_xlfn.UNIQUE(D2117:D4915),_xlpm.kills, SUMIF(D2117:D4915,_xlpm.roles,G2117:G4915),INDEX(_xlpm.roles,MATCH(MAX(_xlpm.kills),_xlpm.kills,0)))</f>
        <v>Sniper</v>
      </c>
      <c r="V2117" t="str">
        <f t="shared" si="168"/>
        <v>Medium Accuracy</v>
      </c>
      <c r="W2117" t="str" cm="1">
        <f t="array" ref="W2117">_xlfn.LET(_xlpm.roles,_xlfn.UNIQUE(D2117:D4915), _xlpm.counts,COUNTIF(D2117:D4915,_xlpm.roles), INDEX(_xlpm.roles,MATCH(MAX(_xlpm.counts),_xlpm.counts,0)))</f>
        <v>Sniper</v>
      </c>
      <c r="X2117" s="2">
        <f t="shared" si="169"/>
        <v>13.103594080338267</v>
      </c>
    </row>
    <row r="2118" spans="1:24" x14ac:dyDescent="0.3">
      <c r="A2118">
        <v>219</v>
      </c>
      <c r="B2118">
        <v>374</v>
      </c>
      <c r="C2118" t="s">
        <v>30</v>
      </c>
      <c r="D2118" t="s">
        <v>36</v>
      </c>
      <c r="E2118" t="s">
        <v>23</v>
      </c>
      <c r="F2118" t="s">
        <v>26</v>
      </c>
      <c r="G2118">
        <v>18</v>
      </c>
      <c r="H2118">
        <v>8</v>
      </c>
      <c r="I2118">
        <v>8</v>
      </c>
      <c r="J2118">
        <v>54.49</v>
      </c>
      <c r="K2118">
        <v>263.08999999999997</v>
      </c>
      <c r="L2118">
        <v>0.59</v>
      </c>
      <c r="M2118">
        <v>57.35</v>
      </c>
      <c r="N2118">
        <v>1</v>
      </c>
      <c r="O2118" t="s">
        <v>20</v>
      </c>
      <c r="P2118" t="s">
        <v>21</v>
      </c>
      <c r="Q2118">
        <f t="shared" si="165"/>
        <v>18</v>
      </c>
      <c r="R2118" s="4">
        <f>RANK(N2118,$N$2:N$2800,0)</f>
        <v>1</v>
      </c>
      <c r="S2118">
        <f t="shared" si="166"/>
        <v>2.25</v>
      </c>
      <c r="T2118" t="str">
        <f t="shared" si="167"/>
        <v>Good</v>
      </c>
      <c r="U2118" t="str" cm="1">
        <f t="array" ref="U2118">_xlfn.LET(_xlpm.roles,_xlfn.UNIQUE(D2118:D4916),_xlpm.kills, SUMIF(D2118:D4916,_xlpm.roles,G2118:G4916),INDEX(_xlpm.roles,MATCH(MAX(_xlpm.kills),_xlpm.kills,0)))</f>
        <v>Sniper</v>
      </c>
      <c r="V2118" t="str">
        <f t="shared" si="168"/>
        <v>High Accuracy</v>
      </c>
      <c r="W2118" t="str" cm="1">
        <f t="array" ref="W2118">_xlfn.LET(_xlpm.roles,_xlfn.UNIQUE(D2118:D4916), _xlpm.counts,COUNTIF(D2118:D4916,_xlpm.roles), INDEX(_xlpm.roles,MATCH(MAX(_xlpm.counts),_xlpm.counts,0)))</f>
        <v>Sniper</v>
      </c>
      <c r="X2118" s="2">
        <f t="shared" si="169"/>
        <v>13.135802469135802</v>
      </c>
    </row>
    <row r="2119" spans="1:24" x14ac:dyDescent="0.3">
      <c r="A2119">
        <v>706</v>
      </c>
      <c r="B2119">
        <v>374</v>
      </c>
      <c r="C2119" t="s">
        <v>35</v>
      </c>
      <c r="D2119" t="s">
        <v>28</v>
      </c>
      <c r="E2119" t="s">
        <v>18</v>
      </c>
      <c r="F2119" t="s">
        <v>26</v>
      </c>
      <c r="G2119">
        <v>18</v>
      </c>
      <c r="H2119">
        <v>9</v>
      </c>
      <c r="I2119">
        <v>10</v>
      </c>
      <c r="J2119">
        <v>43.03</v>
      </c>
      <c r="K2119">
        <v>187.36</v>
      </c>
      <c r="L2119">
        <v>0.97</v>
      </c>
      <c r="M2119">
        <v>46.81</v>
      </c>
      <c r="N2119">
        <v>0.9</v>
      </c>
      <c r="O2119" t="s">
        <v>20</v>
      </c>
      <c r="P2119" t="s">
        <v>21</v>
      </c>
      <c r="Q2119">
        <f t="shared" si="165"/>
        <v>17</v>
      </c>
      <c r="R2119" s="4">
        <f>RANK(N2119,$N$2:N$2800,0)</f>
        <v>1738</v>
      </c>
      <c r="S2119">
        <f t="shared" si="166"/>
        <v>1.8</v>
      </c>
      <c r="T2119" t="str">
        <f t="shared" si="167"/>
        <v>Good</v>
      </c>
      <c r="U2119" t="str" cm="1">
        <f t="array" ref="U2119">_xlfn.LET(_xlpm.roles,_xlfn.UNIQUE(D2119:D4917),_xlpm.kills, SUMIF(D2119:D4917,_xlpm.roles,G2119:G4917),INDEX(_xlpm.roles,MATCH(MAX(_xlpm.kills),_xlpm.kills,0)))</f>
        <v>Sniper</v>
      </c>
      <c r="V2119" t="str">
        <f t="shared" si="168"/>
        <v>Medium Accuracy</v>
      </c>
      <c r="W2119" t="str" cm="1">
        <f t="array" ref="W2119">_xlfn.LET(_xlpm.roles,_xlfn.UNIQUE(D2119:D4917), _xlpm.counts,COUNTIF(D2119:D4917,_xlpm.roles), INDEX(_xlpm.roles,MATCH(MAX(_xlpm.counts),_xlpm.counts,0)))</f>
        <v>Sniper</v>
      </c>
      <c r="X2119" s="2">
        <f t="shared" si="169"/>
        <v>12.599585062240664</v>
      </c>
    </row>
    <row r="2120" spans="1:24" x14ac:dyDescent="0.3">
      <c r="A2120">
        <v>1630</v>
      </c>
      <c r="B2120">
        <v>374</v>
      </c>
      <c r="C2120" t="s">
        <v>39</v>
      </c>
      <c r="D2120" t="s">
        <v>28</v>
      </c>
      <c r="E2120" t="s">
        <v>18</v>
      </c>
      <c r="F2120" t="s">
        <v>24</v>
      </c>
      <c r="G2120">
        <v>12</v>
      </c>
      <c r="H2120">
        <v>8</v>
      </c>
      <c r="I2120">
        <v>9</v>
      </c>
      <c r="J2120">
        <v>28.22</v>
      </c>
      <c r="K2120">
        <v>215.96</v>
      </c>
      <c r="L2120">
        <v>0.33</v>
      </c>
      <c r="M2120">
        <v>33.81</v>
      </c>
      <c r="N2120">
        <v>0.65</v>
      </c>
      <c r="O2120" t="s">
        <v>20</v>
      </c>
      <c r="P2120" t="s">
        <v>21</v>
      </c>
      <c r="Q2120">
        <f t="shared" si="165"/>
        <v>11</v>
      </c>
      <c r="R2120" s="4">
        <f>RANK(N2120,$N$2:N$2800,0)</f>
        <v>2756</v>
      </c>
      <c r="S2120">
        <f t="shared" si="166"/>
        <v>1.3333333333333333</v>
      </c>
      <c r="T2120" t="str">
        <f t="shared" si="167"/>
        <v>Low</v>
      </c>
      <c r="U2120" t="str" cm="1">
        <f t="array" ref="U2120">_xlfn.LET(_xlpm.roles,_xlfn.UNIQUE(D2120:D4918),_xlpm.kills, SUMIF(D2120:D4918,_xlpm.roles,G2120:G4918),INDEX(_xlpm.roles,MATCH(MAX(_xlpm.kills),_xlpm.kills,0)))</f>
        <v>Sniper</v>
      </c>
      <c r="V2120" t="str">
        <f t="shared" si="168"/>
        <v>Low Accuracy</v>
      </c>
      <c r="W2120" t="str" cm="1">
        <f t="array" ref="W2120">_xlfn.LET(_xlpm.roles,_xlfn.UNIQUE(D2120:D4918), _xlpm.counts,COUNTIF(D2120:D4918,_xlpm.roles), INDEX(_xlpm.roles,MATCH(MAX(_xlpm.counts),_xlpm.counts,0)))</f>
        <v>Sniper</v>
      </c>
      <c r="X2120" s="2">
        <f t="shared" si="169"/>
        <v>13.103594080338267</v>
      </c>
    </row>
    <row r="2121" spans="1:24" x14ac:dyDescent="0.3">
      <c r="A2121">
        <v>2191</v>
      </c>
      <c r="B2121">
        <v>374</v>
      </c>
      <c r="C2121" t="s">
        <v>30</v>
      </c>
      <c r="D2121" t="s">
        <v>31</v>
      </c>
      <c r="E2121" t="s">
        <v>23</v>
      </c>
      <c r="F2121" t="s">
        <v>19</v>
      </c>
      <c r="G2121">
        <v>15</v>
      </c>
      <c r="H2121">
        <v>13</v>
      </c>
      <c r="I2121">
        <v>6</v>
      </c>
      <c r="J2121">
        <v>56.35</v>
      </c>
      <c r="K2121">
        <v>177.68</v>
      </c>
      <c r="L2121">
        <v>0.5</v>
      </c>
      <c r="M2121">
        <v>60.17</v>
      </c>
      <c r="N2121">
        <v>1</v>
      </c>
      <c r="O2121" t="s">
        <v>20</v>
      </c>
      <c r="P2121" t="s">
        <v>38</v>
      </c>
      <c r="Q2121">
        <f t="shared" si="165"/>
        <v>22</v>
      </c>
      <c r="R2121" s="4">
        <f>RANK(N2121,$N$2:N$2800,0)</f>
        <v>1</v>
      </c>
      <c r="S2121">
        <f t="shared" si="166"/>
        <v>2.5</v>
      </c>
      <c r="T2121" t="str">
        <f t="shared" si="167"/>
        <v>Good</v>
      </c>
      <c r="U2121" t="str" cm="1">
        <f t="array" ref="U2121">_xlfn.LET(_xlpm.roles,_xlfn.UNIQUE(D2121:D4919),_xlpm.kills, SUMIF(D2121:D4919,_xlpm.roles,G2121:G4919),INDEX(_xlpm.roles,MATCH(MAX(_xlpm.kills),_xlpm.kills,0)))</f>
        <v>Sniper</v>
      </c>
      <c r="V2121" t="str">
        <f t="shared" si="168"/>
        <v>High Accuracy</v>
      </c>
      <c r="W2121" t="str" cm="1">
        <f t="array" ref="W2121">_xlfn.LET(_xlpm.roles,_xlfn.UNIQUE(D2121:D4919), _xlpm.counts,COUNTIF(D2121:D4919,_xlpm.roles), INDEX(_xlpm.roles,MATCH(MAX(_xlpm.counts),_xlpm.counts,0)))</f>
        <v>Sniper</v>
      </c>
      <c r="X2121" s="2">
        <f t="shared" si="169"/>
        <v>13.135802469135802</v>
      </c>
    </row>
    <row r="2122" spans="1:24" x14ac:dyDescent="0.3">
      <c r="A2122">
        <v>28</v>
      </c>
      <c r="B2122">
        <v>375</v>
      </c>
      <c r="C2122" t="s">
        <v>25</v>
      </c>
      <c r="D2122" t="s">
        <v>17</v>
      </c>
      <c r="E2122" t="s">
        <v>18</v>
      </c>
      <c r="F2122" t="s">
        <v>26</v>
      </c>
      <c r="G2122">
        <v>14</v>
      </c>
      <c r="H2122">
        <v>4</v>
      </c>
      <c r="I2122">
        <v>11</v>
      </c>
      <c r="J2122">
        <v>56.81</v>
      </c>
      <c r="K2122">
        <v>216.56</v>
      </c>
      <c r="L2122">
        <v>0.41</v>
      </c>
      <c r="M2122">
        <v>45.3</v>
      </c>
      <c r="N2122">
        <v>1</v>
      </c>
      <c r="O2122" t="s">
        <v>20</v>
      </c>
      <c r="P2122" t="s">
        <v>21</v>
      </c>
      <c r="Q2122">
        <f t="shared" si="165"/>
        <v>7</v>
      </c>
      <c r="R2122" s="4">
        <f>RANK(N2122,$N$2:N$2800,0)</f>
        <v>1</v>
      </c>
      <c r="S2122">
        <f t="shared" si="166"/>
        <v>1.2727272727272727</v>
      </c>
      <c r="T2122" t="str">
        <f t="shared" si="167"/>
        <v>Low</v>
      </c>
      <c r="U2122" t="str" cm="1">
        <f t="array" ref="U2122">_xlfn.LET(_xlpm.roles,_xlfn.UNIQUE(D2122:D4920),_xlpm.kills, SUMIF(D2122:D4920,_xlpm.roles,G2122:G4920),INDEX(_xlpm.roles,MATCH(MAX(_xlpm.kills),_xlpm.kills,0)))</f>
        <v>Sniper</v>
      </c>
      <c r="V2122" t="str">
        <f t="shared" si="168"/>
        <v>High Accuracy</v>
      </c>
      <c r="W2122" t="str" cm="1">
        <f t="array" ref="W2122">_xlfn.LET(_xlpm.roles,_xlfn.UNIQUE(D2122:D4920), _xlpm.counts,COUNTIF(D2122:D4920,_xlpm.roles), INDEX(_xlpm.roles,MATCH(MAX(_xlpm.counts),_xlpm.counts,0)))</f>
        <v>Sniper</v>
      </c>
      <c r="X2122" s="2">
        <f t="shared" si="169"/>
        <v>12.809421841541756</v>
      </c>
    </row>
    <row r="2123" spans="1:24" x14ac:dyDescent="0.3">
      <c r="A2123">
        <v>338</v>
      </c>
      <c r="B2123">
        <v>375</v>
      </c>
      <c r="C2123" t="s">
        <v>25</v>
      </c>
      <c r="D2123" t="s">
        <v>31</v>
      </c>
      <c r="E2123" t="s">
        <v>32</v>
      </c>
      <c r="F2123" t="s">
        <v>24</v>
      </c>
      <c r="G2123">
        <v>15</v>
      </c>
      <c r="H2123">
        <v>5</v>
      </c>
      <c r="I2123">
        <v>10</v>
      </c>
      <c r="J2123">
        <v>64.14</v>
      </c>
      <c r="K2123">
        <v>244.24</v>
      </c>
      <c r="L2123">
        <v>0.17</v>
      </c>
      <c r="M2123">
        <v>55.37</v>
      </c>
      <c r="N2123">
        <v>0.97</v>
      </c>
      <c r="O2123" t="s">
        <v>20</v>
      </c>
      <c r="P2123" t="s">
        <v>21</v>
      </c>
      <c r="Q2123">
        <f t="shared" si="165"/>
        <v>10</v>
      </c>
      <c r="R2123" s="4">
        <f>RANK(N2123,$N$2:N$2800,0)</f>
        <v>1243</v>
      </c>
      <c r="S2123">
        <f t="shared" si="166"/>
        <v>1.5</v>
      </c>
      <c r="T2123" t="str">
        <f t="shared" si="167"/>
        <v>Low</v>
      </c>
      <c r="U2123" t="str" cm="1">
        <f t="array" ref="U2123">_xlfn.LET(_xlpm.roles,_xlfn.UNIQUE(D2123:D4921),_xlpm.kills, SUMIF(D2123:D4921,_xlpm.roles,G2123:G4921),INDEX(_xlpm.roles,MATCH(MAX(_xlpm.kills),_xlpm.kills,0)))</f>
        <v>Sniper</v>
      </c>
      <c r="V2123" t="str">
        <f t="shared" si="168"/>
        <v>High Accuracy</v>
      </c>
      <c r="W2123" t="str" cm="1">
        <f t="array" ref="W2123">_xlfn.LET(_xlpm.roles,_xlfn.UNIQUE(D2123:D4921), _xlpm.counts,COUNTIF(D2123:D4921,_xlpm.roles), INDEX(_xlpm.roles,MATCH(MAX(_xlpm.counts),_xlpm.counts,0)))</f>
        <v>Sniper</v>
      </c>
      <c r="X2123" s="2">
        <f t="shared" si="169"/>
        <v>12.809421841541756</v>
      </c>
    </row>
    <row r="2124" spans="1:24" x14ac:dyDescent="0.3">
      <c r="A2124">
        <v>2268</v>
      </c>
      <c r="B2124">
        <v>375</v>
      </c>
      <c r="C2124" t="s">
        <v>25</v>
      </c>
      <c r="D2124" t="s">
        <v>22</v>
      </c>
      <c r="E2124" t="s">
        <v>33</v>
      </c>
      <c r="F2124" t="s">
        <v>24</v>
      </c>
      <c r="G2124">
        <v>15</v>
      </c>
      <c r="H2124">
        <v>5</v>
      </c>
      <c r="I2124">
        <v>11</v>
      </c>
      <c r="J2124">
        <v>42.8</v>
      </c>
      <c r="K2124">
        <v>231.38</v>
      </c>
      <c r="L2124">
        <v>0.2</v>
      </c>
      <c r="M2124">
        <v>43.4</v>
      </c>
      <c r="N2124">
        <v>1</v>
      </c>
      <c r="O2124" t="s">
        <v>20</v>
      </c>
      <c r="P2124" t="s">
        <v>21</v>
      </c>
      <c r="Q2124">
        <f t="shared" si="165"/>
        <v>9</v>
      </c>
      <c r="R2124" s="4">
        <f>RANK(N2124,$N$2:N$2800,0)</f>
        <v>1</v>
      </c>
      <c r="S2124">
        <f t="shared" si="166"/>
        <v>1.3636363636363635</v>
      </c>
      <c r="T2124" t="str">
        <f t="shared" si="167"/>
        <v>Low</v>
      </c>
      <c r="U2124" t="str" cm="1">
        <f t="array" ref="U2124">_xlfn.LET(_xlpm.roles,_xlfn.UNIQUE(D2124:D4922),_xlpm.kills, SUMIF(D2124:D4922,_xlpm.roles,G2124:G4922),INDEX(_xlpm.roles,MATCH(MAX(_xlpm.kills),_xlpm.kills,0)))</f>
        <v>Sniper</v>
      </c>
      <c r="V2124" t="str">
        <f t="shared" si="168"/>
        <v>Medium Accuracy</v>
      </c>
      <c r="W2124" t="str" cm="1">
        <f t="array" ref="W2124">_xlfn.LET(_xlpm.roles,_xlfn.UNIQUE(D2124:D4922), _xlpm.counts,COUNTIF(D2124:D4922,_xlpm.roles), INDEX(_xlpm.roles,MATCH(MAX(_xlpm.counts),_xlpm.counts,0)))</f>
        <v>Sniper</v>
      </c>
      <c r="X2124" s="2">
        <f t="shared" si="169"/>
        <v>12.809421841541756</v>
      </c>
    </row>
    <row r="2125" spans="1:24" x14ac:dyDescent="0.3">
      <c r="A2125">
        <v>2436</v>
      </c>
      <c r="B2125">
        <v>375</v>
      </c>
      <c r="C2125" t="s">
        <v>16</v>
      </c>
      <c r="D2125" t="s">
        <v>28</v>
      </c>
      <c r="E2125" t="s">
        <v>29</v>
      </c>
      <c r="F2125" t="s">
        <v>37</v>
      </c>
      <c r="G2125">
        <v>19</v>
      </c>
      <c r="H2125">
        <v>7</v>
      </c>
      <c r="I2125">
        <v>9</v>
      </c>
      <c r="J2125">
        <v>49.14</v>
      </c>
      <c r="K2125">
        <v>217.31</v>
      </c>
      <c r="L2125">
        <v>0.53</v>
      </c>
      <c r="M2125">
        <v>55.27</v>
      </c>
      <c r="N2125">
        <v>0.92</v>
      </c>
      <c r="O2125" t="s">
        <v>20</v>
      </c>
      <c r="P2125" t="s">
        <v>21</v>
      </c>
      <c r="Q2125">
        <f t="shared" si="165"/>
        <v>17</v>
      </c>
      <c r="R2125" s="4">
        <f>RANK(N2125,$N$2:N$2800,0)</f>
        <v>1585</v>
      </c>
      <c r="S2125">
        <f t="shared" si="166"/>
        <v>2.1111111111111112</v>
      </c>
      <c r="T2125" t="str">
        <f t="shared" si="167"/>
        <v>Good</v>
      </c>
      <c r="U2125" t="str" cm="1">
        <f t="array" ref="U2125">_xlfn.LET(_xlpm.roles,_xlfn.UNIQUE(D2125:D4923),_xlpm.kills, SUMIF(D2125:D4923,_xlpm.roles,G2125:G4923),INDEX(_xlpm.roles,MATCH(MAX(_xlpm.kills),_xlpm.kills,0)))</f>
        <v>Sniper</v>
      </c>
      <c r="V2125" t="str">
        <f t="shared" si="168"/>
        <v>Medium Accuracy</v>
      </c>
      <c r="W2125" t="str" cm="1">
        <f t="array" ref="W2125">_xlfn.LET(_xlpm.roles,_xlfn.UNIQUE(D2125:D4923), _xlpm.counts,COUNTIF(D2125:D4923,_xlpm.roles), INDEX(_xlpm.roles,MATCH(MAX(_xlpm.counts),_xlpm.counts,0)))</f>
        <v>Sniper</v>
      </c>
      <c r="X2125" s="2">
        <f t="shared" si="169"/>
        <v>12.520971302428256</v>
      </c>
    </row>
    <row r="2126" spans="1:24" x14ac:dyDescent="0.3">
      <c r="A2126">
        <v>1075</v>
      </c>
      <c r="B2126">
        <v>376</v>
      </c>
      <c r="C2126" t="s">
        <v>39</v>
      </c>
      <c r="D2126" t="s">
        <v>17</v>
      </c>
      <c r="E2126" t="s">
        <v>23</v>
      </c>
      <c r="F2126" t="s">
        <v>19</v>
      </c>
      <c r="G2126">
        <v>14</v>
      </c>
      <c r="H2126">
        <v>9</v>
      </c>
      <c r="I2126">
        <v>15</v>
      </c>
      <c r="J2126">
        <v>50.35</v>
      </c>
      <c r="K2126">
        <v>207.37</v>
      </c>
      <c r="L2126">
        <v>0.04</v>
      </c>
      <c r="M2126">
        <v>46.77</v>
      </c>
      <c r="N2126">
        <v>0.87</v>
      </c>
      <c r="O2126" t="s">
        <v>20</v>
      </c>
      <c r="P2126" t="s">
        <v>21</v>
      </c>
      <c r="Q2126">
        <f t="shared" si="165"/>
        <v>8</v>
      </c>
      <c r="R2126" s="4">
        <f>RANK(N2126,$N$2:N$2800,0)</f>
        <v>1965</v>
      </c>
      <c r="S2126">
        <f t="shared" si="166"/>
        <v>0.93333333333333335</v>
      </c>
      <c r="T2126" t="str">
        <f t="shared" si="167"/>
        <v>Low</v>
      </c>
      <c r="U2126" t="str" cm="1">
        <f t="array" ref="U2126">_xlfn.LET(_xlpm.roles,_xlfn.UNIQUE(D2126:D4924),_xlpm.kills, SUMIF(D2126:D4924,_xlpm.roles,G2126:G4924),INDEX(_xlpm.roles,MATCH(MAX(_xlpm.kills),_xlpm.kills,0)))</f>
        <v>Sniper</v>
      </c>
      <c r="V2126" t="str">
        <f t="shared" si="168"/>
        <v>High Accuracy</v>
      </c>
      <c r="W2126" t="str" cm="1">
        <f t="array" ref="W2126">_xlfn.LET(_xlpm.roles,_xlfn.UNIQUE(D2126:D4924), _xlpm.counts,COUNTIF(D2126:D4924,_xlpm.roles), INDEX(_xlpm.roles,MATCH(MAX(_xlpm.counts),_xlpm.counts,0)))</f>
        <v>Sniper</v>
      </c>
      <c r="X2126" s="2">
        <f t="shared" si="169"/>
        <v>13.103594080338267</v>
      </c>
    </row>
    <row r="2127" spans="1:24" x14ac:dyDescent="0.3">
      <c r="A2127">
        <v>773</v>
      </c>
      <c r="B2127">
        <v>377</v>
      </c>
      <c r="C2127" t="s">
        <v>25</v>
      </c>
      <c r="D2127" t="s">
        <v>31</v>
      </c>
      <c r="E2127" t="s">
        <v>29</v>
      </c>
      <c r="F2127" t="s">
        <v>26</v>
      </c>
      <c r="G2127">
        <v>13</v>
      </c>
      <c r="H2127">
        <v>9</v>
      </c>
      <c r="I2127">
        <v>10</v>
      </c>
      <c r="J2127">
        <v>44.58</v>
      </c>
      <c r="K2127">
        <v>198.45</v>
      </c>
      <c r="L2127">
        <v>0.83</v>
      </c>
      <c r="M2127">
        <v>38.99</v>
      </c>
      <c r="N2127">
        <v>0.77</v>
      </c>
      <c r="O2127" t="s">
        <v>20</v>
      </c>
      <c r="P2127" t="s">
        <v>21</v>
      </c>
      <c r="Q2127">
        <f t="shared" si="165"/>
        <v>12</v>
      </c>
      <c r="R2127" s="4">
        <f>RANK(N2127,$N$2:N$2800,0)</f>
        <v>2511</v>
      </c>
      <c r="S2127">
        <f t="shared" si="166"/>
        <v>1.3</v>
      </c>
      <c r="T2127" t="str">
        <f t="shared" si="167"/>
        <v>Low</v>
      </c>
      <c r="U2127" t="str" cm="1">
        <f t="array" ref="U2127">_xlfn.LET(_xlpm.roles,_xlfn.UNIQUE(D2127:D4925),_xlpm.kills, SUMIF(D2127:D4925,_xlpm.roles,G2127:G4925),INDEX(_xlpm.roles,MATCH(MAX(_xlpm.kills),_xlpm.kills,0)))</f>
        <v>Sniper</v>
      </c>
      <c r="V2127" t="str">
        <f t="shared" si="168"/>
        <v>Medium Accuracy</v>
      </c>
      <c r="W2127" t="str" cm="1">
        <f t="array" ref="W2127">_xlfn.LET(_xlpm.roles,_xlfn.UNIQUE(D2127:D4925), _xlpm.counts,COUNTIF(D2127:D4925,_xlpm.roles), INDEX(_xlpm.roles,MATCH(MAX(_xlpm.counts),_xlpm.counts,0)))</f>
        <v>Sniper</v>
      </c>
      <c r="X2127" s="2">
        <f t="shared" si="169"/>
        <v>12.809421841541756</v>
      </c>
    </row>
    <row r="2128" spans="1:24" x14ac:dyDescent="0.3">
      <c r="A2128">
        <v>988</v>
      </c>
      <c r="B2128">
        <v>377</v>
      </c>
      <c r="C2128" t="s">
        <v>35</v>
      </c>
      <c r="D2128" t="s">
        <v>28</v>
      </c>
      <c r="E2128" t="s">
        <v>29</v>
      </c>
      <c r="F2128" t="s">
        <v>24</v>
      </c>
      <c r="G2128">
        <v>15</v>
      </c>
      <c r="H2128">
        <v>8</v>
      </c>
      <c r="I2128">
        <v>5</v>
      </c>
      <c r="J2128">
        <v>41.65</v>
      </c>
      <c r="K2128">
        <v>256.18</v>
      </c>
      <c r="L2128">
        <v>0.86</v>
      </c>
      <c r="M2128">
        <v>45.23</v>
      </c>
      <c r="N2128">
        <v>0.95</v>
      </c>
      <c r="O2128" t="s">
        <v>20</v>
      </c>
      <c r="P2128" t="s">
        <v>21</v>
      </c>
      <c r="Q2128">
        <f t="shared" si="165"/>
        <v>18</v>
      </c>
      <c r="R2128" s="4">
        <f>RANK(N2128,$N$2:N$2800,0)</f>
        <v>1367</v>
      </c>
      <c r="S2128">
        <f t="shared" si="166"/>
        <v>3</v>
      </c>
      <c r="T2128" t="str">
        <f t="shared" si="167"/>
        <v>Good</v>
      </c>
      <c r="U2128" t="str" cm="1">
        <f t="array" ref="U2128">_xlfn.LET(_xlpm.roles,_xlfn.UNIQUE(D2128:D4926),_xlpm.kills, SUMIF(D2128:D4926,_xlpm.roles,G2128:G4926),INDEX(_xlpm.roles,MATCH(MAX(_xlpm.kills),_xlpm.kills,0)))</f>
        <v>Sniper</v>
      </c>
      <c r="V2128" t="str">
        <f t="shared" si="168"/>
        <v>Medium Accuracy</v>
      </c>
      <c r="W2128" t="str" cm="1">
        <f t="array" ref="W2128">_xlfn.LET(_xlpm.roles,_xlfn.UNIQUE(D2128:D4926), _xlpm.counts,COUNTIF(D2128:D4926,_xlpm.roles), INDEX(_xlpm.roles,MATCH(MAX(_xlpm.counts),_xlpm.counts,0)))</f>
        <v>Sniper</v>
      </c>
      <c r="X2128" s="2">
        <f t="shared" si="169"/>
        <v>12.599585062240664</v>
      </c>
    </row>
    <row r="2129" spans="1:24" x14ac:dyDescent="0.3">
      <c r="A2129">
        <v>1337</v>
      </c>
      <c r="B2129">
        <v>377</v>
      </c>
      <c r="C2129" t="s">
        <v>25</v>
      </c>
      <c r="D2129" t="s">
        <v>36</v>
      </c>
      <c r="E2129" t="s">
        <v>29</v>
      </c>
      <c r="F2129" t="s">
        <v>37</v>
      </c>
      <c r="G2129">
        <v>14</v>
      </c>
      <c r="H2129">
        <v>6</v>
      </c>
      <c r="I2129">
        <v>16</v>
      </c>
      <c r="J2129">
        <v>43.71</v>
      </c>
      <c r="K2129">
        <v>205.77</v>
      </c>
      <c r="L2129">
        <v>0.62</v>
      </c>
      <c r="M2129">
        <v>33.659999999999997</v>
      </c>
      <c r="N2129">
        <v>0.8</v>
      </c>
      <c r="O2129" t="s">
        <v>20</v>
      </c>
      <c r="P2129" t="s">
        <v>21</v>
      </c>
      <c r="Q2129">
        <f t="shared" si="165"/>
        <v>4</v>
      </c>
      <c r="R2129" s="4">
        <f>RANK(N2129,$N$2:N$2800,0)</f>
        <v>2393</v>
      </c>
      <c r="S2129">
        <f t="shared" si="166"/>
        <v>0.875</v>
      </c>
      <c r="T2129" t="str">
        <f t="shared" si="167"/>
        <v>Low</v>
      </c>
      <c r="U2129" t="str" cm="1">
        <f t="array" ref="U2129">_xlfn.LET(_xlpm.roles,_xlfn.UNIQUE(D2129:D4927),_xlpm.kills, SUMIF(D2129:D4927,_xlpm.roles,G2129:G4927),INDEX(_xlpm.roles,MATCH(MAX(_xlpm.kills),_xlpm.kills,0)))</f>
        <v>Sniper</v>
      </c>
      <c r="V2129" t="str">
        <f t="shared" si="168"/>
        <v>Medium Accuracy</v>
      </c>
      <c r="W2129" t="str" cm="1">
        <f t="array" ref="W2129">_xlfn.LET(_xlpm.roles,_xlfn.UNIQUE(D2129:D4927), _xlpm.counts,COUNTIF(D2129:D4927,_xlpm.roles), INDEX(_xlpm.roles,MATCH(MAX(_xlpm.counts),_xlpm.counts,0)))</f>
        <v>Sniper</v>
      </c>
      <c r="X2129" s="2">
        <f t="shared" si="169"/>
        <v>12.809421841541756</v>
      </c>
    </row>
    <row r="2130" spans="1:24" x14ac:dyDescent="0.3">
      <c r="A2130">
        <v>1590</v>
      </c>
      <c r="B2130">
        <v>377</v>
      </c>
      <c r="C2130" t="s">
        <v>39</v>
      </c>
      <c r="D2130" t="s">
        <v>31</v>
      </c>
      <c r="E2130" t="s">
        <v>32</v>
      </c>
      <c r="F2130" t="s">
        <v>19</v>
      </c>
      <c r="G2130">
        <v>14</v>
      </c>
      <c r="H2130">
        <v>7</v>
      </c>
      <c r="I2130">
        <v>11</v>
      </c>
      <c r="J2130">
        <v>44.49</v>
      </c>
      <c r="K2130">
        <v>214.83</v>
      </c>
      <c r="L2130">
        <v>0.77</v>
      </c>
      <c r="M2130">
        <v>38.549999999999997</v>
      </c>
      <c r="N2130">
        <v>0.83</v>
      </c>
      <c r="O2130" t="s">
        <v>20</v>
      </c>
      <c r="P2130" t="s">
        <v>21</v>
      </c>
      <c r="Q2130">
        <f t="shared" si="165"/>
        <v>10</v>
      </c>
      <c r="R2130" s="4">
        <f>RANK(N2130,$N$2:N$2800,0)</f>
        <v>2218</v>
      </c>
      <c r="S2130">
        <f t="shared" si="166"/>
        <v>1.2727272727272727</v>
      </c>
      <c r="T2130" t="str">
        <f t="shared" si="167"/>
        <v>Low</v>
      </c>
      <c r="U2130" t="str" cm="1">
        <f t="array" ref="U2130">_xlfn.LET(_xlpm.roles,_xlfn.UNIQUE(D2130:D4928),_xlpm.kills, SUMIF(D2130:D4928,_xlpm.roles,G2130:G4928),INDEX(_xlpm.roles,MATCH(MAX(_xlpm.kills),_xlpm.kills,0)))</f>
        <v>Sniper</v>
      </c>
      <c r="V2130" t="str">
        <f t="shared" si="168"/>
        <v>Medium Accuracy</v>
      </c>
      <c r="W2130" t="str" cm="1">
        <f t="array" ref="W2130">_xlfn.LET(_xlpm.roles,_xlfn.UNIQUE(D2130:D4928), _xlpm.counts,COUNTIF(D2130:D4928,_xlpm.roles), INDEX(_xlpm.roles,MATCH(MAX(_xlpm.counts),_xlpm.counts,0)))</f>
        <v>Sniper</v>
      </c>
      <c r="X2130" s="2">
        <f t="shared" si="169"/>
        <v>13.103594080338267</v>
      </c>
    </row>
    <row r="2131" spans="1:24" x14ac:dyDescent="0.3">
      <c r="A2131">
        <v>1655</v>
      </c>
      <c r="B2131">
        <v>377</v>
      </c>
      <c r="C2131" t="s">
        <v>35</v>
      </c>
      <c r="D2131" t="s">
        <v>31</v>
      </c>
      <c r="E2131" t="s">
        <v>23</v>
      </c>
      <c r="F2131" t="s">
        <v>19</v>
      </c>
      <c r="G2131">
        <v>17</v>
      </c>
      <c r="H2131">
        <v>8</v>
      </c>
      <c r="I2131">
        <v>8</v>
      </c>
      <c r="J2131">
        <v>46.14</v>
      </c>
      <c r="K2131">
        <v>180.76</v>
      </c>
      <c r="L2131">
        <v>0.71</v>
      </c>
      <c r="M2131">
        <v>49.97</v>
      </c>
      <c r="N2131">
        <v>0.95</v>
      </c>
      <c r="O2131" t="s">
        <v>20</v>
      </c>
      <c r="P2131" t="s">
        <v>21</v>
      </c>
      <c r="Q2131">
        <f t="shared" si="165"/>
        <v>17</v>
      </c>
      <c r="R2131" s="4">
        <f>RANK(N2131,$N$2:N$2800,0)</f>
        <v>1367</v>
      </c>
      <c r="S2131">
        <f t="shared" si="166"/>
        <v>2.125</v>
      </c>
      <c r="T2131" t="str">
        <f t="shared" si="167"/>
        <v>Good</v>
      </c>
      <c r="U2131" t="str" cm="1">
        <f t="array" ref="U2131">_xlfn.LET(_xlpm.roles,_xlfn.UNIQUE(D2131:D4929),_xlpm.kills, SUMIF(D2131:D4929,_xlpm.roles,G2131:G4929),INDEX(_xlpm.roles,MATCH(MAX(_xlpm.kills),_xlpm.kills,0)))</f>
        <v>Sniper</v>
      </c>
      <c r="V2131" t="str">
        <f t="shared" si="168"/>
        <v>Medium Accuracy</v>
      </c>
      <c r="W2131" t="str" cm="1">
        <f t="array" ref="W2131">_xlfn.LET(_xlpm.roles,_xlfn.UNIQUE(D2131:D4929), _xlpm.counts,COUNTIF(D2131:D4929,_xlpm.roles), INDEX(_xlpm.roles,MATCH(MAX(_xlpm.counts),_xlpm.counts,0)))</f>
        <v>Sniper</v>
      </c>
      <c r="X2131" s="2">
        <f t="shared" si="169"/>
        <v>12.599585062240664</v>
      </c>
    </row>
    <row r="2132" spans="1:24" x14ac:dyDescent="0.3">
      <c r="A2132">
        <v>1732</v>
      </c>
      <c r="B2132">
        <v>377</v>
      </c>
      <c r="C2132" t="s">
        <v>25</v>
      </c>
      <c r="D2132" t="s">
        <v>22</v>
      </c>
      <c r="E2132" t="s">
        <v>18</v>
      </c>
      <c r="F2132" t="s">
        <v>24</v>
      </c>
      <c r="G2132">
        <v>20</v>
      </c>
      <c r="H2132">
        <v>5</v>
      </c>
      <c r="I2132">
        <v>11</v>
      </c>
      <c r="J2132">
        <v>36.39</v>
      </c>
      <c r="K2132">
        <v>162.62</v>
      </c>
      <c r="L2132">
        <v>0.34</v>
      </c>
      <c r="M2132">
        <v>48.8</v>
      </c>
      <c r="N2132">
        <v>1</v>
      </c>
      <c r="O2132" t="s">
        <v>20</v>
      </c>
      <c r="P2132" t="s">
        <v>21</v>
      </c>
      <c r="Q2132">
        <f t="shared" si="165"/>
        <v>14</v>
      </c>
      <c r="R2132" s="4">
        <f>RANK(N2132,$N$2:N$2800,0)</f>
        <v>1</v>
      </c>
      <c r="S2132">
        <f t="shared" si="166"/>
        <v>1.8181818181818181</v>
      </c>
      <c r="T2132" t="str">
        <f t="shared" si="167"/>
        <v>Low</v>
      </c>
      <c r="U2132" t="str" cm="1">
        <f t="array" ref="U2132">_xlfn.LET(_xlpm.roles,_xlfn.UNIQUE(D2132:D4930),_xlpm.kills, SUMIF(D2132:D4930,_xlpm.roles,G2132:G4930),INDEX(_xlpm.roles,MATCH(MAX(_xlpm.kills),_xlpm.kills,0)))</f>
        <v>Sniper</v>
      </c>
      <c r="V2132" t="str">
        <f t="shared" si="168"/>
        <v>Medium Accuracy</v>
      </c>
      <c r="W2132" t="str" cm="1">
        <f t="array" ref="W2132">_xlfn.LET(_xlpm.roles,_xlfn.UNIQUE(D2132:D4930), _xlpm.counts,COUNTIF(D2132:D4930,_xlpm.roles), INDEX(_xlpm.roles,MATCH(MAX(_xlpm.counts),_xlpm.counts,0)))</f>
        <v>Sniper</v>
      </c>
      <c r="X2132" s="2">
        <f t="shared" si="169"/>
        <v>12.809421841541756</v>
      </c>
    </row>
    <row r="2133" spans="1:24" x14ac:dyDescent="0.3">
      <c r="A2133">
        <v>1942</v>
      </c>
      <c r="B2133">
        <v>377</v>
      </c>
      <c r="C2133" t="s">
        <v>16</v>
      </c>
      <c r="D2133" t="s">
        <v>36</v>
      </c>
      <c r="E2133" t="s">
        <v>29</v>
      </c>
      <c r="F2133" t="s">
        <v>19</v>
      </c>
      <c r="G2133">
        <v>8</v>
      </c>
      <c r="H2133">
        <v>14</v>
      </c>
      <c r="I2133">
        <v>8</v>
      </c>
      <c r="J2133">
        <v>46.62</v>
      </c>
      <c r="K2133">
        <v>176.64</v>
      </c>
      <c r="L2133">
        <v>0.18</v>
      </c>
      <c r="M2133">
        <v>43.51</v>
      </c>
      <c r="N2133">
        <v>0.87</v>
      </c>
      <c r="O2133" t="s">
        <v>20</v>
      </c>
      <c r="P2133" t="s">
        <v>21</v>
      </c>
      <c r="Q2133">
        <f t="shared" si="165"/>
        <v>14</v>
      </c>
      <c r="R2133" s="4">
        <f>RANK(N2133,$N$2:N$2800,0)</f>
        <v>1965</v>
      </c>
      <c r="S2133">
        <f t="shared" si="166"/>
        <v>1</v>
      </c>
      <c r="T2133" t="str">
        <f t="shared" si="167"/>
        <v>Low</v>
      </c>
      <c r="U2133" t="str" cm="1">
        <f t="array" ref="U2133">_xlfn.LET(_xlpm.roles,_xlfn.UNIQUE(D2133:D4931),_xlpm.kills, SUMIF(D2133:D4931,_xlpm.roles,G2133:G4931),INDEX(_xlpm.roles,MATCH(MAX(_xlpm.kills),_xlpm.kills,0)))</f>
        <v>Sniper</v>
      </c>
      <c r="V2133" t="str">
        <f t="shared" si="168"/>
        <v>Medium Accuracy</v>
      </c>
      <c r="W2133" t="str" cm="1">
        <f t="array" ref="W2133">_xlfn.LET(_xlpm.roles,_xlfn.UNIQUE(D2133:D4931), _xlpm.counts,COUNTIF(D2133:D4931,_xlpm.roles), INDEX(_xlpm.roles,MATCH(MAX(_xlpm.counts),_xlpm.counts,0)))</f>
        <v>Sniper</v>
      </c>
      <c r="X2133" s="2">
        <f t="shared" si="169"/>
        <v>12.520971302428256</v>
      </c>
    </row>
    <row r="2134" spans="1:24" x14ac:dyDescent="0.3">
      <c r="A2134">
        <v>2285</v>
      </c>
      <c r="B2134">
        <v>377</v>
      </c>
      <c r="C2134" t="s">
        <v>39</v>
      </c>
      <c r="D2134" t="s">
        <v>31</v>
      </c>
      <c r="E2134" t="s">
        <v>29</v>
      </c>
      <c r="F2134" t="s">
        <v>34</v>
      </c>
      <c r="G2134">
        <v>14</v>
      </c>
      <c r="H2134">
        <v>3</v>
      </c>
      <c r="I2134">
        <v>10</v>
      </c>
      <c r="J2134">
        <v>31.08</v>
      </c>
      <c r="K2134">
        <v>162.6</v>
      </c>
      <c r="L2134">
        <v>0.38</v>
      </c>
      <c r="M2134">
        <v>32.74</v>
      </c>
      <c r="N2134">
        <v>1</v>
      </c>
      <c r="O2134" t="s">
        <v>20</v>
      </c>
      <c r="P2134" t="s">
        <v>21</v>
      </c>
      <c r="Q2134">
        <f t="shared" si="165"/>
        <v>7</v>
      </c>
      <c r="R2134" s="4">
        <f>RANK(N2134,$N$2:N$2800,0)</f>
        <v>1</v>
      </c>
      <c r="S2134">
        <f t="shared" si="166"/>
        <v>1.4</v>
      </c>
      <c r="T2134" t="str">
        <f t="shared" si="167"/>
        <v>Low</v>
      </c>
      <c r="U2134" t="str" cm="1">
        <f t="array" ref="U2134">_xlfn.LET(_xlpm.roles,_xlfn.UNIQUE(D2134:D4932),_xlpm.kills, SUMIF(D2134:D4932,_xlpm.roles,G2134:G4932),INDEX(_xlpm.roles,MATCH(MAX(_xlpm.kills),_xlpm.kills,0)))</f>
        <v>Sniper</v>
      </c>
      <c r="V2134" t="str">
        <f t="shared" si="168"/>
        <v>Medium Accuracy</v>
      </c>
      <c r="W2134" t="str" cm="1">
        <f t="array" ref="W2134">_xlfn.LET(_xlpm.roles,_xlfn.UNIQUE(D2134:D4932), _xlpm.counts,COUNTIF(D2134:D4932,_xlpm.roles), INDEX(_xlpm.roles,MATCH(MAX(_xlpm.counts),_xlpm.counts,0)))</f>
        <v>Sniper</v>
      </c>
      <c r="X2134" s="2">
        <f t="shared" si="169"/>
        <v>13.103594080338267</v>
      </c>
    </row>
    <row r="2135" spans="1:24" x14ac:dyDescent="0.3">
      <c r="A2135">
        <v>1101</v>
      </c>
      <c r="B2135">
        <v>378</v>
      </c>
      <c r="C2135" t="s">
        <v>25</v>
      </c>
      <c r="D2135" t="s">
        <v>17</v>
      </c>
      <c r="E2135" t="s">
        <v>33</v>
      </c>
      <c r="F2135" t="s">
        <v>26</v>
      </c>
      <c r="G2135">
        <v>17</v>
      </c>
      <c r="H2135">
        <v>8</v>
      </c>
      <c r="I2135">
        <v>10</v>
      </c>
      <c r="J2135">
        <v>50</v>
      </c>
      <c r="K2135">
        <v>254.93</v>
      </c>
      <c r="L2135">
        <v>0.43</v>
      </c>
      <c r="M2135">
        <v>52.7</v>
      </c>
      <c r="N2135">
        <v>1</v>
      </c>
      <c r="O2135" t="s">
        <v>20</v>
      </c>
      <c r="P2135" t="s">
        <v>21</v>
      </c>
      <c r="Q2135">
        <f t="shared" si="165"/>
        <v>15</v>
      </c>
      <c r="R2135" s="4">
        <f>RANK(N2135,$N$2:N$2800,0)</f>
        <v>1</v>
      </c>
      <c r="S2135">
        <f t="shared" si="166"/>
        <v>1.7</v>
      </c>
      <c r="T2135" t="str">
        <f t="shared" si="167"/>
        <v>Good</v>
      </c>
      <c r="U2135" t="str" cm="1">
        <f t="array" ref="U2135">_xlfn.LET(_xlpm.roles,_xlfn.UNIQUE(D2135:D4933),_xlpm.kills, SUMIF(D2135:D4933,_xlpm.roles,G2135:G4933),INDEX(_xlpm.roles,MATCH(MAX(_xlpm.kills),_xlpm.kills,0)))</f>
        <v>Sniper</v>
      </c>
      <c r="V2135" t="str">
        <f t="shared" si="168"/>
        <v>High Accuracy</v>
      </c>
      <c r="W2135" t="str" cm="1">
        <f t="array" ref="W2135">_xlfn.LET(_xlpm.roles,_xlfn.UNIQUE(D2135:D4933), _xlpm.counts,COUNTIF(D2135:D4933,_xlpm.roles), INDEX(_xlpm.roles,MATCH(MAX(_xlpm.counts),_xlpm.counts,0)))</f>
        <v>Sniper</v>
      </c>
      <c r="X2135" s="2">
        <f t="shared" si="169"/>
        <v>12.809421841541756</v>
      </c>
    </row>
    <row r="2136" spans="1:24" x14ac:dyDescent="0.3">
      <c r="A2136">
        <v>1341</v>
      </c>
      <c r="B2136">
        <v>378</v>
      </c>
      <c r="C2136" t="s">
        <v>25</v>
      </c>
      <c r="D2136" t="s">
        <v>31</v>
      </c>
      <c r="E2136" t="s">
        <v>32</v>
      </c>
      <c r="F2136" t="s">
        <v>37</v>
      </c>
      <c r="G2136">
        <v>22</v>
      </c>
      <c r="H2136">
        <v>7</v>
      </c>
      <c r="I2136">
        <v>10</v>
      </c>
      <c r="J2136">
        <v>51.88</v>
      </c>
      <c r="K2136">
        <v>200.73</v>
      </c>
      <c r="L2136">
        <v>0.67</v>
      </c>
      <c r="M2136">
        <v>60.24</v>
      </c>
      <c r="N2136">
        <v>1</v>
      </c>
      <c r="O2136" t="s">
        <v>20</v>
      </c>
      <c r="P2136" t="s">
        <v>38</v>
      </c>
      <c r="Q2136">
        <f t="shared" si="165"/>
        <v>19</v>
      </c>
      <c r="R2136" s="4">
        <f>RANK(N2136,$N$2:N$2800,0)</f>
        <v>1</v>
      </c>
      <c r="S2136">
        <f t="shared" si="166"/>
        <v>2.2000000000000002</v>
      </c>
      <c r="T2136" t="str">
        <f t="shared" si="167"/>
        <v>Good</v>
      </c>
      <c r="U2136" t="str" cm="1">
        <f t="array" ref="U2136">_xlfn.LET(_xlpm.roles,_xlfn.UNIQUE(D2136:D4934),_xlpm.kills, SUMIF(D2136:D4934,_xlpm.roles,G2136:G4934),INDEX(_xlpm.roles,MATCH(MAX(_xlpm.kills),_xlpm.kills,0)))</f>
        <v>Sniper</v>
      </c>
      <c r="V2136" t="str">
        <f t="shared" si="168"/>
        <v>High Accuracy</v>
      </c>
      <c r="W2136" t="str" cm="1">
        <f t="array" ref="W2136">_xlfn.LET(_xlpm.roles,_xlfn.UNIQUE(D2136:D4934), _xlpm.counts,COUNTIF(D2136:D4934,_xlpm.roles), INDEX(_xlpm.roles,MATCH(MAX(_xlpm.counts),_xlpm.counts,0)))</f>
        <v>Sniper</v>
      </c>
      <c r="X2136" s="2">
        <f t="shared" si="169"/>
        <v>12.809421841541756</v>
      </c>
    </row>
    <row r="2137" spans="1:24" x14ac:dyDescent="0.3">
      <c r="A2137">
        <v>2395</v>
      </c>
      <c r="B2137">
        <v>378</v>
      </c>
      <c r="C2137" t="s">
        <v>35</v>
      </c>
      <c r="D2137" t="s">
        <v>31</v>
      </c>
      <c r="E2137" t="s">
        <v>33</v>
      </c>
      <c r="F2137" t="s">
        <v>24</v>
      </c>
      <c r="G2137">
        <v>6</v>
      </c>
      <c r="H2137">
        <v>9</v>
      </c>
      <c r="I2137">
        <v>10</v>
      </c>
      <c r="J2137">
        <v>39.61</v>
      </c>
      <c r="K2137">
        <v>216.4</v>
      </c>
      <c r="L2137">
        <v>0.86</v>
      </c>
      <c r="M2137">
        <v>22.2</v>
      </c>
      <c r="N2137">
        <v>0.76</v>
      </c>
      <c r="O2137" t="s">
        <v>20</v>
      </c>
      <c r="P2137" t="s">
        <v>21</v>
      </c>
      <c r="Q2137">
        <f t="shared" si="165"/>
        <v>5</v>
      </c>
      <c r="R2137" s="4">
        <f>RANK(N2137,$N$2:N$2800,0)</f>
        <v>2547</v>
      </c>
      <c r="S2137">
        <f t="shared" si="166"/>
        <v>0.6</v>
      </c>
      <c r="T2137" t="str">
        <f t="shared" si="167"/>
        <v>Low</v>
      </c>
      <c r="U2137" t="str" cm="1">
        <f t="array" ref="U2137">_xlfn.LET(_xlpm.roles,_xlfn.UNIQUE(D2137:D4935),_xlpm.kills, SUMIF(D2137:D4935,_xlpm.roles,G2137:G4935),INDEX(_xlpm.roles,MATCH(MAX(_xlpm.kills),_xlpm.kills,0)))</f>
        <v>Sniper</v>
      </c>
      <c r="V2137" t="str">
        <f t="shared" si="168"/>
        <v>Medium Accuracy</v>
      </c>
      <c r="W2137" t="str" cm="1">
        <f t="array" ref="W2137">_xlfn.LET(_xlpm.roles,_xlfn.UNIQUE(D2137:D4935), _xlpm.counts,COUNTIF(D2137:D4935,_xlpm.roles), INDEX(_xlpm.roles,MATCH(MAX(_xlpm.counts),_xlpm.counts,0)))</f>
        <v>Sniper</v>
      </c>
      <c r="X2137" s="2">
        <f t="shared" si="169"/>
        <v>12.599585062240664</v>
      </c>
    </row>
    <row r="2138" spans="1:24" x14ac:dyDescent="0.3">
      <c r="A2138">
        <v>2481</v>
      </c>
      <c r="B2138">
        <v>378</v>
      </c>
      <c r="C2138" t="s">
        <v>35</v>
      </c>
      <c r="D2138" t="s">
        <v>31</v>
      </c>
      <c r="E2138" t="s">
        <v>33</v>
      </c>
      <c r="F2138" t="s">
        <v>24</v>
      </c>
      <c r="G2138">
        <v>14</v>
      </c>
      <c r="H2138">
        <v>5</v>
      </c>
      <c r="I2138">
        <v>9</v>
      </c>
      <c r="J2138">
        <v>30.79</v>
      </c>
      <c r="K2138">
        <v>227.67</v>
      </c>
      <c r="L2138">
        <v>0.87</v>
      </c>
      <c r="M2138">
        <v>30.69</v>
      </c>
      <c r="N2138">
        <v>0.73</v>
      </c>
      <c r="O2138" t="s">
        <v>20</v>
      </c>
      <c r="P2138" t="s">
        <v>21</v>
      </c>
      <c r="Q2138">
        <f t="shared" si="165"/>
        <v>10</v>
      </c>
      <c r="R2138" s="4">
        <f>RANK(N2138,$N$2:N$2800,0)</f>
        <v>2642</v>
      </c>
      <c r="S2138">
        <f t="shared" si="166"/>
        <v>1.5555555555555556</v>
      </c>
      <c r="T2138" t="str">
        <f t="shared" si="167"/>
        <v>Low</v>
      </c>
      <c r="U2138" t="str" cm="1">
        <f t="array" ref="U2138">_xlfn.LET(_xlpm.roles,_xlfn.UNIQUE(D2138:D4936),_xlpm.kills, SUMIF(D2138:D4936,_xlpm.roles,G2138:G4936),INDEX(_xlpm.roles,MATCH(MAX(_xlpm.kills),_xlpm.kills,0)))</f>
        <v>Sniper</v>
      </c>
      <c r="V2138" t="str">
        <f t="shared" si="168"/>
        <v>Medium Accuracy</v>
      </c>
      <c r="W2138" t="str" cm="1">
        <f t="array" ref="W2138">_xlfn.LET(_xlpm.roles,_xlfn.UNIQUE(D2138:D4936), _xlpm.counts,COUNTIF(D2138:D4936,_xlpm.roles), INDEX(_xlpm.roles,MATCH(MAX(_xlpm.counts),_xlpm.counts,0)))</f>
        <v>Sniper</v>
      </c>
      <c r="X2138" s="2">
        <f t="shared" si="169"/>
        <v>12.599585062240664</v>
      </c>
    </row>
    <row r="2139" spans="1:24" x14ac:dyDescent="0.3">
      <c r="A2139">
        <v>147</v>
      </c>
      <c r="B2139">
        <v>379</v>
      </c>
      <c r="C2139" t="s">
        <v>35</v>
      </c>
      <c r="D2139" t="s">
        <v>17</v>
      </c>
      <c r="E2139" t="s">
        <v>29</v>
      </c>
      <c r="F2139" t="s">
        <v>37</v>
      </c>
      <c r="G2139">
        <v>13</v>
      </c>
      <c r="H2139">
        <v>6</v>
      </c>
      <c r="I2139">
        <v>11</v>
      </c>
      <c r="J2139">
        <v>32.14</v>
      </c>
      <c r="K2139">
        <v>225.54</v>
      </c>
      <c r="L2139">
        <v>0.5</v>
      </c>
      <c r="M2139">
        <v>32.07</v>
      </c>
      <c r="N2139">
        <v>0.77</v>
      </c>
      <c r="O2139" t="s">
        <v>20</v>
      </c>
      <c r="P2139" t="s">
        <v>21</v>
      </c>
      <c r="Q2139">
        <f t="shared" si="165"/>
        <v>8</v>
      </c>
      <c r="R2139" s="4">
        <f>RANK(N2139,$N$2:N$2800,0)</f>
        <v>2511</v>
      </c>
      <c r="S2139">
        <f t="shared" si="166"/>
        <v>1.1818181818181819</v>
      </c>
      <c r="T2139" t="str">
        <f t="shared" si="167"/>
        <v>Low</v>
      </c>
      <c r="U2139" t="str" cm="1">
        <f t="array" ref="U2139">_xlfn.LET(_xlpm.roles,_xlfn.UNIQUE(D2139:D4937),_xlpm.kills, SUMIF(D2139:D4937,_xlpm.roles,G2139:G4937),INDEX(_xlpm.roles,MATCH(MAX(_xlpm.kills),_xlpm.kills,0)))</f>
        <v>Sniper</v>
      </c>
      <c r="V2139" t="str">
        <f t="shared" si="168"/>
        <v>Medium Accuracy</v>
      </c>
      <c r="W2139" t="str" cm="1">
        <f t="array" ref="W2139">_xlfn.LET(_xlpm.roles,_xlfn.UNIQUE(D2139:D4937), _xlpm.counts,COUNTIF(D2139:D4937,_xlpm.roles), INDEX(_xlpm.roles,MATCH(MAX(_xlpm.counts),_xlpm.counts,0)))</f>
        <v>Sniper</v>
      </c>
      <c r="X2139" s="2">
        <f t="shared" si="169"/>
        <v>12.599585062240664</v>
      </c>
    </row>
    <row r="2140" spans="1:24" x14ac:dyDescent="0.3">
      <c r="A2140">
        <v>252</v>
      </c>
      <c r="B2140">
        <v>379</v>
      </c>
      <c r="C2140" t="s">
        <v>16</v>
      </c>
      <c r="D2140" t="s">
        <v>22</v>
      </c>
      <c r="E2140" t="s">
        <v>29</v>
      </c>
      <c r="F2140" t="s">
        <v>34</v>
      </c>
      <c r="G2140">
        <v>13</v>
      </c>
      <c r="H2140">
        <v>6</v>
      </c>
      <c r="I2140">
        <v>7</v>
      </c>
      <c r="J2140">
        <v>36.67</v>
      </c>
      <c r="K2140">
        <v>257.58999999999997</v>
      </c>
      <c r="L2140">
        <v>0.34</v>
      </c>
      <c r="M2140">
        <v>39.94</v>
      </c>
      <c r="N2140">
        <v>0.85</v>
      </c>
      <c r="O2140" t="s">
        <v>20</v>
      </c>
      <c r="P2140" t="s">
        <v>21</v>
      </c>
      <c r="Q2140">
        <f t="shared" si="165"/>
        <v>12</v>
      </c>
      <c r="R2140" s="4">
        <f>RANK(N2140,$N$2:N$2800,0)</f>
        <v>2105</v>
      </c>
      <c r="S2140">
        <f t="shared" si="166"/>
        <v>1.8571428571428572</v>
      </c>
      <c r="T2140" t="str">
        <f t="shared" si="167"/>
        <v>Low</v>
      </c>
      <c r="U2140" t="str" cm="1">
        <f t="array" ref="U2140">_xlfn.LET(_xlpm.roles,_xlfn.UNIQUE(D2140:D4938),_xlpm.kills, SUMIF(D2140:D4938,_xlpm.roles,G2140:G4938),INDEX(_xlpm.roles,MATCH(MAX(_xlpm.kills),_xlpm.kills,0)))</f>
        <v>Sniper</v>
      </c>
      <c r="V2140" t="str">
        <f t="shared" si="168"/>
        <v>Medium Accuracy</v>
      </c>
      <c r="W2140" t="str" cm="1">
        <f t="array" ref="W2140">_xlfn.LET(_xlpm.roles,_xlfn.UNIQUE(D2140:D4938), _xlpm.counts,COUNTIF(D2140:D4938,_xlpm.roles), INDEX(_xlpm.roles,MATCH(MAX(_xlpm.counts),_xlpm.counts,0)))</f>
        <v>Sniper</v>
      </c>
      <c r="X2140" s="2">
        <f t="shared" si="169"/>
        <v>12.520971302428256</v>
      </c>
    </row>
    <row r="2141" spans="1:24" x14ac:dyDescent="0.3">
      <c r="A2141">
        <v>1127</v>
      </c>
      <c r="B2141">
        <v>379</v>
      </c>
      <c r="C2141" t="s">
        <v>16</v>
      </c>
      <c r="D2141" t="s">
        <v>22</v>
      </c>
      <c r="E2141" t="s">
        <v>18</v>
      </c>
      <c r="F2141" t="s">
        <v>34</v>
      </c>
      <c r="G2141">
        <v>10</v>
      </c>
      <c r="H2141">
        <v>5</v>
      </c>
      <c r="I2141">
        <v>10</v>
      </c>
      <c r="J2141">
        <v>46.73</v>
      </c>
      <c r="K2141">
        <v>223.49</v>
      </c>
      <c r="L2141">
        <v>0.35</v>
      </c>
      <c r="M2141">
        <v>34.86</v>
      </c>
      <c r="N2141">
        <v>0.82</v>
      </c>
      <c r="O2141" t="s">
        <v>20</v>
      </c>
      <c r="P2141" t="s">
        <v>21</v>
      </c>
      <c r="Q2141">
        <f t="shared" si="165"/>
        <v>5</v>
      </c>
      <c r="R2141" s="4">
        <f>RANK(N2141,$N$2:N$2800,0)</f>
        <v>2275</v>
      </c>
      <c r="S2141">
        <f t="shared" si="166"/>
        <v>1</v>
      </c>
      <c r="T2141" t="str">
        <f t="shared" si="167"/>
        <v>Low</v>
      </c>
      <c r="U2141" t="str" cm="1">
        <f t="array" ref="U2141">_xlfn.LET(_xlpm.roles,_xlfn.UNIQUE(D2141:D4939),_xlpm.kills, SUMIF(D2141:D4939,_xlpm.roles,G2141:G4939),INDEX(_xlpm.roles,MATCH(MAX(_xlpm.kills),_xlpm.kills,0)))</f>
        <v>Sniper</v>
      </c>
      <c r="V2141" t="str">
        <f t="shared" si="168"/>
        <v>Medium Accuracy</v>
      </c>
      <c r="W2141" t="str" cm="1">
        <f t="array" ref="W2141">_xlfn.LET(_xlpm.roles,_xlfn.UNIQUE(D2141:D4939), _xlpm.counts,COUNTIF(D2141:D4939,_xlpm.roles), INDEX(_xlpm.roles,MATCH(MAX(_xlpm.counts),_xlpm.counts,0)))</f>
        <v>Sniper</v>
      </c>
      <c r="X2141" s="2">
        <f t="shared" si="169"/>
        <v>12.520971302428256</v>
      </c>
    </row>
    <row r="2142" spans="1:24" x14ac:dyDescent="0.3">
      <c r="A2142">
        <v>1459</v>
      </c>
      <c r="B2142">
        <v>379</v>
      </c>
      <c r="C2142" t="s">
        <v>25</v>
      </c>
      <c r="D2142" t="s">
        <v>28</v>
      </c>
      <c r="E2142" t="s">
        <v>18</v>
      </c>
      <c r="F2142" t="s">
        <v>37</v>
      </c>
      <c r="G2142">
        <v>11</v>
      </c>
      <c r="H2142">
        <v>7</v>
      </c>
      <c r="I2142">
        <v>9</v>
      </c>
      <c r="J2142">
        <v>47.22</v>
      </c>
      <c r="K2142">
        <v>290.33</v>
      </c>
      <c r="L2142">
        <v>0.43</v>
      </c>
      <c r="M2142">
        <v>39.31</v>
      </c>
      <c r="N2142">
        <v>0.89</v>
      </c>
      <c r="O2142" t="s">
        <v>20</v>
      </c>
      <c r="P2142" t="s">
        <v>21</v>
      </c>
      <c r="Q2142">
        <f t="shared" si="165"/>
        <v>9</v>
      </c>
      <c r="R2142" s="4">
        <f>RANK(N2142,$N$2:N$2800,0)</f>
        <v>1815</v>
      </c>
      <c r="S2142">
        <f t="shared" si="166"/>
        <v>1.2222222222222223</v>
      </c>
      <c r="T2142" t="str">
        <f t="shared" si="167"/>
        <v>Low</v>
      </c>
      <c r="U2142" t="str" cm="1">
        <f t="array" ref="U2142">_xlfn.LET(_xlpm.roles,_xlfn.UNIQUE(D2142:D4940),_xlpm.kills, SUMIF(D2142:D4940,_xlpm.roles,G2142:G4940),INDEX(_xlpm.roles,MATCH(MAX(_xlpm.kills),_xlpm.kills,0)))</f>
        <v>Sniper</v>
      </c>
      <c r="V2142" t="str">
        <f t="shared" si="168"/>
        <v>Medium Accuracy</v>
      </c>
      <c r="W2142" t="str" cm="1">
        <f t="array" ref="W2142">_xlfn.LET(_xlpm.roles,_xlfn.UNIQUE(D2142:D4940), _xlpm.counts,COUNTIF(D2142:D4940,_xlpm.roles), INDEX(_xlpm.roles,MATCH(MAX(_xlpm.counts),_xlpm.counts,0)))</f>
        <v>Sniper</v>
      </c>
      <c r="X2142" s="2">
        <f t="shared" si="169"/>
        <v>12.809421841541756</v>
      </c>
    </row>
    <row r="2143" spans="1:24" x14ac:dyDescent="0.3">
      <c r="A2143">
        <v>346</v>
      </c>
      <c r="B2143">
        <v>380</v>
      </c>
      <c r="C2143" t="s">
        <v>25</v>
      </c>
      <c r="D2143" t="s">
        <v>22</v>
      </c>
      <c r="E2143" t="s">
        <v>29</v>
      </c>
      <c r="F2143" t="s">
        <v>37</v>
      </c>
      <c r="G2143">
        <v>22</v>
      </c>
      <c r="H2143">
        <v>11</v>
      </c>
      <c r="I2143">
        <v>11</v>
      </c>
      <c r="J2143">
        <v>45.54</v>
      </c>
      <c r="K2143">
        <v>218.8</v>
      </c>
      <c r="L2143">
        <v>0.95</v>
      </c>
      <c r="M2143">
        <v>57.27</v>
      </c>
      <c r="N2143">
        <v>0.93</v>
      </c>
      <c r="O2143" t="s">
        <v>20</v>
      </c>
      <c r="P2143" t="s">
        <v>21</v>
      </c>
      <c r="Q2143">
        <f t="shared" si="165"/>
        <v>22</v>
      </c>
      <c r="R2143" s="4">
        <f>RANK(N2143,$N$2:N$2800,0)</f>
        <v>1505</v>
      </c>
      <c r="S2143">
        <f t="shared" si="166"/>
        <v>2</v>
      </c>
      <c r="T2143" t="str">
        <f t="shared" si="167"/>
        <v>Good</v>
      </c>
      <c r="U2143" t="str" cm="1">
        <f t="array" ref="U2143">_xlfn.LET(_xlpm.roles,_xlfn.UNIQUE(D2143:D4941),_xlpm.kills, SUMIF(D2143:D4941,_xlpm.roles,G2143:G4941),INDEX(_xlpm.roles,MATCH(MAX(_xlpm.kills),_xlpm.kills,0)))</f>
        <v>Sniper</v>
      </c>
      <c r="V2143" t="str">
        <f t="shared" si="168"/>
        <v>Medium Accuracy</v>
      </c>
      <c r="W2143" t="str" cm="1">
        <f t="array" ref="W2143">_xlfn.LET(_xlpm.roles,_xlfn.UNIQUE(D2143:D4941), _xlpm.counts,COUNTIF(D2143:D4941,_xlpm.roles), INDEX(_xlpm.roles,MATCH(MAX(_xlpm.counts),_xlpm.counts,0)))</f>
        <v>Sniper</v>
      </c>
      <c r="X2143" s="2">
        <f t="shared" si="169"/>
        <v>12.809421841541756</v>
      </c>
    </row>
    <row r="2144" spans="1:24" x14ac:dyDescent="0.3">
      <c r="A2144">
        <v>586</v>
      </c>
      <c r="B2144">
        <v>380</v>
      </c>
      <c r="C2144" t="s">
        <v>30</v>
      </c>
      <c r="D2144" t="s">
        <v>17</v>
      </c>
      <c r="E2144" t="s">
        <v>29</v>
      </c>
      <c r="F2144" t="s">
        <v>34</v>
      </c>
      <c r="G2144">
        <v>22</v>
      </c>
      <c r="H2144">
        <v>6</v>
      </c>
      <c r="I2144">
        <v>17</v>
      </c>
      <c r="J2144">
        <v>52.22</v>
      </c>
      <c r="K2144">
        <v>230.89</v>
      </c>
      <c r="L2144">
        <v>0.36</v>
      </c>
      <c r="M2144">
        <v>55.51</v>
      </c>
      <c r="N2144">
        <v>1</v>
      </c>
      <c r="O2144" t="s">
        <v>20</v>
      </c>
      <c r="P2144" t="s">
        <v>21</v>
      </c>
      <c r="Q2144">
        <f t="shared" si="165"/>
        <v>11</v>
      </c>
      <c r="R2144" s="4">
        <f>RANK(N2144,$N$2:N$2800,0)</f>
        <v>1</v>
      </c>
      <c r="S2144">
        <f t="shared" si="166"/>
        <v>1.2941176470588236</v>
      </c>
      <c r="T2144" t="str">
        <f t="shared" si="167"/>
        <v>Low</v>
      </c>
      <c r="U2144" t="str" cm="1">
        <f t="array" ref="U2144">_xlfn.LET(_xlpm.roles,_xlfn.UNIQUE(D2144:D4942),_xlpm.kills, SUMIF(D2144:D4942,_xlpm.roles,G2144:G4942),INDEX(_xlpm.roles,MATCH(MAX(_xlpm.kills),_xlpm.kills,0)))</f>
        <v>Sniper</v>
      </c>
      <c r="V2144" t="str">
        <f t="shared" si="168"/>
        <v>High Accuracy</v>
      </c>
      <c r="W2144" t="str" cm="1">
        <f t="array" ref="W2144">_xlfn.LET(_xlpm.roles,_xlfn.UNIQUE(D2144:D4942), _xlpm.counts,COUNTIF(D2144:D4942,_xlpm.roles), INDEX(_xlpm.roles,MATCH(MAX(_xlpm.counts),_xlpm.counts,0)))</f>
        <v>Sniper</v>
      </c>
      <c r="X2144" s="2">
        <f t="shared" si="169"/>
        <v>13.135802469135802</v>
      </c>
    </row>
    <row r="2145" spans="1:24" x14ac:dyDescent="0.3">
      <c r="A2145">
        <v>952</v>
      </c>
      <c r="B2145">
        <v>380</v>
      </c>
      <c r="C2145" t="s">
        <v>16</v>
      </c>
      <c r="D2145" t="s">
        <v>28</v>
      </c>
      <c r="E2145" t="s">
        <v>33</v>
      </c>
      <c r="F2145" t="s">
        <v>19</v>
      </c>
      <c r="G2145">
        <v>18</v>
      </c>
      <c r="H2145">
        <v>13</v>
      </c>
      <c r="I2145">
        <v>12</v>
      </c>
      <c r="J2145">
        <v>50.04</v>
      </c>
      <c r="K2145">
        <v>222.18</v>
      </c>
      <c r="L2145">
        <v>0.89</v>
      </c>
      <c r="M2145">
        <v>53.12</v>
      </c>
      <c r="N2145">
        <v>1</v>
      </c>
      <c r="O2145" t="s">
        <v>20</v>
      </c>
      <c r="P2145" t="s">
        <v>21</v>
      </c>
      <c r="Q2145">
        <f t="shared" si="165"/>
        <v>19</v>
      </c>
      <c r="R2145" s="4">
        <f>RANK(N2145,$N$2:N$2800,0)</f>
        <v>1</v>
      </c>
      <c r="S2145">
        <f t="shared" si="166"/>
        <v>1.5</v>
      </c>
      <c r="T2145" t="str">
        <f t="shared" si="167"/>
        <v>Good</v>
      </c>
      <c r="U2145" t="str" cm="1">
        <f t="array" ref="U2145">_xlfn.LET(_xlpm.roles,_xlfn.UNIQUE(D2145:D4943),_xlpm.kills, SUMIF(D2145:D4943,_xlpm.roles,G2145:G4943),INDEX(_xlpm.roles,MATCH(MAX(_xlpm.kills),_xlpm.kills,0)))</f>
        <v>Sniper</v>
      </c>
      <c r="V2145" t="str">
        <f t="shared" si="168"/>
        <v>High Accuracy</v>
      </c>
      <c r="W2145" t="str" cm="1">
        <f t="array" ref="W2145">_xlfn.LET(_xlpm.roles,_xlfn.UNIQUE(D2145:D4943), _xlpm.counts,COUNTIF(D2145:D4943,_xlpm.roles), INDEX(_xlpm.roles,MATCH(MAX(_xlpm.counts),_xlpm.counts,0)))</f>
        <v>Sniper</v>
      </c>
      <c r="X2145" s="2">
        <f t="shared" si="169"/>
        <v>12.520971302428256</v>
      </c>
    </row>
    <row r="2146" spans="1:24" x14ac:dyDescent="0.3">
      <c r="A2146">
        <v>1218</v>
      </c>
      <c r="B2146">
        <v>380</v>
      </c>
      <c r="C2146" t="s">
        <v>39</v>
      </c>
      <c r="D2146" t="s">
        <v>36</v>
      </c>
      <c r="E2146" t="s">
        <v>18</v>
      </c>
      <c r="F2146" t="s">
        <v>19</v>
      </c>
      <c r="G2146">
        <v>22</v>
      </c>
      <c r="H2146">
        <v>12</v>
      </c>
      <c r="I2146">
        <v>11</v>
      </c>
      <c r="J2146">
        <v>50.41</v>
      </c>
      <c r="K2146">
        <v>209.16</v>
      </c>
      <c r="L2146">
        <v>0.08</v>
      </c>
      <c r="M2146">
        <v>69.41</v>
      </c>
      <c r="N2146">
        <v>1</v>
      </c>
      <c r="O2146" t="s">
        <v>20</v>
      </c>
      <c r="P2146" t="s">
        <v>38</v>
      </c>
      <c r="Q2146">
        <f t="shared" si="165"/>
        <v>23</v>
      </c>
      <c r="R2146" s="4">
        <f>RANK(N2146,$N$2:N$2800,0)</f>
        <v>1</v>
      </c>
      <c r="S2146">
        <f t="shared" si="166"/>
        <v>2</v>
      </c>
      <c r="T2146" t="str">
        <f t="shared" si="167"/>
        <v>Good</v>
      </c>
      <c r="U2146" t="str" cm="1">
        <f t="array" ref="U2146">_xlfn.LET(_xlpm.roles,_xlfn.UNIQUE(D2146:D4944),_xlpm.kills, SUMIF(D2146:D4944,_xlpm.roles,G2146:G4944),INDEX(_xlpm.roles,MATCH(MAX(_xlpm.kills),_xlpm.kills,0)))</f>
        <v>Sniper</v>
      </c>
      <c r="V2146" t="str">
        <f t="shared" si="168"/>
        <v>High Accuracy</v>
      </c>
      <c r="W2146" t="str" cm="1">
        <f t="array" ref="W2146">_xlfn.LET(_xlpm.roles,_xlfn.UNIQUE(D2146:D4944), _xlpm.counts,COUNTIF(D2146:D4944,_xlpm.roles), INDEX(_xlpm.roles,MATCH(MAX(_xlpm.counts),_xlpm.counts,0)))</f>
        <v>Sniper</v>
      </c>
      <c r="X2146" s="2">
        <f t="shared" si="169"/>
        <v>13.103594080338267</v>
      </c>
    </row>
    <row r="2147" spans="1:24" x14ac:dyDescent="0.3">
      <c r="A2147">
        <v>1772</v>
      </c>
      <c r="B2147">
        <v>380</v>
      </c>
      <c r="C2147" t="s">
        <v>16</v>
      </c>
      <c r="D2147" t="s">
        <v>22</v>
      </c>
      <c r="E2147" t="s">
        <v>32</v>
      </c>
      <c r="F2147" t="s">
        <v>26</v>
      </c>
      <c r="G2147">
        <v>15</v>
      </c>
      <c r="H2147">
        <v>4</v>
      </c>
      <c r="I2147">
        <v>11</v>
      </c>
      <c r="J2147">
        <v>47.56</v>
      </c>
      <c r="K2147">
        <v>232.92</v>
      </c>
      <c r="L2147">
        <v>0.8</v>
      </c>
      <c r="M2147">
        <v>38.78</v>
      </c>
      <c r="N2147">
        <v>0.85</v>
      </c>
      <c r="O2147" t="s">
        <v>20</v>
      </c>
      <c r="P2147" t="s">
        <v>21</v>
      </c>
      <c r="Q2147">
        <f t="shared" si="165"/>
        <v>8</v>
      </c>
      <c r="R2147" s="4">
        <f>RANK(N2147,$N$2:N$2800,0)</f>
        <v>2105</v>
      </c>
      <c r="S2147">
        <f t="shared" si="166"/>
        <v>1.3636363636363635</v>
      </c>
      <c r="T2147" t="str">
        <f t="shared" si="167"/>
        <v>Low</v>
      </c>
      <c r="U2147" t="str" cm="1">
        <f t="array" ref="U2147">_xlfn.LET(_xlpm.roles,_xlfn.UNIQUE(D2147:D4945),_xlpm.kills, SUMIF(D2147:D4945,_xlpm.roles,G2147:G4945),INDEX(_xlpm.roles,MATCH(MAX(_xlpm.kills),_xlpm.kills,0)))</f>
        <v>Sniper</v>
      </c>
      <c r="V2147" t="str">
        <f t="shared" si="168"/>
        <v>Medium Accuracy</v>
      </c>
      <c r="W2147" t="str" cm="1">
        <f t="array" ref="W2147">_xlfn.LET(_xlpm.roles,_xlfn.UNIQUE(D2147:D4945), _xlpm.counts,COUNTIF(D2147:D4945,_xlpm.roles), INDEX(_xlpm.roles,MATCH(MAX(_xlpm.counts),_xlpm.counts,0)))</f>
        <v>Sniper</v>
      </c>
      <c r="X2147" s="2">
        <f t="shared" si="169"/>
        <v>12.520971302428256</v>
      </c>
    </row>
    <row r="2148" spans="1:24" x14ac:dyDescent="0.3">
      <c r="A2148">
        <v>1886</v>
      </c>
      <c r="B2148">
        <v>380</v>
      </c>
      <c r="C2148" t="s">
        <v>30</v>
      </c>
      <c r="D2148" t="s">
        <v>28</v>
      </c>
      <c r="E2148" t="s">
        <v>29</v>
      </c>
      <c r="F2148" t="s">
        <v>26</v>
      </c>
      <c r="G2148">
        <v>13</v>
      </c>
      <c r="H2148">
        <v>5</v>
      </c>
      <c r="I2148">
        <v>11</v>
      </c>
      <c r="J2148">
        <v>37.03</v>
      </c>
      <c r="K2148">
        <v>204.2</v>
      </c>
      <c r="L2148">
        <v>0.81</v>
      </c>
      <c r="M2148">
        <v>30.41</v>
      </c>
      <c r="N2148">
        <v>0.91</v>
      </c>
      <c r="O2148" t="s">
        <v>20</v>
      </c>
      <c r="P2148" t="s">
        <v>21</v>
      </c>
      <c r="Q2148">
        <f t="shared" si="165"/>
        <v>7</v>
      </c>
      <c r="R2148" s="4">
        <f>RANK(N2148,$N$2:N$2800,0)</f>
        <v>1665</v>
      </c>
      <c r="S2148">
        <f t="shared" si="166"/>
        <v>1.1818181818181819</v>
      </c>
      <c r="T2148" t="str">
        <f t="shared" si="167"/>
        <v>Low</v>
      </c>
      <c r="U2148" t="str" cm="1">
        <f t="array" ref="U2148">_xlfn.LET(_xlpm.roles,_xlfn.UNIQUE(D2148:D4946),_xlpm.kills, SUMIF(D2148:D4946,_xlpm.roles,G2148:G4946),INDEX(_xlpm.roles,MATCH(MAX(_xlpm.kills),_xlpm.kills,0)))</f>
        <v>Sniper</v>
      </c>
      <c r="V2148" t="str">
        <f t="shared" si="168"/>
        <v>Medium Accuracy</v>
      </c>
      <c r="W2148" t="str" cm="1">
        <f t="array" ref="W2148">_xlfn.LET(_xlpm.roles,_xlfn.UNIQUE(D2148:D4946), _xlpm.counts,COUNTIF(D2148:D4946,_xlpm.roles), INDEX(_xlpm.roles,MATCH(MAX(_xlpm.counts),_xlpm.counts,0)))</f>
        <v>Sniper</v>
      </c>
      <c r="X2148" s="2">
        <f t="shared" si="169"/>
        <v>13.135802469135802</v>
      </c>
    </row>
    <row r="2149" spans="1:24" x14ac:dyDescent="0.3">
      <c r="A2149">
        <v>2798</v>
      </c>
      <c r="B2149">
        <v>380</v>
      </c>
      <c r="C2149" t="s">
        <v>30</v>
      </c>
      <c r="D2149" t="s">
        <v>22</v>
      </c>
      <c r="E2149" t="s">
        <v>29</v>
      </c>
      <c r="F2149" t="s">
        <v>24</v>
      </c>
      <c r="G2149">
        <v>20</v>
      </c>
      <c r="H2149">
        <v>9</v>
      </c>
      <c r="I2149">
        <v>4</v>
      </c>
      <c r="J2149">
        <v>26.73</v>
      </c>
      <c r="K2149">
        <v>220.69</v>
      </c>
      <c r="L2149">
        <v>0.22</v>
      </c>
      <c r="M2149">
        <v>56.16</v>
      </c>
      <c r="N2149">
        <v>1</v>
      </c>
      <c r="O2149" t="s">
        <v>20</v>
      </c>
      <c r="P2149" t="s">
        <v>21</v>
      </c>
      <c r="Q2149">
        <f t="shared" si="165"/>
        <v>25</v>
      </c>
      <c r="R2149" s="4">
        <f>RANK(N2149,$N$2:N$2800,0)</f>
        <v>1</v>
      </c>
      <c r="S2149">
        <f t="shared" si="166"/>
        <v>5</v>
      </c>
      <c r="T2149" t="str">
        <f t="shared" si="167"/>
        <v>Excellent</v>
      </c>
      <c r="U2149" t="str" cm="1">
        <f t="array" ref="U2149">_xlfn.LET(_xlpm.roles,_xlfn.UNIQUE(D2149:D4947),_xlpm.kills, SUMIF(D2149:D4947,_xlpm.roles,G2149:G4947),INDEX(_xlpm.roles,MATCH(MAX(_xlpm.kills),_xlpm.kills,0)))</f>
        <v>Sniper</v>
      </c>
      <c r="V2149" t="str">
        <f t="shared" si="168"/>
        <v>Low Accuracy</v>
      </c>
      <c r="W2149" t="str" cm="1">
        <f t="array" ref="W2149">_xlfn.LET(_xlpm.roles,_xlfn.UNIQUE(D2149:D4947), _xlpm.counts,COUNTIF(D2149:D4947,_xlpm.roles), INDEX(_xlpm.roles,MATCH(MAX(_xlpm.counts),_xlpm.counts,0)))</f>
        <v>Sniper</v>
      </c>
      <c r="X2149" s="2">
        <f t="shared" si="169"/>
        <v>13.135802469135802</v>
      </c>
    </row>
    <row r="2150" spans="1:24" x14ac:dyDescent="0.3">
      <c r="A2150">
        <v>891</v>
      </c>
      <c r="B2150">
        <v>382</v>
      </c>
      <c r="C2150" t="s">
        <v>30</v>
      </c>
      <c r="D2150" t="s">
        <v>22</v>
      </c>
      <c r="E2150" t="s">
        <v>23</v>
      </c>
      <c r="F2150" t="s">
        <v>37</v>
      </c>
      <c r="G2150">
        <v>21</v>
      </c>
      <c r="H2150">
        <v>3</v>
      </c>
      <c r="I2150">
        <v>10</v>
      </c>
      <c r="J2150">
        <v>46.08</v>
      </c>
      <c r="K2150">
        <v>176.58</v>
      </c>
      <c r="L2150">
        <v>0.2</v>
      </c>
      <c r="M2150">
        <v>56.04</v>
      </c>
      <c r="N2150">
        <v>1</v>
      </c>
      <c r="O2150" t="s">
        <v>20</v>
      </c>
      <c r="P2150" t="s">
        <v>21</v>
      </c>
      <c r="Q2150">
        <f t="shared" si="165"/>
        <v>14</v>
      </c>
      <c r="R2150" s="4">
        <f>RANK(N2150,$N$2:N$2800,0)</f>
        <v>1</v>
      </c>
      <c r="S2150">
        <f t="shared" si="166"/>
        <v>2.1</v>
      </c>
      <c r="T2150" t="str">
        <f t="shared" si="167"/>
        <v>Low</v>
      </c>
      <c r="U2150" t="str" cm="1">
        <f t="array" ref="U2150">_xlfn.LET(_xlpm.roles,_xlfn.UNIQUE(D2150:D4948),_xlpm.kills, SUMIF(D2150:D4948,_xlpm.roles,G2150:G4948),INDEX(_xlpm.roles,MATCH(MAX(_xlpm.kills),_xlpm.kills,0)))</f>
        <v>Sniper</v>
      </c>
      <c r="V2150" t="str">
        <f t="shared" si="168"/>
        <v>Medium Accuracy</v>
      </c>
      <c r="W2150" t="str" cm="1">
        <f t="array" ref="W2150">_xlfn.LET(_xlpm.roles,_xlfn.UNIQUE(D2150:D4948), _xlpm.counts,COUNTIF(D2150:D4948,_xlpm.roles), INDEX(_xlpm.roles,MATCH(MAX(_xlpm.counts),_xlpm.counts,0)))</f>
        <v>Sniper</v>
      </c>
      <c r="X2150" s="2">
        <f t="shared" si="169"/>
        <v>13.135802469135802</v>
      </c>
    </row>
    <row r="2151" spans="1:24" x14ac:dyDescent="0.3">
      <c r="A2151">
        <v>1242</v>
      </c>
      <c r="B2151">
        <v>382</v>
      </c>
      <c r="C2151" t="s">
        <v>39</v>
      </c>
      <c r="D2151" t="s">
        <v>22</v>
      </c>
      <c r="E2151" t="s">
        <v>29</v>
      </c>
      <c r="F2151" t="s">
        <v>26</v>
      </c>
      <c r="G2151">
        <v>14</v>
      </c>
      <c r="H2151">
        <v>11</v>
      </c>
      <c r="I2151">
        <v>10</v>
      </c>
      <c r="J2151">
        <v>33.57</v>
      </c>
      <c r="K2151">
        <v>215.77</v>
      </c>
      <c r="L2151">
        <v>0.98</v>
      </c>
      <c r="M2151">
        <v>35.979999999999997</v>
      </c>
      <c r="N2151">
        <v>0.91</v>
      </c>
      <c r="O2151" t="s">
        <v>20</v>
      </c>
      <c r="P2151" t="s">
        <v>21</v>
      </c>
      <c r="Q2151">
        <f t="shared" si="165"/>
        <v>15</v>
      </c>
      <c r="R2151" s="4">
        <f>RANK(N2151,$N$2:N$2800,0)</f>
        <v>1665</v>
      </c>
      <c r="S2151">
        <f t="shared" si="166"/>
        <v>1.4</v>
      </c>
      <c r="T2151" t="str">
        <f t="shared" si="167"/>
        <v>Good</v>
      </c>
      <c r="U2151" t="str" cm="1">
        <f t="array" ref="U2151">_xlfn.LET(_xlpm.roles,_xlfn.UNIQUE(D2151:D4949),_xlpm.kills, SUMIF(D2151:D4949,_xlpm.roles,G2151:G4949),INDEX(_xlpm.roles,MATCH(MAX(_xlpm.kills),_xlpm.kills,0)))</f>
        <v>Sniper</v>
      </c>
      <c r="V2151" t="str">
        <f t="shared" si="168"/>
        <v>Medium Accuracy</v>
      </c>
      <c r="W2151" t="str" cm="1">
        <f t="array" ref="W2151">_xlfn.LET(_xlpm.roles,_xlfn.UNIQUE(D2151:D4949), _xlpm.counts,COUNTIF(D2151:D4949,_xlpm.roles), INDEX(_xlpm.roles,MATCH(MAX(_xlpm.counts),_xlpm.counts,0)))</f>
        <v>Sniper</v>
      </c>
      <c r="X2151" s="2">
        <f t="shared" si="169"/>
        <v>13.103594080338267</v>
      </c>
    </row>
    <row r="2152" spans="1:24" x14ac:dyDescent="0.3">
      <c r="A2152">
        <v>1329</v>
      </c>
      <c r="B2152">
        <v>382</v>
      </c>
      <c r="C2152" t="s">
        <v>16</v>
      </c>
      <c r="D2152" t="s">
        <v>17</v>
      </c>
      <c r="E2152" t="s">
        <v>33</v>
      </c>
      <c r="F2152" t="s">
        <v>37</v>
      </c>
      <c r="G2152">
        <v>12</v>
      </c>
      <c r="H2152">
        <v>4</v>
      </c>
      <c r="I2152">
        <v>11</v>
      </c>
      <c r="J2152">
        <v>28.91</v>
      </c>
      <c r="K2152">
        <v>194.53</v>
      </c>
      <c r="L2152">
        <v>0.65</v>
      </c>
      <c r="M2152">
        <v>24.95</v>
      </c>
      <c r="N2152">
        <v>0.8</v>
      </c>
      <c r="O2152" t="s">
        <v>20</v>
      </c>
      <c r="P2152" t="s">
        <v>21</v>
      </c>
      <c r="Q2152">
        <f t="shared" si="165"/>
        <v>5</v>
      </c>
      <c r="R2152" s="4">
        <f>RANK(N2152,$N$2:N$2800,0)</f>
        <v>2393</v>
      </c>
      <c r="S2152">
        <f t="shared" si="166"/>
        <v>1.0909090909090908</v>
      </c>
      <c r="T2152" t="str">
        <f t="shared" si="167"/>
        <v>Low</v>
      </c>
      <c r="U2152" t="str" cm="1">
        <f t="array" ref="U2152">_xlfn.LET(_xlpm.roles,_xlfn.UNIQUE(D2152:D4950),_xlpm.kills, SUMIF(D2152:D4950,_xlpm.roles,G2152:G4950),INDEX(_xlpm.roles,MATCH(MAX(_xlpm.kills),_xlpm.kills,0)))</f>
        <v>Sniper</v>
      </c>
      <c r="V2152" t="str">
        <f t="shared" si="168"/>
        <v>Low Accuracy</v>
      </c>
      <c r="W2152" t="str" cm="1">
        <f t="array" ref="W2152">_xlfn.LET(_xlpm.roles,_xlfn.UNIQUE(D2152:D4950), _xlpm.counts,COUNTIF(D2152:D4950,_xlpm.roles), INDEX(_xlpm.roles,MATCH(MAX(_xlpm.counts),_xlpm.counts,0)))</f>
        <v>Sniper</v>
      </c>
      <c r="X2152" s="2">
        <f t="shared" si="169"/>
        <v>12.520971302428256</v>
      </c>
    </row>
    <row r="2153" spans="1:24" x14ac:dyDescent="0.3">
      <c r="A2153">
        <v>1385</v>
      </c>
      <c r="B2153">
        <v>382</v>
      </c>
      <c r="C2153" t="s">
        <v>35</v>
      </c>
      <c r="D2153" t="s">
        <v>31</v>
      </c>
      <c r="E2153" t="s">
        <v>18</v>
      </c>
      <c r="F2153" t="s">
        <v>24</v>
      </c>
      <c r="G2153">
        <v>12</v>
      </c>
      <c r="H2153">
        <v>10</v>
      </c>
      <c r="I2153">
        <v>8</v>
      </c>
      <c r="J2153">
        <v>39.450000000000003</v>
      </c>
      <c r="K2153">
        <v>198.4</v>
      </c>
      <c r="L2153">
        <v>0.52</v>
      </c>
      <c r="M2153">
        <v>40.520000000000003</v>
      </c>
      <c r="N2153">
        <v>0.74</v>
      </c>
      <c r="O2153" t="s">
        <v>20</v>
      </c>
      <c r="P2153" t="s">
        <v>21</v>
      </c>
      <c r="Q2153">
        <f t="shared" si="165"/>
        <v>14</v>
      </c>
      <c r="R2153" s="4">
        <f>RANK(N2153,$N$2:N$2800,0)</f>
        <v>2613</v>
      </c>
      <c r="S2153">
        <f t="shared" si="166"/>
        <v>1.5</v>
      </c>
      <c r="T2153" t="str">
        <f t="shared" si="167"/>
        <v>Low</v>
      </c>
      <c r="U2153" t="str" cm="1">
        <f t="array" ref="U2153">_xlfn.LET(_xlpm.roles,_xlfn.UNIQUE(D2153:D4951),_xlpm.kills, SUMIF(D2153:D4951,_xlpm.roles,G2153:G4951),INDEX(_xlpm.roles,MATCH(MAX(_xlpm.kills),_xlpm.kills,0)))</f>
        <v>Sniper</v>
      </c>
      <c r="V2153" t="str">
        <f t="shared" si="168"/>
        <v>Medium Accuracy</v>
      </c>
      <c r="W2153" t="str" cm="1">
        <f t="array" ref="W2153">_xlfn.LET(_xlpm.roles,_xlfn.UNIQUE(D2153:D4951), _xlpm.counts,COUNTIF(D2153:D4951,_xlpm.roles), INDEX(_xlpm.roles,MATCH(MAX(_xlpm.counts),_xlpm.counts,0)))</f>
        <v>Sniper</v>
      </c>
      <c r="X2153" s="2">
        <f t="shared" si="169"/>
        <v>12.599585062240664</v>
      </c>
    </row>
    <row r="2154" spans="1:24" x14ac:dyDescent="0.3">
      <c r="A2154">
        <v>2011</v>
      </c>
      <c r="B2154">
        <v>382</v>
      </c>
      <c r="C2154" t="s">
        <v>25</v>
      </c>
      <c r="D2154" t="s">
        <v>31</v>
      </c>
      <c r="E2154" t="s">
        <v>33</v>
      </c>
      <c r="F2154" t="s">
        <v>34</v>
      </c>
      <c r="G2154">
        <v>21</v>
      </c>
      <c r="H2154">
        <v>5</v>
      </c>
      <c r="I2154">
        <v>11</v>
      </c>
      <c r="J2154">
        <v>48.96</v>
      </c>
      <c r="K2154">
        <v>197.32</v>
      </c>
      <c r="L2154">
        <v>0.9</v>
      </c>
      <c r="M2154">
        <v>51.48</v>
      </c>
      <c r="N2154">
        <v>1</v>
      </c>
      <c r="O2154" t="s">
        <v>20</v>
      </c>
      <c r="P2154" t="s">
        <v>21</v>
      </c>
      <c r="Q2154">
        <f t="shared" si="165"/>
        <v>15</v>
      </c>
      <c r="R2154" s="4">
        <f>RANK(N2154,$N$2:N$2800,0)</f>
        <v>1</v>
      </c>
      <c r="S2154">
        <f t="shared" si="166"/>
        <v>1.9090909090909092</v>
      </c>
      <c r="T2154" t="str">
        <f t="shared" si="167"/>
        <v>Good</v>
      </c>
      <c r="U2154" t="str" cm="1">
        <f t="array" ref="U2154">_xlfn.LET(_xlpm.roles,_xlfn.UNIQUE(D2154:D4952),_xlpm.kills, SUMIF(D2154:D4952,_xlpm.roles,G2154:G4952),INDEX(_xlpm.roles,MATCH(MAX(_xlpm.kills),_xlpm.kills,0)))</f>
        <v>Sniper</v>
      </c>
      <c r="V2154" t="str">
        <f t="shared" si="168"/>
        <v>Medium Accuracy</v>
      </c>
      <c r="W2154" t="str" cm="1">
        <f t="array" ref="W2154">_xlfn.LET(_xlpm.roles,_xlfn.UNIQUE(D2154:D4952), _xlpm.counts,COUNTIF(D2154:D4952,_xlpm.roles), INDEX(_xlpm.roles,MATCH(MAX(_xlpm.counts),_xlpm.counts,0)))</f>
        <v>Sniper</v>
      </c>
      <c r="X2154" s="2">
        <f t="shared" si="169"/>
        <v>12.809421841541756</v>
      </c>
    </row>
    <row r="2155" spans="1:24" x14ac:dyDescent="0.3">
      <c r="A2155">
        <v>472</v>
      </c>
      <c r="B2155">
        <v>383</v>
      </c>
      <c r="C2155" t="s">
        <v>16</v>
      </c>
      <c r="D2155" t="s">
        <v>17</v>
      </c>
      <c r="E2155" t="s">
        <v>33</v>
      </c>
      <c r="F2155" t="s">
        <v>26</v>
      </c>
      <c r="G2155">
        <v>14</v>
      </c>
      <c r="H2155">
        <v>6</v>
      </c>
      <c r="I2155">
        <v>16</v>
      </c>
      <c r="J2155">
        <v>34.99</v>
      </c>
      <c r="K2155">
        <v>202.65</v>
      </c>
      <c r="L2155">
        <v>0.92</v>
      </c>
      <c r="M2155">
        <v>26.3</v>
      </c>
      <c r="N2155">
        <v>0.76</v>
      </c>
      <c r="O2155" t="s">
        <v>20</v>
      </c>
      <c r="P2155" t="s">
        <v>21</v>
      </c>
      <c r="Q2155">
        <f t="shared" si="165"/>
        <v>4</v>
      </c>
      <c r="R2155" s="4">
        <f>RANK(N2155,$N$2:N$2800,0)</f>
        <v>2547</v>
      </c>
      <c r="S2155">
        <f t="shared" si="166"/>
        <v>0.875</v>
      </c>
      <c r="T2155" t="str">
        <f t="shared" si="167"/>
        <v>Low</v>
      </c>
      <c r="U2155" t="str" cm="1">
        <f t="array" ref="U2155">_xlfn.LET(_xlpm.roles,_xlfn.UNIQUE(D2155:D4953),_xlpm.kills, SUMIF(D2155:D4953,_xlpm.roles,G2155:G4953),INDEX(_xlpm.roles,MATCH(MAX(_xlpm.kills),_xlpm.kills,0)))</f>
        <v>Sniper</v>
      </c>
      <c r="V2155" t="str">
        <f t="shared" si="168"/>
        <v>Medium Accuracy</v>
      </c>
      <c r="W2155" t="str" cm="1">
        <f t="array" ref="W2155">_xlfn.LET(_xlpm.roles,_xlfn.UNIQUE(D2155:D4953), _xlpm.counts,COUNTIF(D2155:D4953,_xlpm.roles), INDEX(_xlpm.roles,MATCH(MAX(_xlpm.counts),_xlpm.counts,0)))</f>
        <v>Sniper</v>
      </c>
      <c r="X2155" s="2">
        <f t="shared" si="169"/>
        <v>12.520971302428256</v>
      </c>
    </row>
    <row r="2156" spans="1:24" x14ac:dyDescent="0.3">
      <c r="A2156">
        <v>955</v>
      </c>
      <c r="B2156">
        <v>383</v>
      </c>
      <c r="C2156" t="s">
        <v>30</v>
      </c>
      <c r="D2156" t="s">
        <v>36</v>
      </c>
      <c r="E2156" t="s">
        <v>18</v>
      </c>
      <c r="F2156" t="s">
        <v>34</v>
      </c>
      <c r="G2156">
        <v>16</v>
      </c>
      <c r="H2156">
        <v>12</v>
      </c>
      <c r="I2156">
        <v>12</v>
      </c>
      <c r="J2156">
        <v>60.73</v>
      </c>
      <c r="K2156">
        <v>209.54</v>
      </c>
      <c r="L2156">
        <v>0.91</v>
      </c>
      <c r="M2156">
        <v>53.26</v>
      </c>
      <c r="N2156">
        <v>1</v>
      </c>
      <c r="O2156" t="s">
        <v>20</v>
      </c>
      <c r="P2156" t="s">
        <v>21</v>
      </c>
      <c r="Q2156">
        <f t="shared" si="165"/>
        <v>16</v>
      </c>
      <c r="R2156" s="4">
        <f>RANK(N2156,$N$2:N$2800,0)</f>
        <v>1</v>
      </c>
      <c r="S2156">
        <f t="shared" si="166"/>
        <v>1.3333333333333333</v>
      </c>
      <c r="T2156" t="str">
        <f t="shared" si="167"/>
        <v>Good</v>
      </c>
      <c r="U2156" t="str" cm="1">
        <f t="array" ref="U2156">_xlfn.LET(_xlpm.roles,_xlfn.UNIQUE(D2156:D4954),_xlpm.kills, SUMIF(D2156:D4954,_xlpm.roles,G2156:G4954),INDEX(_xlpm.roles,MATCH(MAX(_xlpm.kills),_xlpm.kills,0)))</f>
        <v>Sniper</v>
      </c>
      <c r="V2156" t="str">
        <f t="shared" si="168"/>
        <v>High Accuracy</v>
      </c>
      <c r="W2156" t="str" cm="1">
        <f t="array" ref="W2156">_xlfn.LET(_xlpm.roles,_xlfn.UNIQUE(D2156:D4954), _xlpm.counts,COUNTIF(D2156:D4954,_xlpm.roles), INDEX(_xlpm.roles,MATCH(MAX(_xlpm.counts),_xlpm.counts,0)))</f>
        <v>Sniper</v>
      </c>
      <c r="X2156" s="2">
        <f t="shared" si="169"/>
        <v>13.135802469135802</v>
      </c>
    </row>
    <row r="2157" spans="1:24" x14ac:dyDescent="0.3">
      <c r="A2157">
        <v>1197</v>
      </c>
      <c r="B2157">
        <v>383</v>
      </c>
      <c r="C2157" t="s">
        <v>35</v>
      </c>
      <c r="D2157" t="s">
        <v>36</v>
      </c>
      <c r="E2157" t="s">
        <v>32</v>
      </c>
      <c r="F2157" t="s">
        <v>26</v>
      </c>
      <c r="G2157">
        <v>15</v>
      </c>
      <c r="H2157">
        <v>11</v>
      </c>
      <c r="I2157">
        <v>8</v>
      </c>
      <c r="J2157">
        <v>36.75</v>
      </c>
      <c r="K2157">
        <v>193.32</v>
      </c>
      <c r="L2157">
        <v>0.64</v>
      </c>
      <c r="M2157">
        <v>44.98</v>
      </c>
      <c r="N2157">
        <v>0.96</v>
      </c>
      <c r="O2157" t="s">
        <v>20</v>
      </c>
      <c r="P2157" t="s">
        <v>21</v>
      </c>
      <c r="Q2157">
        <f t="shared" si="165"/>
        <v>18</v>
      </c>
      <c r="R2157" s="4">
        <f>RANK(N2157,$N$2:N$2800,0)</f>
        <v>1301</v>
      </c>
      <c r="S2157">
        <f t="shared" si="166"/>
        <v>1.875</v>
      </c>
      <c r="T2157" t="str">
        <f t="shared" si="167"/>
        <v>Good</v>
      </c>
      <c r="U2157" t="str" cm="1">
        <f t="array" ref="U2157">_xlfn.LET(_xlpm.roles,_xlfn.UNIQUE(D2157:D4955),_xlpm.kills, SUMIF(D2157:D4955,_xlpm.roles,G2157:G4955),INDEX(_xlpm.roles,MATCH(MAX(_xlpm.kills),_xlpm.kills,0)))</f>
        <v>Sniper</v>
      </c>
      <c r="V2157" t="str">
        <f t="shared" si="168"/>
        <v>Medium Accuracy</v>
      </c>
      <c r="W2157" t="str" cm="1">
        <f t="array" ref="W2157">_xlfn.LET(_xlpm.roles,_xlfn.UNIQUE(D2157:D4955), _xlpm.counts,COUNTIF(D2157:D4955,_xlpm.roles), INDEX(_xlpm.roles,MATCH(MAX(_xlpm.counts),_xlpm.counts,0)))</f>
        <v>Sniper</v>
      </c>
      <c r="X2157" s="2">
        <f t="shared" si="169"/>
        <v>12.599585062240664</v>
      </c>
    </row>
    <row r="2158" spans="1:24" x14ac:dyDescent="0.3">
      <c r="A2158">
        <v>1298</v>
      </c>
      <c r="B2158">
        <v>383</v>
      </c>
      <c r="C2158" t="s">
        <v>16</v>
      </c>
      <c r="D2158" t="s">
        <v>36</v>
      </c>
      <c r="E2158" t="s">
        <v>18</v>
      </c>
      <c r="F2158" t="s">
        <v>34</v>
      </c>
      <c r="G2158">
        <v>16</v>
      </c>
      <c r="H2158">
        <v>9</v>
      </c>
      <c r="I2158">
        <v>10</v>
      </c>
      <c r="J2158">
        <v>35.89</v>
      </c>
      <c r="K2158">
        <v>248.51</v>
      </c>
      <c r="L2158">
        <v>0.03</v>
      </c>
      <c r="M2158">
        <v>48.65</v>
      </c>
      <c r="N2158">
        <v>0.95</v>
      </c>
      <c r="O2158" t="s">
        <v>20</v>
      </c>
      <c r="P2158" t="s">
        <v>21</v>
      </c>
      <c r="Q2158">
        <f t="shared" si="165"/>
        <v>15</v>
      </c>
      <c r="R2158" s="4">
        <f>RANK(N2158,$N$2:N$2800,0)</f>
        <v>1367</v>
      </c>
      <c r="S2158">
        <f t="shared" si="166"/>
        <v>1.6</v>
      </c>
      <c r="T2158" t="str">
        <f t="shared" si="167"/>
        <v>Good</v>
      </c>
      <c r="U2158" t="str" cm="1">
        <f t="array" ref="U2158">_xlfn.LET(_xlpm.roles,_xlfn.UNIQUE(D2158:D4956),_xlpm.kills, SUMIF(D2158:D4956,_xlpm.roles,G2158:G4956),INDEX(_xlpm.roles,MATCH(MAX(_xlpm.kills),_xlpm.kills,0)))</f>
        <v>Sniper</v>
      </c>
      <c r="V2158" t="str">
        <f t="shared" si="168"/>
        <v>Medium Accuracy</v>
      </c>
      <c r="W2158" t="str" cm="1">
        <f t="array" ref="W2158">_xlfn.LET(_xlpm.roles,_xlfn.UNIQUE(D2158:D4956), _xlpm.counts,COUNTIF(D2158:D4956,_xlpm.roles), INDEX(_xlpm.roles,MATCH(MAX(_xlpm.counts),_xlpm.counts,0)))</f>
        <v>Sniper</v>
      </c>
      <c r="X2158" s="2">
        <f t="shared" si="169"/>
        <v>12.520971302428256</v>
      </c>
    </row>
    <row r="2159" spans="1:24" x14ac:dyDescent="0.3">
      <c r="A2159">
        <v>2345</v>
      </c>
      <c r="B2159">
        <v>383</v>
      </c>
      <c r="C2159" t="s">
        <v>39</v>
      </c>
      <c r="D2159" t="s">
        <v>36</v>
      </c>
      <c r="E2159" t="s">
        <v>23</v>
      </c>
      <c r="F2159" t="s">
        <v>19</v>
      </c>
      <c r="G2159">
        <v>21</v>
      </c>
      <c r="H2159">
        <v>6</v>
      </c>
      <c r="I2159">
        <v>6</v>
      </c>
      <c r="J2159">
        <v>37.229999999999997</v>
      </c>
      <c r="K2159">
        <v>234.39</v>
      </c>
      <c r="L2159">
        <v>0.6</v>
      </c>
      <c r="M2159">
        <v>54.61</v>
      </c>
      <c r="N2159">
        <v>1</v>
      </c>
      <c r="O2159" t="s">
        <v>20</v>
      </c>
      <c r="P2159" t="s">
        <v>21</v>
      </c>
      <c r="Q2159">
        <f t="shared" si="165"/>
        <v>21</v>
      </c>
      <c r="R2159" s="4">
        <f>RANK(N2159,$N$2:N$2800,0)</f>
        <v>1</v>
      </c>
      <c r="S2159">
        <f t="shared" si="166"/>
        <v>3.5</v>
      </c>
      <c r="T2159" t="str">
        <f t="shared" si="167"/>
        <v>Good</v>
      </c>
      <c r="U2159" t="str" cm="1">
        <f t="array" ref="U2159">_xlfn.LET(_xlpm.roles,_xlfn.UNIQUE(D2159:D4957),_xlpm.kills, SUMIF(D2159:D4957,_xlpm.roles,G2159:G4957),INDEX(_xlpm.roles,MATCH(MAX(_xlpm.kills),_xlpm.kills,0)))</f>
        <v>Sniper</v>
      </c>
      <c r="V2159" t="str">
        <f t="shared" si="168"/>
        <v>Medium Accuracy</v>
      </c>
      <c r="W2159" t="str" cm="1">
        <f t="array" ref="W2159">_xlfn.LET(_xlpm.roles,_xlfn.UNIQUE(D2159:D4957), _xlpm.counts,COUNTIF(D2159:D4957,_xlpm.roles), INDEX(_xlpm.roles,MATCH(MAX(_xlpm.counts),_xlpm.counts,0)))</f>
        <v>Sniper</v>
      </c>
      <c r="X2159" s="2">
        <f t="shared" si="169"/>
        <v>13.103594080338267</v>
      </c>
    </row>
    <row r="2160" spans="1:24" x14ac:dyDescent="0.3">
      <c r="A2160">
        <v>7</v>
      </c>
      <c r="B2160">
        <v>384</v>
      </c>
      <c r="C2160" t="s">
        <v>27</v>
      </c>
      <c r="D2160" t="s">
        <v>31</v>
      </c>
      <c r="E2160" t="s">
        <v>29</v>
      </c>
      <c r="F2160" t="s">
        <v>26</v>
      </c>
      <c r="G2160">
        <v>15</v>
      </c>
      <c r="H2160">
        <v>7</v>
      </c>
      <c r="I2160">
        <v>10</v>
      </c>
      <c r="J2160">
        <v>41.84</v>
      </c>
      <c r="K2160">
        <v>211.33</v>
      </c>
      <c r="L2160">
        <v>0.34</v>
      </c>
      <c r="M2160">
        <v>44.52</v>
      </c>
      <c r="N2160">
        <v>0.93</v>
      </c>
      <c r="O2160" t="s">
        <v>20</v>
      </c>
      <c r="P2160" t="s">
        <v>21</v>
      </c>
      <c r="Q2160">
        <f t="shared" si="165"/>
        <v>12</v>
      </c>
      <c r="R2160" s="4">
        <f>RANK(N2160,$N$2:N$2800,0)</f>
        <v>1505</v>
      </c>
      <c r="S2160">
        <f t="shared" si="166"/>
        <v>1.5</v>
      </c>
      <c r="T2160" t="str">
        <f t="shared" si="167"/>
        <v>Low</v>
      </c>
      <c r="U2160" t="str" cm="1">
        <f t="array" ref="U2160">_xlfn.LET(_xlpm.roles,_xlfn.UNIQUE(D2160:D4958),_xlpm.kills, SUMIF(D2160:D4958,_xlpm.roles,G2160:G4958),INDEX(_xlpm.roles,MATCH(MAX(_xlpm.kills),_xlpm.kills,0)))</f>
        <v>Sniper</v>
      </c>
      <c r="V2160" t="str">
        <f t="shared" si="168"/>
        <v>Medium Accuracy</v>
      </c>
      <c r="W2160" t="str" cm="1">
        <f t="array" ref="W2160">_xlfn.LET(_xlpm.roles,_xlfn.UNIQUE(D2160:D4958), _xlpm.counts,COUNTIF(D2160:D4958,_xlpm.roles), INDEX(_xlpm.roles,MATCH(MAX(_xlpm.counts),_xlpm.counts,0)))</f>
        <v>Sniper</v>
      </c>
      <c r="X2160" s="2">
        <f t="shared" si="169"/>
        <v>13.057077625570777</v>
      </c>
    </row>
    <row r="2161" spans="1:24" x14ac:dyDescent="0.3">
      <c r="A2161">
        <v>135</v>
      </c>
      <c r="B2161">
        <v>384</v>
      </c>
      <c r="C2161" t="s">
        <v>25</v>
      </c>
      <c r="D2161" t="s">
        <v>36</v>
      </c>
      <c r="E2161" t="s">
        <v>33</v>
      </c>
      <c r="F2161" t="s">
        <v>37</v>
      </c>
      <c r="G2161">
        <v>18</v>
      </c>
      <c r="H2161">
        <v>8</v>
      </c>
      <c r="I2161">
        <v>4</v>
      </c>
      <c r="J2161">
        <v>45.85</v>
      </c>
      <c r="K2161">
        <v>215.96</v>
      </c>
      <c r="L2161">
        <v>0.95</v>
      </c>
      <c r="M2161">
        <v>53.42</v>
      </c>
      <c r="N2161">
        <v>0.84</v>
      </c>
      <c r="O2161" t="s">
        <v>20</v>
      </c>
      <c r="P2161" t="s">
        <v>21</v>
      </c>
      <c r="Q2161">
        <f t="shared" si="165"/>
        <v>22</v>
      </c>
      <c r="R2161" s="4">
        <f>RANK(N2161,$N$2:N$2800,0)</f>
        <v>2156</v>
      </c>
      <c r="S2161">
        <f t="shared" si="166"/>
        <v>4.5</v>
      </c>
      <c r="T2161" t="str">
        <f t="shared" si="167"/>
        <v>Good</v>
      </c>
      <c r="U2161" t="str" cm="1">
        <f t="array" ref="U2161">_xlfn.LET(_xlpm.roles,_xlfn.UNIQUE(D2161:D4959),_xlpm.kills, SUMIF(D2161:D4959,_xlpm.roles,G2161:G4959),INDEX(_xlpm.roles,MATCH(MAX(_xlpm.kills),_xlpm.kills,0)))</f>
        <v>Sniper</v>
      </c>
      <c r="V2161" t="str">
        <f t="shared" si="168"/>
        <v>Medium Accuracy</v>
      </c>
      <c r="W2161" t="str" cm="1">
        <f t="array" ref="W2161">_xlfn.LET(_xlpm.roles,_xlfn.UNIQUE(D2161:D4959), _xlpm.counts,COUNTIF(D2161:D4959,_xlpm.roles), INDEX(_xlpm.roles,MATCH(MAX(_xlpm.counts),_xlpm.counts,0)))</f>
        <v>Sniper</v>
      </c>
      <c r="X2161" s="2">
        <f t="shared" si="169"/>
        <v>12.809421841541756</v>
      </c>
    </row>
    <row r="2162" spans="1:24" x14ac:dyDescent="0.3">
      <c r="A2162">
        <v>456</v>
      </c>
      <c r="B2162">
        <v>384</v>
      </c>
      <c r="C2162" t="s">
        <v>16</v>
      </c>
      <c r="D2162" t="s">
        <v>28</v>
      </c>
      <c r="E2162" t="s">
        <v>32</v>
      </c>
      <c r="F2162" t="s">
        <v>24</v>
      </c>
      <c r="G2162">
        <v>19</v>
      </c>
      <c r="H2162">
        <v>12</v>
      </c>
      <c r="I2162">
        <v>9</v>
      </c>
      <c r="J2162">
        <v>46.93</v>
      </c>
      <c r="K2162">
        <v>188.65</v>
      </c>
      <c r="L2162">
        <v>0.41</v>
      </c>
      <c r="M2162">
        <v>60.37</v>
      </c>
      <c r="N2162">
        <v>1</v>
      </c>
      <c r="O2162" t="s">
        <v>20</v>
      </c>
      <c r="P2162" t="s">
        <v>38</v>
      </c>
      <c r="Q2162">
        <f t="shared" si="165"/>
        <v>22</v>
      </c>
      <c r="R2162" s="4">
        <f>RANK(N2162,$N$2:N$2800,0)</f>
        <v>1</v>
      </c>
      <c r="S2162">
        <f t="shared" si="166"/>
        <v>2.1111111111111112</v>
      </c>
      <c r="T2162" t="str">
        <f t="shared" si="167"/>
        <v>Good</v>
      </c>
      <c r="U2162" t="str" cm="1">
        <f t="array" ref="U2162">_xlfn.LET(_xlpm.roles,_xlfn.UNIQUE(D2162:D4960),_xlpm.kills, SUMIF(D2162:D4960,_xlpm.roles,G2162:G4960),INDEX(_xlpm.roles,MATCH(MAX(_xlpm.kills),_xlpm.kills,0)))</f>
        <v>Sniper</v>
      </c>
      <c r="V2162" t="str">
        <f t="shared" si="168"/>
        <v>Medium Accuracy</v>
      </c>
      <c r="W2162" t="str" cm="1">
        <f t="array" ref="W2162">_xlfn.LET(_xlpm.roles,_xlfn.UNIQUE(D2162:D4960), _xlpm.counts,COUNTIF(D2162:D4960,_xlpm.roles), INDEX(_xlpm.roles,MATCH(MAX(_xlpm.counts),_xlpm.counts,0)))</f>
        <v>Sniper</v>
      </c>
      <c r="X2162" s="2">
        <f t="shared" si="169"/>
        <v>12.520971302428256</v>
      </c>
    </row>
    <row r="2163" spans="1:24" x14ac:dyDescent="0.3">
      <c r="A2163">
        <v>503</v>
      </c>
      <c r="B2163">
        <v>384</v>
      </c>
      <c r="C2163" t="s">
        <v>39</v>
      </c>
      <c r="D2163" t="s">
        <v>31</v>
      </c>
      <c r="E2163" t="s">
        <v>23</v>
      </c>
      <c r="F2163" t="s">
        <v>26</v>
      </c>
      <c r="G2163">
        <v>12</v>
      </c>
      <c r="H2163">
        <v>8</v>
      </c>
      <c r="I2163">
        <v>7</v>
      </c>
      <c r="J2163">
        <v>39.49</v>
      </c>
      <c r="K2163">
        <v>177.93</v>
      </c>
      <c r="L2163">
        <v>0.87</v>
      </c>
      <c r="M2163">
        <v>36.049999999999997</v>
      </c>
      <c r="N2163">
        <v>0.74</v>
      </c>
      <c r="O2163" t="s">
        <v>20</v>
      </c>
      <c r="P2163" t="s">
        <v>21</v>
      </c>
      <c r="Q2163">
        <f t="shared" si="165"/>
        <v>13</v>
      </c>
      <c r="R2163" s="4">
        <f>RANK(N2163,$N$2:N$2800,0)</f>
        <v>2613</v>
      </c>
      <c r="S2163">
        <f t="shared" si="166"/>
        <v>1.7142857142857142</v>
      </c>
      <c r="T2163" t="str">
        <f t="shared" si="167"/>
        <v>Low</v>
      </c>
      <c r="U2163" t="str" cm="1">
        <f t="array" ref="U2163">_xlfn.LET(_xlpm.roles,_xlfn.UNIQUE(D2163:D4961),_xlpm.kills, SUMIF(D2163:D4961,_xlpm.roles,G2163:G4961),INDEX(_xlpm.roles,MATCH(MAX(_xlpm.kills),_xlpm.kills,0)))</f>
        <v>Sniper</v>
      </c>
      <c r="V2163" t="str">
        <f t="shared" si="168"/>
        <v>Medium Accuracy</v>
      </c>
      <c r="W2163" t="str" cm="1">
        <f t="array" ref="W2163">_xlfn.LET(_xlpm.roles,_xlfn.UNIQUE(D2163:D4961), _xlpm.counts,COUNTIF(D2163:D4961,_xlpm.roles), INDEX(_xlpm.roles,MATCH(MAX(_xlpm.counts),_xlpm.counts,0)))</f>
        <v>Sniper</v>
      </c>
      <c r="X2163" s="2">
        <f t="shared" si="169"/>
        <v>13.103594080338267</v>
      </c>
    </row>
    <row r="2164" spans="1:24" x14ac:dyDescent="0.3">
      <c r="A2164">
        <v>615</v>
      </c>
      <c r="B2164">
        <v>384</v>
      </c>
      <c r="C2164" t="s">
        <v>39</v>
      </c>
      <c r="D2164" t="s">
        <v>17</v>
      </c>
      <c r="E2164" t="s">
        <v>23</v>
      </c>
      <c r="F2164" t="s">
        <v>37</v>
      </c>
      <c r="G2164">
        <v>24</v>
      </c>
      <c r="H2164">
        <v>13</v>
      </c>
      <c r="I2164">
        <v>8</v>
      </c>
      <c r="J2164">
        <v>37.43</v>
      </c>
      <c r="K2164">
        <v>219.68</v>
      </c>
      <c r="L2164">
        <v>0.75</v>
      </c>
      <c r="M2164">
        <v>64.22</v>
      </c>
      <c r="N2164">
        <v>1</v>
      </c>
      <c r="O2164" t="s">
        <v>20</v>
      </c>
      <c r="P2164" t="s">
        <v>38</v>
      </c>
      <c r="Q2164">
        <f t="shared" si="165"/>
        <v>29</v>
      </c>
      <c r="R2164" s="4">
        <f>RANK(N2164,$N$2:N$2800,0)</f>
        <v>1</v>
      </c>
      <c r="S2164">
        <f t="shared" si="166"/>
        <v>3</v>
      </c>
      <c r="T2164" t="str">
        <f t="shared" si="167"/>
        <v>Excellent</v>
      </c>
      <c r="U2164" t="str" cm="1">
        <f t="array" ref="U2164">_xlfn.LET(_xlpm.roles,_xlfn.UNIQUE(D2164:D4962),_xlpm.kills, SUMIF(D2164:D4962,_xlpm.roles,G2164:G4962),INDEX(_xlpm.roles,MATCH(MAX(_xlpm.kills),_xlpm.kills,0)))</f>
        <v>Sniper</v>
      </c>
      <c r="V2164" t="str">
        <f t="shared" si="168"/>
        <v>Medium Accuracy</v>
      </c>
      <c r="W2164" t="str" cm="1">
        <f t="array" ref="W2164">_xlfn.LET(_xlpm.roles,_xlfn.UNIQUE(D2164:D4962), _xlpm.counts,COUNTIF(D2164:D4962,_xlpm.roles), INDEX(_xlpm.roles,MATCH(MAX(_xlpm.counts),_xlpm.counts,0)))</f>
        <v>Sniper</v>
      </c>
      <c r="X2164" s="2">
        <f t="shared" si="169"/>
        <v>13.103594080338267</v>
      </c>
    </row>
    <row r="2165" spans="1:24" x14ac:dyDescent="0.3">
      <c r="A2165">
        <v>675</v>
      </c>
      <c r="B2165">
        <v>384</v>
      </c>
      <c r="C2165" t="s">
        <v>16</v>
      </c>
      <c r="D2165" t="s">
        <v>36</v>
      </c>
      <c r="E2165" t="s">
        <v>32</v>
      </c>
      <c r="F2165" t="s">
        <v>37</v>
      </c>
      <c r="G2165">
        <v>18</v>
      </c>
      <c r="H2165">
        <v>7</v>
      </c>
      <c r="I2165">
        <v>9</v>
      </c>
      <c r="J2165">
        <v>43.36</v>
      </c>
      <c r="K2165">
        <v>213.16</v>
      </c>
      <c r="L2165">
        <v>0.05</v>
      </c>
      <c r="M2165">
        <v>55.18</v>
      </c>
      <c r="N2165">
        <v>1</v>
      </c>
      <c r="O2165" t="s">
        <v>20</v>
      </c>
      <c r="P2165" t="s">
        <v>21</v>
      </c>
      <c r="Q2165">
        <f t="shared" si="165"/>
        <v>16</v>
      </c>
      <c r="R2165" s="4">
        <f>RANK(N2165,$N$2:N$2800,0)</f>
        <v>1</v>
      </c>
      <c r="S2165">
        <f t="shared" si="166"/>
        <v>2</v>
      </c>
      <c r="T2165" t="str">
        <f t="shared" si="167"/>
        <v>Good</v>
      </c>
      <c r="U2165" t="str" cm="1">
        <f t="array" ref="U2165">_xlfn.LET(_xlpm.roles,_xlfn.UNIQUE(D2165:D4963),_xlpm.kills, SUMIF(D2165:D4963,_xlpm.roles,G2165:G4963),INDEX(_xlpm.roles,MATCH(MAX(_xlpm.kills),_xlpm.kills,0)))</f>
        <v>Sniper</v>
      </c>
      <c r="V2165" t="str">
        <f t="shared" si="168"/>
        <v>Medium Accuracy</v>
      </c>
      <c r="W2165" t="str" cm="1">
        <f t="array" ref="W2165">_xlfn.LET(_xlpm.roles,_xlfn.UNIQUE(D2165:D4963), _xlpm.counts,COUNTIF(D2165:D4963,_xlpm.roles), INDEX(_xlpm.roles,MATCH(MAX(_xlpm.counts),_xlpm.counts,0)))</f>
        <v>Sniper</v>
      </c>
      <c r="X2165" s="2">
        <f t="shared" si="169"/>
        <v>12.520971302428256</v>
      </c>
    </row>
    <row r="2166" spans="1:24" x14ac:dyDescent="0.3">
      <c r="A2166">
        <v>1795</v>
      </c>
      <c r="B2166">
        <v>384</v>
      </c>
      <c r="C2166" t="s">
        <v>39</v>
      </c>
      <c r="D2166" t="s">
        <v>31</v>
      </c>
      <c r="E2166" t="s">
        <v>18</v>
      </c>
      <c r="F2166" t="s">
        <v>37</v>
      </c>
      <c r="G2166">
        <v>13</v>
      </c>
      <c r="H2166">
        <v>10</v>
      </c>
      <c r="I2166">
        <v>10</v>
      </c>
      <c r="J2166">
        <v>50.33</v>
      </c>
      <c r="K2166">
        <v>227.04</v>
      </c>
      <c r="L2166">
        <v>0.18</v>
      </c>
      <c r="M2166">
        <v>49.37</v>
      </c>
      <c r="N2166">
        <v>0.88</v>
      </c>
      <c r="O2166" t="s">
        <v>20</v>
      </c>
      <c r="P2166" t="s">
        <v>21</v>
      </c>
      <c r="Q2166">
        <f t="shared" si="165"/>
        <v>13</v>
      </c>
      <c r="R2166" s="4">
        <f>RANK(N2166,$N$2:N$2800,0)</f>
        <v>1894</v>
      </c>
      <c r="S2166">
        <f t="shared" si="166"/>
        <v>1.3</v>
      </c>
      <c r="T2166" t="str">
        <f t="shared" si="167"/>
        <v>Low</v>
      </c>
      <c r="U2166" t="str" cm="1">
        <f t="array" ref="U2166">_xlfn.LET(_xlpm.roles,_xlfn.UNIQUE(D2166:D4964),_xlpm.kills, SUMIF(D2166:D4964,_xlpm.roles,G2166:G4964),INDEX(_xlpm.roles,MATCH(MAX(_xlpm.kills),_xlpm.kills,0)))</f>
        <v>Sniper</v>
      </c>
      <c r="V2166" t="str">
        <f t="shared" si="168"/>
        <v>High Accuracy</v>
      </c>
      <c r="W2166" t="str" cm="1">
        <f t="array" ref="W2166">_xlfn.LET(_xlpm.roles,_xlfn.UNIQUE(D2166:D4964), _xlpm.counts,COUNTIF(D2166:D4964,_xlpm.roles), INDEX(_xlpm.roles,MATCH(MAX(_xlpm.counts),_xlpm.counts,0)))</f>
        <v>Sniper</v>
      </c>
      <c r="X2166" s="2">
        <f t="shared" si="169"/>
        <v>13.103594080338267</v>
      </c>
    </row>
    <row r="2167" spans="1:24" x14ac:dyDescent="0.3">
      <c r="A2167">
        <v>2585</v>
      </c>
      <c r="B2167">
        <v>384</v>
      </c>
      <c r="C2167" t="s">
        <v>30</v>
      </c>
      <c r="D2167" t="s">
        <v>31</v>
      </c>
      <c r="E2167" t="s">
        <v>33</v>
      </c>
      <c r="F2167" t="s">
        <v>24</v>
      </c>
      <c r="G2167">
        <v>18</v>
      </c>
      <c r="H2167">
        <v>9</v>
      </c>
      <c r="I2167">
        <v>14</v>
      </c>
      <c r="J2167">
        <v>39.700000000000003</v>
      </c>
      <c r="K2167">
        <v>177.01</v>
      </c>
      <c r="L2167">
        <v>0.2</v>
      </c>
      <c r="M2167">
        <v>48.85</v>
      </c>
      <c r="N2167">
        <v>1</v>
      </c>
      <c r="O2167" t="s">
        <v>20</v>
      </c>
      <c r="P2167" t="s">
        <v>21</v>
      </c>
      <c r="Q2167">
        <f t="shared" si="165"/>
        <v>13</v>
      </c>
      <c r="R2167" s="4">
        <f>RANK(N2167,$N$2:N$2800,0)</f>
        <v>1</v>
      </c>
      <c r="S2167">
        <f t="shared" si="166"/>
        <v>1.2857142857142858</v>
      </c>
      <c r="T2167" t="str">
        <f t="shared" si="167"/>
        <v>Low</v>
      </c>
      <c r="U2167" t="str" cm="1">
        <f t="array" ref="U2167">_xlfn.LET(_xlpm.roles,_xlfn.UNIQUE(D2167:D4965),_xlpm.kills, SUMIF(D2167:D4965,_xlpm.roles,G2167:G4965),INDEX(_xlpm.roles,MATCH(MAX(_xlpm.kills),_xlpm.kills,0)))</f>
        <v>IGL</v>
      </c>
      <c r="V2167" t="str">
        <f t="shared" si="168"/>
        <v>Medium Accuracy</v>
      </c>
      <c r="W2167" t="str" cm="1">
        <f t="array" ref="W2167">_xlfn.LET(_xlpm.roles,_xlfn.UNIQUE(D2167:D4965), _xlpm.counts,COUNTIF(D2167:D4965,_xlpm.roles), INDEX(_xlpm.roles,MATCH(MAX(_xlpm.counts),_xlpm.counts,0)))</f>
        <v>Sniper</v>
      </c>
      <c r="X2167" s="2">
        <f t="shared" si="169"/>
        <v>13.135802469135802</v>
      </c>
    </row>
    <row r="2168" spans="1:24" x14ac:dyDescent="0.3">
      <c r="A2168">
        <v>2785</v>
      </c>
      <c r="B2168">
        <v>384</v>
      </c>
      <c r="C2168" t="s">
        <v>25</v>
      </c>
      <c r="D2168" t="s">
        <v>22</v>
      </c>
      <c r="E2168" t="s">
        <v>18</v>
      </c>
      <c r="F2168" t="s">
        <v>26</v>
      </c>
      <c r="G2168">
        <v>15</v>
      </c>
      <c r="H2168">
        <v>5</v>
      </c>
      <c r="I2168">
        <v>11</v>
      </c>
      <c r="J2168">
        <v>47.86</v>
      </c>
      <c r="K2168">
        <v>189.86</v>
      </c>
      <c r="L2168">
        <v>0.01</v>
      </c>
      <c r="M2168">
        <v>47.83</v>
      </c>
      <c r="N2168">
        <v>1</v>
      </c>
      <c r="O2168" t="s">
        <v>20</v>
      </c>
      <c r="P2168" t="s">
        <v>21</v>
      </c>
      <c r="Q2168">
        <f t="shared" si="165"/>
        <v>9</v>
      </c>
      <c r="R2168" s="4">
        <f>RANK(N2168,$N$2:N$2800,0)</f>
        <v>1</v>
      </c>
      <c r="S2168">
        <f t="shared" si="166"/>
        <v>1.3636363636363635</v>
      </c>
      <c r="T2168" t="str">
        <f t="shared" si="167"/>
        <v>Low</v>
      </c>
      <c r="U2168" t="str" cm="1">
        <f t="array" ref="U2168">_xlfn.LET(_xlpm.roles,_xlfn.UNIQUE(D2168:D4966),_xlpm.kills, SUMIF(D2168:D4966,_xlpm.roles,G2168:G4966),INDEX(_xlpm.roles,MATCH(MAX(_xlpm.kills),_xlpm.kills,0)))</f>
        <v>IGL</v>
      </c>
      <c r="V2168" t="str">
        <f t="shared" si="168"/>
        <v>Medium Accuracy</v>
      </c>
      <c r="W2168" t="str" cm="1">
        <f t="array" ref="W2168">_xlfn.LET(_xlpm.roles,_xlfn.UNIQUE(D2168:D4966), _xlpm.counts,COUNTIF(D2168:D4966,_xlpm.roles), INDEX(_xlpm.roles,MATCH(MAX(_xlpm.counts),_xlpm.counts,0)))</f>
        <v>Sniper</v>
      </c>
      <c r="X2168" s="2">
        <f t="shared" si="169"/>
        <v>12.809421841541756</v>
      </c>
    </row>
    <row r="2169" spans="1:24" x14ac:dyDescent="0.3">
      <c r="A2169">
        <v>153</v>
      </c>
      <c r="B2169">
        <v>385</v>
      </c>
      <c r="C2169" t="s">
        <v>25</v>
      </c>
      <c r="D2169" t="s">
        <v>28</v>
      </c>
      <c r="E2169" t="s">
        <v>32</v>
      </c>
      <c r="F2169" t="s">
        <v>19</v>
      </c>
      <c r="G2169">
        <v>8</v>
      </c>
      <c r="H2169">
        <v>12</v>
      </c>
      <c r="I2169">
        <v>9</v>
      </c>
      <c r="J2169">
        <v>47.78</v>
      </c>
      <c r="K2169">
        <v>205.38</v>
      </c>
      <c r="L2169">
        <v>0</v>
      </c>
      <c r="M2169">
        <v>42.89</v>
      </c>
      <c r="N2169">
        <v>1</v>
      </c>
      <c r="O2169" t="s">
        <v>20</v>
      </c>
      <c r="P2169" t="s">
        <v>21</v>
      </c>
      <c r="Q2169">
        <f t="shared" si="165"/>
        <v>11</v>
      </c>
      <c r="R2169" s="4">
        <f>RANK(N2169,$N$2:N$2800,0)</f>
        <v>1</v>
      </c>
      <c r="S2169">
        <f t="shared" si="166"/>
        <v>0.88888888888888884</v>
      </c>
      <c r="T2169" t="str">
        <f t="shared" si="167"/>
        <v>Low</v>
      </c>
      <c r="U2169" t="str" cm="1">
        <f t="array" ref="U2169">_xlfn.LET(_xlpm.roles,_xlfn.UNIQUE(D2169:D4967),_xlpm.kills, SUMIF(D2169:D4967,_xlpm.roles,G2169:G4967),INDEX(_xlpm.roles,MATCH(MAX(_xlpm.kills),_xlpm.kills,0)))</f>
        <v>IGL</v>
      </c>
      <c r="V2169" t="str">
        <f t="shared" si="168"/>
        <v>Medium Accuracy</v>
      </c>
      <c r="W2169" t="str" cm="1">
        <f t="array" ref="W2169">_xlfn.LET(_xlpm.roles,_xlfn.UNIQUE(D2169:D4967), _xlpm.counts,COUNTIF(D2169:D4967,_xlpm.roles), INDEX(_xlpm.roles,MATCH(MAX(_xlpm.counts),_xlpm.counts,0)))</f>
        <v>Sniper</v>
      </c>
      <c r="X2169" s="2">
        <f t="shared" si="169"/>
        <v>12.809421841541756</v>
      </c>
    </row>
    <row r="2170" spans="1:24" x14ac:dyDescent="0.3">
      <c r="A2170">
        <v>214</v>
      </c>
      <c r="B2170">
        <v>385</v>
      </c>
      <c r="C2170" t="s">
        <v>35</v>
      </c>
      <c r="D2170" t="s">
        <v>17</v>
      </c>
      <c r="E2170" t="s">
        <v>29</v>
      </c>
      <c r="F2170" t="s">
        <v>34</v>
      </c>
      <c r="G2170">
        <v>12</v>
      </c>
      <c r="H2170">
        <v>10</v>
      </c>
      <c r="I2170">
        <v>12</v>
      </c>
      <c r="J2170">
        <v>49.88</v>
      </c>
      <c r="K2170">
        <v>207.71</v>
      </c>
      <c r="L2170">
        <v>0.47</v>
      </c>
      <c r="M2170">
        <v>42.24</v>
      </c>
      <c r="N2170">
        <v>0.99</v>
      </c>
      <c r="O2170" t="s">
        <v>20</v>
      </c>
      <c r="P2170" t="s">
        <v>21</v>
      </c>
      <c r="Q2170">
        <f t="shared" si="165"/>
        <v>10</v>
      </c>
      <c r="R2170" s="4">
        <f>RANK(N2170,$N$2:N$2800,0)</f>
        <v>1080</v>
      </c>
      <c r="S2170">
        <f t="shared" si="166"/>
        <v>1</v>
      </c>
      <c r="T2170" t="str">
        <f t="shared" si="167"/>
        <v>Low</v>
      </c>
      <c r="U2170" t="str" cm="1">
        <f t="array" ref="U2170">_xlfn.LET(_xlpm.roles,_xlfn.UNIQUE(D2170:D4968),_xlpm.kills, SUMIF(D2170:D4968,_xlpm.roles,G2170:G4968),INDEX(_xlpm.roles,MATCH(MAX(_xlpm.kills),_xlpm.kills,0)))</f>
        <v>IGL</v>
      </c>
      <c r="V2170" t="str">
        <f t="shared" si="168"/>
        <v>Medium Accuracy</v>
      </c>
      <c r="W2170" t="str" cm="1">
        <f t="array" ref="W2170">_xlfn.LET(_xlpm.roles,_xlfn.UNIQUE(D2170:D4968), _xlpm.counts,COUNTIF(D2170:D4968,_xlpm.roles), INDEX(_xlpm.roles,MATCH(MAX(_xlpm.counts),_xlpm.counts,0)))</f>
        <v>Sniper</v>
      </c>
      <c r="X2170" s="2">
        <f t="shared" si="169"/>
        <v>12.599585062240664</v>
      </c>
    </row>
    <row r="2171" spans="1:24" x14ac:dyDescent="0.3">
      <c r="A2171">
        <v>289</v>
      </c>
      <c r="B2171">
        <v>385</v>
      </c>
      <c r="C2171" t="s">
        <v>25</v>
      </c>
      <c r="D2171" t="s">
        <v>31</v>
      </c>
      <c r="E2171" t="s">
        <v>29</v>
      </c>
      <c r="F2171" t="s">
        <v>26</v>
      </c>
      <c r="G2171">
        <v>20</v>
      </c>
      <c r="H2171">
        <v>5</v>
      </c>
      <c r="I2171">
        <v>11</v>
      </c>
      <c r="J2171">
        <v>41.94</v>
      </c>
      <c r="K2171">
        <v>199.59</v>
      </c>
      <c r="L2171">
        <v>0.24</v>
      </c>
      <c r="M2171">
        <v>52.57</v>
      </c>
      <c r="N2171">
        <v>0.98</v>
      </c>
      <c r="O2171" t="s">
        <v>20</v>
      </c>
      <c r="P2171" t="s">
        <v>21</v>
      </c>
      <c r="Q2171">
        <f t="shared" si="165"/>
        <v>14</v>
      </c>
      <c r="R2171" s="4">
        <f>RANK(N2171,$N$2:N$2800,0)</f>
        <v>1157</v>
      </c>
      <c r="S2171">
        <f t="shared" si="166"/>
        <v>1.8181818181818181</v>
      </c>
      <c r="T2171" t="str">
        <f t="shared" si="167"/>
        <v>Low</v>
      </c>
      <c r="U2171" t="str" cm="1">
        <f t="array" ref="U2171">_xlfn.LET(_xlpm.roles,_xlfn.UNIQUE(D2171:D4969),_xlpm.kills, SUMIF(D2171:D4969,_xlpm.roles,G2171:G4969),INDEX(_xlpm.roles,MATCH(MAX(_xlpm.kills),_xlpm.kills,0)))</f>
        <v>IGL</v>
      </c>
      <c r="V2171" t="str">
        <f t="shared" si="168"/>
        <v>Medium Accuracy</v>
      </c>
      <c r="W2171" t="str" cm="1">
        <f t="array" ref="W2171">_xlfn.LET(_xlpm.roles,_xlfn.UNIQUE(D2171:D4969), _xlpm.counts,COUNTIF(D2171:D4969,_xlpm.roles), INDEX(_xlpm.roles,MATCH(MAX(_xlpm.counts),_xlpm.counts,0)))</f>
        <v>Sniper</v>
      </c>
      <c r="X2171" s="2">
        <f t="shared" si="169"/>
        <v>12.809421841541756</v>
      </c>
    </row>
    <row r="2172" spans="1:24" x14ac:dyDescent="0.3">
      <c r="A2172">
        <v>898</v>
      </c>
      <c r="B2172">
        <v>385</v>
      </c>
      <c r="C2172" t="s">
        <v>30</v>
      </c>
      <c r="D2172" t="s">
        <v>17</v>
      </c>
      <c r="E2172" t="s">
        <v>29</v>
      </c>
      <c r="F2172" t="s">
        <v>19</v>
      </c>
      <c r="G2172">
        <v>12</v>
      </c>
      <c r="H2172">
        <v>7</v>
      </c>
      <c r="I2172">
        <v>4</v>
      </c>
      <c r="J2172">
        <v>35.03</v>
      </c>
      <c r="K2172">
        <v>226.52</v>
      </c>
      <c r="L2172">
        <v>0.98</v>
      </c>
      <c r="M2172">
        <v>34.72</v>
      </c>
      <c r="N2172">
        <v>0.85</v>
      </c>
      <c r="O2172" t="s">
        <v>20</v>
      </c>
      <c r="P2172" t="s">
        <v>21</v>
      </c>
      <c r="Q2172">
        <f t="shared" si="165"/>
        <v>15</v>
      </c>
      <c r="R2172" s="4">
        <f>RANK(N2172,$N$2:N$2800,0)</f>
        <v>2105</v>
      </c>
      <c r="S2172">
        <f t="shared" si="166"/>
        <v>3</v>
      </c>
      <c r="T2172" t="str">
        <f t="shared" si="167"/>
        <v>Good</v>
      </c>
      <c r="U2172" t="str" cm="1">
        <f t="array" ref="U2172">_xlfn.LET(_xlpm.roles,_xlfn.UNIQUE(D2172:D4970),_xlpm.kills, SUMIF(D2172:D4970,_xlpm.roles,G2172:G4970),INDEX(_xlpm.roles,MATCH(MAX(_xlpm.kills),_xlpm.kills,0)))</f>
        <v>IGL</v>
      </c>
      <c r="V2172" t="str">
        <f t="shared" si="168"/>
        <v>Medium Accuracy</v>
      </c>
      <c r="W2172" t="str" cm="1">
        <f t="array" ref="W2172">_xlfn.LET(_xlpm.roles,_xlfn.UNIQUE(D2172:D4970), _xlpm.counts,COUNTIF(D2172:D4970,_xlpm.roles), INDEX(_xlpm.roles,MATCH(MAX(_xlpm.counts),_xlpm.counts,0)))</f>
        <v>Sniper</v>
      </c>
      <c r="X2172" s="2">
        <f t="shared" si="169"/>
        <v>13.135802469135802</v>
      </c>
    </row>
    <row r="2173" spans="1:24" x14ac:dyDescent="0.3">
      <c r="A2173">
        <v>1422</v>
      </c>
      <c r="B2173">
        <v>385</v>
      </c>
      <c r="C2173" t="s">
        <v>35</v>
      </c>
      <c r="D2173" t="s">
        <v>36</v>
      </c>
      <c r="E2173" t="s">
        <v>29</v>
      </c>
      <c r="F2173" t="s">
        <v>24</v>
      </c>
      <c r="G2173">
        <v>21</v>
      </c>
      <c r="H2173">
        <v>4</v>
      </c>
      <c r="I2173">
        <v>7</v>
      </c>
      <c r="J2173">
        <v>40.78</v>
      </c>
      <c r="K2173">
        <v>149.47</v>
      </c>
      <c r="L2173">
        <v>0.46</v>
      </c>
      <c r="M2173">
        <v>54.79</v>
      </c>
      <c r="N2173">
        <v>0.95</v>
      </c>
      <c r="O2173" t="s">
        <v>20</v>
      </c>
      <c r="P2173" t="s">
        <v>21</v>
      </c>
      <c r="Q2173">
        <f t="shared" si="165"/>
        <v>18</v>
      </c>
      <c r="R2173" s="4">
        <f>RANK(N2173,$N$2:N$2800,0)</f>
        <v>1367</v>
      </c>
      <c r="S2173">
        <f t="shared" si="166"/>
        <v>3</v>
      </c>
      <c r="T2173" t="str">
        <f t="shared" si="167"/>
        <v>Good</v>
      </c>
      <c r="U2173" t="str" cm="1">
        <f t="array" ref="U2173">_xlfn.LET(_xlpm.roles,_xlfn.UNIQUE(D2173:D4971),_xlpm.kills, SUMIF(D2173:D4971,_xlpm.roles,G2173:G4971),INDEX(_xlpm.roles,MATCH(MAX(_xlpm.kills),_xlpm.kills,0)))</f>
        <v>IGL</v>
      </c>
      <c r="V2173" t="str">
        <f t="shared" si="168"/>
        <v>Medium Accuracy</v>
      </c>
      <c r="W2173" t="str" cm="1">
        <f t="array" ref="W2173">_xlfn.LET(_xlpm.roles,_xlfn.UNIQUE(D2173:D4971), _xlpm.counts,COUNTIF(D2173:D4971,_xlpm.roles), INDEX(_xlpm.roles,MATCH(MAX(_xlpm.counts),_xlpm.counts,0)))</f>
        <v>Sniper</v>
      </c>
      <c r="X2173" s="2">
        <f t="shared" si="169"/>
        <v>12.599585062240664</v>
      </c>
    </row>
    <row r="2174" spans="1:24" x14ac:dyDescent="0.3">
      <c r="A2174">
        <v>1651</v>
      </c>
      <c r="B2174">
        <v>385</v>
      </c>
      <c r="C2174" t="s">
        <v>39</v>
      </c>
      <c r="D2174" t="s">
        <v>17</v>
      </c>
      <c r="E2174" t="s">
        <v>29</v>
      </c>
      <c r="F2174" t="s">
        <v>24</v>
      </c>
      <c r="G2174">
        <v>12</v>
      </c>
      <c r="H2174">
        <v>11</v>
      </c>
      <c r="I2174">
        <v>10</v>
      </c>
      <c r="J2174">
        <v>45.11</v>
      </c>
      <c r="K2174">
        <v>195.92</v>
      </c>
      <c r="L2174">
        <v>0.88</v>
      </c>
      <c r="M2174">
        <v>38.75</v>
      </c>
      <c r="N2174">
        <v>0.98</v>
      </c>
      <c r="O2174" t="s">
        <v>20</v>
      </c>
      <c r="P2174" t="s">
        <v>21</v>
      </c>
      <c r="Q2174">
        <f t="shared" si="165"/>
        <v>13</v>
      </c>
      <c r="R2174" s="4">
        <f>RANK(N2174,$N$2:N$2800,0)</f>
        <v>1157</v>
      </c>
      <c r="S2174">
        <f t="shared" si="166"/>
        <v>1.2</v>
      </c>
      <c r="T2174" t="str">
        <f t="shared" si="167"/>
        <v>Low</v>
      </c>
      <c r="U2174" t="str" cm="1">
        <f t="array" ref="U2174">_xlfn.LET(_xlpm.roles,_xlfn.UNIQUE(D2174:D4972),_xlpm.kills, SUMIF(D2174:D4972,_xlpm.roles,G2174:G4972),INDEX(_xlpm.roles,MATCH(MAX(_xlpm.kills),_xlpm.kills,0)))</f>
        <v>IGL</v>
      </c>
      <c r="V2174" t="str">
        <f t="shared" si="168"/>
        <v>Medium Accuracy</v>
      </c>
      <c r="W2174" t="str" cm="1">
        <f t="array" ref="W2174">_xlfn.LET(_xlpm.roles,_xlfn.UNIQUE(D2174:D4972), _xlpm.counts,COUNTIF(D2174:D4972,_xlpm.roles), INDEX(_xlpm.roles,MATCH(MAX(_xlpm.counts),_xlpm.counts,0)))</f>
        <v>Sniper</v>
      </c>
      <c r="X2174" s="2">
        <f t="shared" si="169"/>
        <v>13.103594080338267</v>
      </c>
    </row>
    <row r="2175" spans="1:24" x14ac:dyDescent="0.3">
      <c r="A2175">
        <v>1773</v>
      </c>
      <c r="B2175">
        <v>385</v>
      </c>
      <c r="C2175" t="s">
        <v>39</v>
      </c>
      <c r="D2175" t="s">
        <v>31</v>
      </c>
      <c r="E2175" t="s">
        <v>18</v>
      </c>
      <c r="F2175" t="s">
        <v>37</v>
      </c>
      <c r="G2175">
        <v>13</v>
      </c>
      <c r="H2175">
        <v>6</v>
      </c>
      <c r="I2175">
        <v>12</v>
      </c>
      <c r="J2175">
        <v>59.73</v>
      </c>
      <c r="K2175">
        <v>233.35</v>
      </c>
      <c r="L2175">
        <v>0.64</v>
      </c>
      <c r="M2175">
        <v>43.46</v>
      </c>
      <c r="N2175">
        <v>0.86</v>
      </c>
      <c r="O2175" t="s">
        <v>20</v>
      </c>
      <c r="P2175" t="s">
        <v>21</v>
      </c>
      <c r="Q2175">
        <f t="shared" si="165"/>
        <v>7</v>
      </c>
      <c r="R2175" s="4">
        <f>RANK(N2175,$N$2:N$2800,0)</f>
        <v>2040</v>
      </c>
      <c r="S2175">
        <f t="shared" si="166"/>
        <v>1.0833333333333333</v>
      </c>
      <c r="T2175" t="str">
        <f t="shared" si="167"/>
        <v>Low</v>
      </c>
      <c r="U2175" t="str" cm="1">
        <f t="array" ref="U2175">_xlfn.LET(_xlpm.roles,_xlfn.UNIQUE(D2175:D4973),_xlpm.kills, SUMIF(D2175:D4973,_xlpm.roles,G2175:G4973),INDEX(_xlpm.roles,MATCH(MAX(_xlpm.kills),_xlpm.kills,0)))</f>
        <v>IGL</v>
      </c>
      <c r="V2175" t="str">
        <f t="shared" si="168"/>
        <v>High Accuracy</v>
      </c>
      <c r="W2175" t="str" cm="1">
        <f t="array" ref="W2175">_xlfn.LET(_xlpm.roles,_xlfn.UNIQUE(D2175:D4973), _xlpm.counts,COUNTIF(D2175:D4973,_xlpm.roles), INDEX(_xlpm.roles,MATCH(MAX(_xlpm.counts),_xlpm.counts,0)))</f>
        <v>Sniper</v>
      </c>
      <c r="X2175" s="2">
        <f t="shared" si="169"/>
        <v>13.103594080338267</v>
      </c>
    </row>
    <row r="2176" spans="1:24" x14ac:dyDescent="0.3">
      <c r="A2176">
        <v>2293</v>
      </c>
      <c r="B2176">
        <v>385</v>
      </c>
      <c r="C2176" t="s">
        <v>35</v>
      </c>
      <c r="D2176" t="s">
        <v>36</v>
      </c>
      <c r="E2176" t="s">
        <v>23</v>
      </c>
      <c r="F2176" t="s">
        <v>34</v>
      </c>
      <c r="G2176">
        <v>11</v>
      </c>
      <c r="H2176">
        <v>9</v>
      </c>
      <c r="I2176">
        <v>8</v>
      </c>
      <c r="J2176">
        <v>41.15</v>
      </c>
      <c r="K2176">
        <v>190.73</v>
      </c>
      <c r="L2176">
        <v>0.55000000000000004</v>
      </c>
      <c r="M2176">
        <v>38.08</v>
      </c>
      <c r="N2176">
        <v>0.92</v>
      </c>
      <c r="O2176" t="s">
        <v>20</v>
      </c>
      <c r="P2176" t="s">
        <v>21</v>
      </c>
      <c r="Q2176">
        <f t="shared" si="165"/>
        <v>12</v>
      </c>
      <c r="R2176" s="4">
        <f>RANK(N2176,$N$2:N$2800,0)</f>
        <v>1585</v>
      </c>
      <c r="S2176">
        <f t="shared" si="166"/>
        <v>1.375</v>
      </c>
      <c r="T2176" t="str">
        <f t="shared" si="167"/>
        <v>Low</v>
      </c>
      <c r="U2176" t="str" cm="1">
        <f t="array" ref="U2176">_xlfn.LET(_xlpm.roles,_xlfn.UNIQUE(D2176:D4974),_xlpm.kills, SUMIF(D2176:D4974,_xlpm.roles,G2176:G4974),INDEX(_xlpm.roles,MATCH(MAX(_xlpm.kills),_xlpm.kills,0)))</f>
        <v>IGL</v>
      </c>
      <c r="V2176" t="str">
        <f t="shared" si="168"/>
        <v>Medium Accuracy</v>
      </c>
      <c r="W2176" t="str" cm="1">
        <f t="array" ref="W2176">_xlfn.LET(_xlpm.roles,_xlfn.UNIQUE(D2176:D4974), _xlpm.counts,COUNTIF(D2176:D4974,_xlpm.roles), INDEX(_xlpm.roles,MATCH(MAX(_xlpm.counts),_xlpm.counts,0)))</f>
        <v>Sniper</v>
      </c>
      <c r="X2176" s="2">
        <f t="shared" si="169"/>
        <v>12.599585062240664</v>
      </c>
    </row>
    <row r="2177" spans="1:24" x14ac:dyDescent="0.3">
      <c r="A2177">
        <v>2486</v>
      </c>
      <c r="B2177">
        <v>385</v>
      </c>
      <c r="C2177" t="s">
        <v>35</v>
      </c>
      <c r="D2177" t="s">
        <v>31</v>
      </c>
      <c r="E2177" t="s">
        <v>18</v>
      </c>
      <c r="F2177" t="s">
        <v>19</v>
      </c>
      <c r="G2177">
        <v>14</v>
      </c>
      <c r="H2177">
        <v>6</v>
      </c>
      <c r="I2177">
        <v>10</v>
      </c>
      <c r="J2177">
        <v>36.44</v>
      </c>
      <c r="K2177">
        <v>208.19</v>
      </c>
      <c r="L2177">
        <v>0.69</v>
      </c>
      <c r="M2177">
        <v>35.32</v>
      </c>
      <c r="N2177">
        <v>0.82</v>
      </c>
      <c r="O2177" t="s">
        <v>20</v>
      </c>
      <c r="P2177" t="s">
        <v>21</v>
      </c>
      <c r="Q2177">
        <f t="shared" si="165"/>
        <v>10</v>
      </c>
      <c r="R2177" s="4">
        <f>RANK(N2177,$N$2:N$2800,0)</f>
        <v>2275</v>
      </c>
      <c r="S2177">
        <f t="shared" si="166"/>
        <v>1.4</v>
      </c>
      <c r="T2177" t="str">
        <f t="shared" si="167"/>
        <v>Low</v>
      </c>
      <c r="U2177" t="str" cm="1">
        <f t="array" ref="U2177">_xlfn.LET(_xlpm.roles,_xlfn.UNIQUE(D2177:D4975),_xlpm.kills, SUMIF(D2177:D4975,_xlpm.roles,G2177:G4975),INDEX(_xlpm.roles,MATCH(MAX(_xlpm.kills),_xlpm.kills,0)))</f>
        <v>IGL</v>
      </c>
      <c r="V2177" t="str">
        <f t="shared" si="168"/>
        <v>Medium Accuracy</v>
      </c>
      <c r="W2177" t="str" cm="1">
        <f t="array" ref="W2177">_xlfn.LET(_xlpm.roles,_xlfn.UNIQUE(D2177:D4975), _xlpm.counts,COUNTIF(D2177:D4975,_xlpm.roles), INDEX(_xlpm.roles,MATCH(MAX(_xlpm.counts),_xlpm.counts,0)))</f>
        <v>Sniper</v>
      </c>
      <c r="X2177" s="2">
        <f t="shared" si="169"/>
        <v>12.599585062240664</v>
      </c>
    </row>
    <row r="2178" spans="1:24" x14ac:dyDescent="0.3">
      <c r="A2178">
        <v>2787</v>
      </c>
      <c r="B2178">
        <v>385</v>
      </c>
      <c r="C2178" t="s">
        <v>30</v>
      </c>
      <c r="D2178" t="s">
        <v>28</v>
      </c>
      <c r="E2178" t="s">
        <v>18</v>
      </c>
      <c r="F2178" t="s">
        <v>34</v>
      </c>
      <c r="G2178">
        <v>17</v>
      </c>
      <c r="H2178">
        <v>4</v>
      </c>
      <c r="I2178">
        <v>9</v>
      </c>
      <c r="J2178">
        <v>31.08</v>
      </c>
      <c r="K2178">
        <v>171.82</v>
      </c>
      <c r="L2178">
        <v>0.24</v>
      </c>
      <c r="M2178">
        <v>42.14</v>
      </c>
      <c r="N2178">
        <v>0.76</v>
      </c>
      <c r="O2178" t="s">
        <v>20</v>
      </c>
      <c r="P2178" t="s">
        <v>21</v>
      </c>
      <c r="Q2178">
        <f t="shared" si="165"/>
        <v>12</v>
      </c>
      <c r="R2178" s="4">
        <f>RANK(N2178,$N$2:N$2800,0)</f>
        <v>2547</v>
      </c>
      <c r="S2178">
        <f t="shared" si="166"/>
        <v>1.8888888888888888</v>
      </c>
      <c r="T2178" t="str">
        <f t="shared" si="167"/>
        <v>Low</v>
      </c>
      <c r="U2178" t="str" cm="1">
        <f t="array" ref="U2178">_xlfn.LET(_xlpm.roles,_xlfn.UNIQUE(D2178:D4976),_xlpm.kills, SUMIF(D2178:D4976,_xlpm.roles,G2178:G4976),INDEX(_xlpm.roles,MATCH(MAX(_xlpm.kills),_xlpm.kills,0)))</f>
        <v>IGL</v>
      </c>
      <c r="V2178" t="str">
        <f t="shared" si="168"/>
        <v>Medium Accuracy</v>
      </c>
      <c r="W2178" t="str" cm="1">
        <f t="array" ref="W2178">_xlfn.LET(_xlpm.roles,_xlfn.UNIQUE(D2178:D4976), _xlpm.counts,COUNTIF(D2178:D4976,_xlpm.roles), INDEX(_xlpm.roles,MATCH(MAX(_xlpm.counts),_xlpm.counts,0)))</f>
        <v>IGL</v>
      </c>
      <c r="X2178" s="2">
        <f t="shared" si="169"/>
        <v>13.135802469135802</v>
      </c>
    </row>
    <row r="2179" spans="1:24" x14ac:dyDescent="0.3">
      <c r="A2179">
        <v>464</v>
      </c>
      <c r="B2179">
        <v>386</v>
      </c>
      <c r="C2179" t="s">
        <v>27</v>
      </c>
      <c r="D2179" t="s">
        <v>22</v>
      </c>
      <c r="E2179" t="s">
        <v>18</v>
      </c>
      <c r="F2179" t="s">
        <v>24</v>
      </c>
      <c r="G2179">
        <v>12</v>
      </c>
      <c r="H2179">
        <v>12</v>
      </c>
      <c r="I2179">
        <v>10</v>
      </c>
      <c r="J2179">
        <v>38.19</v>
      </c>
      <c r="K2179">
        <v>245.51</v>
      </c>
      <c r="L2179">
        <v>0.28999999999999998</v>
      </c>
      <c r="M2179">
        <v>42.2</v>
      </c>
      <c r="N2179">
        <v>0.98</v>
      </c>
      <c r="O2179" t="s">
        <v>20</v>
      </c>
      <c r="P2179" t="s">
        <v>21</v>
      </c>
      <c r="Q2179">
        <f t="shared" ref="Q2179:Q2242" si="170">G2179+H2179-I2179</f>
        <v>14</v>
      </c>
      <c r="R2179" s="4">
        <f>RANK(N2179,$N$2:N$2800,0)</f>
        <v>1157</v>
      </c>
      <c r="S2179">
        <f t="shared" ref="S2179:S2242" si="171">G2179/I2179</f>
        <v>1.2</v>
      </c>
      <c r="T2179" t="str">
        <f t="shared" ref="T2179:T2242" si="172">IF(Q2179&lt;15,"Low",IF(Q2179&lt;25,"Good","Excellent"))</f>
        <v>Low</v>
      </c>
      <c r="U2179" t="str" cm="1">
        <f t="array" ref="U2179">_xlfn.LET(_xlpm.roles,_xlfn.UNIQUE(D2179:D4977),_xlpm.kills, SUMIF(D2179:D4977,_xlpm.roles,G2179:G4977),INDEX(_xlpm.roles,MATCH(MAX(_xlpm.kills),_xlpm.kills,0)))</f>
        <v>IGL</v>
      </c>
      <c r="V2179" t="str">
        <f t="shared" ref="V2179:V2242" si="173">IF(J2179&gt;=50,"High Accuracy",IF(J2179&gt;=30,"Medium Accuracy","Low Accuracy"))</f>
        <v>Medium Accuracy</v>
      </c>
      <c r="W2179" t="str" cm="1">
        <f t="array" ref="W2179">_xlfn.LET(_xlpm.roles,_xlfn.UNIQUE(D2179:D4977), _xlpm.counts,COUNTIF(D2179:D4977,_xlpm.roles), INDEX(_xlpm.roles,MATCH(MAX(_xlpm.counts),_xlpm.counts,0)))</f>
        <v>Sniper</v>
      </c>
      <c r="X2179" s="2">
        <f t="shared" ref="X2179:X2242" si="174">AVERAGEIF($C$2:$C$2800,C2179,$Q$2:$Q$2800)</f>
        <v>13.057077625570777</v>
      </c>
    </row>
    <row r="2180" spans="1:24" x14ac:dyDescent="0.3">
      <c r="A2180">
        <v>1428</v>
      </c>
      <c r="B2180">
        <v>386</v>
      </c>
      <c r="C2180" t="s">
        <v>30</v>
      </c>
      <c r="D2180" t="s">
        <v>31</v>
      </c>
      <c r="E2180" t="s">
        <v>32</v>
      </c>
      <c r="F2180" t="s">
        <v>26</v>
      </c>
      <c r="G2180">
        <v>15</v>
      </c>
      <c r="H2180">
        <v>11</v>
      </c>
      <c r="I2180">
        <v>13</v>
      </c>
      <c r="J2180">
        <v>53.8</v>
      </c>
      <c r="K2180">
        <v>167.38</v>
      </c>
      <c r="L2180">
        <v>0.92</v>
      </c>
      <c r="M2180">
        <v>45.7</v>
      </c>
      <c r="N2180">
        <v>0.99</v>
      </c>
      <c r="O2180" t="s">
        <v>20</v>
      </c>
      <c r="P2180" t="s">
        <v>21</v>
      </c>
      <c r="Q2180">
        <f t="shared" si="170"/>
        <v>13</v>
      </c>
      <c r="R2180" s="4">
        <f>RANK(N2180,$N$2:N$2800,0)</f>
        <v>1080</v>
      </c>
      <c r="S2180">
        <f t="shared" si="171"/>
        <v>1.1538461538461537</v>
      </c>
      <c r="T2180" t="str">
        <f t="shared" si="172"/>
        <v>Low</v>
      </c>
      <c r="U2180" t="str" cm="1">
        <f t="array" ref="U2180">_xlfn.LET(_xlpm.roles,_xlfn.UNIQUE(D2180:D4978),_xlpm.kills, SUMIF(D2180:D4978,_xlpm.roles,G2180:G4978),INDEX(_xlpm.roles,MATCH(MAX(_xlpm.kills),_xlpm.kills,0)))</f>
        <v>IGL</v>
      </c>
      <c r="V2180" t="str">
        <f t="shared" si="173"/>
        <v>High Accuracy</v>
      </c>
      <c r="W2180" t="str" cm="1">
        <f t="array" ref="W2180">_xlfn.LET(_xlpm.roles,_xlfn.UNIQUE(D2180:D4978), _xlpm.counts,COUNTIF(D2180:D4978,_xlpm.roles), INDEX(_xlpm.roles,MATCH(MAX(_xlpm.counts),_xlpm.counts,0)))</f>
        <v>Sniper</v>
      </c>
      <c r="X2180" s="2">
        <f t="shared" si="174"/>
        <v>13.135802469135802</v>
      </c>
    </row>
    <row r="2181" spans="1:24" x14ac:dyDescent="0.3">
      <c r="A2181">
        <v>1473</v>
      </c>
      <c r="B2181">
        <v>386</v>
      </c>
      <c r="C2181" t="s">
        <v>27</v>
      </c>
      <c r="D2181" t="s">
        <v>17</v>
      </c>
      <c r="E2181" t="s">
        <v>29</v>
      </c>
      <c r="F2181" t="s">
        <v>24</v>
      </c>
      <c r="G2181">
        <v>18</v>
      </c>
      <c r="H2181">
        <v>7</v>
      </c>
      <c r="I2181">
        <v>12</v>
      </c>
      <c r="J2181">
        <v>52.81</v>
      </c>
      <c r="K2181">
        <v>255.73</v>
      </c>
      <c r="L2181">
        <v>0.01</v>
      </c>
      <c r="M2181">
        <v>57.3</v>
      </c>
      <c r="N2181">
        <v>0.99</v>
      </c>
      <c r="O2181" t="s">
        <v>20</v>
      </c>
      <c r="P2181" t="s">
        <v>21</v>
      </c>
      <c r="Q2181">
        <f t="shared" si="170"/>
        <v>13</v>
      </c>
      <c r="R2181" s="4">
        <f>RANK(N2181,$N$2:N$2800,0)</f>
        <v>1080</v>
      </c>
      <c r="S2181">
        <f t="shared" si="171"/>
        <v>1.5</v>
      </c>
      <c r="T2181" t="str">
        <f t="shared" si="172"/>
        <v>Low</v>
      </c>
      <c r="U2181" t="str" cm="1">
        <f t="array" ref="U2181">_xlfn.LET(_xlpm.roles,_xlfn.UNIQUE(D2181:D4979),_xlpm.kills, SUMIF(D2181:D4979,_xlpm.roles,G2181:G4979),INDEX(_xlpm.roles,MATCH(MAX(_xlpm.kills),_xlpm.kills,0)))</f>
        <v>IGL</v>
      </c>
      <c r="V2181" t="str">
        <f t="shared" si="173"/>
        <v>High Accuracy</v>
      </c>
      <c r="W2181" t="str" cm="1">
        <f t="array" ref="W2181">_xlfn.LET(_xlpm.roles,_xlfn.UNIQUE(D2181:D4979), _xlpm.counts,COUNTIF(D2181:D4979,_xlpm.roles), INDEX(_xlpm.roles,MATCH(MAX(_xlpm.counts),_xlpm.counts,0)))</f>
        <v>IGL</v>
      </c>
      <c r="X2181" s="2">
        <f t="shared" si="174"/>
        <v>13.057077625570777</v>
      </c>
    </row>
    <row r="2182" spans="1:24" x14ac:dyDescent="0.3">
      <c r="A2182">
        <v>1843</v>
      </c>
      <c r="B2182">
        <v>386</v>
      </c>
      <c r="C2182" t="s">
        <v>35</v>
      </c>
      <c r="D2182" t="s">
        <v>28</v>
      </c>
      <c r="E2182" t="s">
        <v>29</v>
      </c>
      <c r="F2182" t="s">
        <v>19</v>
      </c>
      <c r="G2182">
        <v>11</v>
      </c>
      <c r="H2182">
        <v>8</v>
      </c>
      <c r="I2182">
        <v>14</v>
      </c>
      <c r="J2182">
        <v>47.58</v>
      </c>
      <c r="K2182">
        <v>219.8</v>
      </c>
      <c r="L2182">
        <v>0.28000000000000003</v>
      </c>
      <c r="M2182">
        <v>36.99</v>
      </c>
      <c r="N2182">
        <v>1</v>
      </c>
      <c r="O2182" t="s">
        <v>20</v>
      </c>
      <c r="P2182" t="s">
        <v>21</v>
      </c>
      <c r="Q2182">
        <f t="shared" si="170"/>
        <v>5</v>
      </c>
      <c r="R2182" s="4">
        <f>RANK(N2182,$N$2:N$2800,0)</f>
        <v>1</v>
      </c>
      <c r="S2182">
        <f t="shared" si="171"/>
        <v>0.7857142857142857</v>
      </c>
      <c r="T2182" t="str">
        <f t="shared" si="172"/>
        <v>Low</v>
      </c>
      <c r="U2182" t="str" cm="1">
        <f t="array" ref="U2182">_xlfn.LET(_xlpm.roles,_xlfn.UNIQUE(D2182:D4980),_xlpm.kills, SUMIF(D2182:D4980,_xlpm.roles,G2182:G4980),INDEX(_xlpm.roles,MATCH(MAX(_xlpm.kills),_xlpm.kills,0)))</f>
        <v>IGL</v>
      </c>
      <c r="V2182" t="str">
        <f t="shared" si="173"/>
        <v>Medium Accuracy</v>
      </c>
      <c r="W2182" t="str" cm="1">
        <f t="array" ref="W2182">_xlfn.LET(_xlpm.roles,_xlfn.UNIQUE(D2182:D4980), _xlpm.counts,COUNTIF(D2182:D4980,_xlpm.roles), INDEX(_xlpm.roles,MATCH(MAX(_xlpm.counts),_xlpm.counts,0)))</f>
        <v>IGL</v>
      </c>
      <c r="X2182" s="2">
        <f t="shared" si="174"/>
        <v>12.599585062240664</v>
      </c>
    </row>
    <row r="2183" spans="1:24" x14ac:dyDescent="0.3">
      <c r="A2183">
        <v>2375</v>
      </c>
      <c r="B2183">
        <v>386</v>
      </c>
      <c r="C2183" t="s">
        <v>25</v>
      </c>
      <c r="D2183" t="s">
        <v>17</v>
      </c>
      <c r="E2183" t="s">
        <v>32</v>
      </c>
      <c r="F2183" t="s">
        <v>34</v>
      </c>
      <c r="G2183">
        <v>14</v>
      </c>
      <c r="H2183">
        <v>8</v>
      </c>
      <c r="I2183">
        <v>16</v>
      </c>
      <c r="J2183">
        <v>49.31</v>
      </c>
      <c r="K2183">
        <v>186.37</v>
      </c>
      <c r="L2183">
        <v>0.72</v>
      </c>
      <c r="M2183">
        <v>37.450000000000003</v>
      </c>
      <c r="N2183">
        <v>0.8</v>
      </c>
      <c r="O2183" t="s">
        <v>20</v>
      </c>
      <c r="P2183" t="s">
        <v>21</v>
      </c>
      <c r="Q2183">
        <f t="shared" si="170"/>
        <v>6</v>
      </c>
      <c r="R2183" s="4">
        <f>RANK(N2183,$N$2:N$2800,0)</f>
        <v>2393</v>
      </c>
      <c r="S2183">
        <f t="shared" si="171"/>
        <v>0.875</v>
      </c>
      <c r="T2183" t="str">
        <f t="shared" si="172"/>
        <v>Low</v>
      </c>
      <c r="U2183" t="str" cm="1">
        <f t="array" ref="U2183">_xlfn.LET(_xlpm.roles,_xlfn.UNIQUE(D2183:D4981),_xlpm.kills, SUMIF(D2183:D4981,_xlpm.roles,G2183:G4981),INDEX(_xlpm.roles,MATCH(MAX(_xlpm.kills),_xlpm.kills,0)))</f>
        <v>IGL</v>
      </c>
      <c r="V2183" t="str">
        <f t="shared" si="173"/>
        <v>Medium Accuracy</v>
      </c>
      <c r="W2183" t="str" cm="1">
        <f t="array" ref="W2183">_xlfn.LET(_xlpm.roles,_xlfn.UNIQUE(D2183:D4981), _xlpm.counts,COUNTIF(D2183:D4981,_xlpm.roles), INDEX(_xlpm.roles,MATCH(MAX(_xlpm.counts),_xlpm.counts,0)))</f>
        <v>Sniper</v>
      </c>
      <c r="X2183" s="2">
        <f t="shared" si="174"/>
        <v>12.809421841541756</v>
      </c>
    </row>
    <row r="2184" spans="1:24" x14ac:dyDescent="0.3">
      <c r="A2184">
        <v>2602</v>
      </c>
      <c r="B2184">
        <v>386</v>
      </c>
      <c r="C2184" t="s">
        <v>16</v>
      </c>
      <c r="D2184" t="s">
        <v>17</v>
      </c>
      <c r="E2184" t="s">
        <v>18</v>
      </c>
      <c r="F2184" t="s">
        <v>37</v>
      </c>
      <c r="G2184">
        <v>16</v>
      </c>
      <c r="H2184">
        <v>8</v>
      </c>
      <c r="I2184">
        <v>8</v>
      </c>
      <c r="J2184">
        <v>44.95</v>
      </c>
      <c r="K2184">
        <v>193.11</v>
      </c>
      <c r="L2184">
        <v>0.95</v>
      </c>
      <c r="M2184">
        <v>44.98</v>
      </c>
      <c r="N2184">
        <v>1</v>
      </c>
      <c r="O2184" t="s">
        <v>20</v>
      </c>
      <c r="P2184" t="s">
        <v>21</v>
      </c>
      <c r="Q2184">
        <f t="shared" si="170"/>
        <v>16</v>
      </c>
      <c r="R2184" s="4">
        <f>RANK(N2184,$N$2:N$2800,0)</f>
        <v>1</v>
      </c>
      <c r="S2184">
        <f t="shared" si="171"/>
        <v>2</v>
      </c>
      <c r="T2184" t="str">
        <f t="shared" si="172"/>
        <v>Good</v>
      </c>
      <c r="U2184" t="str" cm="1">
        <f t="array" ref="U2184">_xlfn.LET(_xlpm.roles,_xlfn.UNIQUE(D2184:D4982),_xlpm.kills, SUMIF(D2184:D4982,_xlpm.roles,G2184:G4982),INDEX(_xlpm.roles,MATCH(MAX(_xlpm.kills),_xlpm.kills,0)))</f>
        <v>IGL</v>
      </c>
      <c r="V2184" t="str">
        <f t="shared" si="173"/>
        <v>Medium Accuracy</v>
      </c>
      <c r="W2184" t="str" cm="1">
        <f t="array" ref="W2184">_xlfn.LET(_xlpm.roles,_xlfn.UNIQUE(D2184:D4982), _xlpm.counts,COUNTIF(D2184:D4982,_xlpm.roles), INDEX(_xlpm.roles,MATCH(MAX(_xlpm.counts),_xlpm.counts,0)))</f>
        <v>Sniper</v>
      </c>
      <c r="X2184" s="2">
        <f t="shared" si="174"/>
        <v>12.520971302428256</v>
      </c>
    </row>
    <row r="2185" spans="1:24" x14ac:dyDescent="0.3">
      <c r="A2185">
        <v>2729</v>
      </c>
      <c r="B2185">
        <v>386</v>
      </c>
      <c r="C2185" t="s">
        <v>25</v>
      </c>
      <c r="D2185" t="s">
        <v>36</v>
      </c>
      <c r="E2185" t="s">
        <v>32</v>
      </c>
      <c r="F2185" t="s">
        <v>19</v>
      </c>
      <c r="G2185">
        <v>20</v>
      </c>
      <c r="H2185">
        <v>6</v>
      </c>
      <c r="I2185">
        <v>10</v>
      </c>
      <c r="J2185">
        <v>60.3</v>
      </c>
      <c r="K2185">
        <v>234.31</v>
      </c>
      <c r="L2185">
        <v>0.37</v>
      </c>
      <c r="M2185">
        <v>62.45</v>
      </c>
      <c r="N2185">
        <v>1</v>
      </c>
      <c r="O2185" t="s">
        <v>20</v>
      </c>
      <c r="P2185" t="s">
        <v>38</v>
      </c>
      <c r="Q2185">
        <f t="shared" si="170"/>
        <v>16</v>
      </c>
      <c r="R2185" s="4">
        <f>RANK(N2185,$N$2:N$2800,0)</f>
        <v>1</v>
      </c>
      <c r="S2185">
        <f t="shared" si="171"/>
        <v>2</v>
      </c>
      <c r="T2185" t="str">
        <f t="shared" si="172"/>
        <v>Good</v>
      </c>
      <c r="U2185" t="str" cm="1">
        <f t="array" ref="U2185">_xlfn.LET(_xlpm.roles,_xlfn.UNIQUE(D2185:D4983),_xlpm.kills, SUMIF(D2185:D4983,_xlpm.roles,G2185:G4983),INDEX(_xlpm.roles,MATCH(MAX(_xlpm.kills),_xlpm.kills,0)))</f>
        <v>IGL</v>
      </c>
      <c r="V2185" t="str">
        <f t="shared" si="173"/>
        <v>High Accuracy</v>
      </c>
      <c r="W2185" t="str" cm="1">
        <f t="array" ref="W2185">_xlfn.LET(_xlpm.roles,_xlfn.UNIQUE(D2185:D4983), _xlpm.counts,COUNTIF(D2185:D4983,_xlpm.roles), INDEX(_xlpm.roles,MATCH(MAX(_xlpm.counts),_xlpm.counts,0)))</f>
        <v>Sniper</v>
      </c>
      <c r="X2185" s="2">
        <f t="shared" si="174"/>
        <v>12.809421841541756</v>
      </c>
    </row>
    <row r="2186" spans="1:24" x14ac:dyDescent="0.3">
      <c r="A2186">
        <v>786</v>
      </c>
      <c r="B2186">
        <v>387</v>
      </c>
      <c r="C2186" t="s">
        <v>25</v>
      </c>
      <c r="D2186" t="s">
        <v>31</v>
      </c>
      <c r="E2186" t="s">
        <v>29</v>
      </c>
      <c r="F2186" t="s">
        <v>24</v>
      </c>
      <c r="G2186">
        <v>15</v>
      </c>
      <c r="H2186">
        <v>6</v>
      </c>
      <c r="I2186">
        <v>8</v>
      </c>
      <c r="J2186">
        <v>31.53</v>
      </c>
      <c r="K2186">
        <v>220.69</v>
      </c>
      <c r="L2186">
        <v>0.69</v>
      </c>
      <c r="M2186">
        <v>36.869999999999997</v>
      </c>
      <c r="N2186">
        <v>0.76</v>
      </c>
      <c r="O2186" t="s">
        <v>20</v>
      </c>
      <c r="P2186" t="s">
        <v>21</v>
      </c>
      <c r="Q2186">
        <f t="shared" si="170"/>
        <v>13</v>
      </c>
      <c r="R2186" s="4">
        <f>RANK(N2186,$N$2:N$2800,0)</f>
        <v>2547</v>
      </c>
      <c r="S2186">
        <f t="shared" si="171"/>
        <v>1.875</v>
      </c>
      <c r="T2186" t="str">
        <f t="shared" si="172"/>
        <v>Low</v>
      </c>
      <c r="U2186" t="str" cm="1">
        <f t="array" ref="U2186">_xlfn.LET(_xlpm.roles,_xlfn.UNIQUE(D2186:D4984),_xlpm.kills, SUMIF(D2186:D4984,_xlpm.roles,G2186:G4984),INDEX(_xlpm.roles,MATCH(MAX(_xlpm.kills),_xlpm.kills,0)))</f>
        <v>IGL</v>
      </c>
      <c r="V2186" t="str">
        <f t="shared" si="173"/>
        <v>Medium Accuracy</v>
      </c>
      <c r="W2186" t="str" cm="1">
        <f t="array" ref="W2186">_xlfn.LET(_xlpm.roles,_xlfn.UNIQUE(D2186:D4984), _xlpm.counts,COUNTIF(D2186:D4984,_xlpm.roles), INDEX(_xlpm.roles,MATCH(MAX(_xlpm.counts),_xlpm.counts,0)))</f>
        <v>Sniper</v>
      </c>
      <c r="X2186" s="2">
        <f t="shared" si="174"/>
        <v>12.809421841541756</v>
      </c>
    </row>
    <row r="2187" spans="1:24" x14ac:dyDescent="0.3">
      <c r="A2187">
        <v>1383</v>
      </c>
      <c r="B2187">
        <v>387</v>
      </c>
      <c r="C2187" t="s">
        <v>39</v>
      </c>
      <c r="D2187" t="s">
        <v>17</v>
      </c>
      <c r="E2187" t="s">
        <v>32</v>
      </c>
      <c r="F2187" t="s">
        <v>24</v>
      </c>
      <c r="G2187">
        <v>18</v>
      </c>
      <c r="H2187">
        <v>11</v>
      </c>
      <c r="I2187">
        <v>12</v>
      </c>
      <c r="J2187">
        <v>61.31</v>
      </c>
      <c r="K2187">
        <v>258</v>
      </c>
      <c r="L2187">
        <v>0.56999999999999995</v>
      </c>
      <c r="M2187">
        <v>59.95</v>
      </c>
      <c r="N2187">
        <v>1</v>
      </c>
      <c r="O2187" t="s">
        <v>20</v>
      </c>
      <c r="P2187" t="s">
        <v>21</v>
      </c>
      <c r="Q2187">
        <f t="shared" si="170"/>
        <v>17</v>
      </c>
      <c r="R2187" s="4">
        <f>RANK(N2187,$N$2:N$2800,0)</f>
        <v>1</v>
      </c>
      <c r="S2187">
        <f t="shared" si="171"/>
        <v>1.5</v>
      </c>
      <c r="T2187" t="str">
        <f t="shared" si="172"/>
        <v>Good</v>
      </c>
      <c r="U2187" t="str" cm="1">
        <f t="array" ref="U2187">_xlfn.LET(_xlpm.roles,_xlfn.UNIQUE(D2187:D4985),_xlpm.kills, SUMIF(D2187:D4985,_xlpm.roles,G2187:G4985),INDEX(_xlpm.roles,MATCH(MAX(_xlpm.kills),_xlpm.kills,0)))</f>
        <v>IGL</v>
      </c>
      <c r="V2187" t="str">
        <f t="shared" si="173"/>
        <v>High Accuracy</v>
      </c>
      <c r="W2187" t="str" cm="1">
        <f t="array" ref="W2187">_xlfn.LET(_xlpm.roles,_xlfn.UNIQUE(D2187:D4985), _xlpm.counts,COUNTIF(D2187:D4985,_xlpm.roles), INDEX(_xlpm.roles,MATCH(MAX(_xlpm.counts),_xlpm.counts,0)))</f>
        <v>IGL</v>
      </c>
      <c r="X2187" s="2">
        <f t="shared" si="174"/>
        <v>13.103594080338267</v>
      </c>
    </row>
    <row r="2188" spans="1:24" x14ac:dyDescent="0.3">
      <c r="A2188">
        <v>1815</v>
      </c>
      <c r="B2188">
        <v>387</v>
      </c>
      <c r="C2188" t="s">
        <v>25</v>
      </c>
      <c r="D2188" t="s">
        <v>31</v>
      </c>
      <c r="E2188" t="s">
        <v>23</v>
      </c>
      <c r="F2188" t="s">
        <v>26</v>
      </c>
      <c r="G2188">
        <v>10</v>
      </c>
      <c r="H2188">
        <v>9</v>
      </c>
      <c r="I2188">
        <v>8</v>
      </c>
      <c r="J2188">
        <v>38.44</v>
      </c>
      <c r="K2188">
        <v>161.99</v>
      </c>
      <c r="L2188">
        <v>0.24</v>
      </c>
      <c r="M2188">
        <v>37.82</v>
      </c>
      <c r="N2188">
        <v>0.96</v>
      </c>
      <c r="O2188" t="s">
        <v>20</v>
      </c>
      <c r="P2188" t="s">
        <v>21</v>
      </c>
      <c r="Q2188">
        <f t="shared" si="170"/>
        <v>11</v>
      </c>
      <c r="R2188" s="4">
        <f>RANK(N2188,$N$2:N$2800,0)</f>
        <v>1301</v>
      </c>
      <c r="S2188">
        <f t="shared" si="171"/>
        <v>1.25</v>
      </c>
      <c r="T2188" t="str">
        <f t="shared" si="172"/>
        <v>Low</v>
      </c>
      <c r="U2188" t="str" cm="1">
        <f t="array" ref="U2188">_xlfn.LET(_xlpm.roles,_xlfn.UNIQUE(D2188:D4986),_xlpm.kills, SUMIF(D2188:D4986,_xlpm.roles,G2188:G4986),INDEX(_xlpm.roles,MATCH(MAX(_xlpm.kills),_xlpm.kills,0)))</f>
        <v>IGL</v>
      </c>
      <c r="V2188" t="str">
        <f t="shared" si="173"/>
        <v>Medium Accuracy</v>
      </c>
      <c r="W2188" t="str" cm="1">
        <f t="array" ref="W2188">_xlfn.LET(_xlpm.roles,_xlfn.UNIQUE(D2188:D4986), _xlpm.counts,COUNTIF(D2188:D4986,_xlpm.roles), INDEX(_xlpm.roles,MATCH(MAX(_xlpm.counts),_xlpm.counts,0)))</f>
        <v>IGL</v>
      </c>
      <c r="X2188" s="2">
        <f t="shared" si="174"/>
        <v>12.809421841541756</v>
      </c>
    </row>
    <row r="2189" spans="1:24" x14ac:dyDescent="0.3">
      <c r="A2189">
        <v>2136</v>
      </c>
      <c r="B2189">
        <v>387</v>
      </c>
      <c r="C2189" t="s">
        <v>30</v>
      </c>
      <c r="D2189" t="s">
        <v>31</v>
      </c>
      <c r="E2189" t="s">
        <v>18</v>
      </c>
      <c r="F2189" t="s">
        <v>26</v>
      </c>
      <c r="G2189">
        <v>8</v>
      </c>
      <c r="H2189">
        <v>3</v>
      </c>
      <c r="I2189">
        <v>7</v>
      </c>
      <c r="J2189">
        <v>61.71</v>
      </c>
      <c r="K2189">
        <v>223.19</v>
      </c>
      <c r="L2189">
        <v>0.95</v>
      </c>
      <c r="M2189">
        <v>33.36</v>
      </c>
      <c r="N2189">
        <v>0.8</v>
      </c>
      <c r="O2189" t="s">
        <v>20</v>
      </c>
      <c r="P2189" t="s">
        <v>21</v>
      </c>
      <c r="Q2189">
        <f t="shared" si="170"/>
        <v>4</v>
      </c>
      <c r="R2189" s="4">
        <f>RANK(N2189,$N$2:N$2800,0)</f>
        <v>2393</v>
      </c>
      <c r="S2189">
        <f t="shared" si="171"/>
        <v>1.1428571428571428</v>
      </c>
      <c r="T2189" t="str">
        <f t="shared" si="172"/>
        <v>Low</v>
      </c>
      <c r="U2189" t="str" cm="1">
        <f t="array" ref="U2189">_xlfn.LET(_xlpm.roles,_xlfn.UNIQUE(D2189:D4987),_xlpm.kills, SUMIF(D2189:D4987,_xlpm.roles,G2189:G4987),INDEX(_xlpm.roles,MATCH(MAX(_xlpm.kills),_xlpm.kills,0)))</f>
        <v>IGL</v>
      </c>
      <c r="V2189" t="str">
        <f t="shared" si="173"/>
        <v>High Accuracy</v>
      </c>
      <c r="W2189" t="str" cm="1">
        <f t="array" ref="W2189">_xlfn.LET(_xlpm.roles,_xlfn.UNIQUE(D2189:D4987), _xlpm.counts,COUNTIF(D2189:D4987,_xlpm.roles), INDEX(_xlpm.roles,MATCH(MAX(_xlpm.counts),_xlpm.counts,0)))</f>
        <v>IGL</v>
      </c>
      <c r="X2189" s="2">
        <f t="shared" si="174"/>
        <v>13.135802469135802</v>
      </c>
    </row>
    <row r="2190" spans="1:24" x14ac:dyDescent="0.3">
      <c r="A2190">
        <v>2214</v>
      </c>
      <c r="B2190">
        <v>387</v>
      </c>
      <c r="C2190" t="s">
        <v>27</v>
      </c>
      <c r="D2190" t="s">
        <v>28</v>
      </c>
      <c r="E2190" t="s">
        <v>33</v>
      </c>
      <c r="F2190" t="s">
        <v>19</v>
      </c>
      <c r="G2190">
        <v>14</v>
      </c>
      <c r="H2190">
        <v>17</v>
      </c>
      <c r="I2190">
        <v>6</v>
      </c>
      <c r="J2190">
        <v>46.7</v>
      </c>
      <c r="K2190">
        <v>179.23</v>
      </c>
      <c r="L2190">
        <v>0.24</v>
      </c>
      <c r="M2190">
        <v>59.95</v>
      </c>
      <c r="N2190">
        <v>1</v>
      </c>
      <c r="O2190" t="s">
        <v>20</v>
      </c>
      <c r="P2190" t="s">
        <v>21</v>
      </c>
      <c r="Q2190">
        <f t="shared" si="170"/>
        <v>25</v>
      </c>
      <c r="R2190" s="4">
        <f>RANK(N2190,$N$2:N$2800,0)</f>
        <v>1</v>
      </c>
      <c r="S2190">
        <f t="shared" si="171"/>
        <v>2.3333333333333335</v>
      </c>
      <c r="T2190" t="str">
        <f t="shared" si="172"/>
        <v>Excellent</v>
      </c>
      <c r="U2190" t="str" cm="1">
        <f t="array" ref="U2190">_xlfn.LET(_xlpm.roles,_xlfn.UNIQUE(D2190:D4988),_xlpm.kills, SUMIF(D2190:D4988,_xlpm.roles,G2190:G4988),INDEX(_xlpm.roles,MATCH(MAX(_xlpm.kills),_xlpm.kills,0)))</f>
        <v>IGL</v>
      </c>
      <c r="V2190" t="str">
        <f t="shared" si="173"/>
        <v>Medium Accuracy</v>
      </c>
      <c r="W2190" t="str" cm="1">
        <f t="array" ref="W2190">_xlfn.LET(_xlpm.roles,_xlfn.UNIQUE(D2190:D4988), _xlpm.counts,COUNTIF(D2190:D4988,_xlpm.roles), INDEX(_xlpm.roles,MATCH(MAX(_xlpm.counts),_xlpm.counts,0)))</f>
        <v>IGL</v>
      </c>
      <c r="X2190" s="2">
        <f t="shared" si="174"/>
        <v>13.057077625570777</v>
      </c>
    </row>
    <row r="2191" spans="1:24" x14ac:dyDescent="0.3">
      <c r="A2191">
        <v>2673</v>
      </c>
      <c r="B2191">
        <v>387</v>
      </c>
      <c r="C2191" t="s">
        <v>39</v>
      </c>
      <c r="D2191" t="s">
        <v>28</v>
      </c>
      <c r="E2191" t="s">
        <v>29</v>
      </c>
      <c r="F2191" t="s">
        <v>24</v>
      </c>
      <c r="G2191">
        <v>22</v>
      </c>
      <c r="H2191">
        <v>9</v>
      </c>
      <c r="I2191">
        <v>11</v>
      </c>
      <c r="J2191">
        <v>56.68</v>
      </c>
      <c r="K2191">
        <v>265.95999999999998</v>
      </c>
      <c r="L2191">
        <v>7.0000000000000007E-2</v>
      </c>
      <c r="M2191">
        <v>69.64</v>
      </c>
      <c r="N2191">
        <v>1</v>
      </c>
      <c r="O2191" t="s">
        <v>20</v>
      </c>
      <c r="P2191" t="s">
        <v>38</v>
      </c>
      <c r="Q2191">
        <f t="shared" si="170"/>
        <v>20</v>
      </c>
      <c r="R2191" s="4">
        <f>RANK(N2191,$N$2:N$2800,0)</f>
        <v>1</v>
      </c>
      <c r="S2191">
        <f t="shared" si="171"/>
        <v>2</v>
      </c>
      <c r="T2191" t="str">
        <f t="shared" si="172"/>
        <v>Good</v>
      </c>
      <c r="U2191" t="str" cm="1">
        <f t="array" ref="U2191">_xlfn.LET(_xlpm.roles,_xlfn.UNIQUE(D2191:D4989),_xlpm.kills, SUMIF(D2191:D4989,_xlpm.roles,G2191:G4989),INDEX(_xlpm.roles,MATCH(MAX(_xlpm.kills),_xlpm.kills,0)))</f>
        <v>IGL</v>
      </c>
      <c r="V2191" t="str">
        <f t="shared" si="173"/>
        <v>High Accuracy</v>
      </c>
      <c r="W2191" t="str" cm="1">
        <f t="array" ref="W2191">_xlfn.LET(_xlpm.roles,_xlfn.UNIQUE(D2191:D4989), _xlpm.counts,COUNTIF(D2191:D4989,_xlpm.roles), INDEX(_xlpm.roles,MATCH(MAX(_xlpm.counts),_xlpm.counts,0)))</f>
        <v>IGL</v>
      </c>
      <c r="X2191" s="2">
        <f t="shared" si="174"/>
        <v>13.103594080338267</v>
      </c>
    </row>
    <row r="2192" spans="1:24" x14ac:dyDescent="0.3">
      <c r="A2192">
        <v>173</v>
      </c>
      <c r="B2192">
        <v>388</v>
      </c>
      <c r="C2192" t="s">
        <v>27</v>
      </c>
      <c r="D2192" t="s">
        <v>17</v>
      </c>
      <c r="E2192" t="s">
        <v>18</v>
      </c>
      <c r="F2192" t="s">
        <v>26</v>
      </c>
      <c r="G2192">
        <v>11</v>
      </c>
      <c r="H2192">
        <v>6</v>
      </c>
      <c r="I2192">
        <v>10</v>
      </c>
      <c r="J2192">
        <v>56.71</v>
      </c>
      <c r="K2192">
        <v>249.91</v>
      </c>
      <c r="L2192">
        <v>0.25</v>
      </c>
      <c r="M2192">
        <v>43.86</v>
      </c>
      <c r="N2192">
        <v>1</v>
      </c>
      <c r="O2192" t="s">
        <v>20</v>
      </c>
      <c r="P2192" t="s">
        <v>21</v>
      </c>
      <c r="Q2192">
        <f t="shared" si="170"/>
        <v>7</v>
      </c>
      <c r="R2192" s="4">
        <f>RANK(N2192,$N$2:N$2800,0)</f>
        <v>1</v>
      </c>
      <c r="S2192">
        <f t="shared" si="171"/>
        <v>1.1000000000000001</v>
      </c>
      <c r="T2192" t="str">
        <f t="shared" si="172"/>
        <v>Low</v>
      </c>
      <c r="U2192" t="str" cm="1">
        <f t="array" ref="U2192">_xlfn.LET(_xlpm.roles,_xlfn.UNIQUE(D2192:D4990),_xlpm.kills, SUMIF(D2192:D4990,_xlpm.roles,G2192:G4990),INDEX(_xlpm.roles,MATCH(MAX(_xlpm.kills),_xlpm.kills,0)))</f>
        <v>IGL</v>
      </c>
      <c r="V2192" t="str">
        <f t="shared" si="173"/>
        <v>High Accuracy</v>
      </c>
      <c r="W2192" t="str" cm="1">
        <f t="array" ref="W2192">_xlfn.LET(_xlpm.roles,_xlfn.UNIQUE(D2192:D4990), _xlpm.counts,COUNTIF(D2192:D4990,_xlpm.roles), INDEX(_xlpm.roles,MATCH(MAX(_xlpm.counts),_xlpm.counts,0)))</f>
        <v>IGL</v>
      </c>
      <c r="X2192" s="2">
        <f t="shared" si="174"/>
        <v>13.057077625570777</v>
      </c>
    </row>
    <row r="2193" spans="1:24" x14ac:dyDescent="0.3">
      <c r="A2193">
        <v>2201</v>
      </c>
      <c r="B2193">
        <v>388</v>
      </c>
      <c r="C2193" t="s">
        <v>27</v>
      </c>
      <c r="D2193" t="s">
        <v>36</v>
      </c>
      <c r="E2193" t="s">
        <v>32</v>
      </c>
      <c r="F2193" t="s">
        <v>26</v>
      </c>
      <c r="G2193">
        <v>18</v>
      </c>
      <c r="H2193">
        <v>15</v>
      </c>
      <c r="I2193">
        <v>6</v>
      </c>
      <c r="J2193">
        <v>43.92</v>
      </c>
      <c r="K2193">
        <v>229.37</v>
      </c>
      <c r="L2193">
        <v>0.01</v>
      </c>
      <c r="M2193">
        <v>66.86</v>
      </c>
      <c r="N2193">
        <v>1</v>
      </c>
      <c r="O2193" t="s">
        <v>20</v>
      </c>
      <c r="P2193" t="s">
        <v>38</v>
      </c>
      <c r="Q2193">
        <f t="shared" si="170"/>
        <v>27</v>
      </c>
      <c r="R2193" s="4">
        <f>RANK(N2193,$N$2:N$2800,0)</f>
        <v>1</v>
      </c>
      <c r="S2193">
        <f t="shared" si="171"/>
        <v>3</v>
      </c>
      <c r="T2193" t="str">
        <f t="shared" si="172"/>
        <v>Excellent</v>
      </c>
      <c r="U2193" t="str" cm="1">
        <f t="array" ref="U2193">_xlfn.LET(_xlpm.roles,_xlfn.UNIQUE(D2193:D4991),_xlpm.kills, SUMIF(D2193:D4991,_xlpm.roles,G2193:G4991),INDEX(_xlpm.roles,MATCH(MAX(_xlpm.kills),_xlpm.kills,0)))</f>
        <v>IGL</v>
      </c>
      <c r="V2193" t="str">
        <f t="shared" si="173"/>
        <v>Medium Accuracy</v>
      </c>
      <c r="W2193" t="str" cm="1">
        <f t="array" ref="W2193">_xlfn.LET(_xlpm.roles,_xlfn.UNIQUE(D2193:D4991), _xlpm.counts,COUNTIF(D2193:D4991,_xlpm.roles), INDEX(_xlpm.roles,MATCH(MAX(_xlpm.counts),_xlpm.counts,0)))</f>
        <v>IGL</v>
      </c>
      <c r="X2193" s="2">
        <f t="shared" si="174"/>
        <v>13.057077625570777</v>
      </c>
    </row>
    <row r="2194" spans="1:24" x14ac:dyDescent="0.3">
      <c r="A2194">
        <v>2400</v>
      </c>
      <c r="B2194">
        <v>388</v>
      </c>
      <c r="C2194" t="s">
        <v>27</v>
      </c>
      <c r="D2194" t="s">
        <v>36</v>
      </c>
      <c r="E2194" t="s">
        <v>32</v>
      </c>
      <c r="F2194" t="s">
        <v>24</v>
      </c>
      <c r="G2194">
        <v>16</v>
      </c>
      <c r="H2194">
        <v>14</v>
      </c>
      <c r="I2194">
        <v>10</v>
      </c>
      <c r="J2194">
        <v>36.630000000000003</v>
      </c>
      <c r="K2194">
        <v>234.47</v>
      </c>
      <c r="L2194">
        <v>0.56999999999999995</v>
      </c>
      <c r="M2194">
        <v>48.61</v>
      </c>
      <c r="N2194">
        <v>1</v>
      </c>
      <c r="O2194" t="s">
        <v>20</v>
      </c>
      <c r="P2194" t="s">
        <v>21</v>
      </c>
      <c r="Q2194">
        <f t="shared" si="170"/>
        <v>20</v>
      </c>
      <c r="R2194" s="4">
        <f>RANK(N2194,$N$2:N$2800,0)</f>
        <v>1</v>
      </c>
      <c r="S2194">
        <f t="shared" si="171"/>
        <v>1.6</v>
      </c>
      <c r="T2194" t="str">
        <f t="shared" si="172"/>
        <v>Good</v>
      </c>
      <c r="U2194" t="str" cm="1">
        <f t="array" ref="U2194">_xlfn.LET(_xlpm.roles,_xlfn.UNIQUE(D2194:D4992),_xlpm.kills, SUMIF(D2194:D4992,_xlpm.roles,G2194:G4992),INDEX(_xlpm.roles,MATCH(MAX(_xlpm.kills),_xlpm.kills,0)))</f>
        <v>IGL</v>
      </c>
      <c r="V2194" t="str">
        <f t="shared" si="173"/>
        <v>Medium Accuracy</v>
      </c>
      <c r="W2194" t="str" cm="1">
        <f t="array" ref="W2194">_xlfn.LET(_xlpm.roles,_xlfn.UNIQUE(D2194:D4992), _xlpm.counts,COUNTIF(D2194:D4992,_xlpm.roles), INDEX(_xlpm.roles,MATCH(MAX(_xlpm.counts),_xlpm.counts,0)))</f>
        <v>IGL</v>
      </c>
      <c r="X2194" s="2">
        <f t="shared" si="174"/>
        <v>13.057077625570777</v>
      </c>
    </row>
    <row r="2195" spans="1:24" x14ac:dyDescent="0.3">
      <c r="A2195">
        <v>2662</v>
      </c>
      <c r="B2195">
        <v>388</v>
      </c>
      <c r="C2195" t="s">
        <v>27</v>
      </c>
      <c r="D2195" t="s">
        <v>31</v>
      </c>
      <c r="E2195" t="s">
        <v>33</v>
      </c>
      <c r="F2195" t="s">
        <v>19</v>
      </c>
      <c r="G2195">
        <v>19</v>
      </c>
      <c r="H2195">
        <v>9</v>
      </c>
      <c r="I2195">
        <v>3</v>
      </c>
      <c r="J2195">
        <v>31.76</v>
      </c>
      <c r="K2195">
        <v>206.73</v>
      </c>
      <c r="L2195">
        <v>0.84</v>
      </c>
      <c r="M2195">
        <v>51.48</v>
      </c>
      <c r="N2195">
        <v>1</v>
      </c>
      <c r="O2195" t="s">
        <v>20</v>
      </c>
      <c r="P2195" t="s">
        <v>21</v>
      </c>
      <c r="Q2195">
        <f t="shared" si="170"/>
        <v>25</v>
      </c>
      <c r="R2195" s="4">
        <f>RANK(N2195,$N$2:N$2800,0)</f>
        <v>1</v>
      </c>
      <c r="S2195">
        <f t="shared" si="171"/>
        <v>6.333333333333333</v>
      </c>
      <c r="T2195" t="str">
        <f t="shared" si="172"/>
        <v>Excellent</v>
      </c>
      <c r="U2195" t="str" cm="1">
        <f t="array" ref="U2195">_xlfn.LET(_xlpm.roles,_xlfn.UNIQUE(D2195:D4993),_xlpm.kills, SUMIF(D2195:D4993,_xlpm.roles,G2195:G4993),INDEX(_xlpm.roles,MATCH(MAX(_xlpm.kills),_xlpm.kills,0)))</f>
        <v>IGL</v>
      </c>
      <c r="V2195" t="str">
        <f t="shared" si="173"/>
        <v>Medium Accuracy</v>
      </c>
      <c r="W2195" t="str" cm="1">
        <f t="array" ref="W2195">_xlfn.LET(_xlpm.roles,_xlfn.UNIQUE(D2195:D4993), _xlpm.counts,COUNTIF(D2195:D4993,_xlpm.roles), INDEX(_xlpm.roles,MATCH(MAX(_xlpm.counts),_xlpm.counts,0)))</f>
        <v>IGL</v>
      </c>
      <c r="X2195" s="2">
        <f t="shared" si="174"/>
        <v>13.057077625570777</v>
      </c>
    </row>
    <row r="2196" spans="1:24" x14ac:dyDescent="0.3">
      <c r="A2196">
        <v>227</v>
      </c>
      <c r="B2196">
        <v>389</v>
      </c>
      <c r="C2196" t="s">
        <v>35</v>
      </c>
      <c r="D2196" t="s">
        <v>31</v>
      </c>
      <c r="E2196" t="s">
        <v>18</v>
      </c>
      <c r="F2196" t="s">
        <v>24</v>
      </c>
      <c r="G2196">
        <v>10</v>
      </c>
      <c r="H2196">
        <v>7</v>
      </c>
      <c r="I2196">
        <v>8</v>
      </c>
      <c r="J2196">
        <v>38.47</v>
      </c>
      <c r="K2196">
        <v>222.34</v>
      </c>
      <c r="L2196">
        <v>0.56999999999999995</v>
      </c>
      <c r="M2196">
        <v>32.53</v>
      </c>
      <c r="N2196">
        <v>0.8</v>
      </c>
      <c r="O2196" t="s">
        <v>20</v>
      </c>
      <c r="P2196" t="s">
        <v>21</v>
      </c>
      <c r="Q2196">
        <f t="shared" si="170"/>
        <v>9</v>
      </c>
      <c r="R2196" s="4">
        <f>RANK(N2196,$N$2:N$2800,0)</f>
        <v>2393</v>
      </c>
      <c r="S2196">
        <f t="shared" si="171"/>
        <v>1.25</v>
      </c>
      <c r="T2196" t="str">
        <f t="shared" si="172"/>
        <v>Low</v>
      </c>
      <c r="U2196" t="str" cm="1">
        <f t="array" ref="U2196">_xlfn.LET(_xlpm.roles,_xlfn.UNIQUE(D2196:D4994),_xlpm.kills, SUMIF(D2196:D4994,_xlpm.roles,G2196:G4994),INDEX(_xlpm.roles,MATCH(MAX(_xlpm.kills),_xlpm.kills,0)))</f>
        <v>IGL</v>
      </c>
      <c r="V2196" t="str">
        <f t="shared" si="173"/>
        <v>Medium Accuracy</v>
      </c>
      <c r="W2196" t="str" cm="1">
        <f t="array" ref="W2196">_xlfn.LET(_xlpm.roles,_xlfn.UNIQUE(D2196:D4994), _xlpm.counts,COUNTIF(D2196:D4994,_xlpm.roles), INDEX(_xlpm.roles,MATCH(MAX(_xlpm.counts),_xlpm.counts,0)))</f>
        <v>IGL</v>
      </c>
      <c r="X2196" s="2">
        <f t="shared" si="174"/>
        <v>12.599585062240664</v>
      </c>
    </row>
    <row r="2197" spans="1:24" x14ac:dyDescent="0.3">
      <c r="A2197">
        <v>949</v>
      </c>
      <c r="B2197">
        <v>389</v>
      </c>
      <c r="C2197" t="s">
        <v>30</v>
      </c>
      <c r="D2197" t="s">
        <v>31</v>
      </c>
      <c r="E2197" t="s">
        <v>32</v>
      </c>
      <c r="F2197" t="s">
        <v>24</v>
      </c>
      <c r="G2197">
        <v>16</v>
      </c>
      <c r="H2197">
        <v>7</v>
      </c>
      <c r="I2197">
        <v>9</v>
      </c>
      <c r="J2197">
        <v>38.71</v>
      </c>
      <c r="K2197">
        <v>254.05</v>
      </c>
      <c r="L2197">
        <v>0.94</v>
      </c>
      <c r="M2197">
        <v>39.96</v>
      </c>
      <c r="N2197">
        <v>0.7</v>
      </c>
      <c r="O2197" t="s">
        <v>20</v>
      </c>
      <c r="P2197" t="s">
        <v>21</v>
      </c>
      <c r="Q2197">
        <f t="shared" si="170"/>
        <v>14</v>
      </c>
      <c r="R2197" s="4">
        <f>RANK(N2197,$N$2:N$2800,0)</f>
        <v>2702</v>
      </c>
      <c r="S2197">
        <f t="shared" si="171"/>
        <v>1.7777777777777777</v>
      </c>
      <c r="T2197" t="str">
        <f t="shared" si="172"/>
        <v>Low</v>
      </c>
      <c r="U2197" t="str" cm="1">
        <f t="array" ref="U2197">_xlfn.LET(_xlpm.roles,_xlfn.UNIQUE(D2197:D4995),_xlpm.kills, SUMIF(D2197:D4995,_xlpm.roles,G2197:G4995),INDEX(_xlpm.roles,MATCH(MAX(_xlpm.kills),_xlpm.kills,0)))</f>
        <v>IGL</v>
      </c>
      <c r="V2197" t="str">
        <f t="shared" si="173"/>
        <v>Medium Accuracy</v>
      </c>
      <c r="W2197" t="str" cm="1">
        <f t="array" ref="W2197">_xlfn.LET(_xlpm.roles,_xlfn.UNIQUE(D2197:D4995), _xlpm.counts,COUNTIF(D2197:D4995,_xlpm.roles), INDEX(_xlpm.roles,MATCH(MAX(_xlpm.counts),_xlpm.counts,0)))</f>
        <v>IGL</v>
      </c>
      <c r="X2197" s="2">
        <f t="shared" si="174"/>
        <v>13.135802469135802</v>
      </c>
    </row>
    <row r="2198" spans="1:24" x14ac:dyDescent="0.3">
      <c r="A2198">
        <v>1277</v>
      </c>
      <c r="B2198">
        <v>389</v>
      </c>
      <c r="C2198" t="s">
        <v>16</v>
      </c>
      <c r="D2198" t="s">
        <v>17</v>
      </c>
      <c r="E2198" t="s">
        <v>23</v>
      </c>
      <c r="F2198" t="s">
        <v>19</v>
      </c>
      <c r="G2198">
        <v>10</v>
      </c>
      <c r="H2198">
        <v>5</v>
      </c>
      <c r="I2198">
        <v>9</v>
      </c>
      <c r="J2198">
        <v>29.2</v>
      </c>
      <c r="K2198">
        <v>242.2</v>
      </c>
      <c r="L2198">
        <v>0.42</v>
      </c>
      <c r="M2198">
        <v>26.4</v>
      </c>
      <c r="N2198">
        <v>0.72</v>
      </c>
      <c r="O2198" t="s">
        <v>20</v>
      </c>
      <c r="P2198" t="s">
        <v>21</v>
      </c>
      <c r="Q2198">
        <f t="shared" si="170"/>
        <v>6</v>
      </c>
      <c r="R2198" s="4">
        <f>RANK(N2198,$N$2:N$2800,0)</f>
        <v>2663</v>
      </c>
      <c r="S2198">
        <f t="shared" si="171"/>
        <v>1.1111111111111112</v>
      </c>
      <c r="T2198" t="str">
        <f t="shared" si="172"/>
        <v>Low</v>
      </c>
      <c r="U2198" t="str" cm="1">
        <f t="array" ref="U2198">_xlfn.LET(_xlpm.roles,_xlfn.UNIQUE(D2198:D4996),_xlpm.kills, SUMIF(D2198:D4996,_xlpm.roles,G2198:G4996),INDEX(_xlpm.roles,MATCH(MAX(_xlpm.kills),_xlpm.kills,0)))</f>
        <v>IGL</v>
      </c>
      <c r="V2198" t="str">
        <f t="shared" si="173"/>
        <v>Low Accuracy</v>
      </c>
      <c r="W2198" t="str" cm="1">
        <f t="array" ref="W2198">_xlfn.LET(_xlpm.roles,_xlfn.UNIQUE(D2198:D4996), _xlpm.counts,COUNTIF(D2198:D4996,_xlpm.roles), INDEX(_xlpm.roles,MATCH(MAX(_xlpm.counts),_xlpm.counts,0)))</f>
        <v>IGL</v>
      </c>
      <c r="X2198" s="2">
        <f t="shared" si="174"/>
        <v>12.520971302428256</v>
      </c>
    </row>
    <row r="2199" spans="1:24" x14ac:dyDescent="0.3">
      <c r="A2199">
        <v>1989</v>
      </c>
      <c r="B2199">
        <v>389</v>
      </c>
      <c r="C2199" t="s">
        <v>39</v>
      </c>
      <c r="D2199" t="s">
        <v>31</v>
      </c>
      <c r="E2199" t="s">
        <v>18</v>
      </c>
      <c r="F2199" t="s">
        <v>19</v>
      </c>
      <c r="G2199">
        <v>13</v>
      </c>
      <c r="H2199">
        <v>7</v>
      </c>
      <c r="I2199">
        <v>9</v>
      </c>
      <c r="J2199">
        <v>55.09</v>
      </c>
      <c r="K2199">
        <v>164.47</v>
      </c>
      <c r="L2199">
        <v>0.73</v>
      </c>
      <c r="M2199">
        <v>44.25</v>
      </c>
      <c r="N2199">
        <v>1</v>
      </c>
      <c r="O2199" t="s">
        <v>20</v>
      </c>
      <c r="P2199" t="s">
        <v>21</v>
      </c>
      <c r="Q2199">
        <f t="shared" si="170"/>
        <v>11</v>
      </c>
      <c r="R2199" s="4">
        <f>RANK(N2199,$N$2:N$2800,0)</f>
        <v>1</v>
      </c>
      <c r="S2199">
        <f t="shared" si="171"/>
        <v>1.4444444444444444</v>
      </c>
      <c r="T2199" t="str">
        <f t="shared" si="172"/>
        <v>Low</v>
      </c>
      <c r="U2199" t="str" cm="1">
        <f t="array" ref="U2199">_xlfn.LET(_xlpm.roles,_xlfn.UNIQUE(D2199:D4997),_xlpm.kills, SUMIF(D2199:D4997,_xlpm.roles,G2199:G4997),INDEX(_xlpm.roles,MATCH(MAX(_xlpm.kills),_xlpm.kills,0)))</f>
        <v>IGL</v>
      </c>
      <c r="V2199" t="str">
        <f t="shared" si="173"/>
        <v>High Accuracy</v>
      </c>
      <c r="W2199" t="str" cm="1">
        <f t="array" ref="W2199">_xlfn.LET(_xlpm.roles,_xlfn.UNIQUE(D2199:D4997), _xlpm.counts,COUNTIF(D2199:D4997,_xlpm.roles), INDEX(_xlpm.roles,MATCH(MAX(_xlpm.counts),_xlpm.counts,0)))</f>
        <v>IGL</v>
      </c>
      <c r="X2199" s="2">
        <f t="shared" si="174"/>
        <v>13.103594080338267</v>
      </c>
    </row>
    <row r="2200" spans="1:24" x14ac:dyDescent="0.3">
      <c r="A2200">
        <v>508</v>
      </c>
      <c r="B2200">
        <v>390</v>
      </c>
      <c r="C2200" t="s">
        <v>16</v>
      </c>
      <c r="D2200" t="s">
        <v>22</v>
      </c>
      <c r="E2200" t="s">
        <v>23</v>
      </c>
      <c r="F2200" t="s">
        <v>37</v>
      </c>
      <c r="G2200">
        <v>13</v>
      </c>
      <c r="H2200">
        <v>4</v>
      </c>
      <c r="I2200">
        <v>12</v>
      </c>
      <c r="J2200">
        <v>47.97</v>
      </c>
      <c r="K2200">
        <v>251.75</v>
      </c>
      <c r="L2200">
        <v>0.11</v>
      </c>
      <c r="M2200">
        <v>40.880000000000003</v>
      </c>
      <c r="N2200">
        <v>0.96</v>
      </c>
      <c r="O2200" t="s">
        <v>20</v>
      </c>
      <c r="P2200" t="s">
        <v>21</v>
      </c>
      <c r="Q2200">
        <f t="shared" si="170"/>
        <v>5</v>
      </c>
      <c r="R2200" s="4">
        <f>RANK(N2200,$N$2:N$2800,0)</f>
        <v>1301</v>
      </c>
      <c r="S2200">
        <f t="shared" si="171"/>
        <v>1.0833333333333333</v>
      </c>
      <c r="T2200" t="str">
        <f t="shared" si="172"/>
        <v>Low</v>
      </c>
      <c r="U2200" t="str" cm="1">
        <f t="array" ref="U2200">_xlfn.LET(_xlpm.roles,_xlfn.UNIQUE(D2200:D4998),_xlpm.kills, SUMIF(D2200:D4998,_xlpm.roles,G2200:G4998),INDEX(_xlpm.roles,MATCH(MAX(_xlpm.kills),_xlpm.kills,0)))</f>
        <v>IGL</v>
      </c>
      <c r="V2200" t="str">
        <f t="shared" si="173"/>
        <v>Medium Accuracy</v>
      </c>
      <c r="W2200" t="str" cm="1">
        <f t="array" ref="W2200">_xlfn.LET(_xlpm.roles,_xlfn.UNIQUE(D2200:D4998), _xlpm.counts,COUNTIF(D2200:D4998,_xlpm.roles), INDEX(_xlpm.roles,MATCH(MAX(_xlpm.counts),_xlpm.counts,0)))</f>
        <v>IGL</v>
      </c>
      <c r="X2200" s="2">
        <f t="shared" si="174"/>
        <v>12.520971302428256</v>
      </c>
    </row>
    <row r="2201" spans="1:24" x14ac:dyDescent="0.3">
      <c r="A2201">
        <v>621</v>
      </c>
      <c r="B2201">
        <v>390</v>
      </c>
      <c r="C2201" t="s">
        <v>16</v>
      </c>
      <c r="D2201" t="s">
        <v>31</v>
      </c>
      <c r="E2201" t="s">
        <v>18</v>
      </c>
      <c r="F2201" t="s">
        <v>26</v>
      </c>
      <c r="G2201">
        <v>15</v>
      </c>
      <c r="H2201">
        <v>6</v>
      </c>
      <c r="I2201">
        <v>12</v>
      </c>
      <c r="J2201">
        <v>34.65</v>
      </c>
      <c r="K2201">
        <v>247.03</v>
      </c>
      <c r="L2201">
        <v>0.56999999999999995</v>
      </c>
      <c r="M2201">
        <v>35.619999999999997</v>
      </c>
      <c r="N2201">
        <v>0.77</v>
      </c>
      <c r="O2201" t="s">
        <v>20</v>
      </c>
      <c r="P2201" t="s">
        <v>21</v>
      </c>
      <c r="Q2201">
        <f t="shared" si="170"/>
        <v>9</v>
      </c>
      <c r="R2201" s="4">
        <f>RANK(N2201,$N$2:N$2800,0)</f>
        <v>2511</v>
      </c>
      <c r="S2201">
        <f t="shared" si="171"/>
        <v>1.25</v>
      </c>
      <c r="T2201" t="str">
        <f t="shared" si="172"/>
        <v>Low</v>
      </c>
      <c r="U2201" t="str" cm="1">
        <f t="array" ref="U2201">_xlfn.LET(_xlpm.roles,_xlfn.UNIQUE(D2201:D4999),_xlpm.kills, SUMIF(D2201:D4999,_xlpm.roles,G2201:G4999),INDEX(_xlpm.roles,MATCH(MAX(_xlpm.kills),_xlpm.kills,0)))</f>
        <v>IGL</v>
      </c>
      <c r="V2201" t="str">
        <f t="shared" si="173"/>
        <v>Medium Accuracy</v>
      </c>
      <c r="W2201" t="str" cm="1">
        <f t="array" ref="W2201">_xlfn.LET(_xlpm.roles,_xlfn.UNIQUE(D2201:D4999), _xlpm.counts,COUNTIF(D2201:D4999,_xlpm.roles), INDEX(_xlpm.roles,MATCH(MAX(_xlpm.counts),_xlpm.counts,0)))</f>
        <v>IGL</v>
      </c>
      <c r="X2201" s="2">
        <f t="shared" si="174"/>
        <v>12.520971302428256</v>
      </c>
    </row>
    <row r="2202" spans="1:24" x14ac:dyDescent="0.3">
      <c r="A2202">
        <v>1392</v>
      </c>
      <c r="B2202">
        <v>390</v>
      </c>
      <c r="C2202" t="s">
        <v>35</v>
      </c>
      <c r="D2202" t="s">
        <v>28</v>
      </c>
      <c r="E2202" t="s">
        <v>32</v>
      </c>
      <c r="F2202" t="s">
        <v>37</v>
      </c>
      <c r="G2202">
        <v>10</v>
      </c>
      <c r="H2202">
        <v>4</v>
      </c>
      <c r="I2202">
        <v>7</v>
      </c>
      <c r="J2202">
        <v>39.799999999999997</v>
      </c>
      <c r="K2202">
        <v>249.99</v>
      </c>
      <c r="L2202">
        <v>0.64</v>
      </c>
      <c r="M2202">
        <v>30.5</v>
      </c>
      <c r="N2202">
        <v>0.78</v>
      </c>
      <c r="O2202" t="s">
        <v>20</v>
      </c>
      <c r="P2202" t="s">
        <v>21</v>
      </c>
      <c r="Q2202">
        <f t="shared" si="170"/>
        <v>7</v>
      </c>
      <c r="R2202" s="4">
        <f>RANK(N2202,$N$2:N$2800,0)</f>
        <v>2469</v>
      </c>
      <c r="S2202">
        <f t="shared" si="171"/>
        <v>1.4285714285714286</v>
      </c>
      <c r="T2202" t="str">
        <f t="shared" si="172"/>
        <v>Low</v>
      </c>
      <c r="U2202" t="str" cm="1">
        <f t="array" ref="U2202">_xlfn.LET(_xlpm.roles,_xlfn.UNIQUE(D2202:D5000),_xlpm.kills, SUMIF(D2202:D5000,_xlpm.roles,G2202:G5000),INDEX(_xlpm.roles,MATCH(MAX(_xlpm.kills),_xlpm.kills,0)))</f>
        <v>IGL</v>
      </c>
      <c r="V2202" t="str">
        <f t="shared" si="173"/>
        <v>Medium Accuracy</v>
      </c>
      <c r="W2202" t="str" cm="1">
        <f t="array" ref="W2202">_xlfn.LET(_xlpm.roles,_xlfn.UNIQUE(D2202:D5000), _xlpm.counts,COUNTIF(D2202:D5000,_xlpm.roles), INDEX(_xlpm.roles,MATCH(MAX(_xlpm.counts),_xlpm.counts,0)))</f>
        <v>IGL</v>
      </c>
      <c r="X2202" s="2">
        <f t="shared" si="174"/>
        <v>12.599585062240664</v>
      </c>
    </row>
    <row r="2203" spans="1:24" x14ac:dyDescent="0.3">
      <c r="A2203">
        <v>2127</v>
      </c>
      <c r="B2203">
        <v>390</v>
      </c>
      <c r="C2203" t="s">
        <v>25</v>
      </c>
      <c r="D2203" t="s">
        <v>17</v>
      </c>
      <c r="E2203" t="s">
        <v>33</v>
      </c>
      <c r="F2203" t="s">
        <v>24</v>
      </c>
      <c r="G2203">
        <v>20</v>
      </c>
      <c r="H2203">
        <v>12</v>
      </c>
      <c r="I2203">
        <v>11</v>
      </c>
      <c r="J2203">
        <v>56.51</v>
      </c>
      <c r="K2203">
        <v>230.37</v>
      </c>
      <c r="L2203">
        <v>0.91</v>
      </c>
      <c r="M2203">
        <v>60.15</v>
      </c>
      <c r="N2203">
        <v>1</v>
      </c>
      <c r="O2203" t="s">
        <v>20</v>
      </c>
      <c r="P2203" t="s">
        <v>38</v>
      </c>
      <c r="Q2203">
        <f t="shared" si="170"/>
        <v>21</v>
      </c>
      <c r="R2203" s="4">
        <f>RANK(N2203,$N$2:N$2800,0)</f>
        <v>1</v>
      </c>
      <c r="S2203">
        <f t="shared" si="171"/>
        <v>1.8181818181818181</v>
      </c>
      <c r="T2203" t="str">
        <f t="shared" si="172"/>
        <v>Good</v>
      </c>
      <c r="U2203" t="str" cm="1">
        <f t="array" ref="U2203">_xlfn.LET(_xlpm.roles,_xlfn.UNIQUE(D2203:D5001),_xlpm.kills, SUMIF(D2203:D5001,_xlpm.roles,G2203:G5001),INDEX(_xlpm.roles,MATCH(MAX(_xlpm.kills),_xlpm.kills,0)))</f>
        <v>IGL</v>
      </c>
      <c r="V2203" t="str">
        <f t="shared" si="173"/>
        <v>High Accuracy</v>
      </c>
      <c r="W2203" t="str" cm="1">
        <f t="array" ref="W2203">_xlfn.LET(_xlpm.roles,_xlfn.UNIQUE(D2203:D5001), _xlpm.counts,COUNTIF(D2203:D5001,_xlpm.roles), INDEX(_xlpm.roles,MATCH(MAX(_xlpm.counts),_xlpm.counts,0)))</f>
        <v>IGL</v>
      </c>
      <c r="X2203" s="2">
        <f t="shared" si="174"/>
        <v>12.809421841541756</v>
      </c>
    </row>
    <row r="2204" spans="1:24" x14ac:dyDescent="0.3">
      <c r="A2204">
        <v>2279</v>
      </c>
      <c r="B2204">
        <v>390</v>
      </c>
      <c r="C2204" t="s">
        <v>30</v>
      </c>
      <c r="D2204" t="s">
        <v>28</v>
      </c>
      <c r="E2204" t="s">
        <v>18</v>
      </c>
      <c r="F2204" t="s">
        <v>24</v>
      </c>
      <c r="G2204">
        <v>13</v>
      </c>
      <c r="H2204">
        <v>7</v>
      </c>
      <c r="I2204">
        <v>12</v>
      </c>
      <c r="J2204">
        <v>51.79</v>
      </c>
      <c r="K2204">
        <v>174.63</v>
      </c>
      <c r="L2204">
        <v>0.77</v>
      </c>
      <c r="M2204">
        <v>39.19</v>
      </c>
      <c r="N2204">
        <v>0.73</v>
      </c>
      <c r="O2204" t="s">
        <v>20</v>
      </c>
      <c r="P2204" t="s">
        <v>21</v>
      </c>
      <c r="Q2204">
        <f t="shared" si="170"/>
        <v>8</v>
      </c>
      <c r="R2204" s="4">
        <f>RANK(N2204,$N$2:N$2800,0)</f>
        <v>2642</v>
      </c>
      <c r="S2204">
        <f t="shared" si="171"/>
        <v>1.0833333333333333</v>
      </c>
      <c r="T2204" t="str">
        <f t="shared" si="172"/>
        <v>Low</v>
      </c>
      <c r="U2204" t="str" cm="1">
        <f t="array" ref="U2204">_xlfn.LET(_xlpm.roles,_xlfn.UNIQUE(D2204:D5002),_xlpm.kills, SUMIF(D2204:D5002,_xlpm.roles,G2204:G5002),INDEX(_xlpm.roles,MATCH(MAX(_xlpm.kills),_xlpm.kills,0)))</f>
        <v>IGL</v>
      </c>
      <c r="V2204" t="str">
        <f t="shared" si="173"/>
        <v>High Accuracy</v>
      </c>
      <c r="W2204" t="str" cm="1">
        <f t="array" ref="W2204">_xlfn.LET(_xlpm.roles,_xlfn.UNIQUE(D2204:D5002), _xlpm.counts,COUNTIF(D2204:D5002,_xlpm.roles), INDEX(_xlpm.roles,MATCH(MAX(_xlpm.counts),_xlpm.counts,0)))</f>
        <v>IGL</v>
      </c>
      <c r="X2204" s="2">
        <f t="shared" si="174"/>
        <v>13.135802469135802</v>
      </c>
    </row>
    <row r="2205" spans="1:24" x14ac:dyDescent="0.3">
      <c r="A2205">
        <v>642</v>
      </c>
      <c r="B2205">
        <v>391</v>
      </c>
      <c r="C2205" t="s">
        <v>27</v>
      </c>
      <c r="D2205" t="s">
        <v>28</v>
      </c>
      <c r="E2205" t="s">
        <v>23</v>
      </c>
      <c r="F2205" t="s">
        <v>26</v>
      </c>
      <c r="G2205">
        <v>12</v>
      </c>
      <c r="H2205">
        <v>9</v>
      </c>
      <c r="I2205">
        <v>8</v>
      </c>
      <c r="J2205">
        <v>62.37</v>
      </c>
      <c r="K2205">
        <v>196.05</v>
      </c>
      <c r="L2205">
        <v>0.43</v>
      </c>
      <c r="M2205">
        <v>51.89</v>
      </c>
      <c r="N2205">
        <v>1</v>
      </c>
      <c r="O2205" t="s">
        <v>20</v>
      </c>
      <c r="P2205" t="s">
        <v>21</v>
      </c>
      <c r="Q2205">
        <f t="shared" si="170"/>
        <v>13</v>
      </c>
      <c r="R2205" s="4">
        <f>RANK(N2205,$N$2:N$2800,0)</f>
        <v>1</v>
      </c>
      <c r="S2205">
        <f t="shared" si="171"/>
        <v>1.5</v>
      </c>
      <c r="T2205" t="str">
        <f t="shared" si="172"/>
        <v>Low</v>
      </c>
      <c r="U2205" t="str" cm="1">
        <f t="array" ref="U2205">_xlfn.LET(_xlpm.roles,_xlfn.UNIQUE(D2205:D5003),_xlpm.kills, SUMIF(D2205:D5003,_xlpm.roles,G2205:G5003),INDEX(_xlpm.roles,MATCH(MAX(_xlpm.kills),_xlpm.kills,0)))</f>
        <v>IGL</v>
      </c>
      <c r="V2205" t="str">
        <f t="shared" si="173"/>
        <v>High Accuracy</v>
      </c>
      <c r="W2205" t="str" cm="1">
        <f t="array" ref="W2205">_xlfn.LET(_xlpm.roles,_xlfn.UNIQUE(D2205:D5003), _xlpm.counts,COUNTIF(D2205:D5003,_xlpm.roles), INDEX(_xlpm.roles,MATCH(MAX(_xlpm.counts),_xlpm.counts,0)))</f>
        <v>IGL</v>
      </c>
      <c r="X2205" s="2">
        <f t="shared" si="174"/>
        <v>13.057077625570777</v>
      </c>
    </row>
    <row r="2206" spans="1:24" x14ac:dyDescent="0.3">
      <c r="A2206">
        <v>992</v>
      </c>
      <c r="B2206">
        <v>391</v>
      </c>
      <c r="C2206" t="s">
        <v>27</v>
      </c>
      <c r="D2206" t="s">
        <v>22</v>
      </c>
      <c r="E2206" t="s">
        <v>32</v>
      </c>
      <c r="F2206" t="s">
        <v>37</v>
      </c>
      <c r="G2206">
        <v>26</v>
      </c>
      <c r="H2206">
        <v>13</v>
      </c>
      <c r="I2206">
        <v>13</v>
      </c>
      <c r="J2206">
        <v>51.85</v>
      </c>
      <c r="K2206">
        <v>219.59</v>
      </c>
      <c r="L2206">
        <v>0.09</v>
      </c>
      <c r="M2206">
        <v>77.02</v>
      </c>
      <c r="N2206">
        <v>1</v>
      </c>
      <c r="O2206" t="s">
        <v>20</v>
      </c>
      <c r="P2206" t="s">
        <v>38</v>
      </c>
      <c r="Q2206">
        <f t="shared" si="170"/>
        <v>26</v>
      </c>
      <c r="R2206" s="4">
        <f>RANK(N2206,$N$2:N$2800,0)</f>
        <v>1</v>
      </c>
      <c r="S2206">
        <f t="shared" si="171"/>
        <v>2</v>
      </c>
      <c r="T2206" t="str">
        <f t="shared" si="172"/>
        <v>Excellent</v>
      </c>
      <c r="U2206" t="str" cm="1">
        <f t="array" ref="U2206">_xlfn.LET(_xlpm.roles,_xlfn.UNIQUE(D2206:D5004),_xlpm.kills, SUMIF(D2206:D5004,_xlpm.roles,G2206:G5004),INDEX(_xlpm.roles,MATCH(MAX(_xlpm.kills),_xlpm.kills,0)))</f>
        <v>IGL</v>
      </c>
      <c r="V2206" t="str">
        <f t="shared" si="173"/>
        <v>High Accuracy</v>
      </c>
      <c r="W2206" t="str" cm="1">
        <f t="array" ref="W2206">_xlfn.LET(_xlpm.roles,_xlfn.UNIQUE(D2206:D5004), _xlpm.counts,COUNTIF(D2206:D5004,_xlpm.roles), INDEX(_xlpm.roles,MATCH(MAX(_xlpm.counts),_xlpm.counts,0)))</f>
        <v>IGL</v>
      </c>
      <c r="X2206" s="2">
        <f t="shared" si="174"/>
        <v>13.057077625570777</v>
      </c>
    </row>
    <row r="2207" spans="1:24" x14ac:dyDescent="0.3">
      <c r="A2207">
        <v>1501</v>
      </c>
      <c r="B2207">
        <v>391</v>
      </c>
      <c r="C2207" t="s">
        <v>16</v>
      </c>
      <c r="D2207" t="s">
        <v>36</v>
      </c>
      <c r="E2207" t="s">
        <v>18</v>
      </c>
      <c r="F2207" t="s">
        <v>34</v>
      </c>
      <c r="G2207">
        <v>18</v>
      </c>
      <c r="H2207">
        <v>4</v>
      </c>
      <c r="I2207">
        <v>10</v>
      </c>
      <c r="J2207">
        <v>38.65</v>
      </c>
      <c r="K2207">
        <v>252.85</v>
      </c>
      <c r="L2207">
        <v>0.98</v>
      </c>
      <c r="M2207">
        <v>39.53</v>
      </c>
      <c r="N2207">
        <v>1</v>
      </c>
      <c r="O2207" t="s">
        <v>20</v>
      </c>
      <c r="P2207" t="s">
        <v>21</v>
      </c>
      <c r="Q2207">
        <f t="shared" si="170"/>
        <v>12</v>
      </c>
      <c r="R2207" s="4">
        <f>RANK(N2207,$N$2:N$2800,0)</f>
        <v>1</v>
      </c>
      <c r="S2207">
        <f t="shared" si="171"/>
        <v>1.8</v>
      </c>
      <c r="T2207" t="str">
        <f t="shared" si="172"/>
        <v>Low</v>
      </c>
      <c r="U2207" t="str" cm="1">
        <f t="array" ref="U2207">_xlfn.LET(_xlpm.roles,_xlfn.UNIQUE(D2207:D5005),_xlpm.kills, SUMIF(D2207:D5005,_xlpm.roles,G2207:G5005),INDEX(_xlpm.roles,MATCH(MAX(_xlpm.kills),_xlpm.kills,0)))</f>
        <v>IGL</v>
      </c>
      <c r="V2207" t="str">
        <f t="shared" si="173"/>
        <v>Medium Accuracy</v>
      </c>
      <c r="W2207" t="str" cm="1">
        <f t="array" ref="W2207">_xlfn.LET(_xlpm.roles,_xlfn.UNIQUE(D2207:D5005), _xlpm.counts,COUNTIF(D2207:D5005,_xlpm.roles), INDEX(_xlpm.roles,MATCH(MAX(_xlpm.counts),_xlpm.counts,0)))</f>
        <v>IGL</v>
      </c>
      <c r="X2207" s="2">
        <f t="shared" si="174"/>
        <v>12.520971302428256</v>
      </c>
    </row>
    <row r="2208" spans="1:24" x14ac:dyDescent="0.3">
      <c r="A2208">
        <v>2624</v>
      </c>
      <c r="B2208">
        <v>391</v>
      </c>
      <c r="C2208" t="s">
        <v>39</v>
      </c>
      <c r="D2208" t="s">
        <v>22</v>
      </c>
      <c r="E2208" t="s">
        <v>33</v>
      </c>
      <c r="F2208" t="s">
        <v>37</v>
      </c>
      <c r="G2208">
        <v>9</v>
      </c>
      <c r="H2208">
        <v>7</v>
      </c>
      <c r="I2208">
        <v>9</v>
      </c>
      <c r="J2208">
        <v>35.61</v>
      </c>
      <c r="K2208">
        <v>229.01</v>
      </c>
      <c r="L2208">
        <v>0.77</v>
      </c>
      <c r="M2208">
        <v>26.11</v>
      </c>
      <c r="N2208">
        <v>0.85</v>
      </c>
      <c r="O2208" t="s">
        <v>20</v>
      </c>
      <c r="P2208" t="s">
        <v>21</v>
      </c>
      <c r="Q2208">
        <f t="shared" si="170"/>
        <v>7</v>
      </c>
      <c r="R2208" s="4">
        <f>RANK(N2208,$N$2:N$2800,0)</f>
        <v>2105</v>
      </c>
      <c r="S2208">
        <f t="shared" si="171"/>
        <v>1</v>
      </c>
      <c r="T2208" t="str">
        <f t="shared" si="172"/>
        <v>Low</v>
      </c>
      <c r="U2208" t="str" cm="1">
        <f t="array" ref="U2208">_xlfn.LET(_xlpm.roles,_xlfn.UNIQUE(D2208:D5006),_xlpm.kills, SUMIF(D2208:D5006,_xlpm.roles,G2208:G5006),INDEX(_xlpm.roles,MATCH(MAX(_xlpm.kills),_xlpm.kills,0)))</f>
        <v>IGL</v>
      </c>
      <c r="V2208" t="str">
        <f t="shared" si="173"/>
        <v>Medium Accuracy</v>
      </c>
      <c r="W2208" t="str" cm="1">
        <f t="array" ref="W2208">_xlfn.LET(_xlpm.roles,_xlfn.UNIQUE(D2208:D5006), _xlpm.counts,COUNTIF(D2208:D5006,_xlpm.roles), INDEX(_xlpm.roles,MATCH(MAX(_xlpm.counts),_xlpm.counts,0)))</f>
        <v>IGL</v>
      </c>
      <c r="X2208" s="2">
        <f t="shared" si="174"/>
        <v>13.103594080338267</v>
      </c>
    </row>
    <row r="2209" spans="1:24" x14ac:dyDescent="0.3">
      <c r="A2209">
        <v>1931</v>
      </c>
      <c r="B2209">
        <v>392</v>
      </c>
      <c r="C2209" t="s">
        <v>27</v>
      </c>
      <c r="D2209" t="s">
        <v>28</v>
      </c>
      <c r="E2209" t="s">
        <v>29</v>
      </c>
      <c r="F2209" t="s">
        <v>34</v>
      </c>
      <c r="G2209">
        <v>9</v>
      </c>
      <c r="H2209">
        <v>12</v>
      </c>
      <c r="I2209">
        <v>8</v>
      </c>
      <c r="J2209">
        <v>50.63</v>
      </c>
      <c r="K2209">
        <v>249.68</v>
      </c>
      <c r="L2209">
        <v>0.09</v>
      </c>
      <c r="M2209">
        <v>46.41</v>
      </c>
      <c r="N2209">
        <v>1</v>
      </c>
      <c r="O2209" t="s">
        <v>20</v>
      </c>
      <c r="P2209" t="s">
        <v>21</v>
      </c>
      <c r="Q2209">
        <f t="shared" si="170"/>
        <v>13</v>
      </c>
      <c r="R2209" s="4">
        <f>RANK(N2209,$N$2:N$2800,0)</f>
        <v>1</v>
      </c>
      <c r="S2209">
        <f t="shared" si="171"/>
        <v>1.125</v>
      </c>
      <c r="T2209" t="str">
        <f t="shared" si="172"/>
        <v>Low</v>
      </c>
      <c r="U2209" t="str" cm="1">
        <f t="array" ref="U2209">_xlfn.LET(_xlpm.roles,_xlfn.UNIQUE(D2209:D5007),_xlpm.kills, SUMIF(D2209:D5007,_xlpm.roles,G2209:G5007),INDEX(_xlpm.roles,MATCH(MAX(_xlpm.kills),_xlpm.kills,0)))</f>
        <v>IGL</v>
      </c>
      <c r="V2209" t="str">
        <f t="shared" si="173"/>
        <v>High Accuracy</v>
      </c>
      <c r="W2209" t="str" cm="1">
        <f t="array" ref="W2209">_xlfn.LET(_xlpm.roles,_xlfn.UNIQUE(D2209:D5007), _xlpm.counts,COUNTIF(D2209:D5007,_xlpm.roles), INDEX(_xlpm.roles,MATCH(MAX(_xlpm.counts),_xlpm.counts,0)))</f>
        <v>IGL</v>
      </c>
      <c r="X2209" s="2">
        <f t="shared" si="174"/>
        <v>13.057077625570777</v>
      </c>
    </row>
    <row r="2210" spans="1:24" x14ac:dyDescent="0.3">
      <c r="A2210">
        <v>2118</v>
      </c>
      <c r="B2210">
        <v>392</v>
      </c>
      <c r="C2210" t="s">
        <v>35</v>
      </c>
      <c r="D2210" t="s">
        <v>28</v>
      </c>
      <c r="E2210" t="s">
        <v>23</v>
      </c>
      <c r="F2210" t="s">
        <v>19</v>
      </c>
      <c r="G2210">
        <v>17</v>
      </c>
      <c r="H2210">
        <v>2</v>
      </c>
      <c r="I2210">
        <v>10</v>
      </c>
      <c r="J2210">
        <v>44.05</v>
      </c>
      <c r="K2210">
        <v>224.32</v>
      </c>
      <c r="L2210">
        <v>7.0000000000000007E-2</v>
      </c>
      <c r="M2210">
        <v>47.32</v>
      </c>
      <c r="N2210">
        <v>1</v>
      </c>
      <c r="O2210" t="s">
        <v>20</v>
      </c>
      <c r="P2210" t="s">
        <v>21</v>
      </c>
      <c r="Q2210">
        <f t="shared" si="170"/>
        <v>9</v>
      </c>
      <c r="R2210" s="4">
        <f>RANK(N2210,$N$2:N$2800,0)</f>
        <v>1</v>
      </c>
      <c r="S2210">
        <f t="shared" si="171"/>
        <v>1.7</v>
      </c>
      <c r="T2210" t="str">
        <f t="shared" si="172"/>
        <v>Low</v>
      </c>
      <c r="U2210" t="str" cm="1">
        <f t="array" ref="U2210">_xlfn.LET(_xlpm.roles,_xlfn.UNIQUE(D2210:D5008),_xlpm.kills, SUMIF(D2210:D5008,_xlpm.roles,G2210:G5008),INDEX(_xlpm.roles,MATCH(MAX(_xlpm.kills),_xlpm.kills,0)))</f>
        <v>IGL</v>
      </c>
      <c r="V2210" t="str">
        <f t="shared" si="173"/>
        <v>Medium Accuracy</v>
      </c>
      <c r="W2210" t="str" cm="1">
        <f t="array" ref="W2210">_xlfn.LET(_xlpm.roles,_xlfn.UNIQUE(D2210:D5008), _xlpm.counts,COUNTIF(D2210:D5008,_xlpm.roles), INDEX(_xlpm.roles,MATCH(MAX(_xlpm.counts),_xlpm.counts,0)))</f>
        <v>IGL</v>
      </c>
      <c r="X2210" s="2">
        <f t="shared" si="174"/>
        <v>12.599585062240664</v>
      </c>
    </row>
    <row r="2211" spans="1:24" x14ac:dyDescent="0.3">
      <c r="A2211">
        <v>703</v>
      </c>
      <c r="B2211">
        <v>393</v>
      </c>
      <c r="C2211" t="s">
        <v>30</v>
      </c>
      <c r="D2211" t="s">
        <v>36</v>
      </c>
      <c r="E2211" t="s">
        <v>23</v>
      </c>
      <c r="F2211" t="s">
        <v>26</v>
      </c>
      <c r="G2211">
        <v>12</v>
      </c>
      <c r="H2211">
        <v>9</v>
      </c>
      <c r="I2211">
        <v>5</v>
      </c>
      <c r="J2211">
        <v>53.44</v>
      </c>
      <c r="K2211">
        <v>248.32</v>
      </c>
      <c r="L2211">
        <v>0.67</v>
      </c>
      <c r="M2211">
        <v>48.02</v>
      </c>
      <c r="N2211">
        <v>0.88</v>
      </c>
      <c r="O2211" t="s">
        <v>20</v>
      </c>
      <c r="P2211" t="s">
        <v>21</v>
      </c>
      <c r="Q2211">
        <f t="shared" si="170"/>
        <v>16</v>
      </c>
      <c r="R2211" s="4">
        <f>RANK(N2211,$N$2:N$2800,0)</f>
        <v>1894</v>
      </c>
      <c r="S2211">
        <f t="shared" si="171"/>
        <v>2.4</v>
      </c>
      <c r="T2211" t="str">
        <f t="shared" si="172"/>
        <v>Good</v>
      </c>
      <c r="U2211" t="str" cm="1">
        <f t="array" ref="U2211">_xlfn.LET(_xlpm.roles,_xlfn.UNIQUE(D2211:D5009),_xlpm.kills, SUMIF(D2211:D5009,_xlpm.roles,G2211:G5009),INDEX(_xlpm.roles,MATCH(MAX(_xlpm.kills),_xlpm.kills,0)))</f>
        <v>IGL</v>
      </c>
      <c r="V2211" t="str">
        <f t="shared" si="173"/>
        <v>High Accuracy</v>
      </c>
      <c r="W2211" t="str" cm="1">
        <f t="array" ref="W2211">_xlfn.LET(_xlpm.roles,_xlfn.UNIQUE(D2211:D5009), _xlpm.counts,COUNTIF(D2211:D5009,_xlpm.roles), INDEX(_xlpm.roles,MATCH(MAX(_xlpm.counts),_xlpm.counts,0)))</f>
        <v>IGL</v>
      </c>
      <c r="X2211" s="2">
        <f t="shared" si="174"/>
        <v>13.135802469135802</v>
      </c>
    </row>
    <row r="2212" spans="1:24" x14ac:dyDescent="0.3">
      <c r="A2212">
        <v>1036</v>
      </c>
      <c r="B2212">
        <v>393</v>
      </c>
      <c r="C2212" t="s">
        <v>35</v>
      </c>
      <c r="D2212" t="s">
        <v>36</v>
      </c>
      <c r="E2212" t="s">
        <v>32</v>
      </c>
      <c r="F2212" t="s">
        <v>19</v>
      </c>
      <c r="G2212">
        <v>12</v>
      </c>
      <c r="H2212">
        <v>9</v>
      </c>
      <c r="I2212">
        <v>12</v>
      </c>
      <c r="J2212">
        <v>41.12</v>
      </c>
      <c r="K2212">
        <v>278.32</v>
      </c>
      <c r="L2212">
        <v>0.45</v>
      </c>
      <c r="M2212">
        <v>37.06</v>
      </c>
      <c r="N2212">
        <v>0.91</v>
      </c>
      <c r="O2212" t="s">
        <v>20</v>
      </c>
      <c r="P2212" t="s">
        <v>21</v>
      </c>
      <c r="Q2212">
        <f t="shared" si="170"/>
        <v>9</v>
      </c>
      <c r="R2212" s="4">
        <f>RANK(N2212,$N$2:N$2800,0)</f>
        <v>1665</v>
      </c>
      <c r="S2212">
        <f t="shared" si="171"/>
        <v>1</v>
      </c>
      <c r="T2212" t="str">
        <f t="shared" si="172"/>
        <v>Low</v>
      </c>
      <c r="U2212" t="str" cm="1">
        <f t="array" ref="U2212">_xlfn.LET(_xlpm.roles,_xlfn.UNIQUE(D2212:D5010),_xlpm.kills, SUMIF(D2212:D5010,_xlpm.roles,G2212:G5010),INDEX(_xlpm.roles,MATCH(MAX(_xlpm.kills),_xlpm.kills,0)))</f>
        <v>IGL</v>
      </c>
      <c r="V2212" t="str">
        <f t="shared" si="173"/>
        <v>Medium Accuracy</v>
      </c>
      <c r="W2212" t="str" cm="1">
        <f t="array" ref="W2212">_xlfn.LET(_xlpm.roles,_xlfn.UNIQUE(D2212:D5010), _xlpm.counts,COUNTIF(D2212:D5010,_xlpm.roles), INDEX(_xlpm.roles,MATCH(MAX(_xlpm.counts),_xlpm.counts,0)))</f>
        <v>IGL</v>
      </c>
      <c r="X2212" s="2">
        <f t="shared" si="174"/>
        <v>12.599585062240664</v>
      </c>
    </row>
    <row r="2213" spans="1:24" x14ac:dyDescent="0.3">
      <c r="A2213">
        <v>1118</v>
      </c>
      <c r="B2213">
        <v>393</v>
      </c>
      <c r="C2213" t="s">
        <v>39</v>
      </c>
      <c r="D2213" t="s">
        <v>28</v>
      </c>
      <c r="E2213" t="s">
        <v>18</v>
      </c>
      <c r="F2213" t="s">
        <v>37</v>
      </c>
      <c r="G2213">
        <v>9</v>
      </c>
      <c r="H2213">
        <v>11</v>
      </c>
      <c r="I2213">
        <v>11</v>
      </c>
      <c r="J2213">
        <v>54.75</v>
      </c>
      <c r="K2213">
        <v>227.42</v>
      </c>
      <c r="L2213">
        <v>0.8</v>
      </c>
      <c r="M2213">
        <v>37.380000000000003</v>
      </c>
      <c r="N2213">
        <v>0.83</v>
      </c>
      <c r="O2213" t="s">
        <v>20</v>
      </c>
      <c r="P2213" t="s">
        <v>21</v>
      </c>
      <c r="Q2213">
        <f t="shared" si="170"/>
        <v>9</v>
      </c>
      <c r="R2213" s="4">
        <f>RANK(N2213,$N$2:N$2800,0)</f>
        <v>2218</v>
      </c>
      <c r="S2213">
        <f t="shared" si="171"/>
        <v>0.81818181818181823</v>
      </c>
      <c r="T2213" t="str">
        <f t="shared" si="172"/>
        <v>Low</v>
      </c>
      <c r="U2213" t="str" cm="1">
        <f t="array" ref="U2213">_xlfn.LET(_xlpm.roles,_xlfn.UNIQUE(D2213:D5011),_xlpm.kills, SUMIF(D2213:D5011,_xlpm.roles,G2213:G5011),INDEX(_xlpm.roles,MATCH(MAX(_xlpm.kills),_xlpm.kills,0)))</f>
        <v>IGL</v>
      </c>
      <c r="V2213" t="str">
        <f t="shared" si="173"/>
        <v>High Accuracy</v>
      </c>
      <c r="W2213" t="str" cm="1">
        <f t="array" ref="W2213">_xlfn.LET(_xlpm.roles,_xlfn.UNIQUE(D2213:D5011), _xlpm.counts,COUNTIF(D2213:D5011,_xlpm.roles), INDEX(_xlpm.roles,MATCH(MAX(_xlpm.counts),_xlpm.counts,0)))</f>
        <v>IGL</v>
      </c>
      <c r="X2213" s="2">
        <f t="shared" si="174"/>
        <v>13.103594080338267</v>
      </c>
    </row>
    <row r="2214" spans="1:24" x14ac:dyDescent="0.3">
      <c r="A2214">
        <v>1660</v>
      </c>
      <c r="B2214">
        <v>393</v>
      </c>
      <c r="C2214" t="s">
        <v>30</v>
      </c>
      <c r="D2214" t="s">
        <v>22</v>
      </c>
      <c r="E2214" t="s">
        <v>29</v>
      </c>
      <c r="F2214" t="s">
        <v>26</v>
      </c>
      <c r="G2214">
        <v>11</v>
      </c>
      <c r="H2214">
        <v>9</v>
      </c>
      <c r="I2214">
        <v>11</v>
      </c>
      <c r="J2214">
        <v>50.05</v>
      </c>
      <c r="K2214">
        <v>283.54000000000002</v>
      </c>
      <c r="L2214">
        <v>0.05</v>
      </c>
      <c r="M2214">
        <v>44.52</v>
      </c>
      <c r="N2214">
        <v>0.99</v>
      </c>
      <c r="O2214" t="s">
        <v>20</v>
      </c>
      <c r="P2214" t="s">
        <v>21</v>
      </c>
      <c r="Q2214">
        <f t="shared" si="170"/>
        <v>9</v>
      </c>
      <c r="R2214" s="4">
        <f>RANK(N2214,$N$2:N$2800,0)</f>
        <v>1080</v>
      </c>
      <c r="S2214">
        <f t="shared" si="171"/>
        <v>1</v>
      </c>
      <c r="T2214" t="str">
        <f t="shared" si="172"/>
        <v>Low</v>
      </c>
      <c r="U2214" t="str" cm="1">
        <f t="array" ref="U2214">_xlfn.LET(_xlpm.roles,_xlfn.UNIQUE(D2214:D5012),_xlpm.kills, SUMIF(D2214:D5012,_xlpm.roles,G2214:G5012),INDEX(_xlpm.roles,MATCH(MAX(_xlpm.kills),_xlpm.kills,0)))</f>
        <v>IGL</v>
      </c>
      <c r="V2214" t="str">
        <f t="shared" si="173"/>
        <v>High Accuracy</v>
      </c>
      <c r="W2214" t="str" cm="1">
        <f t="array" ref="W2214">_xlfn.LET(_xlpm.roles,_xlfn.UNIQUE(D2214:D5012), _xlpm.counts,COUNTIF(D2214:D5012,_xlpm.roles), INDEX(_xlpm.roles,MATCH(MAX(_xlpm.counts),_xlpm.counts,0)))</f>
        <v>Sniper</v>
      </c>
      <c r="X2214" s="2">
        <f t="shared" si="174"/>
        <v>13.135802469135802</v>
      </c>
    </row>
    <row r="2215" spans="1:24" x14ac:dyDescent="0.3">
      <c r="A2215">
        <v>2292</v>
      </c>
      <c r="B2215">
        <v>393</v>
      </c>
      <c r="C2215" t="s">
        <v>25</v>
      </c>
      <c r="D2215" t="s">
        <v>36</v>
      </c>
      <c r="E2215" t="s">
        <v>29</v>
      </c>
      <c r="F2215" t="s">
        <v>26</v>
      </c>
      <c r="G2215">
        <v>12</v>
      </c>
      <c r="H2215">
        <v>11</v>
      </c>
      <c r="I2215">
        <v>10</v>
      </c>
      <c r="J2215">
        <v>34.54</v>
      </c>
      <c r="K2215">
        <v>180.52</v>
      </c>
      <c r="L2215">
        <v>0.34</v>
      </c>
      <c r="M2215">
        <v>38.869999999999997</v>
      </c>
      <c r="N2215">
        <v>0.79</v>
      </c>
      <c r="O2215" t="s">
        <v>20</v>
      </c>
      <c r="P2215" t="s">
        <v>21</v>
      </c>
      <c r="Q2215">
        <f t="shared" si="170"/>
        <v>13</v>
      </c>
      <c r="R2215" s="4">
        <f>RANK(N2215,$N$2:N$2800,0)</f>
        <v>2436</v>
      </c>
      <c r="S2215">
        <f t="shared" si="171"/>
        <v>1.2</v>
      </c>
      <c r="T2215" t="str">
        <f t="shared" si="172"/>
        <v>Low</v>
      </c>
      <c r="U2215" t="str" cm="1">
        <f t="array" ref="U2215">_xlfn.LET(_xlpm.roles,_xlfn.UNIQUE(D2215:D5013),_xlpm.kills, SUMIF(D2215:D5013,_xlpm.roles,G2215:G5013),INDEX(_xlpm.roles,MATCH(MAX(_xlpm.kills),_xlpm.kills,0)))</f>
        <v>IGL</v>
      </c>
      <c r="V2215" t="str">
        <f t="shared" si="173"/>
        <v>Medium Accuracy</v>
      </c>
      <c r="W2215" t="str" cm="1">
        <f t="array" ref="W2215">_xlfn.LET(_xlpm.roles,_xlfn.UNIQUE(D2215:D5013), _xlpm.counts,COUNTIF(D2215:D5013,_xlpm.roles), INDEX(_xlpm.roles,MATCH(MAX(_xlpm.counts),_xlpm.counts,0)))</f>
        <v>Sniper</v>
      </c>
      <c r="X2215" s="2">
        <f t="shared" si="174"/>
        <v>12.809421841541756</v>
      </c>
    </row>
    <row r="2216" spans="1:24" x14ac:dyDescent="0.3">
      <c r="A2216">
        <v>178</v>
      </c>
      <c r="B2216">
        <v>394</v>
      </c>
      <c r="C2216" t="s">
        <v>39</v>
      </c>
      <c r="D2216" t="s">
        <v>31</v>
      </c>
      <c r="E2216" t="s">
        <v>18</v>
      </c>
      <c r="F2216" t="s">
        <v>19</v>
      </c>
      <c r="G2216">
        <v>19</v>
      </c>
      <c r="H2216">
        <v>9</v>
      </c>
      <c r="I2216">
        <v>7</v>
      </c>
      <c r="J2216">
        <v>57.15</v>
      </c>
      <c r="K2216">
        <v>245.45</v>
      </c>
      <c r="L2216">
        <v>0.81</v>
      </c>
      <c r="M2216">
        <v>60.48</v>
      </c>
      <c r="N2216">
        <v>0.98</v>
      </c>
      <c r="O2216" t="s">
        <v>20</v>
      </c>
      <c r="P2216" t="s">
        <v>38</v>
      </c>
      <c r="Q2216">
        <f t="shared" si="170"/>
        <v>21</v>
      </c>
      <c r="R2216" s="4">
        <f>RANK(N2216,$N$2:N$2800,0)</f>
        <v>1157</v>
      </c>
      <c r="S2216">
        <f t="shared" si="171"/>
        <v>2.7142857142857144</v>
      </c>
      <c r="T2216" t="str">
        <f t="shared" si="172"/>
        <v>Good</v>
      </c>
      <c r="U2216" t="str" cm="1">
        <f t="array" ref="U2216">_xlfn.LET(_xlpm.roles,_xlfn.UNIQUE(D2216:D5014),_xlpm.kills, SUMIF(D2216:D5014,_xlpm.roles,G2216:G5014),INDEX(_xlpm.roles,MATCH(MAX(_xlpm.kills),_xlpm.kills,0)))</f>
        <v>IGL</v>
      </c>
      <c r="V2216" t="str">
        <f t="shared" si="173"/>
        <v>High Accuracy</v>
      </c>
      <c r="W2216" t="str" cm="1">
        <f t="array" ref="W2216">_xlfn.LET(_xlpm.roles,_xlfn.UNIQUE(D2216:D5014), _xlpm.counts,COUNTIF(D2216:D5014,_xlpm.roles), INDEX(_xlpm.roles,MATCH(MAX(_xlpm.counts),_xlpm.counts,0)))</f>
        <v>Sniper</v>
      </c>
      <c r="X2216" s="2">
        <f t="shared" si="174"/>
        <v>13.103594080338267</v>
      </c>
    </row>
    <row r="2217" spans="1:24" x14ac:dyDescent="0.3">
      <c r="A2217">
        <v>606</v>
      </c>
      <c r="B2217">
        <v>394</v>
      </c>
      <c r="C2217" t="s">
        <v>16</v>
      </c>
      <c r="D2217" t="s">
        <v>28</v>
      </c>
      <c r="E2217" t="s">
        <v>18</v>
      </c>
      <c r="F2217" t="s">
        <v>19</v>
      </c>
      <c r="G2217">
        <v>18</v>
      </c>
      <c r="H2217">
        <v>7</v>
      </c>
      <c r="I2217">
        <v>6</v>
      </c>
      <c r="J2217">
        <v>34.25</v>
      </c>
      <c r="K2217">
        <v>258.8</v>
      </c>
      <c r="L2217">
        <v>0.25</v>
      </c>
      <c r="M2217">
        <v>51.62</v>
      </c>
      <c r="N2217">
        <v>1</v>
      </c>
      <c r="O2217" t="s">
        <v>20</v>
      </c>
      <c r="P2217" t="s">
        <v>21</v>
      </c>
      <c r="Q2217">
        <f t="shared" si="170"/>
        <v>19</v>
      </c>
      <c r="R2217" s="4">
        <f>RANK(N2217,$N$2:N$2800,0)</f>
        <v>1</v>
      </c>
      <c r="S2217">
        <f t="shared" si="171"/>
        <v>3</v>
      </c>
      <c r="T2217" t="str">
        <f t="shared" si="172"/>
        <v>Good</v>
      </c>
      <c r="U2217" t="str" cm="1">
        <f t="array" ref="U2217">_xlfn.LET(_xlpm.roles,_xlfn.UNIQUE(D2217:D5015),_xlpm.kills, SUMIF(D2217:D5015,_xlpm.roles,G2217:G5015),INDEX(_xlpm.roles,MATCH(MAX(_xlpm.kills),_xlpm.kills,0)))</f>
        <v>IGL</v>
      </c>
      <c r="V2217" t="str">
        <f t="shared" si="173"/>
        <v>Medium Accuracy</v>
      </c>
      <c r="W2217" t="str" cm="1">
        <f t="array" ref="W2217">_xlfn.LET(_xlpm.roles,_xlfn.UNIQUE(D2217:D5015), _xlpm.counts,COUNTIF(D2217:D5015,_xlpm.roles), INDEX(_xlpm.roles,MATCH(MAX(_xlpm.counts),_xlpm.counts,0)))</f>
        <v>IGL</v>
      </c>
      <c r="X2217" s="2">
        <f t="shared" si="174"/>
        <v>12.520971302428256</v>
      </c>
    </row>
    <row r="2218" spans="1:24" x14ac:dyDescent="0.3">
      <c r="A2218">
        <v>882</v>
      </c>
      <c r="B2218">
        <v>394</v>
      </c>
      <c r="C2218" t="s">
        <v>16</v>
      </c>
      <c r="D2218" t="s">
        <v>28</v>
      </c>
      <c r="E2218" t="s">
        <v>18</v>
      </c>
      <c r="F2218" t="s">
        <v>34</v>
      </c>
      <c r="G2218">
        <v>17</v>
      </c>
      <c r="H2218">
        <v>8</v>
      </c>
      <c r="I2218">
        <v>16</v>
      </c>
      <c r="J2218">
        <v>41.04</v>
      </c>
      <c r="K2218">
        <v>304.02999999999997</v>
      </c>
      <c r="L2218">
        <v>0.01</v>
      </c>
      <c r="M2218">
        <v>46.42</v>
      </c>
      <c r="N2218">
        <v>1</v>
      </c>
      <c r="O2218" t="s">
        <v>20</v>
      </c>
      <c r="P2218" t="s">
        <v>21</v>
      </c>
      <c r="Q2218">
        <f t="shared" si="170"/>
        <v>9</v>
      </c>
      <c r="R2218" s="4">
        <f>RANK(N2218,$N$2:N$2800,0)</f>
        <v>1</v>
      </c>
      <c r="S2218">
        <f t="shared" si="171"/>
        <v>1.0625</v>
      </c>
      <c r="T2218" t="str">
        <f t="shared" si="172"/>
        <v>Low</v>
      </c>
      <c r="U2218" t="str" cm="1">
        <f t="array" ref="U2218">_xlfn.LET(_xlpm.roles,_xlfn.UNIQUE(D2218:D5016),_xlpm.kills, SUMIF(D2218:D5016,_xlpm.roles,G2218:G5016),INDEX(_xlpm.roles,MATCH(MAX(_xlpm.kills),_xlpm.kills,0)))</f>
        <v>IGL</v>
      </c>
      <c r="V2218" t="str">
        <f t="shared" si="173"/>
        <v>Medium Accuracy</v>
      </c>
      <c r="W2218" t="str" cm="1">
        <f t="array" ref="W2218">_xlfn.LET(_xlpm.roles,_xlfn.UNIQUE(D2218:D5016), _xlpm.counts,COUNTIF(D2218:D5016,_xlpm.roles), INDEX(_xlpm.roles,MATCH(MAX(_xlpm.counts),_xlpm.counts,0)))</f>
        <v>IGL</v>
      </c>
      <c r="X2218" s="2">
        <f t="shared" si="174"/>
        <v>12.520971302428256</v>
      </c>
    </row>
    <row r="2219" spans="1:24" x14ac:dyDescent="0.3">
      <c r="A2219">
        <v>1832</v>
      </c>
      <c r="B2219">
        <v>394</v>
      </c>
      <c r="C2219" t="s">
        <v>16</v>
      </c>
      <c r="D2219" t="s">
        <v>28</v>
      </c>
      <c r="E2219" t="s">
        <v>29</v>
      </c>
      <c r="F2219" t="s">
        <v>34</v>
      </c>
      <c r="G2219">
        <v>19</v>
      </c>
      <c r="H2219">
        <v>5</v>
      </c>
      <c r="I2219">
        <v>10</v>
      </c>
      <c r="J2219">
        <v>52.01</v>
      </c>
      <c r="K2219">
        <v>189.8</v>
      </c>
      <c r="L2219">
        <v>0.81</v>
      </c>
      <c r="M2219">
        <v>50.9</v>
      </c>
      <c r="N2219">
        <v>1</v>
      </c>
      <c r="O2219" t="s">
        <v>20</v>
      </c>
      <c r="P2219" t="s">
        <v>21</v>
      </c>
      <c r="Q2219">
        <f t="shared" si="170"/>
        <v>14</v>
      </c>
      <c r="R2219" s="4">
        <f>RANK(N2219,$N$2:N$2800,0)</f>
        <v>1</v>
      </c>
      <c r="S2219">
        <f t="shared" si="171"/>
        <v>1.9</v>
      </c>
      <c r="T2219" t="str">
        <f t="shared" si="172"/>
        <v>Low</v>
      </c>
      <c r="U2219" t="str" cm="1">
        <f t="array" ref="U2219">_xlfn.LET(_xlpm.roles,_xlfn.UNIQUE(D2219:D5017),_xlpm.kills, SUMIF(D2219:D5017,_xlpm.roles,G2219:G5017),INDEX(_xlpm.roles,MATCH(MAX(_xlpm.kills),_xlpm.kills,0)))</f>
        <v>IGL</v>
      </c>
      <c r="V2219" t="str">
        <f t="shared" si="173"/>
        <v>High Accuracy</v>
      </c>
      <c r="W2219" t="str" cm="1">
        <f t="array" ref="W2219">_xlfn.LET(_xlpm.roles,_xlfn.UNIQUE(D2219:D5017), _xlpm.counts,COUNTIF(D2219:D5017,_xlpm.roles), INDEX(_xlpm.roles,MATCH(MAX(_xlpm.counts),_xlpm.counts,0)))</f>
        <v>Sniper</v>
      </c>
      <c r="X2219" s="2">
        <f t="shared" si="174"/>
        <v>12.520971302428256</v>
      </c>
    </row>
    <row r="2220" spans="1:24" x14ac:dyDescent="0.3">
      <c r="A2220">
        <v>76</v>
      </c>
      <c r="B2220">
        <v>395</v>
      </c>
      <c r="C2220" t="s">
        <v>39</v>
      </c>
      <c r="D2220" t="s">
        <v>22</v>
      </c>
      <c r="E2220" t="s">
        <v>33</v>
      </c>
      <c r="F2220" t="s">
        <v>19</v>
      </c>
      <c r="G2220">
        <v>10</v>
      </c>
      <c r="H2220">
        <v>9</v>
      </c>
      <c r="I2220">
        <v>10</v>
      </c>
      <c r="J2220">
        <v>43.88</v>
      </c>
      <c r="K2220">
        <v>226.03</v>
      </c>
      <c r="L2220">
        <v>0.03</v>
      </c>
      <c r="M2220">
        <v>40.64</v>
      </c>
      <c r="N2220">
        <v>1</v>
      </c>
      <c r="O2220" t="s">
        <v>20</v>
      </c>
      <c r="P2220" t="s">
        <v>21</v>
      </c>
      <c r="Q2220">
        <f t="shared" si="170"/>
        <v>9</v>
      </c>
      <c r="R2220" s="4">
        <f>RANK(N2220,$N$2:N$2800,0)</f>
        <v>1</v>
      </c>
      <c r="S2220">
        <f t="shared" si="171"/>
        <v>1</v>
      </c>
      <c r="T2220" t="str">
        <f t="shared" si="172"/>
        <v>Low</v>
      </c>
      <c r="U2220" t="str" cm="1">
        <f t="array" ref="U2220">_xlfn.LET(_xlpm.roles,_xlfn.UNIQUE(D2220:D5018),_xlpm.kills, SUMIF(D2220:D5018,_xlpm.roles,G2220:G5018),INDEX(_xlpm.roles,MATCH(MAX(_xlpm.kills),_xlpm.kills,0)))</f>
        <v>IGL</v>
      </c>
      <c r="V2220" t="str">
        <f t="shared" si="173"/>
        <v>Medium Accuracy</v>
      </c>
      <c r="W2220" t="str" cm="1">
        <f t="array" ref="W2220">_xlfn.LET(_xlpm.roles,_xlfn.UNIQUE(D2220:D5018), _xlpm.counts,COUNTIF(D2220:D5018,_xlpm.roles), INDEX(_xlpm.roles,MATCH(MAX(_xlpm.counts),_xlpm.counts,0)))</f>
        <v>Sniper</v>
      </c>
      <c r="X2220" s="2">
        <f t="shared" si="174"/>
        <v>13.103594080338267</v>
      </c>
    </row>
    <row r="2221" spans="1:24" x14ac:dyDescent="0.3">
      <c r="A2221">
        <v>223</v>
      </c>
      <c r="B2221">
        <v>395</v>
      </c>
      <c r="C2221" t="s">
        <v>35</v>
      </c>
      <c r="D2221" t="s">
        <v>28</v>
      </c>
      <c r="E2221" t="s">
        <v>33</v>
      </c>
      <c r="F2221" t="s">
        <v>34</v>
      </c>
      <c r="G2221">
        <v>14</v>
      </c>
      <c r="H2221">
        <v>7</v>
      </c>
      <c r="I2221">
        <v>5</v>
      </c>
      <c r="J2221">
        <v>46.57</v>
      </c>
      <c r="K2221">
        <v>192.88</v>
      </c>
      <c r="L2221">
        <v>0.54</v>
      </c>
      <c r="M2221">
        <v>47.88</v>
      </c>
      <c r="N2221">
        <v>1</v>
      </c>
      <c r="O2221" t="s">
        <v>20</v>
      </c>
      <c r="P2221" t="s">
        <v>21</v>
      </c>
      <c r="Q2221">
        <f t="shared" si="170"/>
        <v>16</v>
      </c>
      <c r="R2221" s="4">
        <f>RANK(N2221,$N$2:N$2800,0)</f>
        <v>1</v>
      </c>
      <c r="S2221">
        <f t="shared" si="171"/>
        <v>2.8</v>
      </c>
      <c r="T2221" t="str">
        <f t="shared" si="172"/>
        <v>Good</v>
      </c>
      <c r="U2221" t="str" cm="1">
        <f t="array" ref="U2221">_xlfn.LET(_xlpm.roles,_xlfn.UNIQUE(D2221:D5019),_xlpm.kills, SUMIF(D2221:D5019,_xlpm.roles,G2221:G5019),INDEX(_xlpm.roles,MATCH(MAX(_xlpm.kills),_xlpm.kills,0)))</f>
        <v>IGL</v>
      </c>
      <c r="V2221" t="str">
        <f t="shared" si="173"/>
        <v>Medium Accuracy</v>
      </c>
      <c r="W2221" t="str" cm="1">
        <f t="array" ref="W2221">_xlfn.LET(_xlpm.roles,_xlfn.UNIQUE(D2221:D5019), _xlpm.counts,COUNTIF(D2221:D5019,_xlpm.roles), INDEX(_xlpm.roles,MATCH(MAX(_xlpm.counts),_xlpm.counts,0)))</f>
        <v>Sniper</v>
      </c>
      <c r="X2221" s="2">
        <f t="shared" si="174"/>
        <v>12.599585062240664</v>
      </c>
    </row>
    <row r="2222" spans="1:24" x14ac:dyDescent="0.3">
      <c r="A2222">
        <v>1861</v>
      </c>
      <c r="B2222">
        <v>395</v>
      </c>
      <c r="C2222" t="s">
        <v>27</v>
      </c>
      <c r="D2222" t="s">
        <v>31</v>
      </c>
      <c r="E2222" t="s">
        <v>18</v>
      </c>
      <c r="F2222" t="s">
        <v>37</v>
      </c>
      <c r="G2222">
        <v>10</v>
      </c>
      <c r="H2222">
        <v>11</v>
      </c>
      <c r="I2222">
        <v>7</v>
      </c>
      <c r="J2222">
        <v>51.42</v>
      </c>
      <c r="K2222">
        <v>223.49</v>
      </c>
      <c r="L2222">
        <v>0.91</v>
      </c>
      <c r="M2222">
        <v>40.61</v>
      </c>
      <c r="N2222">
        <v>1</v>
      </c>
      <c r="O2222" t="s">
        <v>20</v>
      </c>
      <c r="P2222" t="s">
        <v>21</v>
      </c>
      <c r="Q2222">
        <f t="shared" si="170"/>
        <v>14</v>
      </c>
      <c r="R2222" s="4">
        <f>RANK(N2222,$N$2:N$2800,0)</f>
        <v>1</v>
      </c>
      <c r="S2222">
        <f t="shared" si="171"/>
        <v>1.4285714285714286</v>
      </c>
      <c r="T2222" t="str">
        <f t="shared" si="172"/>
        <v>Low</v>
      </c>
      <c r="U2222" t="str" cm="1">
        <f t="array" ref="U2222">_xlfn.LET(_xlpm.roles,_xlfn.UNIQUE(D2222:D5020),_xlpm.kills, SUMIF(D2222:D5020,_xlpm.roles,G2222:G5020),INDEX(_xlpm.roles,MATCH(MAX(_xlpm.kills),_xlpm.kills,0)))</f>
        <v>Sniper</v>
      </c>
      <c r="V2222" t="str">
        <f t="shared" si="173"/>
        <v>High Accuracy</v>
      </c>
      <c r="W2222" t="str" cm="1">
        <f t="array" ref="W2222">_xlfn.LET(_xlpm.roles,_xlfn.UNIQUE(D2222:D5020), _xlpm.counts,COUNTIF(D2222:D5020,_xlpm.roles), INDEX(_xlpm.roles,MATCH(MAX(_xlpm.counts),_xlpm.counts,0)))</f>
        <v>Sniper</v>
      </c>
      <c r="X2222" s="2">
        <f t="shared" si="174"/>
        <v>13.057077625570777</v>
      </c>
    </row>
    <row r="2223" spans="1:24" x14ac:dyDescent="0.3">
      <c r="A2223">
        <v>1887</v>
      </c>
      <c r="B2223">
        <v>395</v>
      </c>
      <c r="C2223" t="s">
        <v>27</v>
      </c>
      <c r="D2223" t="s">
        <v>28</v>
      </c>
      <c r="E2223" t="s">
        <v>23</v>
      </c>
      <c r="F2223" t="s">
        <v>34</v>
      </c>
      <c r="G2223">
        <v>15</v>
      </c>
      <c r="H2223">
        <v>7</v>
      </c>
      <c r="I2223">
        <v>10</v>
      </c>
      <c r="J2223">
        <v>53.35</v>
      </c>
      <c r="K2223">
        <v>185.93</v>
      </c>
      <c r="L2223">
        <v>0.43</v>
      </c>
      <c r="M2223">
        <v>49.38</v>
      </c>
      <c r="N2223">
        <v>1</v>
      </c>
      <c r="O2223" t="s">
        <v>20</v>
      </c>
      <c r="P2223" t="s">
        <v>21</v>
      </c>
      <c r="Q2223">
        <f t="shared" si="170"/>
        <v>12</v>
      </c>
      <c r="R2223" s="4">
        <f>RANK(N2223,$N$2:N$2800,0)</f>
        <v>1</v>
      </c>
      <c r="S2223">
        <f t="shared" si="171"/>
        <v>1.5</v>
      </c>
      <c r="T2223" t="str">
        <f t="shared" si="172"/>
        <v>Low</v>
      </c>
      <c r="U2223" t="str" cm="1">
        <f t="array" ref="U2223">_xlfn.LET(_xlpm.roles,_xlfn.UNIQUE(D2223:D5021),_xlpm.kills, SUMIF(D2223:D5021,_xlpm.roles,G2223:G5021),INDEX(_xlpm.roles,MATCH(MAX(_xlpm.kills),_xlpm.kills,0)))</f>
        <v>IGL</v>
      </c>
      <c r="V2223" t="str">
        <f t="shared" si="173"/>
        <v>High Accuracy</v>
      </c>
      <c r="W2223" t="str" cm="1">
        <f t="array" ref="W2223">_xlfn.LET(_xlpm.roles,_xlfn.UNIQUE(D2223:D5021), _xlpm.counts,COUNTIF(D2223:D5021,_xlpm.roles), INDEX(_xlpm.roles,MATCH(MAX(_xlpm.counts),_xlpm.counts,0)))</f>
        <v>Sniper</v>
      </c>
      <c r="X2223" s="2">
        <f t="shared" si="174"/>
        <v>13.057077625570777</v>
      </c>
    </row>
    <row r="2224" spans="1:24" x14ac:dyDescent="0.3">
      <c r="A2224">
        <v>2267</v>
      </c>
      <c r="B2224">
        <v>395</v>
      </c>
      <c r="C2224" t="s">
        <v>25</v>
      </c>
      <c r="D2224" t="s">
        <v>17</v>
      </c>
      <c r="E2224" t="s">
        <v>29</v>
      </c>
      <c r="F2224" t="s">
        <v>34</v>
      </c>
      <c r="G2224">
        <v>14</v>
      </c>
      <c r="H2224">
        <v>13</v>
      </c>
      <c r="I2224">
        <v>12</v>
      </c>
      <c r="J2224">
        <v>34.31</v>
      </c>
      <c r="K2224">
        <v>220.18</v>
      </c>
      <c r="L2224">
        <v>0.43</v>
      </c>
      <c r="M2224">
        <v>41.86</v>
      </c>
      <c r="N2224">
        <v>0.82</v>
      </c>
      <c r="O2224" t="s">
        <v>20</v>
      </c>
      <c r="P2224" t="s">
        <v>21</v>
      </c>
      <c r="Q2224">
        <f t="shared" si="170"/>
        <v>15</v>
      </c>
      <c r="R2224" s="4">
        <f>RANK(N2224,$N$2:N$2800,0)</f>
        <v>2275</v>
      </c>
      <c r="S2224">
        <f t="shared" si="171"/>
        <v>1.1666666666666667</v>
      </c>
      <c r="T2224" t="str">
        <f t="shared" si="172"/>
        <v>Good</v>
      </c>
      <c r="U2224" t="str" cm="1">
        <f t="array" ref="U2224">_xlfn.LET(_xlpm.roles,_xlfn.UNIQUE(D2224:D5022),_xlpm.kills, SUMIF(D2224:D5022,_xlpm.roles,G2224:G5022),INDEX(_xlpm.roles,MATCH(MAX(_xlpm.kills),_xlpm.kills,0)))</f>
        <v>Sniper</v>
      </c>
      <c r="V2224" t="str">
        <f t="shared" si="173"/>
        <v>Medium Accuracy</v>
      </c>
      <c r="W2224" t="str" cm="1">
        <f t="array" ref="W2224">_xlfn.LET(_xlpm.roles,_xlfn.UNIQUE(D2224:D5022), _xlpm.counts,COUNTIF(D2224:D5022,_xlpm.roles), INDEX(_xlpm.roles,MATCH(MAX(_xlpm.counts),_xlpm.counts,0)))</f>
        <v>Sniper</v>
      </c>
      <c r="X2224" s="2">
        <f t="shared" si="174"/>
        <v>12.809421841541756</v>
      </c>
    </row>
    <row r="2225" spans="1:24" x14ac:dyDescent="0.3">
      <c r="A2225">
        <v>2792</v>
      </c>
      <c r="B2225">
        <v>395</v>
      </c>
      <c r="C2225" t="s">
        <v>16</v>
      </c>
      <c r="D2225" t="s">
        <v>31</v>
      </c>
      <c r="E2225" t="s">
        <v>23</v>
      </c>
      <c r="F2225" t="s">
        <v>19</v>
      </c>
      <c r="G2225">
        <v>19</v>
      </c>
      <c r="H2225">
        <v>8</v>
      </c>
      <c r="I2225">
        <v>15</v>
      </c>
      <c r="J2225">
        <v>51.28</v>
      </c>
      <c r="K2225">
        <v>200.41</v>
      </c>
      <c r="L2225">
        <v>0.88</v>
      </c>
      <c r="M2225">
        <v>47.84</v>
      </c>
      <c r="N2225">
        <v>0.86</v>
      </c>
      <c r="O2225" t="s">
        <v>20</v>
      </c>
      <c r="P2225" t="s">
        <v>21</v>
      </c>
      <c r="Q2225">
        <f t="shared" si="170"/>
        <v>12</v>
      </c>
      <c r="R2225" s="4">
        <f>RANK(N2225,$N$2:N$2800,0)</f>
        <v>2040</v>
      </c>
      <c r="S2225">
        <f t="shared" si="171"/>
        <v>1.2666666666666666</v>
      </c>
      <c r="T2225" t="str">
        <f t="shared" si="172"/>
        <v>Low</v>
      </c>
      <c r="U2225" t="str" cm="1">
        <f t="array" ref="U2225">_xlfn.LET(_xlpm.roles,_xlfn.UNIQUE(D2225:D5023),_xlpm.kills, SUMIF(D2225:D5023,_xlpm.roles,G2225:G5023),INDEX(_xlpm.roles,MATCH(MAX(_xlpm.kills),_xlpm.kills,0)))</f>
        <v>Sniper</v>
      </c>
      <c r="V2225" t="str">
        <f t="shared" si="173"/>
        <v>High Accuracy</v>
      </c>
      <c r="W2225" t="str" cm="1">
        <f t="array" ref="W2225">_xlfn.LET(_xlpm.roles,_xlfn.UNIQUE(D2225:D5023), _xlpm.counts,COUNTIF(D2225:D5023,_xlpm.roles), INDEX(_xlpm.roles,MATCH(MAX(_xlpm.counts),_xlpm.counts,0)))</f>
        <v>Sniper</v>
      </c>
      <c r="X2225" s="2">
        <f t="shared" si="174"/>
        <v>12.520971302428256</v>
      </c>
    </row>
    <row r="2226" spans="1:24" x14ac:dyDescent="0.3">
      <c r="A2226">
        <v>246</v>
      </c>
      <c r="B2226">
        <v>396</v>
      </c>
      <c r="C2226" t="s">
        <v>35</v>
      </c>
      <c r="D2226" t="s">
        <v>36</v>
      </c>
      <c r="E2226" t="s">
        <v>33</v>
      </c>
      <c r="F2226" t="s">
        <v>26</v>
      </c>
      <c r="G2226">
        <v>10</v>
      </c>
      <c r="H2226">
        <v>10</v>
      </c>
      <c r="I2226">
        <v>17</v>
      </c>
      <c r="J2226">
        <v>49.41</v>
      </c>
      <c r="K2226">
        <v>256.08999999999997</v>
      </c>
      <c r="L2226">
        <v>0.81</v>
      </c>
      <c r="M2226">
        <v>29.6</v>
      </c>
      <c r="N2226">
        <v>0.87</v>
      </c>
      <c r="O2226" t="s">
        <v>20</v>
      </c>
      <c r="P2226" t="s">
        <v>21</v>
      </c>
      <c r="Q2226">
        <f t="shared" si="170"/>
        <v>3</v>
      </c>
      <c r="R2226" s="4">
        <f>RANK(N2226,$N$2:N$2800,0)</f>
        <v>1965</v>
      </c>
      <c r="S2226">
        <f t="shared" si="171"/>
        <v>0.58823529411764708</v>
      </c>
      <c r="T2226" t="str">
        <f t="shared" si="172"/>
        <v>Low</v>
      </c>
      <c r="U2226" t="str" cm="1">
        <f t="array" ref="U2226">_xlfn.LET(_xlpm.roles,_xlfn.UNIQUE(D2226:D5024),_xlpm.kills, SUMIF(D2226:D5024,_xlpm.roles,G2226:G5024),INDEX(_xlpm.roles,MATCH(MAX(_xlpm.kills),_xlpm.kills,0)))</f>
        <v>IGL</v>
      </c>
      <c r="V2226" t="str">
        <f t="shared" si="173"/>
        <v>Medium Accuracy</v>
      </c>
      <c r="W2226" t="str" cm="1">
        <f t="array" ref="W2226">_xlfn.LET(_xlpm.roles,_xlfn.UNIQUE(D2226:D5024), _xlpm.counts,COUNTIF(D2226:D5024,_xlpm.roles), INDEX(_xlpm.roles,MATCH(MAX(_xlpm.counts),_xlpm.counts,0)))</f>
        <v>Sniper</v>
      </c>
      <c r="X2226" s="2">
        <f t="shared" si="174"/>
        <v>12.599585062240664</v>
      </c>
    </row>
    <row r="2227" spans="1:24" x14ac:dyDescent="0.3">
      <c r="A2227">
        <v>333</v>
      </c>
      <c r="B2227">
        <v>396</v>
      </c>
      <c r="C2227" t="s">
        <v>39</v>
      </c>
      <c r="D2227" t="s">
        <v>28</v>
      </c>
      <c r="E2227" t="s">
        <v>18</v>
      </c>
      <c r="F2227" t="s">
        <v>34</v>
      </c>
      <c r="G2227">
        <v>18</v>
      </c>
      <c r="H2227">
        <v>12</v>
      </c>
      <c r="I2227">
        <v>12</v>
      </c>
      <c r="J2227">
        <v>35.9</v>
      </c>
      <c r="K2227">
        <v>230.93</v>
      </c>
      <c r="L2227">
        <v>0.8</v>
      </c>
      <c r="M2227">
        <v>45.95</v>
      </c>
      <c r="N2227">
        <v>0.91</v>
      </c>
      <c r="O2227" t="s">
        <v>20</v>
      </c>
      <c r="P2227" t="s">
        <v>21</v>
      </c>
      <c r="Q2227">
        <f t="shared" si="170"/>
        <v>18</v>
      </c>
      <c r="R2227" s="4">
        <f>RANK(N2227,$N$2:N$2800,0)</f>
        <v>1665</v>
      </c>
      <c r="S2227">
        <f t="shared" si="171"/>
        <v>1.5</v>
      </c>
      <c r="T2227" t="str">
        <f t="shared" si="172"/>
        <v>Good</v>
      </c>
      <c r="U2227" t="str" cm="1">
        <f t="array" ref="U2227">_xlfn.LET(_xlpm.roles,_xlfn.UNIQUE(D2227:D5025),_xlpm.kills, SUMIF(D2227:D5025,_xlpm.roles,G2227:G5025),INDEX(_xlpm.roles,MATCH(MAX(_xlpm.kills),_xlpm.kills,0)))</f>
        <v>IGL</v>
      </c>
      <c r="V2227" t="str">
        <f t="shared" si="173"/>
        <v>Medium Accuracy</v>
      </c>
      <c r="W2227" t="str" cm="1">
        <f t="array" ref="W2227">_xlfn.LET(_xlpm.roles,_xlfn.UNIQUE(D2227:D5025), _xlpm.counts,COUNTIF(D2227:D5025,_xlpm.roles), INDEX(_xlpm.roles,MATCH(MAX(_xlpm.counts),_xlpm.counts,0)))</f>
        <v>Sniper</v>
      </c>
      <c r="X2227" s="2">
        <f t="shared" si="174"/>
        <v>13.103594080338267</v>
      </c>
    </row>
    <row r="2228" spans="1:24" x14ac:dyDescent="0.3">
      <c r="A2228">
        <v>578</v>
      </c>
      <c r="B2228">
        <v>396</v>
      </c>
      <c r="C2228" t="s">
        <v>25</v>
      </c>
      <c r="D2228" t="s">
        <v>36</v>
      </c>
      <c r="E2228" t="s">
        <v>32</v>
      </c>
      <c r="F2228" t="s">
        <v>34</v>
      </c>
      <c r="G2228">
        <v>12</v>
      </c>
      <c r="H2228">
        <v>8</v>
      </c>
      <c r="I2228">
        <v>19</v>
      </c>
      <c r="J2228">
        <v>49.22</v>
      </c>
      <c r="K2228">
        <v>224.86</v>
      </c>
      <c r="L2228">
        <v>0.37</v>
      </c>
      <c r="M2228">
        <v>33.909999999999997</v>
      </c>
      <c r="N2228">
        <v>1</v>
      </c>
      <c r="O2228" t="s">
        <v>20</v>
      </c>
      <c r="P2228" t="s">
        <v>21</v>
      </c>
      <c r="Q2228">
        <f t="shared" si="170"/>
        <v>1</v>
      </c>
      <c r="R2228" s="4">
        <f>RANK(N2228,$N$2:N$2800,0)</f>
        <v>1</v>
      </c>
      <c r="S2228">
        <f t="shared" si="171"/>
        <v>0.63157894736842102</v>
      </c>
      <c r="T2228" t="str">
        <f t="shared" si="172"/>
        <v>Low</v>
      </c>
      <c r="U2228" t="str" cm="1">
        <f t="array" ref="U2228">_xlfn.LET(_xlpm.roles,_xlfn.UNIQUE(D2228:D5026),_xlpm.kills, SUMIF(D2228:D5026,_xlpm.roles,G2228:G5026),INDEX(_xlpm.roles,MATCH(MAX(_xlpm.kills),_xlpm.kills,0)))</f>
        <v>Sniper</v>
      </c>
      <c r="V2228" t="str">
        <f t="shared" si="173"/>
        <v>Medium Accuracy</v>
      </c>
      <c r="W2228" t="str" cm="1">
        <f t="array" ref="W2228">_xlfn.LET(_xlpm.roles,_xlfn.UNIQUE(D2228:D5026), _xlpm.counts,COUNTIF(D2228:D5026,_xlpm.roles), INDEX(_xlpm.roles,MATCH(MAX(_xlpm.counts),_xlpm.counts,0)))</f>
        <v>Sniper</v>
      </c>
      <c r="X2228" s="2">
        <f t="shared" si="174"/>
        <v>12.809421841541756</v>
      </c>
    </row>
    <row r="2229" spans="1:24" x14ac:dyDescent="0.3">
      <c r="A2229">
        <v>753</v>
      </c>
      <c r="B2229">
        <v>396</v>
      </c>
      <c r="C2229" t="s">
        <v>39</v>
      </c>
      <c r="D2229" t="s">
        <v>31</v>
      </c>
      <c r="E2229" t="s">
        <v>18</v>
      </c>
      <c r="F2229" t="s">
        <v>19</v>
      </c>
      <c r="G2229">
        <v>20</v>
      </c>
      <c r="H2229">
        <v>9</v>
      </c>
      <c r="I2229">
        <v>7</v>
      </c>
      <c r="J2229">
        <v>51.07</v>
      </c>
      <c r="K2229">
        <v>208.8</v>
      </c>
      <c r="L2229">
        <v>0.35</v>
      </c>
      <c r="M2229">
        <v>64.03</v>
      </c>
      <c r="N2229">
        <v>0.95</v>
      </c>
      <c r="O2229" t="s">
        <v>20</v>
      </c>
      <c r="P2229" t="s">
        <v>38</v>
      </c>
      <c r="Q2229">
        <f t="shared" si="170"/>
        <v>22</v>
      </c>
      <c r="R2229" s="4">
        <f>RANK(N2229,$N$2:N$2800,0)</f>
        <v>1367</v>
      </c>
      <c r="S2229">
        <f t="shared" si="171"/>
        <v>2.8571428571428572</v>
      </c>
      <c r="T2229" t="str">
        <f t="shared" si="172"/>
        <v>Good</v>
      </c>
      <c r="U2229" t="str" cm="1">
        <f t="array" ref="U2229">_xlfn.LET(_xlpm.roles,_xlfn.UNIQUE(D2229:D5027),_xlpm.kills, SUMIF(D2229:D5027,_xlpm.roles,G2229:G5027),INDEX(_xlpm.roles,MATCH(MAX(_xlpm.kills),_xlpm.kills,0)))</f>
        <v>Sniper</v>
      </c>
      <c r="V2229" t="str">
        <f t="shared" si="173"/>
        <v>High Accuracy</v>
      </c>
      <c r="W2229" t="str" cm="1">
        <f t="array" ref="W2229">_xlfn.LET(_xlpm.roles,_xlfn.UNIQUE(D2229:D5027), _xlpm.counts,COUNTIF(D2229:D5027,_xlpm.roles), INDEX(_xlpm.roles,MATCH(MAX(_xlpm.counts),_xlpm.counts,0)))</f>
        <v>Sniper</v>
      </c>
      <c r="X2229" s="2">
        <f t="shared" si="174"/>
        <v>13.103594080338267</v>
      </c>
    </row>
    <row r="2230" spans="1:24" x14ac:dyDescent="0.3">
      <c r="A2230">
        <v>783</v>
      </c>
      <c r="B2230">
        <v>396</v>
      </c>
      <c r="C2230" t="s">
        <v>35</v>
      </c>
      <c r="D2230" t="s">
        <v>22</v>
      </c>
      <c r="E2230" t="s">
        <v>33</v>
      </c>
      <c r="F2230" t="s">
        <v>34</v>
      </c>
      <c r="G2230">
        <v>14</v>
      </c>
      <c r="H2230">
        <v>7</v>
      </c>
      <c r="I2230">
        <v>10</v>
      </c>
      <c r="J2230">
        <v>45.76</v>
      </c>
      <c r="K2230">
        <v>266.67</v>
      </c>
      <c r="L2230">
        <v>0.61</v>
      </c>
      <c r="M2230">
        <v>41.78</v>
      </c>
      <c r="N2230">
        <v>1</v>
      </c>
      <c r="O2230" t="s">
        <v>20</v>
      </c>
      <c r="P2230" t="s">
        <v>21</v>
      </c>
      <c r="Q2230">
        <f t="shared" si="170"/>
        <v>11</v>
      </c>
      <c r="R2230" s="4">
        <f>RANK(N2230,$N$2:N$2800,0)</f>
        <v>1</v>
      </c>
      <c r="S2230">
        <f t="shared" si="171"/>
        <v>1.4</v>
      </c>
      <c r="T2230" t="str">
        <f t="shared" si="172"/>
        <v>Low</v>
      </c>
      <c r="U2230" t="str" cm="1">
        <f t="array" ref="U2230">_xlfn.LET(_xlpm.roles,_xlfn.UNIQUE(D2230:D5028),_xlpm.kills, SUMIF(D2230:D5028,_xlpm.roles,G2230:G5028),INDEX(_xlpm.roles,MATCH(MAX(_xlpm.kills),_xlpm.kills,0)))</f>
        <v>IGL</v>
      </c>
      <c r="V2230" t="str">
        <f t="shared" si="173"/>
        <v>Medium Accuracy</v>
      </c>
      <c r="W2230" t="str" cm="1">
        <f t="array" ref="W2230">_xlfn.LET(_xlpm.roles,_xlfn.UNIQUE(D2230:D5028), _xlpm.counts,COUNTIF(D2230:D5028,_xlpm.roles), INDEX(_xlpm.roles,MATCH(MAX(_xlpm.counts),_xlpm.counts,0)))</f>
        <v>Sniper</v>
      </c>
      <c r="X2230" s="2">
        <f t="shared" si="174"/>
        <v>12.599585062240664</v>
      </c>
    </row>
    <row r="2231" spans="1:24" x14ac:dyDescent="0.3">
      <c r="A2231">
        <v>865</v>
      </c>
      <c r="B2231">
        <v>396</v>
      </c>
      <c r="C2231" t="s">
        <v>35</v>
      </c>
      <c r="D2231" t="s">
        <v>36</v>
      </c>
      <c r="E2231" t="s">
        <v>18</v>
      </c>
      <c r="F2231" t="s">
        <v>19</v>
      </c>
      <c r="G2231">
        <v>16</v>
      </c>
      <c r="H2231">
        <v>6</v>
      </c>
      <c r="I2231">
        <v>7</v>
      </c>
      <c r="J2231">
        <v>58.12</v>
      </c>
      <c r="K2231">
        <v>204.9</v>
      </c>
      <c r="L2231">
        <v>0.24</v>
      </c>
      <c r="M2231">
        <v>57.66</v>
      </c>
      <c r="N2231">
        <v>1</v>
      </c>
      <c r="O2231" t="s">
        <v>20</v>
      </c>
      <c r="P2231" t="s">
        <v>21</v>
      </c>
      <c r="Q2231">
        <f t="shared" si="170"/>
        <v>15</v>
      </c>
      <c r="R2231" s="4">
        <f>RANK(N2231,$N$2:N$2800,0)</f>
        <v>1</v>
      </c>
      <c r="S2231">
        <f t="shared" si="171"/>
        <v>2.2857142857142856</v>
      </c>
      <c r="T2231" t="str">
        <f t="shared" si="172"/>
        <v>Good</v>
      </c>
      <c r="U2231" t="str" cm="1">
        <f t="array" ref="U2231">_xlfn.LET(_xlpm.roles,_xlfn.UNIQUE(D2231:D5029),_xlpm.kills, SUMIF(D2231:D5029,_xlpm.roles,G2231:G5029),INDEX(_xlpm.roles,MATCH(MAX(_xlpm.kills),_xlpm.kills,0)))</f>
        <v>IGL</v>
      </c>
      <c r="V2231" t="str">
        <f t="shared" si="173"/>
        <v>High Accuracy</v>
      </c>
      <c r="W2231" t="str" cm="1">
        <f t="array" ref="W2231">_xlfn.LET(_xlpm.roles,_xlfn.UNIQUE(D2231:D5029), _xlpm.counts,COUNTIF(D2231:D5029,_xlpm.roles), INDEX(_xlpm.roles,MATCH(MAX(_xlpm.counts),_xlpm.counts,0)))</f>
        <v>Sniper</v>
      </c>
      <c r="X2231" s="2">
        <f t="shared" si="174"/>
        <v>12.599585062240664</v>
      </c>
    </row>
    <row r="2232" spans="1:24" x14ac:dyDescent="0.3">
      <c r="A2232">
        <v>1208</v>
      </c>
      <c r="B2232">
        <v>396</v>
      </c>
      <c r="C2232" t="s">
        <v>27</v>
      </c>
      <c r="D2232" t="s">
        <v>31</v>
      </c>
      <c r="E2232" t="s">
        <v>23</v>
      </c>
      <c r="F2232" t="s">
        <v>37</v>
      </c>
      <c r="G2232">
        <v>21</v>
      </c>
      <c r="H2232">
        <v>6</v>
      </c>
      <c r="I2232">
        <v>12</v>
      </c>
      <c r="J2232">
        <v>49.55</v>
      </c>
      <c r="K2232">
        <v>210.92</v>
      </c>
      <c r="L2232">
        <v>0.08</v>
      </c>
      <c r="M2232">
        <v>59.98</v>
      </c>
      <c r="N2232">
        <v>1</v>
      </c>
      <c r="O2232" t="s">
        <v>20</v>
      </c>
      <c r="P2232" t="s">
        <v>21</v>
      </c>
      <c r="Q2232">
        <f t="shared" si="170"/>
        <v>15</v>
      </c>
      <c r="R2232" s="4">
        <f>RANK(N2232,$N$2:N$2800,0)</f>
        <v>1</v>
      </c>
      <c r="S2232">
        <f t="shared" si="171"/>
        <v>1.75</v>
      </c>
      <c r="T2232" t="str">
        <f t="shared" si="172"/>
        <v>Good</v>
      </c>
      <c r="U2232" t="str" cm="1">
        <f t="array" ref="U2232">_xlfn.LET(_xlpm.roles,_xlfn.UNIQUE(D2232:D5030),_xlpm.kills, SUMIF(D2232:D5030,_xlpm.roles,G2232:G5030),INDEX(_xlpm.roles,MATCH(MAX(_xlpm.kills),_xlpm.kills,0)))</f>
        <v>IGL</v>
      </c>
      <c r="V2232" t="str">
        <f t="shared" si="173"/>
        <v>Medium Accuracy</v>
      </c>
      <c r="W2232" t="str" cm="1">
        <f t="array" ref="W2232">_xlfn.LET(_xlpm.roles,_xlfn.UNIQUE(D2232:D5030), _xlpm.counts,COUNTIF(D2232:D5030,_xlpm.roles), INDEX(_xlpm.roles,MATCH(MAX(_xlpm.counts),_xlpm.counts,0)))</f>
        <v>Sniper</v>
      </c>
      <c r="X2232" s="2">
        <f t="shared" si="174"/>
        <v>13.057077625570777</v>
      </c>
    </row>
    <row r="2233" spans="1:24" x14ac:dyDescent="0.3">
      <c r="A2233">
        <v>2247</v>
      </c>
      <c r="B2233">
        <v>396</v>
      </c>
      <c r="C2233" t="s">
        <v>30</v>
      </c>
      <c r="D2233" t="s">
        <v>17</v>
      </c>
      <c r="E2233" t="s">
        <v>23</v>
      </c>
      <c r="F2233" t="s">
        <v>37</v>
      </c>
      <c r="G2233">
        <v>15</v>
      </c>
      <c r="H2233">
        <v>11</v>
      </c>
      <c r="I2233">
        <v>11</v>
      </c>
      <c r="J2233">
        <v>49.59</v>
      </c>
      <c r="K2233">
        <v>193.33</v>
      </c>
      <c r="L2233">
        <v>0.71</v>
      </c>
      <c r="M2233">
        <v>47.7</v>
      </c>
      <c r="N2233">
        <v>0.95</v>
      </c>
      <c r="O2233" t="s">
        <v>20</v>
      </c>
      <c r="P2233" t="s">
        <v>21</v>
      </c>
      <c r="Q2233">
        <f t="shared" si="170"/>
        <v>15</v>
      </c>
      <c r="R2233" s="4">
        <f>RANK(N2233,$N$2:N$2800,0)</f>
        <v>1367</v>
      </c>
      <c r="S2233">
        <f t="shared" si="171"/>
        <v>1.3636363636363635</v>
      </c>
      <c r="T2233" t="str">
        <f t="shared" si="172"/>
        <v>Good</v>
      </c>
      <c r="U2233" t="str" cm="1">
        <f t="array" ref="U2233">_xlfn.LET(_xlpm.roles,_xlfn.UNIQUE(D2233:D5031),_xlpm.kills, SUMIF(D2233:D5031,_xlpm.roles,G2233:G5031),INDEX(_xlpm.roles,MATCH(MAX(_xlpm.kills),_xlpm.kills,0)))</f>
        <v>IGL</v>
      </c>
      <c r="V2233" t="str">
        <f t="shared" si="173"/>
        <v>Medium Accuracy</v>
      </c>
      <c r="W2233" t="str" cm="1">
        <f t="array" ref="W2233">_xlfn.LET(_xlpm.roles,_xlfn.UNIQUE(D2233:D5031), _xlpm.counts,COUNTIF(D2233:D5031,_xlpm.roles), INDEX(_xlpm.roles,MATCH(MAX(_xlpm.counts),_xlpm.counts,0)))</f>
        <v>Sniper</v>
      </c>
      <c r="X2233" s="2">
        <f t="shared" si="174"/>
        <v>13.135802469135802</v>
      </c>
    </row>
    <row r="2234" spans="1:24" x14ac:dyDescent="0.3">
      <c r="A2234">
        <v>2631</v>
      </c>
      <c r="B2234">
        <v>396</v>
      </c>
      <c r="C2234" t="s">
        <v>39</v>
      </c>
      <c r="D2234" t="s">
        <v>31</v>
      </c>
      <c r="E2234" t="s">
        <v>33</v>
      </c>
      <c r="F2234" t="s">
        <v>34</v>
      </c>
      <c r="G2234">
        <v>13</v>
      </c>
      <c r="H2234">
        <v>10</v>
      </c>
      <c r="I2234">
        <v>12</v>
      </c>
      <c r="J2234">
        <v>37.51</v>
      </c>
      <c r="K2234">
        <v>233.83</v>
      </c>
      <c r="L2234">
        <v>0.79</v>
      </c>
      <c r="M2234">
        <v>34.85</v>
      </c>
      <c r="N2234">
        <v>0.95</v>
      </c>
      <c r="O2234" t="s">
        <v>20</v>
      </c>
      <c r="P2234" t="s">
        <v>21</v>
      </c>
      <c r="Q2234">
        <f t="shared" si="170"/>
        <v>11</v>
      </c>
      <c r="R2234" s="4">
        <f>RANK(N2234,$N$2:N$2800,0)</f>
        <v>1367</v>
      </c>
      <c r="S2234">
        <f t="shared" si="171"/>
        <v>1.0833333333333333</v>
      </c>
      <c r="T2234" t="str">
        <f t="shared" si="172"/>
        <v>Low</v>
      </c>
      <c r="U2234" t="str" cm="1">
        <f t="array" ref="U2234">_xlfn.LET(_xlpm.roles,_xlfn.UNIQUE(D2234:D5032),_xlpm.kills, SUMIF(D2234:D5032,_xlpm.roles,G2234:G5032),INDEX(_xlpm.roles,MATCH(MAX(_xlpm.kills),_xlpm.kills,0)))</f>
        <v>IGL</v>
      </c>
      <c r="V2234" t="str">
        <f t="shared" si="173"/>
        <v>Medium Accuracy</v>
      </c>
      <c r="W2234" t="str" cm="1">
        <f t="array" ref="W2234">_xlfn.LET(_xlpm.roles,_xlfn.UNIQUE(D2234:D5032), _xlpm.counts,COUNTIF(D2234:D5032,_xlpm.roles), INDEX(_xlpm.roles,MATCH(MAX(_xlpm.counts),_xlpm.counts,0)))</f>
        <v>Sniper</v>
      </c>
      <c r="X2234" s="2">
        <f t="shared" si="174"/>
        <v>13.103594080338267</v>
      </c>
    </row>
    <row r="2235" spans="1:24" x14ac:dyDescent="0.3">
      <c r="A2235">
        <v>2800</v>
      </c>
      <c r="B2235">
        <v>396</v>
      </c>
      <c r="C2235" t="s">
        <v>39</v>
      </c>
      <c r="D2235" t="s">
        <v>31</v>
      </c>
      <c r="E2235" t="s">
        <v>33</v>
      </c>
      <c r="F2235" t="s">
        <v>37</v>
      </c>
      <c r="G2235">
        <v>15</v>
      </c>
      <c r="H2235">
        <v>5</v>
      </c>
      <c r="I2235">
        <v>9</v>
      </c>
      <c r="J2235">
        <v>44.8</v>
      </c>
      <c r="K2235">
        <v>228.18</v>
      </c>
      <c r="L2235">
        <v>0.26</v>
      </c>
      <c r="M2235">
        <v>45.8</v>
      </c>
      <c r="N2235">
        <v>0.97</v>
      </c>
      <c r="O2235" t="s">
        <v>20</v>
      </c>
      <c r="P2235" t="s">
        <v>21</v>
      </c>
      <c r="Q2235">
        <f t="shared" si="170"/>
        <v>11</v>
      </c>
      <c r="R2235" s="4">
        <f>RANK(N2235,$N$2:N$2800,0)</f>
        <v>1243</v>
      </c>
      <c r="S2235">
        <f t="shared" si="171"/>
        <v>1.6666666666666667</v>
      </c>
      <c r="T2235" t="str">
        <f t="shared" si="172"/>
        <v>Low</v>
      </c>
      <c r="U2235" t="str" cm="1">
        <f t="array" ref="U2235">_xlfn.LET(_xlpm.roles,_xlfn.UNIQUE(D2235:D5033),_xlpm.kills, SUMIF(D2235:D5033,_xlpm.roles,G2235:G5033),INDEX(_xlpm.roles,MATCH(MAX(_xlpm.kills),_xlpm.kills,0)))</f>
        <v>IGL</v>
      </c>
      <c r="V2235" t="str">
        <f t="shared" si="173"/>
        <v>Medium Accuracy</v>
      </c>
      <c r="W2235" t="str" cm="1">
        <f t="array" ref="W2235">_xlfn.LET(_xlpm.roles,_xlfn.UNIQUE(D2235:D5033), _xlpm.counts,COUNTIF(D2235:D5033,_xlpm.roles), INDEX(_xlpm.roles,MATCH(MAX(_xlpm.counts),_xlpm.counts,0)))</f>
        <v>Sniper</v>
      </c>
      <c r="X2235" s="2">
        <f t="shared" si="174"/>
        <v>13.103594080338267</v>
      </c>
    </row>
    <row r="2236" spans="1:24" x14ac:dyDescent="0.3">
      <c r="A2236">
        <v>1895</v>
      </c>
      <c r="B2236">
        <v>397</v>
      </c>
      <c r="C2236" t="s">
        <v>39</v>
      </c>
      <c r="D2236" t="s">
        <v>22</v>
      </c>
      <c r="E2236" t="s">
        <v>29</v>
      </c>
      <c r="F2236" t="s">
        <v>34</v>
      </c>
      <c r="G2236">
        <v>16</v>
      </c>
      <c r="H2236">
        <v>4</v>
      </c>
      <c r="I2236">
        <v>14</v>
      </c>
      <c r="J2236">
        <v>38.880000000000003</v>
      </c>
      <c r="K2236">
        <v>201.25</v>
      </c>
      <c r="L2236">
        <v>0.63</v>
      </c>
      <c r="M2236">
        <v>35.14</v>
      </c>
      <c r="N2236">
        <v>0.8</v>
      </c>
      <c r="O2236" t="s">
        <v>20</v>
      </c>
      <c r="P2236" t="s">
        <v>21</v>
      </c>
      <c r="Q2236">
        <f t="shared" si="170"/>
        <v>6</v>
      </c>
      <c r="R2236" s="4">
        <f>RANK(N2236,$N$2:N$2800,0)</f>
        <v>2393</v>
      </c>
      <c r="S2236">
        <f t="shared" si="171"/>
        <v>1.1428571428571428</v>
      </c>
      <c r="T2236" t="str">
        <f t="shared" si="172"/>
        <v>Low</v>
      </c>
      <c r="U2236" t="str" cm="1">
        <f t="array" ref="U2236">_xlfn.LET(_xlpm.roles,_xlfn.UNIQUE(D2236:D5034),_xlpm.kills, SUMIF(D2236:D5034,_xlpm.roles,G2236:G5034),INDEX(_xlpm.roles,MATCH(MAX(_xlpm.kills),_xlpm.kills,0)))</f>
        <v>IGL</v>
      </c>
      <c r="V2236" t="str">
        <f t="shared" si="173"/>
        <v>Medium Accuracy</v>
      </c>
      <c r="W2236" t="str" cm="1">
        <f t="array" ref="W2236">_xlfn.LET(_xlpm.roles,_xlfn.UNIQUE(D2236:D5034), _xlpm.counts,COUNTIF(D2236:D5034,_xlpm.roles), INDEX(_xlpm.roles,MATCH(MAX(_xlpm.counts),_xlpm.counts,0)))</f>
        <v>IGL</v>
      </c>
      <c r="X2236" s="2">
        <f t="shared" si="174"/>
        <v>13.103594080338267</v>
      </c>
    </row>
    <row r="2237" spans="1:24" x14ac:dyDescent="0.3">
      <c r="A2237">
        <v>2324</v>
      </c>
      <c r="B2237">
        <v>397</v>
      </c>
      <c r="C2237" t="s">
        <v>39</v>
      </c>
      <c r="D2237" t="s">
        <v>17</v>
      </c>
      <c r="E2237" t="s">
        <v>29</v>
      </c>
      <c r="F2237" t="s">
        <v>37</v>
      </c>
      <c r="G2237">
        <v>9</v>
      </c>
      <c r="H2237">
        <v>9</v>
      </c>
      <c r="I2237">
        <v>8</v>
      </c>
      <c r="J2237">
        <v>39.270000000000003</v>
      </c>
      <c r="K2237">
        <v>236.66</v>
      </c>
      <c r="L2237">
        <v>0.62</v>
      </c>
      <c r="M2237">
        <v>32.44</v>
      </c>
      <c r="N2237">
        <v>0.88</v>
      </c>
      <c r="O2237" t="s">
        <v>20</v>
      </c>
      <c r="P2237" t="s">
        <v>21</v>
      </c>
      <c r="Q2237">
        <f t="shared" si="170"/>
        <v>10</v>
      </c>
      <c r="R2237" s="4">
        <f>RANK(N2237,$N$2:N$2800,0)</f>
        <v>1894</v>
      </c>
      <c r="S2237">
        <f t="shared" si="171"/>
        <v>1.125</v>
      </c>
      <c r="T2237" t="str">
        <f t="shared" si="172"/>
        <v>Low</v>
      </c>
      <c r="U2237" t="str" cm="1">
        <f t="array" ref="U2237">_xlfn.LET(_xlpm.roles,_xlfn.UNIQUE(D2237:D5035),_xlpm.kills, SUMIF(D2237:D5035,_xlpm.roles,G2237:G5035),INDEX(_xlpm.roles,MATCH(MAX(_xlpm.kills),_xlpm.kills,0)))</f>
        <v>IGL</v>
      </c>
      <c r="V2237" t="str">
        <f t="shared" si="173"/>
        <v>Medium Accuracy</v>
      </c>
      <c r="W2237" t="str" cm="1">
        <f t="array" ref="W2237">_xlfn.LET(_xlpm.roles,_xlfn.UNIQUE(D2237:D5035), _xlpm.counts,COUNTIF(D2237:D5035,_xlpm.roles), INDEX(_xlpm.roles,MATCH(MAX(_xlpm.counts),_xlpm.counts,0)))</f>
        <v>IGL</v>
      </c>
      <c r="X2237" s="2">
        <f t="shared" si="174"/>
        <v>13.103594080338267</v>
      </c>
    </row>
    <row r="2238" spans="1:24" x14ac:dyDescent="0.3">
      <c r="A2238">
        <v>2742</v>
      </c>
      <c r="B2238">
        <v>397</v>
      </c>
      <c r="C2238" t="s">
        <v>25</v>
      </c>
      <c r="D2238" t="s">
        <v>36</v>
      </c>
      <c r="E2238" t="s">
        <v>32</v>
      </c>
      <c r="F2238" t="s">
        <v>37</v>
      </c>
      <c r="G2238">
        <v>18</v>
      </c>
      <c r="H2238">
        <v>12</v>
      </c>
      <c r="I2238">
        <v>7</v>
      </c>
      <c r="J2238">
        <v>34.200000000000003</v>
      </c>
      <c r="K2238">
        <v>163.44</v>
      </c>
      <c r="L2238">
        <v>0.31</v>
      </c>
      <c r="M2238">
        <v>55</v>
      </c>
      <c r="N2238">
        <v>1</v>
      </c>
      <c r="O2238" t="s">
        <v>20</v>
      </c>
      <c r="P2238" t="s">
        <v>21</v>
      </c>
      <c r="Q2238">
        <f t="shared" si="170"/>
        <v>23</v>
      </c>
      <c r="R2238" s="4">
        <f>RANK(N2238,$N$2:N$2800,0)</f>
        <v>1</v>
      </c>
      <c r="S2238">
        <f t="shared" si="171"/>
        <v>2.5714285714285716</v>
      </c>
      <c r="T2238" t="str">
        <f t="shared" si="172"/>
        <v>Good</v>
      </c>
      <c r="U2238" t="str" cm="1">
        <f t="array" ref="U2238">_xlfn.LET(_xlpm.roles,_xlfn.UNIQUE(D2238:D5036),_xlpm.kills, SUMIF(D2238:D5036,_xlpm.roles,G2238:G5036),INDEX(_xlpm.roles,MATCH(MAX(_xlpm.kills),_xlpm.kills,0)))</f>
        <v>IGL</v>
      </c>
      <c r="V2238" t="str">
        <f t="shared" si="173"/>
        <v>Medium Accuracy</v>
      </c>
      <c r="W2238" t="str" cm="1">
        <f t="array" ref="W2238">_xlfn.LET(_xlpm.roles,_xlfn.UNIQUE(D2238:D5036), _xlpm.counts,COUNTIF(D2238:D5036,_xlpm.roles), INDEX(_xlpm.roles,MATCH(MAX(_xlpm.counts),_xlpm.counts,0)))</f>
        <v>IGL</v>
      </c>
      <c r="X2238" s="2">
        <f t="shared" si="174"/>
        <v>12.809421841541756</v>
      </c>
    </row>
    <row r="2239" spans="1:24" x14ac:dyDescent="0.3">
      <c r="A2239">
        <v>957</v>
      </c>
      <c r="B2239">
        <v>398</v>
      </c>
      <c r="C2239" t="s">
        <v>35</v>
      </c>
      <c r="D2239" t="s">
        <v>31</v>
      </c>
      <c r="E2239" t="s">
        <v>32</v>
      </c>
      <c r="F2239" t="s">
        <v>24</v>
      </c>
      <c r="G2239">
        <v>16</v>
      </c>
      <c r="H2239">
        <v>5</v>
      </c>
      <c r="I2239">
        <v>10</v>
      </c>
      <c r="J2239">
        <v>43.7</v>
      </c>
      <c r="K2239">
        <v>194.01</v>
      </c>
      <c r="L2239">
        <v>0.92</v>
      </c>
      <c r="M2239">
        <v>39.65</v>
      </c>
      <c r="N2239">
        <v>0.98</v>
      </c>
      <c r="O2239" t="s">
        <v>20</v>
      </c>
      <c r="P2239" t="s">
        <v>21</v>
      </c>
      <c r="Q2239">
        <f t="shared" si="170"/>
        <v>11</v>
      </c>
      <c r="R2239" s="4">
        <f>RANK(N2239,$N$2:N$2800,0)</f>
        <v>1157</v>
      </c>
      <c r="S2239">
        <f t="shared" si="171"/>
        <v>1.6</v>
      </c>
      <c r="T2239" t="str">
        <f t="shared" si="172"/>
        <v>Low</v>
      </c>
      <c r="U2239" t="str" cm="1">
        <f t="array" ref="U2239">_xlfn.LET(_xlpm.roles,_xlfn.UNIQUE(D2239:D5037),_xlpm.kills, SUMIF(D2239:D5037,_xlpm.roles,G2239:G5037),INDEX(_xlpm.roles,MATCH(MAX(_xlpm.kills),_xlpm.kills,0)))</f>
        <v>IGL</v>
      </c>
      <c r="V2239" t="str">
        <f t="shared" si="173"/>
        <v>Medium Accuracy</v>
      </c>
      <c r="W2239" t="str" cm="1">
        <f t="array" ref="W2239">_xlfn.LET(_xlpm.roles,_xlfn.UNIQUE(D2239:D5037), _xlpm.counts,COUNTIF(D2239:D5037,_xlpm.roles), INDEX(_xlpm.roles,MATCH(MAX(_xlpm.counts),_xlpm.counts,0)))</f>
        <v>IGL</v>
      </c>
      <c r="X2239" s="2">
        <f t="shared" si="174"/>
        <v>12.599585062240664</v>
      </c>
    </row>
    <row r="2240" spans="1:24" x14ac:dyDescent="0.3">
      <c r="A2240">
        <v>1019</v>
      </c>
      <c r="B2240">
        <v>398</v>
      </c>
      <c r="C2240" t="s">
        <v>35</v>
      </c>
      <c r="D2240" t="s">
        <v>22</v>
      </c>
      <c r="E2240" t="s">
        <v>18</v>
      </c>
      <c r="F2240" t="s">
        <v>37</v>
      </c>
      <c r="G2240">
        <v>27</v>
      </c>
      <c r="H2240">
        <v>9</v>
      </c>
      <c r="I2240">
        <v>10</v>
      </c>
      <c r="J2240">
        <v>41.12</v>
      </c>
      <c r="K2240">
        <v>212.45</v>
      </c>
      <c r="L2240">
        <v>0.86</v>
      </c>
      <c r="M2240">
        <v>64.959999999999994</v>
      </c>
      <c r="N2240">
        <v>1</v>
      </c>
      <c r="O2240" t="s">
        <v>20</v>
      </c>
      <c r="P2240" t="s">
        <v>38</v>
      </c>
      <c r="Q2240">
        <f t="shared" si="170"/>
        <v>26</v>
      </c>
      <c r="R2240" s="4">
        <f>RANK(N2240,$N$2:N$2800,0)</f>
        <v>1</v>
      </c>
      <c r="S2240">
        <f t="shared" si="171"/>
        <v>2.7</v>
      </c>
      <c r="T2240" t="str">
        <f t="shared" si="172"/>
        <v>Excellent</v>
      </c>
      <c r="U2240" t="str" cm="1">
        <f t="array" ref="U2240">_xlfn.LET(_xlpm.roles,_xlfn.UNIQUE(D2240:D5038),_xlpm.kills, SUMIF(D2240:D5038,_xlpm.roles,G2240:G5038),INDEX(_xlpm.roles,MATCH(MAX(_xlpm.kills),_xlpm.kills,0)))</f>
        <v>IGL</v>
      </c>
      <c r="V2240" t="str">
        <f t="shared" si="173"/>
        <v>Medium Accuracy</v>
      </c>
      <c r="W2240" t="str" cm="1">
        <f t="array" ref="W2240">_xlfn.LET(_xlpm.roles,_xlfn.UNIQUE(D2240:D5038), _xlpm.counts,COUNTIF(D2240:D5038,_xlpm.roles), INDEX(_xlpm.roles,MATCH(MAX(_xlpm.counts),_xlpm.counts,0)))</f>
        <v>IGL</v>
      </c>
      <c r="X2240" s="2">
        <f t="shared" si="174"/>
        <v>12.599585062240664</v>
      </c>
    </row>
    <row r="2241" spans="1:24" x14ac:dyDescent="0.3">
      <c r="A2241">
        <v>1136</v>
      </c>
      <c r="B2241">
        <v>398</v>
      </c>
      <c r="C2241" t="s">
        <v>25</v>
      </c>
      <c r="D2241" t="s">
        <v>31</v>
      </c>
      <c r="E2241" t="s">
        <v>29</v>
      </c>
      <c r="F2241" t="s">
        <v>26</v>
      </c>
      <c r="G2241">
        <v>19</v>
      </c>
      <c r="H2241">
        <v>7</v>
      </c>
      <c r="I2241">
        <v>8</v>
      </c>
      <c r="J2241">
        <v>51.32</v>
      </c>
      <c r="K2241">
        <v>261.83</v>
      </c>
      <c r="L2241">
        <v>0.18</v>
      </c>
      <c r="M2241">
        <v>60.86</v>
      </c>
      <c r="N2241">
        <v>1</v>
      </c>
      <c r="O2241" t="s">
        <v>20</v>
      </c>
      <c r="P2241" t="s">
        <v>38</v>
      </c>
      <c r="Q2241">
        <f t="shared" si="170"/>
        <v>18</v>
      </c>
      <c r="R2241" s="4">
        <f>RANK(N2241,$N$2:N$2800,0)</f>
        <v>1</v>
      </c>
      <c r="S2241">
        <f t="shared" si="171"/>
        <v>2.375</v>
      </c>
      <c r="T2241" t="str">
        <f t="shared" si="172"/>
        <v>Good</v>
      </c>
      <c r="U2241" t="str" cm="1">
        <f t="array" ref="U2241">_xlfn.LET(_xlpm.roles,_xlfn.UNIQUE(D2241:D5039),_xlpm.kills, SUMIF(D2241:D5039,_xlpm.roles,G2241:G5039),INDEX(_xlpm.roles,MATCH(MAX(_xlpm.kills),_xlpm.kills,0)))</f>
        <v>IGL</v>
      </c>
      <c r="V2241" t="str">
        <f t="shared" si="173"/>
        <v>High Accuracy</v>
      </c>
      <c r="W2241" t="str" cm="1">
        <f t="array" ref="W2241">_xlfn.LET(_xlpm.roles,_xlfn.UNIQUE(D2241:D5039), _xlpm.counts,COUNTIF(D2241:D5039,_xlpm.roles), INDEX(_xlpm.roles,MATCH(MAX(_xlpm.counts),_xlpm.counts,0)))</f>
        <v>IGL</v>
      </c>
      <c r="X2241" s="2">
        <f t="shared" si="174"/>
        <v>12.809421841541756</v>
      </c>
    </row>
    <row r="2242" spans="1:24" x14ac:dyDescent="0.3">
      <c r="A2242">
        <v>1305</v>
      </c>
      <c r="B2242">
        <v>398</v>
      </c>
      <c r="C2242" t="s">
        <v>30</v>
      </c>
      <c r="D2242" t="s">
        <v>31</v>
      </c>
      <c r="E2242" t="s">
        <v>23</v>
      </c>
      <c r="F2242" t="s">
        <v>19</v>
      </c>
      <c r="G2242">
        <v>16</v>
      </c>
      <c r="H2242">
        <v>7</v>
      </c>
      <c r="I2242">
        <v>7</v>
      </c>
      <c r="J2242">
        <v>59.72</v>
      </c>
      <c r="K2242">
        <v>212.15</v>
      </c>
      <c r="L2242">
        <v>0.42</v>
      </c>
      <c r="M2242">
        <v>57.66</v>
      </c>
      <c r="N2242">
        <v>1</v>
      </c>
      <c r="O2242" t="s">
        <v>20</v>
      </c>
      <c r="P2242" t="s">
        <v>21</v>
      </c>
      <c r="Q2242">
        <f t="shared" si="170"/>
        <v>16</v>
      </c>
      <c r="R2242" s="4">
        <f>RANK(N2242,$N$2:N$2800,0)</f>
        <v>1</v>
      </c>
      <c r="S2242">
        <f t="shared" si="171"/>
        <v>2.2857142857142856</v>
      </c>
      <c r="T2242" t="str">
        <f t="shared" si="172"/>
        <v>Good</v>
      </c>
      <c r="U2242" t="str" cm="1">
        <f t="array" ref="U2242">_xlfn.LET(_xlpm.roles,_xlfn.UNIQUE(D2242:D5040),_xlpm.kills, SUMIF(D2242:D5040,_xlpm.roles,G2242:G5040),INDEX(_xlpm.roles,MATCH(MAX(_xlpm.kills),_xlpm.kills,0)))</f>
        <v>IGL</v>
      </c>
      <c r="V2242" t="str">
        <f t="shared" si="173"/>
        <v>High Accuracy</v>
      </c>
      <c r="W2242" t="str" cm="1">
        <f t="array" ref="W2242">_xlfn.LET(_xlpm.roles,_xlfn.UNIQUE(D2242:D5040), _xlpm.counts,COUNTIF(D2242:D5040,_xlpm.roles), INDEX(_xlpm.roles,MATCH(MAX(_xlpm.counts),_xlpm.counts,0)))</f>
        <v>IGL</v>
      </c>
      <c r="X2242" s="2">
        <f t="shared" si="174"/>
        <v>13.135802469135802</v>
      </c>
    </row>
    <row r="2243" spans="1:24" x14ac:dyDescent="0.3">
      <c r="A2243">
        <v>1698</v>
      </c>
      <c r="B2243">
        <v>398</v>
      </c>
      <c r="C2243" t="s">
        <v>35</v>
      </c>
      <c r="D2243" t="s">
        <v>17</v>
      </c>
      <c r="E2243" t="s">
        <v>18</v>
      </c>
      <c r="F2243" t="s">
        <v>37</v>
      </c>
      <c r="G2243">
        <v>15</v>
      </c>
      <c r="H2243">
        <v>7</v>
      </c>
      <c r="I2243">
        <v>11</v>
      </c>
      <c r="J2243">
        <v>33.85</v>
      </c>
      <c r="K2243">
        <v>238.67</v>
      </c>
      <c r="L2243">
        <v>0.11</v>
      </c>
      <c r="M2243">
        <v>41.82</v>
      </c>
      <c r="N2243">
        <v>1</v>
      </c>
      <c r="O2243" t="s">
        <v>20</v>
      </c>
      <c r="P2243" t="s">
        <v>21</v>
      </c>
      <c r="Q2243">
        <f t="shared" ref="Q2243:Q2306" si="175">G2243+H2243-I2243</f>
        <v>11</v>
      </c>
      <c r="R2243" s="4">
        <f>RANK(N2243,$N$2:N$2800,0)</f>
        <v>1</v>
      </c>
      <c r="S2243">
        <f t="shared" ref="S2243:S2306" si="176">G2243/I2243</f>
        <v>1.3636363636363635</v>
      </c>
      <c r="T2243" t="str">
        <f t="shared" ref="T2243:T2306" si="177">IF(Q2243&lt;15,"Low",IF(Q2243&lt;25,"Good","Excellent"))</f>
        <v>Low</v>
      </c>
      <c r="U2243" t="str" cm="1">
        <f t="array" ref="U2243">_xlfn.LET(_xlpm.roles,_xlfn.UNIQUE(D2243:D5041),_xlpm.kills, SUMIF(D2243:D5041,_xlpm.roles,G2243:G5041),INDEX(_xlpm.roles,MATCH(MAX(_xlpm.kills),_xlpm.kills,0)))</f>
        <v>IGL</v>
      </c>
      <c r="V2243" t="str">
        <f t="shared" ref="V2243:V2306" si="178">IF(J2243&gt;=50,"High Accuracy",IF(J2243&gt;=30,"Medium Accuracy","Low Accuracy"))</f>
        <v>Medium Accuracy</v>
      </c>
      <c r="W2243" t="str" cm="1">
        <f t="array" ref="W2243">_xlfn.LET(_xlpm.roles,_xlfn.UNIQUE(D2243:D5041), _xlpm.counts,COUNTIF(D2243:D5041,_xlpm.roles), INDEX(_xlpm.roles,MATCH(MAX(_xlpm.counts),_xlpm.counts,0)))</f>
        <v>IGL</v>
      </c>
      <c r="X2243" s="2">
        <f t="shared" ref="X2243:X2306" si="179">AVERAGEIF($C$2:$C$2800,C2243,$Q$2:$Q$2800)</f>
        <v>12.599585062240664</v>
      </c>
    </row>
    <row r="2244" spans="1:24" x14ac:dyDescent="0.3">
      <c r="A2244">
        <v>1953</v>
      </c>
      <c r="B2244">
        <v>398</v>
      </c>
      <c r="C2244" t="s">
        <v>27</v>
      </c>
      <c r="D2244" t="s">
        <v>17</v>
      </c>
      <c r="E2244" t="s">
        <v>29</v>
      </c>
      <c r="F2244" t="s">
        <v>24</v>
      </c>
      <c r="G2244">
        <v>17</v>
      </c>
      <c r="H2244">
        <v>5</v>
      </c>
      <c r="I2244">
        <v>6</v>
      </c>
      <c r="J2244">
        <v>43.43</v>
      </c>
      <c r="K2244">
        <v>273.69</v>
      </c>
      <c r="L2244">
        <v>0.76</v>
      </c>
      <c r="M2244">
        <v>47.12</v>
      </c>
      <c r="N2244">
        <v>1</v>
      </c>
      <c r="O2244" t="s">
        <v>20</v>
      </c>
      <c r="P2244" t="s">
        <v>21</v>
      </c>
      <c r="Q2244">
        <f t="shared" si="175"/>
        <v>16</v>
      </c>
      <c r="R2244" s="4">
        <f>RANK(N2244,$N$2:N$2800,0)</f>
        <v>1</v>
      </c>
      <c r="S2244">
        <f t="shared" si="176"/>
        <v>2.8333333333333335</v>
      </c>
      <c r="T2244" t="str">
        <f t="shared" si="177"/>
        <v>Good</v>
      </c>
      <c r="U2244" t="str" cm="1">
        <f t="array" ref="U2244">_xlfn.LET(_xlpm.roles,_xlfn.UNIQUE(D2244:D5042),_xlpm.kills, SUMIF(D2244:D5042,_xlpm.roles,G2244:G5042),INDEX(_xlpm.roles,MATCH(MAX(_xlpm.kills),_xlpm.kills,0)))</f>
        <v>IGL</v>
      </c>
      <c r="V2244" t="str">
        <f t="shared" si="178"/>
        <v>Medium Accuracy</v>
      </c>
      <c r="W2244" t="str" cm="1">
        <f t="array" ref="W2244">_xlfn.LET(_xlpm.roles,_xlfn.UNIQUE(D2244:D5042), _xlpm.counts,COUNTIF(D2244:D5042,_xlpm.roles), INDEX(_xlpm.roles,MATCH(MAX(_xlpm.counts),_xlpm.counts,0)))</f>
        <v>IGL</v>
      </c>
      <c r="X2244" s="2">
        <f t="shared" si="179"/>
        <v>13.057077625570777</v>
      </c>
    </row>
    <row r="2245" spans="1:24" x14ac:dyDescent="0.3">
      <c r="A2245">
        <v>1973</v>
      </c>
      <c r="B2245">
        <v>398</v>
      </c>
      <c r="C2245" t="s">
        <v>16</v>
      </c>
      <c r="D2245" t="s">
        <v>22</v>
      </c>
      <c r="E2245" t="s">
        <v>32</v>
      </c>
      <c r="F2245" t="s">
        <v>24</v>
      </c>
      <c r="G2245">
        <v>15</v>
      </c>
      <c r="H2245">
        <v>12</v>
      </c>
      <c r="I2245">
        <v>11</v>
      </c>
      <c r="J2245">
        <v>31.4</v>
      </c>
      <c r="K2245">
        <v>233.59</v>
      </c>
      <c r="L2245">
        <v>0.37</v>
      </c>
      <c r="M2245">
        <v>43</v>
      </c>
      <c r="N2245">
        <v>1</v>
      </c>
      <c r="O2245" t="s">
        <v>20</v>
      </c>
      <c r="P2245" t="s">
        <v>21</v>
      </c>
      <c r="Q2245">
        <f t="shared" si="175"/>
        <v>16</v>
      </c>
      <c r="R2245" s="4">
        <f>RANK(N2245,$N$2:N$2800,0)</f>
        <v>1</v>
      </c>
      <c r="S2245">
        <f t="shared" si="176"/>
        <v>1.3636363636363635</v>
      </c>
      <c r="T2245" t="str">
        <f t="shared" si="177"/>
        <v>Good</v>
      </c>
      <c r="U2245" t="str" cm="1">
        <f t="array" ref="U2245">_xlfn.LET(_xlpm.roles,_xlfn.UNIQUE(D2245:D5043),_xlpm.kills, SUMIF(D2245:D5043,_xlpm.roles,G2245:G5043),INDEX(_xlpm.roles,MATCH(MAX(_xlpm.kills),_xlpm.kills,0)))</f>
        <v>IGL</v>
      </c>
      <c r="V2245" t="str">
        <f t="shared" si="178"/>
        <v>Medium Accuracy</v>
      </c>
      <c r="W2245" t="str" cm="1">
        <f t="array" ref="W2245">_xlfn.LET(_xlpm.roles,_xlfn.UNIQUE(D2245:D5043), _xlpm.counts,COUNTIF(D2245:D5043,_xlpm.roles), INDEX(_xlpm.roles,MATCH(MAX(_xlpm.counts),_xlpm.counts,0)))</f>
        <v>IGL</v>
      </c>
      <c r="X2245" s="2">
        <f t="shared" si="179"/>
        <v>12.520971302428256</v>
      </c>
    </row>
    <row r="2246" spans="1:24" x14ac:dyDescent="0.3">
      <c r="A2246">
        <v>2590</v>
      </c>
      <c r="B2246">
        <v>398</v>
      </c>
      <c r="C2246" t="s">
        <v>16</v>
      </c>
      <c r="D2246" t="s">
        <v>17</v>
      </c>
      <c r="E2246" t="s">
        <v>32</v>
      </c>
      <c r="F2246" t="s">
        <v>24</v>
      </c>
      <c r="G2246">
        <v>17</v>
      </c>
      <c r="H2246">
        <v>9</v>
      </c>
      <c r="I2246">
        <v>8</v>
      </c>
      <c r="J2246">
        <v>46.87</v>
      </c>
      <c r="K2246">
        <v>219.54</v>
      </c>
      <c r="L2246">
        <v>0.73</v>
      </c>
      <c r="M2246">
        <v>51.14</v>
      </c>
      <c r="N2246">
        <v>0.9</v>
      </c>
      <c r="O2246" t="s">
        <v>20</v>
      </c>
      <c r="P2246" t="s">
        <v>21</v>
      </c>
      <c r="Q2246">
        <f t="shared" si="175"/>
        <v>18</v>
      </c>
      <c r="R2246" s="4">
        <f>RANK(N2246,$N$2:N$2800,0)</f>
        <v>1738</v>
      </c>
      <c r="S2246">
        <f t="shared" si="176"/>
        <v>2.125</v>
      </c>
      <c r="T2246" t="str">
        <f t="shared" si="177"/>
        <v>Good</v>
      </c>
      <c r="U2246" t="str" cm="1">
        <f t="array" ref="U2246">_xlfn.LET(_xlpm.roles,_xlfn.UNIQUE(D2246:D5044),_xlpm.kills, SUMIF(D2246:D5044,_xlpm.roles,G2246:G5044),INDEX(_xlpm.roles,MATCH(MAX(_xlpm.kills),_xlpm.kills,0)))</f>
        <v>IGL</v>
      </c>
      <c r="V2246" t="str">
        <f t="shared" si="178"/>
        <v>Medium Accuracy</v>
      </c>
      <c r="W2246" t="str" cm="1">
        <f t="array" ref="W2246">_xlfn.LET(_xlpm.roles,_xlfn.UNIQUE(D2246:D5044), _xlpm.counts,COUNTIF(D2246:D5044,_xlpm.roles), INDEX(_xlpm.roles,MATCH(MAX(_xlpm.counts),_xlpm.counts,0)))</f>
        <v>IGL</v>
      </c>
      <c r="X2246" s="2">
        <f t="shared" si="179"/>
        <v>12.520971302428256</v>
      </c>
    </row>
    <row r="2247" spans="1:24" x14ac:dyDescent="0.3">
      <c r="A2247">
        <v>203</v>
      </c>
      <c r="B2247">
        <v>399</v>
      </c>
      <c r="C2247" t="s">
        <v>16</v>
      </c>
      <c r="D2247" t="s">
        <v>36</v>
      </c>
      <c r="E2247" t="s">
        <v>18</v>
      </c>
      <c r="F2247" t="s">
        <v>19</v>
      </c>
      <c r="G2247">
        <v>14</v>
      </c>
      <c r="H2247">
        <v>9</v>
      </c>
      <c r="I2247">
        <v>10</v>
      </c>
      <c r="J2247">
        <v>48.63</v>
      </c>
      <c r="K2247">
        <v>190.53</v>
      </c>
      <c r="L2247">
        <v>0.97</v>
      </c>
      <c r="M2247">
        <v>41.61</v>
      </c>
      <c r="N2247">
        <v>1</v>
      </c>
      <c r="O2247" t="s">
        <v>20</v>
      </c>
      <c r="P2247" t="s">
        <v>21</v>
      </c>
      <c r="Q2247">
        <f t="shared" si="175"/>
        <v>13</v>
      </c>
      <c r="R2247" s="4">
        <f>RANK(N2247,$N$2:N$2800,0)</f>
        <v>1</v>
      </c>
      <c r="S2247">
        <f t="shared" si="176"/>
        <v>1.4</v>
      </c>
      <c r="T2247" t="str">
        <f t="shared" si="177"/>
        <v>Low</v>
      </c>
      <c r="U2247" t="str" cm="1">
        <f t="array" ref="U2247">_xlfn.LET(_xlpm.roles,_xlfn.UNIQUE(D2247:D5045),_xlpm.kills, SUMIF(D2247:D5045,_xlpm.roles,G2247:G5045),INDEX(_xlpm.roles,MATCH(MAX(_xlpm.kills),_xlpm.kills,0)))</f>
        <v>IGL</v>
      </c>
      <c r="V2247" t="str">
        <f t="shared" si="178"/>
        <v>Medium Accuracy</v>
      </c>
      <c r="W2247" t="str" cm="1">
        <f t="array" ref="W2247">_xlfn.LET(_xlpm.roles,_xlfn.UNIQUE(D2247:D5045), _xlpm.counts,COUNTIF(D2247:D5045,_xlpm.roles), INDEX(_xlpm.roles,MATCH(MAX(_xlpm.counts),_xlpm.counts,0)))</f>
        <v>IGL</v>
      </c>
      <c r="X2247" s="2">
        <f t="shared" si="179"/>
        <v>12.520971302428256</v>
      </c>
    </row>
    <row r="2248" spans="1:24" x14ac:dyDescent="0.3">
      <c r="A2248">
        <v>441</v>
      </c>
      <c r="B2248">
        <v>399</v>
      </c>
      <c r="C2248" t="s">
        <v>16</v>
      </c>
      <c r="D2248" t="s">
        <v>31</v>
      </c>
      <c r="E2248" t="s">
        <v>18</v>
      </c>
      <c r="F2248" t="s">
        <v>19</v>
      </c>
      <c r="G2248">
        <v>14</v>
      </c>
      <c r="H2248">
        <v>7</v>
      </c>
      <c r="I2248">
        <v>13</v>
      </c>
      <c r="J2248">
        <v>35.21</v>
      </c>
      <c r="K2248">
        <v>262.74</v>
      </c>
      <c r="L2248">
        <v>0.61</v>
      </c>
      <c r="M2248">
        <v>33.51</v>
      </c>
      <c r="N2248">
        <v>0.73</v>
      </c>
      <c r="O2248" t="s">
        <v>20</v>
      </c>
      <c r="P2248" t="s">
        <v>21</v>
      </c>
      <c r="Q2248">
        <f t="shared" si="175"/>
        <v>8</v>
      </c>
      <c r="R2248" s="4">
        <f>RANK(N2248,$N$2:N$2800,0)</f>
        <v>2642</v>
      </c>
      <c r="S2248">
        <f t="shared" si="176"/>
        <v>1.0769230769230769</v>
      </c>
      <c r="T2248" t="str">
        <f t="shared" si="177"/>
        <v>Low</v>
      </c>
      <c r="U2248" t="str" cm="1">
        <f t="array" ref="U2248">_xlfn.LET(_xlpm.roles,_xlfn.UNIQUE(D2248:D5046),_xlpm.kills, SUMIF(D2248:D5046,_xlpm.roles,G2248:G5046),INDEX(_xlpm.roles,MATCH(MAX(_xlpm.kills),_xlpm.kills,0)))</f>
        <v>IGL</v>
      </c>
      <c r="V2248" t="str">
        <f t="shared" si="178"/>
        <v>Medium Accuracy</v>
      </c>
      <c r="W2248" t="str" cm="1">
        <f t="array" ref="W2248">_xlfn.LET(_xlpm.roles,_xlfn.UNIQUE(D2248:D5046), _xlpm.counts,COUNTIF(D2248:D5046,_xlpm.roles), INDEX(_xlpm.roles,MATCH(MAX(_xlpm.counts),_xlpm.counts,0)))</f>
        <v>IGL</v>
      </c>
      <c r="X2248" s="2">
        <f t="shared" si="179"/>
        <v>12.520971302428256</v>
      </c>
    </row>
    <row r="2249" spans="1:24" x14ac:dyDescent="0.3">
      <c r="A2249">
        <v>1217</v>
      </c>
      <c r="B2249">
        <v>399</v>
      </c>
      <c r="C2249" t="s">
        <v>27</v>
      </c>
      <c r="D2249" t="s">
        <v>36</v>
      </c>
      <c r="E2249" t="s">
        <v>23</v>
      </c>
      <c r="F2249" t="s">
        <v>34</v>
      </c>
      <c r="G2249">
        <v>15</v>
      </c>
      <c r="H2249">
        <v>13</v>
      </c>
      <c r="I2249">
        <v>8</v>
      </c>
      <c r="J2249">
        <v>43.64</v>
      </c>
      <c r="K2249">
        <v>232.22</v>
      </c>
      <c r="L2249">
        <v>0.8</v>
      </c>
      <c r="M2249">
        <v>48.82</v>
      </c>
      <c r="N2249">
        <v>1</v>
      </c>
      <c r="O2249" t="s">
        <v>20</v>
      </c>
      <c r="P2249" t="s">
        <v>21</v>
      </c>
      <c r="Q2249">
        <f t="shared" si="175"/>
        <v>20</v>
      </c>
      <c r="R2249" s="4">
        <f>RANK(N2249,$N$2:N$2800,0)</f>
        <v>1</v>
      </c>
      <c r="S2249">
        <f t="shared" si="176"/>
        <v>1.875</v>
      </c>
      <c r="T2249" t="str">
        <f t="shared" si="177"/>
        <v>Good</v>
      </c>
      <c r="U2249" t="str" cm="1">
        <f t="array" ref="U2249">_xlfn.LET(_xlpm.roles,_xlfn.UNIQUE(D2249:D5047),_xlpm.kills, SUMIF(D2249:D5047,_xlpm.roles,G2249:G5047),INDEX(_xlpm.roles,MATCH(MAX(_xlpm.kills),_xlpm.kills,0)))</f>
        <v>IGL</v>
      </c>
      <c r="V2249" t="str">
        <f t="shared" si="178"/>
        <v>Medium Accuracy</v>
      </c>
      <c r="W2249" t="str" cm="1">
        <f t="array" ref="W2249">_xlfn.LET(_xlpm.roles,_xlfn.UNIQUE(D2249:D5047), _xlpm.counts,COUNTIF(D2249:D5047,_xlpm.roles), INDEX(_xlpm.roles,MATCH(MAX(_xlpm.counts),_xlpm.counts,0)))</f>
        <v>IGL</v>
      </c>
      <c r="X2249" s="2">
        <f t="shared" si="179"/>
        <v>13.057077625570777</v>
      </c>
    </row>
    <row r="2250" spans="1:24" x14ac:dyDescent="0.3">
      <c r="A2250">
        <v>1867</v>
      </c>
      <c r="B2250">
        <v>399</v>
      </c>
      <c r="C2250" t="s">
        <v>35</v>
      </c>
      <c r="D2250" t="s">
        <v>36</v>
      </c>
      <c r="E2250" t="s">
        <v>33</v>
      </c>
      <c r="F2250" t="s">
        <v>26</v>
      </c>
      <c r="G2250">
        <v>18</v>
      </c>
      <c r="H2250">
        <v>10</v>
      </c>
      <c r="I2250">
        <v>11</v>
      </c>
      <c r="J2250">
        <v>37.33</v>
      </c>
      <c r="K2250">
        <v>242.22</v>
      </c>
      <c r="L2250">
        <v>0.19</v>
      </c>
      <c r="M2250">
        <v>51.77</v>
      </c>
      <c r="N2250">
        <v>0.98</v>
      </c>
      <c r="O2250" t="s">
        <v>20</v>
      </c>
      <c r="P2250" t="s">
        <v>21</v>
      </c>
      <c r="Q2250">
        <f t="shared" si="175"/>
        <v>17</v>
      </c>
      <c r="R2250" s="4">
        <f>RANK(N2250,$N$2:N$2800,0)</f>
        <v>1157</v>
      </c>
      <c r="S2250">
        <f t="shared" si="176"/>
        <v>1.6363636363636365</v>
      </c>
      <c r="T2250" t="str">
        <f t="shared" si="177"/>
        <v>Good</v>
      </c>
      <c r="U2250" t="str" cm="1">
        <f t="array" ref="U2250">_xlfn.LET(_xlpm.roles,_xlfn.UNIQUE(D2250:D5048),_xlpm.kills, SUMIF(D2250:D5048,_xlpm.roles,G2250:G5048),INDEX(_xlpm.roles,MATCH(MAX(_xlpm.kills),_xlpm.kills,0)))</f>
        <v>IGL</v>
      </c>
      <c r="V2250" t="str">
        <f t="shared" si="178"/>
        <v>Medium Accuracy</v>
      </c>
      <c r="W2250" t="str" cm="1">
        <f t="array" ref="W2250">_xlfn.LET(_xlpm.roles,_xlfn.UNIQUE(D2250:D5048), _xlpm.counts,COUNTIF(D2250:D5048,_xlpm.roles), INDEX(_xlpm.roles,MATCH(MAX(_xlpm.counts),_xlpm.counts,0)))</f>
        <v>IGL</v>
      </c>
      <c r="X2250" s="2">
        <f t="shared" si="179"/>
        <v>12.599585062240664</v>
      </c>
    </row>
    <row r="2251" spans="1:24" x14ac:dyDescent="0.3">
      <c r="A2251">
        <v>1318</v>
      </c>
      <c r="B2251">
        <v>400</v>
      </c>
      <c r="C2251" t="s">
        <v>30</v>
      </c>
      <c r="D2251" t="s">
        <v>31</v>
      </c>
      <c r="E2251" t="s">
        <v>29</v>
      </c>
      <c r="F2251" t="s">
        <v>19</v>
      </c>
      <c r="G2251">
        <v>10</v>
      </c>
      <c r="H2251">
        <v>8</v>
      </c>
      <c r="I2251">
        <v>16</v>
      </c>
      <c r="J2251">
        <v>64.14</v>
      </c>
      <c r="K2251">
        <v>190.32</v>
      </c>
      <c r="L2251">
        <v>7.0000000000000007E-2</v>
      </c>
      <c r="M2251">
        <v>43.37</v>
      </c>
      <c r="N2251">
        <v>0.94</v>
      </c>
      <c r="O2251" t="s">
        <v>20</v>
      </c>
      <c r="P2251" t="s">
        <v>21</v>
      </c>
      <c r="Q2251">
        <f t="shared" si="175"/>
        <v>2</v>
      </c>
      <c r="R2251" s="4">
        <f>RANK(N2251,$N$2:N$2800,0)</f>
        <v>1431</v>
      </c>
      <c r="S2251">
        <f t="shared" si="176"/>
        <v>0.625</v>
      </c>
      <c r="T2251" t="str">
        <f t="shared" si="177"/>
        <v>Low</v>
      </c>
      <c r="U2251" t="str" cm="1">
        <f t="array" ref="U2251">_xlfn.LET(_xlpm.roles,_xlfn.UNIQUE(D2251:D5049),_xlpm.kills, SUMIF(D2251:D5049,_xlpm.roles,G2251:G5049),INDEX(_xlpm.roles,MATCH(MAX(_xlpm.kills),_xlpm.kills,0)))</f>
        <v>IGL</v>
      </c>
      <c r="V2251" t="str">
        <f t="shared" si="178"/>
        <v>High Accuracy</v>
      </c>
      <c r="W2251" t="str" cm="1">
        <f t="array" ref="W2251">_xlfn.LET(_xlpm.roles,_xlfn.UNIQUE(D2251:D5049), _xlpm.counts,COUNTIF(D2251:D5049,_xlpm.roles), INDEX(_xlpm.roles,MATCH(MAX(_xlpm.counts),_xlpm.counts,0)))</f>
        <v>IGL</v>
      </c>
      <c r="X2251" s="2">
        <f t="shared" si="179"/>
        <v>13.135802469135802</v>
      </c>
    </row>
    <row r="2252" spans="1:24" x14ac:dyDescent="0.3">
      <c r="A2252">
        <v>195</v>
      </c>
      <c r="B2252">
        <v>401</v>
      </c>
      <c r="C2252" t="s">
        <v>35</v>
      </c>
      <c r="D2252" t="s">
        <v>22</v>
      </c>
      <c r="E2252" t="s">
        <v>18</v>
      </c>
      <c r="F2252" t="s">
        <v>19</v>
      </c>
      <c r="G2252">
        <v>14</v>
      </c>
      <c r="H2252">
        <v>9</v>
      </c>
      <c r="I2252">
        <v>10</v>
      </c>
      <c r="J2252">
        <v>39.380000000000003</v>
      </c>
      <c r="K2252">
        <v>183.86</v>
      </c>
      <c r="L2252">
        <v>0.03</v>
      </c>
      <c r="M2252">
        <v>46.39</v>
      </c>
      <c r="N2252">
        <v>0.97</v>
      </c>
      <c r="O2252" t="s">
        <v>20</v>
      </c>
      <c r="P2252" t="s">
        <v>21</v>
      </c>
      <c r="Q2252">
        <f t="shared" si="175"/>
        <v>13</v>
      </c>
      <c r="R2252" s="4">
        <f>RANK(N2252,$N$2:N$2800,0)</f>
        <v>1243</v>
      </c>
      <c r="S2252">
        <f t="shared" si="176"/>
        <v>1.4</v>
      </c>
      <c r="T2252" t="str">
        <f t="shared" si="177"/>
        <v>Low</v>
      </c>
      <c r="U2252" t="str" cm="1">
        <f t="array" ref="U2252">_xlfn.LET(_xlpm.roles,_xlfn.UNIQUE(D2252:D5050),_xlpm.kills, SUMIF(D2252:D5050,_xlpm.roles,G2252:G5050),INDEX(_xlpm.roles,MATCH(MAX(_xlpm.kills),_xlpm.kills,0)))</f>
        <v>IGL</v>
      </c>
      <c r="V2252" t="str">
        <f t="shared" si="178"/>
        <v>Medium Accuracy</v>
      </c>
      <c r="W2252" t="str" cm="1">
        <f t="array" ref="W2252">_xlfn.LET(_xlpm.roles,_xlfn.UNIQUE(D2252:D5050), _xlpm.counts,COUNTIF(D2252:D5050,_xlpm.roles), INDEX(_xlpm.roles,MATCH(MAX(_xlpm.counts),_xlpm.counts,0)))</f>
        <v>IGL</v>
      </c>
      <c r="X2252" s="2">
        <f t="shared" si="179"/>
        <v>12.599585062240664</v>
      </c>
    </row>
    <row r="2253" spans="1:24" x14ac:dyDescent="0.3">
      <c r="A2253">
        <v>355</v>
      </c>
      <c r="B2253">
        <v>401</v>
      </c>
      <c r="C2253" t="s">
        <v>27</v>
      </c>
      <c r="D2253" t="s">
        <v>17</v>
      </c>
      <c r="E2253" t="s">
        <v>32</v>
      </c>
      <c r="F2253" t="s">
        <v>26</v>
      </c>
      <c r="G2253">
        <v>16</v>
      </c>
      <c r="H2253">
        <v>13</v>
      </c>
      <c r="I2253">
        <v>6</v>
      </c>
      <c r="J2253">
        <v>32.78</v>
      </c>
      <c r="K2253">
        <v>204.9</v>
      </c>
      <c r="L2253">
        <v>0.32</v>
      </c>
      <c r="M2253">
        <v>52.19</v>
      </c>
      <c r="N2253">
        <v>0.98</v>
      </c>
      <c r="O2253" t="s">
        <v>20</v>
      </c>
      <c r="P2253" t="s">
        <v>21</v>
      </c>
      <c r="Q2253">
        <f t="shared" si="175"/>
        <v>23</v>
      </c>
      <c r="R2253" s="4">
        <f>RANK(N2253,$N$2:N$2800,0)</f>
        <v>1157</v>
      </c>
      <c r="S2253">
        <f t="shared" si="176"/>
        <v>2.6666666666666665</v>
      </c>
      <c r="T2253" t="str">
        <f t="shared" si="177"/>
        <v>Good</v>
      </c>
      <c r="U2253" t="str" cm="1">
        <f t="array" ref="U2253">_xlfn.LET(_xlpm.roles,_xlfn.UNIQUE(D2253:D5051),_xlpm.kills, SUMIF(D2253:D5051,_xlpm.roles,G2253:G5051),INDEX(_xlpm.roles,MATCH(MAX(_xlpm.kills),_xlpm.kills,0)))</f>
        <v>IGL</v>
      </c>
      <c r="V2253" t="str">
        <f t="shared" si="178"/>
        <v>Medium Accuracy</v>
      </c>
      <c r="W2253" t="str" cm="1">
        <f t="array" ref="W2253">_xlfn.LET(_xlpm.roles,_xlfn.UNIQUE(D2253:D5051), _xlpm.counts,COUNTIF(D2253:D5051,_xlpm.roles), INDEX(_xlpm.roles,MATCH(MAX(_xlpm.counts),_xlpm.counts,0)))</f>
        <v>IGL</v>
      </c>
      <c r="X2253" s="2">
        <f t="shared" si="179"/>
        <v>13.057077625570777</v>
      </c>
    </row>
    <row r="2254" spans="1:24" x14ac:dyDescent="0.3">
      <c r="A2254">
        <v>379</v>
      </c>
      <c r="B2254">
        <v>401</v>
      </c>
      <c r="C2254" t="s">
        <v>39</v>
      </c>
      <c r="D2254" t="s">
        <v>28</v>
      </c>
      <c r="E2254" t="s">
        <v>23</v>
      </c>
      <c r="F2254" t="s">
        <v>19</v>
      </c>
      <c r="G2254">
        <v>22</v>
      </c>
      <c r="H2254">
        <v>8</v>
      </c>
      <c r="I2254">
        <v>10</v>
      </c>
      <c r="J2254">
        <v>40.909999999999997</v>
      </c>
      <c r="K2254">
        <v>143.38999999999999</v>
      </c>
      <c r="L2254">
        <v>7.0000000000000007E-2</v>
      </c>
      <c r="M2254">
        <v>61.75</v>
      </c>
      <c r="N2254">
        <v>1</v>
      </c>
      <c r="O2254" t="s">
        <v>20</v>
      </c>
      <c r="P2254" t="s">
        <v>38</v>
      </c>
      <c r="Q2254">
        <f t="shared" si="175"/>
        <v>20</v>
      </c>
      <c r="R2254" s="4">
        <f>RANK(N2254,$N$2:N$2800,0)</f>
        <v>1</v>
      </c>
      <c r="S2254">
        <f t="shared" si="176"/>
        <v>2.2000000000000002</v>
      </c>
      <c r="T2254" t="str">
        <f t="shared" si="177"/>
        <v>Good</v>
      </c>
      <c r="U2254" t="str" cm="1">
        <f t="array" ref="U2254">_xlfn.LET(_xlpm.roles,_xlfn.UNIQUE(D2254:D5052),_xlpm.kills, SUMIF(D2254:D5052,_xlpm.roles,G2254:G5052),INDEX(_xlpm.roles,MATCH(MAX(_xlpm.kills),_xlpm.kills,0)))</f>
        <v>IGL</v>
      </c>
      <c r="V2254" t="str">
        <f t="shared" si="178"/>
        <v>Medium Accuracy</v>
      </c>
      <c r="W2254" t="str" cm="1">
        <f t="array" ref="W2254">_xlfn.LET(_xlpm.roles,_xlfn.UNIQUE(D2254:D5052), _xlpm.counts,COUNTIF(D2254:D5052,_xlpm.roles), INDEX(_xlpm.roles,MATCH(MAX(_xlpm.counts),_xlpm.counts,0)))</f>
        <v>IGL</v>
      </c>
      <c r="X2254" s="2">
        <f t="shared" si="179"/>
        <v>13.103594080338267</v>
      </c>
    </row>
    <row r="2255" spans="1:24" x14ac:dyDescent="0.3">
      <c r="A2255">
        <v>1174</v>
      </c>
      <c r="B2255">
        <v>401</v>
      </c>
      <c r="C2255" t="s">
        <v>39</v>
      </c>
      <c r="D2255" t="s">
        <v>31</v>
      </c>
      <c r="E2255" t="s">
        <v>32</v>
      </c>
      <c r="F2255" t="s">
        <v>37</v>
      </c>
      <c r="G2255">
        <v>19</v>
      </c>
      <c r="H2255">
        <v>11</v>
      </c>
      <c r="I2255">
        <v>7</v>
      </c>
      <c r="J2255">
        <v>35.44</v>
      </c>
      <c r="K2255">
        <v>269.69</v>
      </c>
      <c r="L2255">
        <v>0.62</v>
      </c>
      <c r="M2255">
        <v>53.52</v>
      </c>
      <c r="N2255">
        <v>1</v>
      </c>
      <c r="O2255" t="s">
        <v>20</v>
      </c>
      <c r="P2255" t="s">
        <v>21</v>
      </c>
      <c r="Q2255">
        <f t="shared" si="175"/>
        <v>23</v>
      </c>
      <c r="R2255" s="4">
        <f>RANK(N2255,$N$2:N$2800,0)</f>
        <v>1</v>
      </c>
      <c r="S2255">
        <f t="shared" si="176"/>
        <v>2.7142857142857144</v>
      </c>
      <c r="T2255" t="str">
        <f t="shared" si="177"/>
        <v>Good</v>
      </c>
      <c r="U2255" t="str" cm="1">
        <f t="array" ref="U2255">_xlfn.LET(_xlpm.roles,_xlfn.UNIQUE(D2255:D5053),_xlpm.kills, SUMIF(D2255:D5053,_xlpm.roles,G2255:G5053),INDEX(_xlpm.roles,MATCH(MAX(_xlpm.kills),_xlpm.kills,0)))</f>
        <v>IGL</v>
      </c>
      <c r="V2255" t="str">
        <f t="shared" si="178"/>
        <v>Medium Accuracy</v>
      </c>
      <c r="W2255" t="str" cm="1">
        <f t="array" ref="W2255">_xlfn.LET(_xlpm.roles,_xlfn.UNIQUE(D2255:D5053), _xlpm.counts,COUNTIF(D2255:D5053,_xlpm.roles), INDEX(_xlpm.roles,MATCH(MAX(_xlpm.counts),_xlpm.counts,0)))</f>
        <v>IGL</v>
      </c>
      <c r="X2255" s="2">
        <f t="shared" si="179"/>
        <v>13.103594080338267</v>
      </c>
    </row>
    <row r="2256" spans="1:24" x14ac:dyDescent="0.3">
      <c r="A2256">
        <v>2525</v>
      </c>
      <c r="B2256">
        <v>401</v>
      </c>
      <c r="C2256" t="s">
        <v>25</v>
      </c>
      <c r="D2256" t="s">
        <v>28</v>
      </c>
      <c r="E2256" t="s">
        <v>18</v>
      </c>
      <c r="F2256" t="s">
        <v>34</v>
      </c>
      <c r="G2256">
        <v>15</v>
      </c>
      <c r="H2256">
        <v>9</v>
      </c>
      <c r="I2256">
        <v>9</v>
      </c>
      <c r="J2256">
        <v>43.22</v>
      </c>
      <c r="K2256">
        <v>223.84</v>
      </c>
      <c r="L2256">
        <v>0.94</v>
      </c>
      <c r="M2256">
        <v>42.21</v>
      </c>
      <c r="N2256">
        <v>1</v>
      </c>
      <c r="O2256" t="s">
        <v>20</v>
      </c>
      <c r="P2256" t="s">
        <v>21</v>
      </c>
      <c r="Q2256">
        <f t="shared" si="175"/>
        <v>15</v>
      </c>
      <c r="R2256" s="4">
        <f>RANK(N2256,$N$2:N$2800,0)</f>
        <v>1</v>
      </c>
      <c r="S2256">
        <f t="shared" si="176"/>
        <v>1.6666666666666667</v>
      </c>
      <c r="T2256" t="str">
        <f t="shared" si="177"/>
        <v>Good</v>
      </c>
      <c r="U2256" t="str" cm="1">
        <f t="array" ref="U2256">_xlfn.LET(_xlpm.roles,_xlfn.UNIQUE(D2256:D5054),_xlpm.kills, SUMIF(D2256:D5054,_xlpm.roles,G2256:G5054),INDEX(_xlpm.roles,MATCH(MAX(_xlpm.kills),_xlpm.kills,0)))</f>
        <v>IGL</v>
      </c>
      <c r="V2256" t="str">
        <f t="shared" si="178"/>
        <v>Medium Accuracy</v>
      </c>
      <c r="W2256" t="str" cm="1">
        <f t="array" ref="W2256">_xlfn.LET(_xlpm.roles,_xlfn.UNIQUE(D2256:D5054), _xlpm.counts,COUNTIF(D2256:D5054,_xlpm.roles), INDEX(_xlpm.roles,MATCH(MAX(_xlpm.counts),_xlpm.counts,0)))</f>
        <v>IGL</v>
      </c>
      <c r="X2256" s="2">
        <f t="shared" si="179"/>
        <v>12.809421841541756</v>
      </c>
    </row>
    <row r="2257" spans="1:24" x14ac:dyDescent="0.3">
      <c r="A2257">
        <v>90</v>
      </c>
      <c r="B2257">
        <v>403</v>
      </c>
      <c r="C2257" t="s">
        <v>25</v>
      </c>
      <c r="D2257" t="s">
        <v>31</v>
      </c>
      <c r="E2257" t="s">
        <v>33</v>
      </c>
      <c r="F2257" t="s">
        <v>34</v>
      </c>
      <c r="G2257">
        <v>13</v>
      </c>
      <c r="H2257">
        <v>7</v>
      </c>
      <c r="I2257">
        <v>13</v>
      </c>
      <c r="J2257">
        <v>49.24</v>
      </c>
      <c r="K2257">
        <v>224.46</v>
      </c>
      <c r="L2257">
        <v>0.98</v>
      </c>
      <c r="M2257">
        <v>34.82</v>
      </c>
      <c r="N2257">
        <v>0.81</v>
      </c>
      <c r="O2257" t="s">
        <v>20</v>
      </c>
      <c r="P2257" t="s">
        <v>21</v>
      </c>
      <c r="Q2257">
        <f t="shared" si="175"/>
        <v>7</v>
      </c>
      <c r="R2257" s="4">
        <f>RANK(N2257,$N$2:N$2800,0)</f>
        <v>2341</v>
      </c>
      <c r="S2257">
        <f t="shared" si="176"/>
        <v>1</v>
      </c>
      <c r="T2257" t="str">
        <f t="shared" si="177"/>
        <v>Low</v>
      </c>
      <c r="U2257" t="str" cm="1">
        <f t="array" ref="U2257">_xlfn.LET(_xlpm.roles,_xlfn.UNIQUE(D2257:D5055),_xlpm.kills, SUMIF(D2257:D5055,_xlpm.roles,G2257:G5055),INDEX(_xlpm.roles,MATCH(MAX(_xlpm.kills),_xlpm.kills,0)))</f>
        <v>IGL</v>
      </c>
      <c r="V2257" t="str">
        <f t="shared" si="178"/>
        <v>Medium Accuracy</v>
      </c>
      <c r="W2257" t="str" cm="1">
        <f t="array" ref="W2257">_xlfn.LET(_xlpm.roles,_xlfn.UNIQUE(D2257:D5055), _xlpm.counts,COUNTIF(D2257:D5055,_xlpm.roles), INDEX(_xlpm.roles,MATCH(MAX(_xlpm.counts),_xlpm.counts,0)))</f>
        <v>IGL</v>
      </c>
      <c r="X2257" s="2">
        <f t="shared" si="179"/>
        <v>12.809421841541756</v>
      </c>
    </row>
    <row r="2258" spans="1:24" x14ac:dyDescent="0.3">
      <c r="A2258">
        <v>1803</v>
      </c>
      <c r="B2258">
        <v>403</v>
      </c>
      <c r="C2258" t="s">
        <v>30</v>
      </c>
      <c r="D2258" t="s">
        <v>28</v>
      </c>
      <c r="E2258" t="s">
        <v>33</v>
      </c>
      <c r="F2258" t="s">
        <v>34</v>
      </c>
      <c r="G2258">
        <v>21</v>
      </c>
      <c r="H2258">
        <v>5</v>
      </c>
      <c r="I2258">
        <v>12</v>
      </c>
      <c r="J2258">
        <v>44.3</v>
      </c>
      <c r="K2258">
        <v>218.39</v>
      </c>
      <c r="L2258">
        <v>0.8</v>
      </c>
      <c r="M2258">
        <v>49.15</v>
      </c>
      <c r="N2258">
        <v>1</v>
      </c>
      <c r="O2258" t="s">
        <v>20</v>
      </c>
      <c r="P2258" t="s">
        <v>21</v>
      </c>
      <c r="Q2258">
        <f t="shared" si="175"/>
        <v>14</v>
      </c>
      <c r="R2258" s="4">
        <f>RANK(N2258,$N$2:N$2800,0)</f>
        <v>1</v>
      </c>
      <c r="S2258">
        <f t="shared" si="176"/>
        <v>1.75</v>
      </c>
      <c r="T2258" t="str">
        <f t="shared" si="177"/>
        <v>Low</v>
      </c>
      <c r="U2258" t="str" cm="1">
        <f t="array" ref="U2258">_xlfn.LET(_xlpm.roles,_xlfn.UNIQUE(D2258:D5056),_xlpm.kills, SUMIF(D2258:D5056,_xlpm.roles,G2258:G5056),INDEX(_xlpm.roles,MATCH(MAX(_xlpm.kills),_xlpm.kills,0)))</f>
        <v>IGL</v>
      </c>
      <c r="V2258" t="str">
        <f t="shared" si="178"/>
        <v>Medium Accuracy</v>
      </c>
      <c r="W2258" t="str" cm="1">
        <f t="array" ref="W2258">_xlfn.LET(_xlpm.roles,_xlfn.UNIQUE(D2258:D5056), _xlpm.counts,COUNTIF(D2258:D5056,_xlpm.roles), INDEX(_xlpm.roles,MATCH(MAX(_xlpm.counts),_xlpm.counts,0)))</f>
        <v>IGL</v>
      </c>
      <c r="X2258" s="2">
        <f t="shared" si="179"/>
        <v>13.135802469135802</v>
      </c>
    </row>
    <row r="2259" spans="1:24" x14ac:dyDescent="0.3">
      <c r="A2259">
        <v>2123</v>
      </c>
      <c r="B2259">
        <v>403</v>
      </c>
      <c r="C2259" t="s">
        <v>27</v>
      </c>
      <c r="D2259" t="s">
        <v>36</v>
      </c>
      <c r="E2259" t="s">
        <v>23</v>
      </c>
      <c r="F2259" t="s">
        <v>37</v>
      </c>
      <c r="G2259">
        <v>14</v>
      </c>
      <c r="H2259">
        <v>13</v>
      </c>
      <c r="I2259">
        <v>11</v>
      </c>
      <c r="J2259">
        <v>53.14</v>
      </c>
      <c r="K2259">
        <v>156.61000000000001</v>
      </c>
      <c r="L2259">
        <v>0.1</v>
      </c>
      <c r="M2259">
        <v>55.57</v>
      </c>
      <c r="N2259">
        <v>1</v>
      </c>
      <c r="O2259" t="s">
        <v>20</v>
      </c>
      <c r="P2259" t="s">
        <v>21</v>
      </c>
      <c r="Q2259">
        <f t="shared" si="175"/>
        <v>16</v>
      </c>
      <c r="R2259" s="4">
        <f>RANK(N2259,$N$2:N$2800,0)</f>
        <v>1</v>
      </c>
      <c r="S2259">
        <f t="shared" si="176"/>
        <v>1.2727272727272727</v>
      </c>
      <c r="T2259" t="str">
        <f t="shared" si="177"/>
        <v>Good</v>
      </c>
      <c r="U2259" t="str" cm="1">
        <f t="array" ref="U2259">_xlfn.LET(_xlpm.roles,_xlfn.UNIQUE(D2259:D5057),_xlpm.kills, SUMIF(D2259:D5057,_xlpm.roles,G2259:G5057),INDEX(_xlpm.roles,MATCH(MAX(_xlpm.kills),_xlpm.kills,0)))</f>
        <v>IGL</v>
      </c>
      <c r="V2259" t="str">
        <f t="shared" si="178"/>
        <v>High Accuracy</v>
      </c>
      <c r="W2259" t="str" cm="1">
        <f t="array" ref="W2259">_xlfn.LET(_xlpm.roles,_xlfn.UNIQUE(D2259:D5057), _xlpm.counts,COUNTIF(D2259:D5057,_xlpm.roles), INDEX(_xlpm.roles,MATCH(MAX(_xlpm.counts),_xlpm.counts,0)))</f>
        <v>IGL</v>
      </c>
      <c r="X2259" s="2">
        <f t="shared" si="179"/>
        <v>13.057077625570777</v>
      </c>
    </row>
    <row r="2260" spans="1:24" x14ac:dyDescent="0.3">
      <c r="A2260">
        <v>2392</v>
      </c>
      <c r="B2260">
        <v>403</v>
      </c>
      <c r="C2260" t="s">
        <v>16</v>
      </c>
      <c r="D2260" t="s">
        <v>17</v>
      </c>
      <c r="E2260" t="s">
        <v>23</v>
      </c>
      <c r="F2260" t="s">
        <v>26</v>
      </c>
      <c r="G2260">
        <v>23</v>
      </c>
      <c r="H2260">
        <v>13</v>
      </c>
      <c r="I2260">
        <v>12</v>
      </c>
      <c r="J2260">
        <v>49.46</v>
      </c>
      <c r="K2260">
        <v>241.54</v>
      </c>
      <c r="L2260">
        <v>0.79</v>
      </c>
      <c r="M2260">
        <v>63.83</v>
      </c>
      <c r="N2260">
        <v>1</v>
      </c>
      <c r="O2260" t="s">
        <v>20</v>
      </c>
      <c r="P2260" t="s">
        <v>38</v>
      </c>
      <c r="Q2260">
        <f t="shared" si="175"/>
        <v>24</v>
      </c>
      <c r="R2260" s="4">
        <f>RANK(N2260,$N$2:N$2800,0)</f>
        <v>1</v>
      </c>
      <c r="S2260">
        <f t="shared" si="176"/>
        <v>1.9166666666666667</v>
      </c>
      <c r="T2260" t="str">
        <f t="shared" si="177"/>
        <v>Good</v>
      </c>
      <c r="U2260" t="str" cm="1">
        <f t="array" ref="U2260">_xlfn.LET(_xlpm.roles,_xlfn.UNIQUE(D2260:D5058),_xlpm.kills, SUMIF(D2260:D5058,_xlpm.roles,G2260:G5058),INDEX(_xlpm.roles,MATCH(MAX(_xlpm.kills),_xlpm.kills,0)))</f>
        <v>IGL</v>
      </c>
      <c r="V2260" t="str">
        <f t="shared" si="178"/>
        <v>Medium Accuracy</v>
      </c>
      <c r="W2260" t="str" cm="1">
        <f t="array" ref="W2260">_xlfn.LET(_xlpm.roles,_xlfn.UNIQUE(D2260:D5058), _xlpm.counts,COUNTIF(D2260:D5058,_xlpm.roles), INDEX(_xlpm.roles,MATCH(MAX(_xlpm.counts),_xlpm.counts,0)))</f>
        <v>IGL</v>
      </c>
      <c r="X2260" s="2">
        <f t="shared" si="179"/>
        <v>12.520971302428256</v>
      </c>
    </row>
    <row r="2261" spans="1:24" x14ac:dyDescent="0.3">
      <c r="A2261">
        <v>2648</v>
      </c>
      <c r="B2261">
        <v>403</v>
      </c>
      <c r="C2261" t="s">
        <v>25</v>
      </c>
      <c r="D2261" t="s">
        <v>28</v>
      </c>
      <c r="E2261" t="s">
        <v>32</v>
      </c>
      <c r="F2261" t="s">
        <v>26</v>
      </c>
      <c r="G2261">
        <v>22</v>
      </c>
      <c r="H2261">
        <v>5</v>
      </c>
      <c r="I2261">
        <v>7</v>
      </c>
      <c r="J2261">
        <v>44.56</v>
      </c>
      <c r="K2261">
        <v>268.64</v>
      </c>
      <c r="L2261">
        <v>0.33</v>
      </c>
      <c r="M2261">
        <v>60.98</v>
      </c>
      <c r="N2261">
        <v>1</v>
      </c>
      <c r="O2261" t="s">
        <v>20</v>
      </c>
      <c r="P2261" t="s">
        <v>38</v>
      </c>
      <c r="Q2261">
        <f t="shared" si="175"/>
        <v>20</v>
      </c>
      <c r="R2261" s="4">
        <f>RANK(N2261,$N$2:N$2800,0)</f>
        <v>1</v>
      </c>
      <c r="S2261">
        <f t="shared" si="176"/>
        <v>3.1428571428571428</v>
      </c>
      <c r="T2261" t="str">
        <f t="shared" si="177"/>
        <v>Good</v>
      </c>
      <c r="U2261" t="str" cm="1">
        <f t="array" ref="U2261">_xlfn.LET(_xlpm.roles,_xlfn.UNIQUE(D2261:D5059),_xlpm.kills, SUMIF(D2261:D5059,_xlpm.roles,G2261:G5059),INDEX(_xlpm.roles,MATCH(MAX(_xlpm.kills),_xlpm.kills,0)))</f>
        <v>IGL</v>
      </c>
      <c r="V2261" t="str">
        <f t="shared" si="178"/>
        <v>Medium Accuracy</v>
      </c>
      <c r="W2261" t="str" cm="1">
        <f t="array" ref="W2261">_xlfn.LET(_xlpm.roles,_xlfn.UNIQUE(D2261:D5059), _xlpm.counts,COUNTIF(D2261:D5059,_xlpm.roles), INDEX(_xlpm.roles,MATCH(MAX(_xlpm.counts),_xlpm.counts,0)))</f>
        <v>IGL</v>
      </c>
      <c r="X2261" s="2">
        <f t="shared" si="179"/>
        <v>12.809421841541756</v>
      </c>
    </row>
    <row r="2262" spans="1:24" x14ac:dyDescent="0.3">
      <c r="A2262">
        <v>2784</v>
      </c>
      <c r="B2262">
        <v>403</v>
      </c>
      <c r="C2262" t="s">
        <v>35</v>
      </c>
      <c r="D2262" t="s">
        <v>17</v>
      </c>
      <c r="E2262" t="s">
        <v>29</v>
      </c>
      <c r="F2262" t="s">
        <v>37</v>
      </c>
      <c r="G2262">
        <v>19</v>
      </c>
      <c r="H2262">
        <v>7</v>
      </c>
      <c r="I2262">
        <v>11</v>
      </c>
      <c r="J2262">
        <v>52.48</v>
      </c>
      <c r="K2262">
        <v>221.48</v>
      </c>
      <c r="L2262">
        <v>0.56999999999999995</v>
      </c>
      <c r="M2262">
        <v>54.54</v>
      </c>
      <c r="N2262">
        <v>1</v>
      </c>
      <c r="O2262" t="s">
        <v>20</v>
      </c>
      <c r="P2262" t="s">
        <v>21</v>
      </c>
      <c r="Q2262">
        <f t="shared" si="175"/>
        <v>15</v>
      </c>
      <c r="R2262" s="4">
        <f>RANK(N2262,$N$2:N$2800,0)</f>
        <v>1</v>
      </c>
      <c r="S2262">
        <f t="shared" si="176"/>
        <v>1.7272727272727273</v>
      </c>
      <c r="T2262" t="str">
        <f t="shared" si="177"/>
        <v>Good</v>
      </c>
      <c r="U2262" t="str" cm="1">
        <f t="array" ref="U2262">_xlfn.LET(_xlpm.roles,_xlfn.UNIQUE(D2262:D5060),_xlpm.kills, SUMIF(D2262:D5060,_xlpm.roles,G2262:G5060),INDEX(_xlpm.roles,MATCH(MAX(_xlpm.kills),_xlpm.kills,0)))</f>
        <v>IGL</v>
      </c>
      <c r="V2262" t="str">
        <f t="shared" si="178"/>
        <v>High Accuracy</v>
      </c>
      <c r="W2262" t="str" cm="1">
        <f t="array" ref="W2262">_xlfn.LET(_xlpm.roles,_xlfn.UNIQUE(D2262:D5060), _xlpm.counts,COUNTIF(D2262:D5060,_xlpm.roles), INDEX(_xlpm.roles,MATCH(MAX(_xlpm.counts),_xlpm.counts,0)))</f>
        <v>IGL</v>
      </c>
      <c r="X2262" s="2">
        <f t="shared" si="179"/>
        <v>12.599585062240664</v>
      </c>
    </row>
    <row r="2263" spans="1:24" x14ac:dyDescent="0.3">
      <c r="A2263">
        <v>25</v>
      </c>
      <c r="B2263">
        <v>404</v>
      </c>
      <c r="C2263" t="s">
        <v>35</v>
      </c>
      <c r="D2263" t="s">
        <v>17</v>
      </c>
      <c r="E2263" t="s">
        <v>33</v>
      </c>
      <c r="F2263" t="s">
        <v>19</v>
      </c>
      <c r="G2263">
        <v>15</v>
      </c>
      <c r="H2263">
        <v>4</v>
      </c>
      <c r="I2263">
        <v>12</v>
      </c>
      <c r="J2263">
        <v>44.13</v>
      </c>
      <c r="K2263">
        <v>232.05</v>
      </c>
      <c r="L2263">
        <v>0.28999999999999998</v>
      </c>
      <c r="M2263">
        <v>41.16</v>
      </c>
      <c r="N2263">
        <v>0.88</v>
      </c>
      <c r="O2263" t="s">
        <v>20</v>
      </c>
      <c r="P2263" t="s">
        <v>21</v>
      </c>
      <c r="Q2263">
        <f t="shared" si="175"/>
        <v>7</v>
      </c>
      <c r="R2263" s="4">
        <f>RANK(N2263,$N$2:N$2800,0)</f>
        <v>1894</v>
      </c>
      <c r="S2263">
        <f t="shared" si="176"/>
        <v>1.25</v>
      </c>
      <c r="T2263" t="str">
        <f t="shared" si="177"/>
        <v>Low</v>
      </c>
      <c r="U2263" t="str" cm="1">
        <f t="array" ref="U2263">_xlfn.LET(_xlpm.roles,_xlfn.UNIQUE(D2263:D5061),_xlpm.kills, SUMIF(D2263:D5061,_xlpm.roles,G2263:G5061),INDEX(_xlpm.roles,MATCH(MAX(_xlpm.kills),_xlpm.kills,0)))</f>
        <v>IGL</v>
      </c>
      <c r="V2263" t="str">
        <f t="shared" si="178"/>
        <v>Medium Accuracy</v>
      </c>
      <c r="W2263" t="str" cm="1">
        <f t="array" ref="W2263">_xlfn.LET(_xlpm.roles,_xlfn.UNIQUE(D2263:D5061), _xlpm.counts,COUNTIF(D2263:D5061,_xlpm.roles), INDEX(_xlpm.roles,MATCH(MAX(_xlpm.counts),_xlpm.counts,0)))</f>
        <v>IGL</v>
      </c>
      <c r="X2263" s="2">
        <f t="shared" si="179"/>
        <v>12.599585062240664</v>
      </c>
    </row>
    <row r="2264" spans="1:24" x14ac:dyDescent="0.3">
      <c r="A2264">
        <v>597</v>
      </c>
      <c r="B2264">
        <v>404</v>
      </c>
      <c r="C2264" t="s">
        <v>39</v>
      </c>
      <c r="D2264" t="s">
        <v>36</v>
      </c>
      <c r="E2264" t="s">
        <v>32</v>
      </c>
      <c r="F2264" t="s">
        <v>37</v>
      </c>
      <c r="G2264">
        <v>19</v>
      </c>
      <c r="H2264">
        <v>9</v>
      </c>
      <c r="I2264">
        <v>8</v>
      </c>
      <c r="J2264">
        <v>48.77</v>
      </c>
      <c r="K2264">
        <v>258.16000000000003</v>
      </c>
      <c r="L2264">
        <v>0.11</v>
      </c>
      <c r="M2264">
        <v>62.29</v>
      </c>
      <c r="N2264">
        <v>1</v>
      </c>
      <c r="O2264" t="s">
        <v>20</v>
      </c>
      <c r="P2264" t="s">
        <v>38</v>
      </c>
      <c r="Q2264">
        <f t="shared" si="175"/>
        <v>20</v>
      </c>
      <c r="R2264" s="4">
        <f>RANK(N2264,$N$2:N$2800,0)</f>
        <v>1</v>
      </c>
      <c r="S2264">
        <f t="shared" si="176"/>
        <v>2.375</v>
      </c>
      <c r="T2264" t="str">
        <f t="shared" si="177"/>
        <v>Good</v>
      </c>
      <c r="U2264" t="str" cm="1">
        <f t="array" ref="U2264">_xlfn.LET(_xlpm.roles,_xlfn.UNIQUE(D2264:D5062),_xlpm.kills, SUMIF(D2264:D5062,_xlpm.roles,G2264:G5062),INDEX(_xlpm.roles,MATCH(MAX(_xlpm.kills),_xlpm.kills,0)))</f>
        <v>IGL</v>
      </c>
      <c r="V2264" t="str">
        <f t="shared" si="178"/>
        <v>Medium Accuracy</v>
      </c>
      <c r="W2264" t="str" cm="1">
        <f t="array" ref="W2264">_xlfn.LET(_xlpm.roles,_xlfn.UNIQUE(D2264:D5062), _xlpm.counts,COUNTIF(D2264:D5062,_xlpm.roles), INDEX(_xlpm.roles,MATCH(MAX(_xlpm.counts),_xlpm.counts,0)))</f>
        <v>IGL</v>
      </c>
      <c r="X2264" s="2">
        <f t="shared" si="179"/>
        <v>13.103594080338267</v>
      </c>
    </row>
    <row r="2265" spans="1:24" x14ac:dyDescent="0.3">
      <c r="A2265">
        <v>1124</v>
      </c>
      <c r="B2265">
        <v>404</v>
      </c>
      <c r="C2265" t="s">
        <v>25</v>
      </c>
      <c r="D2265" t="s">
        <v>17</v>
      </c>
      <c r="E2265" t="s">
        <v>29</v>
      </c>
      <c r="F2265" t="s">
        <v>24</v>
      </c>
      <c r="G2265">
        <v>11</v>
      </c>
      <c r="H2265">
        <v>12</v>
      </c>
      <c r="I2265">
        <v>6</v>
      </c>
      <c r="J2265">
        <v>39.67</v>
      </c>
      <c r="K2265">
        <v>200.39</v>
      </c>
      <c r="L2265">
        <v>0.87</v>
      </c>
      <c r="M2265">
        <v>39.14</v>
      </c>
      <c r="N2265">
        <v>0.88</v>
      </c>
      <c r="O2265" t="s">
        <v>20</v>
      </c>
      <c r="P2265" t="s">
        <v>21</v>
      </c>
      <c r="Q2265">
        <f t="shared" si="175"/>
        <v>17</v>
      </c>
      <c r="R2265" s="4">
        <f>RANK(N2265,$N$2:N$2800,0)</f>
        <v>1894</v>
      </c>
      <c r="S2265">
        <f t="shared" si="176"/>
        <v>1.8333333333333333</v>
      </c>
      <c r="T2265" t="str">
        <f t="shared" si="177"/>
        <v>Good</v>
      </c>
      <c r="U2265" t="str" cm="1">
        <f t="array" ref="U2265">_xlfn.LET(_xlpm.roles,_xlfn.UNIQUE(D2265:D5063),_xlpm.kills, SUMIF(D2265:D5063,_xlpm.roles,G2265:G5063),INDEX(_xlpm.roles,MATCH(MAX(_xlpm.kills),_xlpm.kills,0)))</f>
        <v>IGL</v>
      </c>
      <c r="V2265" t="str">
        <f t="shared" si="178"/>
        <v>Medium Accuracy</v>
      </c>
      <c r="W2265" t="str" cm="1">
        <f t="array" ref="W2265">_xlfn.LET(_xlpm.roles,_xlfn.UNIQUE(D2265:D5063), _xlpm.counts,COUNTIF(D2265:D5063,_xlpm.roles), INDEX(_xlpm.roles,MATCH(MAX(_xlpm.counts),_xlpm.counts,0)))</f>
        <v>IGL</v>
      </c>
      <c r="X2265" s="2">
        <f t="shared" si="179"/>
        <v>12.809421841541756</v>
      </c>
    </row>
    <row r="2266" spans="1:24" x14ac:dyDescent="0.3">
      <c r="A2266">
        <v>1548</v>
      </c>
      <c r="B2266">
        <v>404</v>
      </c>
      <c r="C2266" t="s">
        <v>39</v>
      </c>
      <c r="D2266" t="s">
        <v>31</v>
      </c>
      <c r="E2266" t="s">
        <v>32</v>
      </c>
      <c r="F2266" t="s">
        <v>24</v>
      </c>
      <c r="G2266">
        <v>12</v>
      </c>
      <c r="H2266">
        <v>13</v>
      </c>
      <c r="I2266">
        <v>8</v>
      </c>
      <c r="J2266">
        <v>41.24</v>
      </c>
      <c r="K2266">
        <v>151.87</v>
      </c>
      <c r="L2266">
        <v>7.0000000000000007E-2</v>
      </c>
      <c r="M2266">
        <v>48.92</v>
      </c>
      <c r="N2266">
        <v>0.85</v>
      </c>
      <c r="O2266" t="s">
        <v>20</v>
      </c>
      <c r="P2266" t="s">
        <v>21</v>
      </c>
      <c r="Q2266">
        <f t="shared" si="175"/>
        <v>17</v>
      </c>
      <c r="R2266" s="4">
        <f>RANK(N2266,$N$2:N$2800,0)</f>
        <v>2105</v>
      </c>
      <c r="S2266">
        <f t="shared" si="176"/>
        <v>1.5</v>
      </c>
      <c r="T2266" t="str">
        <f t="shared" si="177"/>
        <v>Good</v>
      </c>
      <c r="U2266" t="str" cm="1">
        <f t="array" ref="U2266">_xlfn.LET(_xlpm.roles,_xlfn.UNIQUE(D2266:D5064),_xlpm.kills, SUMIF(D2266:D5064,_xlpm.roles,G2266:G5064),INDEX(_xlpm.roles,MATCH(MAX(_xlpm.kills),_xlpm.kills,0)))</f>
        <v>IGL</v>
      </c>
      <c r="V2266" t="str">
        <f t="shared" si="178"/>
        <v>Medium Accuracy</v>
      </c>
      <c r="W2266" t="str" cm="1">
        <f t="array" ref="W2266">_xlfn.LET(_xlpm.roles,_xlfn.UNIQUE(D2266:D5064), _xlpm.counts,COUNTIF(D2266:D5064,_xlpm.roles), INDEX(_xlpm.roles,MATCH(MAX(_xlpm.counts),_xlpm.counts,0)))</f>
        <v>IGL</v>
      </c>
      <c r="X2266" s="2">
        <f t="shared" si="179"/>
        <v>13.103594080338267</v>
      </c>
    </row>
    <row r="2267" spans="1:24" x14ac:dyDescent="0.3">
      <c r="A2267">
        <v>1917</v>
      </c>
      <c r="B2267">
        <v>404</v>
      </c>
      <c r="C2267" t="s">
        <v>30</v>
      </c>
      <c r="D2267" t="s">
        <v>31</v>
      </c>
      <c r="E2267" t="s">
        <v>18</v>
      </c>
      <c r="F2267" t="s">
        <v>34</v>
      </c>
      <c r="G2267">
        <v>17</v>
      </c>
      <c r="H2267">
        <v>4</v>
      </c>
      <c r="I2267">
        <v>12</v>
      </c>
      <c r="J2267">
        <v>47.18</v>
      </c>
      <c r="K2267">
        <v>184.46</v>
      </c>
      <c r="L2267">
        <v>0.21</v>
      </c>
      <c r="M2267">
        <v>47.49</v>
      </c>
      <c r="N2267">
        <v>1</v>
      </c>
      <c r="O2267" t="s">
        <v>20</v>
      </c>
      <c r="P2267" t="s">
        <v>21</v>
      </c>
      <c r="Q2267">
        <f t="shared" si="175"/>
        <v>9</v>
      </c>
      <c r="R2267" s="4">
        <f>RANK(N2267,$N$2:N$2800,0)</f>
        <v>1</v>
      </c>
      <c r="S2267">
        <f t="shared" si="176"/>
        <v>1.4166666666666667</v>
      </c>
      <c r="T2267" t="str">
        <f t="shared" si="177"/>
        <v>Low</v>
      </c>
      <c r="U2267" t="str" cm="1">
        <f t="array" ref="U2267">_xlfn.LET(_xlpm.roles,_xlfn.UNIQUE(D2267:D5065),_xlpm.kills, SUMIF(D2267:D5065,_xlpm.roles,G2267:G5065),INDEX(_xlpm.roles,MATCH(MAX(_xlpm.kills),_xlpm.kills,0)))</f>
        <v>IGL</v>
      </c>
      <c r="V2267" t="str">
        <f t="shared" si="178"/>
        <v>Medium Accuracy</v>
      </c>
      <c r="W2267" t="str" cm="1">
        <f t="array" ref="W2267">_xlfn.LET(_xlpm.roles,_xlfn.UNIQUE(D2267:D5065), _xlpm.counts,COUNTIF(D2267:D5065,_xlpm.roles), INDEX(_xlpm.roles,MATCH(MAX(_xlpm.counts),_xlpm.counts,0)))</f>
        <v>IGL</v>
      </c>
      <c r="X2267" s="2">
        <f t="shared" si="179"/>
        <v>13.135802469135802</v>
      </c>
    </row>
    <row r="2268" spans="1:24" x14ac:dyDescent="0.3">
      <c r="A2268">
        <v>2636</v>
      </c>
      <c r="B2268">
        <v>404</v>
      </c>
      <c r="C2268" t="s">
        <v>30</v>
      </c>
      <c r="D2268" t="s">
        <v>22</v>
      </c>
      <c r="E2268" t="s">
        <v>32</v>
      </c>
      <c r="F2268" t="s">
        <v>26</v>
      </c>
      <c r="G2268">
        <v>9</v>
      </c>
      <c r="H2268">
        <v>8</v>
      </c>
      <c r="I2268">
        <v>8</v>
      </c>
      <c r="J2268">
        <v>45.69</v>
      </c>
      <c r="K2268">
        <v>168.31</v>
      </c>
      <c r="L2268">
        <v>0.84</v>
      </c>
      <c r="M2268">
        <v>32.450000000000003</v>
      </c>
      <c r="N2268">
        <v>0.72</v>
      </c>
      <c r="O2268" t="s">
        <v>20</v>
      </c>
      <c r="P2268" t="s">
        <v>21</v>
      </c>
      <c r="Q2268">
        <f t="shared" si="175"/>
        <v>9</v>
      </c>
      <c r="R2268" s="4">
        <f>RANK(N2268,$N$2:N$2800,0)</f>
        <v>2663</v>
      </c>
      <c r="S2268">
        <f t="shared" si="176"/>
        <v>1.125</v>
      </c>
      <c r="T2268" t="str">
        <f t="shared" si="177"/>
        <v>Low</v>
      </c>
      <c r="U2268" t="str" cm="1">
        <f t="array" ref="U2268">_xlfn.LET(_xlpm.roles,_xlfn.UNIQUE(D2268:D5066),_xlpm.kills, SUMIF(D2268:D5066,_xlpm.roles,G2268:G5066),INDEX(_xlpm.roles,MATCH(MAX(_xlpm.kills),_xlpm.kills,0)))</f>
        <v>IGL</v>
      </c>
      <c r="V2268" t="str">
        <f t="shared" si="178"/>
        <v>Medium Accuracy</v>
      </c>
      <c r="W2268" t="str" cm="1">
        <f t="array" ref="W2268">_xlfn.LET(_xlpm.roles,_xlfn.UNIQUE(D2268:D5066), _xlpm.counts,COUNTIF(D2268:D5066,_xlpm.roles), INDEX(_xlpm.roles,MATCH(MAX(_xlpm.counts),_xlpm.counts,0)))</f>
        <v>IGL</v>
      </c>
      <c r="X2268" s="2">
        <f t="shared" si="179"/>
        <v>13.135802469135802</v>
      </c>
    </row>
    <row r="2269" spans="1:24" x14ac:dyDescent="0.3">
      <c r="A2269">
        <v>435</v>
      </c>
      <c r="B2269">
        <v>405</v>
      </c>
      <c r="C2269" t="s">
        <v>30</v>
      </c>
      <c r="D2269" t="s">
        <v>31</v>
      </c>
      <c r="E2269" t="s">
        <v>32</v>
      </c>
      <c r="F2269" t="s">
        <v>26</v>
      </c>
      <c r="G2269">
        <v>11</v>
      </c>
      <c r="H2269">
        <v>9</v>
      </c>
      <c r="I2269">
        <v>12</v>
      </c>
      <c r="J2269">
        <v>49.14</v>
      </c>
      <c r="K2269">
        <v>205.01</v>
      </c>
      <c r="L2269">
        <v>0.8</v>
      </c>
      <c r="M2269">
        <v>35.57</v>
      </c>
      <c r="N2269">
        <v>0.67</v>
      </c>
      <c r="O2269" t="s">
        <v>20</v>
      </c>
      <c r="P2269" t="s">
        <v>21</v>
      </c>
      <c r="Q2269">
        <f t="shared" si="175"/>
        <v>8</v>
      </c>
      <c r="R2269" s="4">
        <f>RANK(N2269,$N$2:N$2800,0)</f>
        <v>2731</v>
      </c>
      <c r="S2269">
        <f t="shared" si="176"/>
        <v>0.91666666666666663</v>
      </c>
      <c r="T2269" t="str">
        <f t="shared" si="177"/>
        <v>Low</v>
      </c>
      <c r="U2269" t="str" cm="1">
        <f t="array" ref="U2269">_xlfn.LET(_xlpm.roles,_xlfn.UNIQUE(D2269:D5067),_xlpm.kills, SUMIF(D2269:D5067,_xlpm.roles,G2269:G5067),INDEX(_xlpm.roles,MATCH(MAX(_xlpm.kills),_xlpm.kills,0)))</f>
        <v>IGL</v>
      </c>
      <c r="V2269" t="str">
        <f t="shared" si="178"/>
        <v>Medium Accuracy</v>
      </c>
      <c r="W2269" t="str" cm="1">
        <f t="array" ref="W2269">_xlfn.LET(_xlpm.roles,_xlfn.UNIQUE(D2269:D5067), _xlpm.counts,COUNTIF(D2269:D5067,_xlpm.roles), INDEX(_xlpm.roles,MATCH(MAX(_xlpm.counts),_xlpm.counts,0)))</f>
        <v>IGL</v>
      </c>
      <c r="X2269" s="2">
        <f t="shared" si="179"/>
        <v>13.135802469135802</v>
      </c>
    </row>
    <row r="2270" spans="1:24" x14ac:dyDescent="0.3">
      <c r="A2270">
        <v>534</v>
      </c>
      <c r="B2270">
        <v>405</v>
      </c>
      <c r="C2270" t="s">
        <v>16</v>
      </c>
      <c r="D2270" t="s">
        <v>22</v>
      </c>
      <c r="E2270" t="s">
        <v>23</v>
      </c>
      <c r="F2270" t="s">
        <v>37</v>
      </c>
      <c r="G2270">
        <v>15</v>
      </c>
      <c r="H2270">
        <v>2</v>
      </c>
      <c r="I2270">
        <v>7</v>
      </c>
      <c r="J2270">
        <v>49.34</v>
      </c>
      <c r="K2270">
        <v>229.02</v>
      </c>
      <c r="L2270">
        <v>0.67</v>
      </c>
      <c r="M2270">
        <v>42.97</v>
      </c>
      <c r="N2270">
        <v>1</v>
      </c>
      <c r="O2270" t="s">
        <v>20</v>
      </c>
      <c r="P2270" t="s">
        <v>21</v>
      </c>
      <c r="Q2270">
        <f t="shared" si="175"/>
        <v>10</v>
      </c>
      <c r="R2270" s="4">
        <f>RANK(N2270,$N$2:N$2800,0)</f>
        <v>1</v>
      </c>
      <c r="S2270">
        <f t="shared" si="176"/>
        <v>2.1428571428571428</v>
      </c>
      <c r="T2270" t="str">
        <f t="shared" si="177"/>
        <v>Low</v>
      </c>
      <c r="U2270" t="str" cm="1">
        <f t="array" ref="U2270">_xlfn.LET(_xlpm.roles,_xlfn.UNIQUE(D2270:D5068),_xlpm.kills, SUMIF(D2270:D5068,_xlpm.roles,G2270:G5068),INDEX(_xlpm.roles,MATCH(MAX(_xlpm.kills),_xlpm.kills,0)))</f>
        <v>IGL</v>
      </c>
      <c r="V2270" t="str">
        <f t="shared" si="178"/>
        <v>Medium Accuracy</v>
      </c>
      <c r="W2270" t="str" cm="1">
        <f t="array" ref="W2270">_xlfn.LET(_xlpm.roles,_xlfn.UNIQUE(D2270:D5068), _xlpm.counts,COUNTIF(D2270:D5068,_xlpm.roles), INDEX(_xlpm.roles,MATCH(MAX(_xlpm.counts),_xlpm.counts,0)))</f>
        <v>IGL</v>
      </c>
      <c r="X2270" s="2">
        <f t="shared" si="179"/>
        <v>12.520971302428256</v>
      </c>
    </row>
    <row r="2271" spans="1:24" x14ac:dyDescent="0.3">
      <c r="A2271">
        <v>1699</v>
      </c>
      <c r="B2271">
        <v>405</v>
      </c>
      <c r="C2271" t="s">
        <v>35</v>
      </c>
      <c r="D2271" t="s">
        <v>28</v>
      </c>
      <c r="E2271" t="s">
        <v>33</v>
      </c>
      <c r="F2271" t="s">
        <v>19</v>
      </c>
      <c r="G2271">
        <v>13</v>
      </c>
      <c r="H2271">
        <v>5</v>
      </c>
      <c r="I2271">
        <v>12</v>
      </c>
      <c r="J2271">
        <v>56.22</v>
      </c>
      <c r="K2271">
        <v>222.47</v>
      </c>
      <c r="L2271">
        <v>0.7</v>
      </c>
      <c r="M2271">
        <v>40.11</v>
      </c>
      <c r="N2271">
        <v>0.92</v>
      </c>
      <c r="O2271" t="s">
        <v>20</v>
      </c>
      <c r="P2271" t="s">
        <v>21</v>
      </c>
      <c r="Q2271">
        <f t="shared" si="175"/>
        <v>6</v>
      </c>
      <c r="R2271" s="4">
        <f>RANK(N2271,$N$2:N$2800,0)</f>
        <v>1585</v>
      </c>
      <c r="S2271">
        <f t="shared" si="176"/>
        <v>1.0833333333333333</v>
      </c>
      <c r="T2271" t="str">
        <f t="shared" si="177"/>
        <v>Low</v>
      </c>
      <c r="U2271" t="str" cm="1">
        <f t="array" ref="U2271">_xlfn.LET(_xlpm.roles,_xlfn.UNIQUE(D2271:D5069),_xlpm.kills, SUMIF(D2271:D5069,_xlpm.roles,G2271:G5069),INDEX(_xlpm.roles,MATCH(MAX(_xlpm.kills),_xlpm.kills,0)))</f>
        <v>IGL</v>
      </c>
      <c r="V2271" t="str">
        <f t="shared" si="178"/>
        <v>High Accuracy</v>
      </c>
      <c r="W2271" t="str" cm="1">
        <f t="array" ref="W2271">_xlfn.LET(_xlpm.roles,_xlfn.UNIQUE(D2271:D5069), _xlpm.counts,COUNTIF(D2271:D5069,_xlpm.roles), INDEX(_xlpm.roles,MATCH(MAX(_xlpm.counts),_xlpm.counts,0)))</f>
        <v>IGL</v>
      </c>
      <c r="X2271" s="2">
        <f t="shared" si="179"/>
        <v>12.599585062240664</v>
      </c>
    </row>
    <row r="2272" spans="1:24" x14ac:dyDescent="0.3">
      <c r="A2272">
        <v>1819</v>
      </c>
      <c r="B2272">
        <v>405</v>
      </c>
      <c r="C2272" t="s">
        <v>16</v>
      </c>
      <c r="D2272" t="s">
        <v>31</v>
      </c>
      <c r="E2272" t="s">
        <v>23</v>
      </c>
      <c r="F2272" t="s">
        <v>24</v>
      </c>
      <c r="G2272">
        <v>17</v>
      </c>
      <c r="H2272">
        <v>7</v>
      </c>
      <c r="I2272">
        <v>13</v>
      </c>
      <c r="J2272">
        <v>42.17</v>
      </c>
      <c r="K2272">
        <v>200.01</v>
      </c>
      <c r="L2272">
        <v>0.31</v>
      </c>
      <c r="M2272">
        <v>45.98</v>
      </c>
      <c r="N2272">
        <v>1</v>
      </c>
      <c r="O2272" t="s">
        <v>20</v>
      </c>
      <c r="P2272" t="s">
        <v>21</v>
      </c>
      <c r="Q2272">
        <f t="shared" si="175"/>
        <v>11</v>
      </c>
      <c r="R2272" s="4">
        <f>RANK(N2272,$N$2:N$2800,0)</f>
        <v>1</v>
      </c>
      <c r="S2272">
        <f t="shared" si="176"/>
        <v>1.3076923076923077</v>
      </c>
      <c r="T2272" t="str">
        <f t="shared" si="177"/>
        <v>Low</v>
      </c>
      <c r="U2272" t="str" cm="1">
        <f t="array" ref="U2272">_xlfn.LET(_xlpm.roles,_xlfn.UNIQUE(D2272:D5070),_xlpm.kills, SUMIF(D2272:D5070,_xlpm.roles,G2272:G5070),INDEX(_xlpm.roles,MATCH(MAX(_xlpm.kills),_xlpm.kills,0)))</f>
        <v>IGL</v>
      </c>
      <c r="V2272" t="str">
        <f t="shared" si="178"/>
        <v>Medium Accuracy</v>
      </c>
      <c r="W2272" t="str" cm="1">
        <f t="array" ref="W2272">_xlfn.LET(_xlpm.roles,_xlfn.UNIQUE(D2272:D5070), _xlpm.counts,COUNTIF(D2272:D5070,_xlpm.roles), INDEX(_xlpm.roles,MATCH(MAX(_xlpm.counts),_xlpm.counts,0)))</f>
        <v>IGL</v>
      </c>
      <c r="X2272" s="2">
        <f t="shared" si="179"/>
        <v>12.520971302428256</v>
      </c>
    </row>
    <row r="2273" spans="1:24" x14ac:dyDescent="0.3">
      <c r="A2273">
        <v>2081</v>
      </c>
      <c r="B2273">
        <v>405</v>
      </c>
      <c r="C2273" t="s">
        <v>30</v>
      </c>
      <c r="D2273" t="s">
        <v>31</v>
      </c>
      <c r="E2273" t="s">
        <v>33</v>
      </c>
      <c r="F2273" t="s">
        <v>26</v>
      </c>
      <c r="G2273">
        <v>16</v>
      </c>
      <c r="H2273">
        <v>9</v>
      </c>
      <c r="I2273">
        <v>8</v>
      </c>
      <c r="J2273">
        <v>54.35</v>
      </c>
      <c r="K2273">
        <v>215.02</v>
      </c>
      <c r="L2273">
        <v>0.01</v>
      </c>
      <c r="M2273">
        <v>60.07</v>
      </c>
      <c r="N2273">
        <v>1</v>
      </c>
      <c r="O2273" t="s">
        <v>20</v>
      </c>
      <c r="P2273" t="s">
        <v>38</v>
      </c>
      <c r="Q2273">
        <f t="shared" si="175"/>
        <v>17</v>
      </c>
      <c r="R2273" s="4">
        <f>RANK(N2273,$N$2:N$2800,0)</f>
        <v>1</v>
      </c>
      <c r="S2273">
        <f t="shared" si="176"/>
        <v>2</v>
      </c>
      <c r="T2273" t="str">
        <f t="shared" si="177"/>
        <v>Good</v>
      </c>
      <c r="U2273" t="str" cm="1">
        <f t="array" ref="U2273">_xlfn.LET(_xlpm.roles,_xlfn.UNIQUE(D2273:D5071),_xlpm.kills, SUMIF(D2273:D5071,_xlpm.roles,G2273:G5071),INDEX(_xlpm.roles,MATCH(MAX(_xlpm.kills),_xlpm.kills,0)))</f>
        <v>IGL</v>
      </c>
      <c r="V2273" t="str">
        <f t="shared" si="178"/>
        <v>High Accuracy</v>
      </c>
      <c r="W2273" t="str" cm="1">
        <f t="array" ref="W2273">_xlfn.LET(_xlpm.roles,_xlfn.UNIQUE(D2273:D5071), _xlpm.counts,COUNTIF(D2273:D5071,_xlpm.roles), INDEX(_xlpm.roles,MATCH(MAX(_xlpm.counts),_xlpm.counts,0)))</f>
        <v>IGL</v>
      </c>
      <c r="X2273" s="2">
        <f t="shared" si="179"/>
        <v>13.135802469135802</v>
      </c>
    </row>
    <row r="2274" spans="1:24" x14ac:dyDescent="0.3">
      <c r="A2274">
        <v>2556</v>
      </c>
      <c r="B2274">
        <v>405</v>
      </c>
      <c r="C2274" t="s">
        <v>35</v>
      </c>
      <c r="D2274" t="s">
        <v>31</v>
      </c>
      <c r="E2274" t="s">
        <v>18</v>
      </c>
      <c r="F2274" t="s">
        <v>19</v>
      </c>
      <c r="G2274">
        <v>13</v>
      </c>
      <c r="H2274">
        <v>8</v>
      </c>
      <c r="I2274">
        <v>9</v>
      </c>
      <c r="J2274">
        <v>35.35</v>
      </c>
      <c r="K2274">
        <v>225.82</v>
      </c>
      <c r="L2274">
        <v>0.9</v>
      </c>
      <c r="M2274">
        <v>33.67</v>
      </c>
      <c r="N2274">
        <v>0.88</v>
      </c>
      <c r="O2274" t="s">
        <v>20</v>
      </c>
      <c r="P2274" t="s">
        <v>21</v>
      </c>
      <c r="Q2274">
        <f t="shared" si="175"/>
        <v>12</v>
      </c>
      <c r="R2274" s="4">
        <f>RANK(N2274,$N$2:N$2800,0)</f>
        <v>1894</v>
      </c>
      <c r="S2274">
        <f t="shared" si="176"/>
        <v>1.4444444444444444</v>
      </c>
      <c r="T2274" t="str">
        <f t="shared" si="177"/>
        <v>Low</v>
      </c>
      <c r="U2274" t="str" cm="1">
        <f t="array" ref="U2274">_xlfn.LET(_xlpm.roles,_xlfn.UNIQUE(D2274:D5072),_xlpm.kills, SUMIF(D2274:D5072,_xlpm.roles,G2274:G5072),INDEX(_xlpm.roles,MATCH(MAX(_xlpm.kills),_xlpm.kills,0)))</f>
        <v>IGL</v>
      </c>
      <c r="V2274" t="str">
        <f t="shared" si="178"/>
        <v>Medium Accuracy</v>
      </c>
      <c r="W2274" t="str" cm="1">
        <f t="array" ref="W2274">_xlfn.LET(_xlpm.roles,_xlfn.UNIQUE(D2274:D5072), _xlpm.counts,COUNTIF(D2274:D5072,_xlpm.roles), INDEX(_xlpm.roles,MATCH(MAX(_xlpm.counts),_xlpm.counts,0)))</f>
        <v>IGL</v>
      </c>
      <c r="X2274" s="2">
        <f t="shared" si="179"/>
        <v>12.599585062240664</v>
      </c>
    </row>
    <row r="2275" spans="1:24" x14ac:dyDescent="0.3">
      <c r="A2275">
        <v>2615</v>
      </c>
      <c r="B2275">
        <v>405</v>
      </c>
      <c r="C2275" t="s">
        <v>30</v>
      </c>
      <c r="D2275" t="s">
        <v>28</v>
      </c>
      <c r="E2275" t="s">
        <v>32</v>
      </c>
      <c r="F2275" t="s">
        <v>37</v>
      </c>
      <c r="G2275">
        <v>13</v>
      </c>
      <c r="H2275">
        <v>9</v>
      </c>
      <c r="I2275">
        <v>10</v>
      </c>
      <c r="J2275">
        <v>49.76</v>
      </c>
      <c r="K2275">
        <v>214.89</v>
      </c>
      <c r="L2275">
        <v>0.22</v>
      </c>
      <c r="M2275">
        <v>47.68</v>
      </c>
      <c r="N2275">
        <v>0.94</v>
      </c>
      <c r="O2275" t="s">
        <v>20</v>
      </c>
      <c r="P2275" t="s">
        <v>21</v>
      </c>
      <c r="Q2275">
        <f t="shared" si="175"/>
        <v>12</v>
      </c>
      <c r="R2275" s="4">
        <f>RANK(N2275,$N$2:N$2800,0)</f>
        <v>1431</v>
      </c>
      <c r="S2275">
        <f t="shared" si="176"/>
        <v>1.3</v>
      </c>
      <c r="T2275" t="str">
        <f t="shared" si="177"/>
        <v>Low</v>
      </c>
      <c r="U2275" t="str" cm="1">
        <f t="array" ref="U2275">_xlfn.LET(_xlpm.roles,_xlfn.UNIQUE(D2275:D5073),_xlpm.kills, SUMIF(D2275:D5073,_xlpm.roles,G2275:G5073),INDEX(_xlpm.roles,MATCH(MAX(_xlpm.kills),_xlpm.kills,0)))</f>
        <v>IGL</v>
      </c>
      <c r="V2275" t="str">
        <f t="shared" si="178"/>
        <v>Medium Accuracy</v>
      </c>
      <c r="W2275" t="str" cm="1">
        <f t="array" ref="W2275">_xlfn.LET(_xlpm.roles,_xlfn.UNIQUE(D2275:D5073), _xlpm.counts,COUNTIF(D2275:D5073,_xlpm.roles), INDEX(_xlpm.roles,MATCH(MAX(_xlpm.counts),_xlpm.counts,0)))</f>
        <v>IGL</v>
      </c>
      <c r="X2275" s="2">
        <f t="shared" si="179"/>
        <v>13.135802469135802</v>
      </c>
    </row>
    <row r="2276" spans="1:24" x14ac:dyDescent="0.3">
      <c r="A2276">
        <v>129</v>
      </c>
      <c r="B2276">
        <v>406</v>
      </c>
      <c r="C2276" t="s">
        <v>27</v>
      </c>
      <c r="D2276" t="s">
        <v>22</v>
      </c>
      <c r="E2276" t="s">
        <v>23</v>
      </c>
      <c r="F2276" t="s">
        <v>24</v>
      </c>
      <c r="G2276">
        <v>14</v>
      </c>
      <c r="H2276">
        <v>12</v>
      </c>
      <c r="I2276">
        <v>10</v>
      </c>
      <c r="J2276">
        <v>58.86</v>
      </c>
      <c r="K2276">
        <v>286.94</v>
      </c>
      <c r="L2276">
        <v>0.76</v>
      </c>
      <c r="M2276">
        <v>51.83</v>
      </c>
      <c r="N2276">
        <v>1</v>
      </c>
      <c r="O2276" t="s">
        <v>20</v>
      </c>
      <c r="P2276" t="s">
        <v>21</v>
      </c>
      <c r="Q2276">
        <f t="shared" si="175"/>
        <v>16</v>
      </c>
      <c r="R2276" s="4">
        <f>RANK(N2276,$N$2:N$2800,0)</f>
        <v>1</v>
      </c>
      <c r="S2276">
        <f t="shared" si="176"/>
        <v>1.4</v>
      </c>
      <c r="T2276" t="str">
        <f t="shared" si="177"/>
        <v>Good</v>
      </c>
      <c r="U2276" t="str" cm="1">
        <f t="array" ref="U2276">_xlfn.LET(_xlpm.roles,_xlfn.UNIQUE(D2276:D5074),_xlpm.kills, SUMIF(D2276:D5074,_xlpm.roles,G2276:G5074),INDEX(_xlpm.roles,MATCH(MAX(_xlpm.kills),_xlpm.kills,0)))</f>
        <v>IGL</v>
      </c>
      <c r="V2276" t="str">
        <f t="shared" si="178"/>
        <v>High Accuracy</v>
      </c>
      <c r="W2276" t="str" cm="1">
        <f t="array" ref="W2276">_xlfn.LET(_xlpm.roles,_xlfn.UNIQUE(D2276:D5074), _xlpm.counts,COUNTIF(D2276:D5074,_xlpm.roles), INDEX(_xlpm.roles,MATCH(MAX(_xlpm.counts),_xlpm.counts,0)))</f>
        <v>IGL</v>
      </c>
      <c r="X2276" s="2">
        <f t="shared" si="179"/>
        <v>13.057077625570777</v>
      </c>
    </row>
    <row r="2277" spans="1:24" x14ac:dyDescent="0.3">
      <c r="A2277">
        <v>486</v>
      </c>
      <c r="B2277">
        <v>406</v>
      </c>
      <c r="C2277" t="s">
        <v>30</v>
      </c>
      <c r="D2277" t="s">
        <v>36</v>
      </c>
      <c r="E2277" t="s">
        <v>33</v>
      </c>
      <c r="F2277" t="s">
        <v>34</v>
      </c>
      <c r="G2277">
        <v>14</v>
      </c>
      <c r="H2277">
        <v>10</v>
      </c>
      <c r="I2277">
        <v>12</v>
      </c>
      <c r="J2277">
        <v>34.28</v>
      </c>
      <c r="K2277">
        <v>197.25</v>
      </c>
      <c r="L2277">
        <v>0.81</v>
      </c>
      <c r="M2277">
        <v>35.04</v>
      </c>
      <c r="N2277">
        <v>0.81</v>
      </c>
      <c r="O2277" t="s">
        <v>20</v>
      </c>
      <c r="P2277" t="s">
        <v>21</v>
      </c>
      <c r="Q2277">
        <f t="shared" si="175"/>
        <v>12</v>
      </c>
      <c r="R2277" s="4">
        <f>RANK(N2277,$N$2:N$2800,0)</f>
        <v>2341</v>
      </c>
      <c r="S2277">
        <f t="shared" si="176"/>
        <v>1.1666666666666667</v>
      </c>
      <c r="T2277" t="str">
        <f t="shared" si="177"/>
        <v>Low</v>
      </c>
      <c r="U2277" t="str" cm="1">
        <f t="array" ref="U2277">_xlfn.LET(_xlpm.roles,_xlfn.UNIQUE(D2277:D5075),_xlpm.kills, SUMIF(D2277:D5075,_xlpm.roles,G2277:G5075),INDEX(_xlpm.roles,MATCH(MAX(_xlpm.kills),_xlpm.kills,0)))</f>
        <v>IGL</v>
      </c>
      <c r="V2277" t="str">
        <f t="shared" si="178"/>
        <v>Medium Accuracy</v>
      </c>
      <c r="W2277" t="str" cm="1">
        <f t="array" ref="W2277">_xlfn.LET(_xlpm.roles,_xlfn.UNIQUE(D2277:D5075), _xlpm.counts,COUNTIF(D2277:D5075,_xlpm.roles), INDEX(_xlpm.roles,MATCH(MAX(_xlpm.counts),_xlpm.counts,0)))</f>
        <v>IGL</v>
      </c>
      <c r="X2277" s="2">
        <f t="shared" si="179"/>
        <v>13.135802469135802</v>
      </c>
    </row>
    <row r="2278" spans="1:24" x14ac:dyDescent="0.3">
      <c r="A2278">
        <v>535</v>
      </c>
      <c r="B2278">
        <v>406</v>
      </c>
      <c r="C2278" t="s">
        <v>16</v>
      </c>
      <c r="D2278" t="s">
        <v>22</v>
      </c>
      <c r="E2278" t="s">
        <v>23</v>
      </c>
      <c r="F2278" t="s">
        <v>37</v>
      </c>
      <c r="G2278">
        <v>17</v>
      </c>
      <c r="H2278">
        <v>7</v>
      </c>
      <c r="I2278">
        <v>13</v>
      </c>
      <c r="J2278">
        <v>43.6</v>
      </c>
      <c r="K2278">
        <v>260.81</v>
      </c>
      <c r="L2278">
        <v>0.9</v>
      </c>
      <c r="M2278">
        <v>40.799999999999997</v>
      </c>
      <c r="N2278">
        <v>0.98</v>
      </c>
      <c r="O2278" t="s">
        <v>20</v>
      </c>
      <c r="P2278" t="s">
        <v>21</v>
      </c>
      <c r="Q2278">
        <f t="shared" si="175"/>
        <v>11</v>
      </c>
      <c r="R2278" s="4">
        <f>RANK(N2278,$N$2:N$2800,0)</f>
        <v>1157</v>
      </c>
      <c r="S2278">
        <f t="shared" si="176"/>
        <v>1.3076923076923077</v>
      </c>
      <c r="T2278" t="str">
        <f t="shared" si="177"/>
        <v>Low</v>
      </c>
      <c r="U2278" t="str" cm="1">
        <f t="array" ref="U2278">_xlfn.LET(_xlpm.roles,_xlfn.UNIQUE(D2278:D5076),_xlpm.kills, SUMIF(D2278:D5076,_xlpm.roles,G2278:G5076),INDEX(_xlpm.roles,MATCH(MAX(_xlpm.kills),_xlpm.kills,0)))</f>
        <v>IGL</v>
      </c>
      <c r="V2278" t="str">
        <f t="shared" si="178"/>
        <v>Medium Accuracy</v>
      </c>
      <c r="W2278" t="str" cm="1">
        <f t="array" ref="W2278">_xlfn.LET(_xlpm.roles,_xlfn.UNIQUE(D2278:D5076), _xlpm.counts,COUNTIF(D2278:D5076,_xlpm.roles), INDEX(_xlpm.roles,MATCH(MAX(_xlpm.counts),_xlpm.counts,0)))</f>
        <v>IGL</v>
      </c>
      <c r="X2278" s="2">
        <f t="shared" si="179"/>
        <v>12.520971302428256</v>
      </c>
    </row>
    <row r="2279" spans="1:24" x14ac:dyDescent="0.3">
      <c r="A2279">
        <v>1345</v>
      </c>
      <c r="B2279">
        <v>406</v>
      </c>
      <c r="C2279" t="s">
        <v>39</v>
      </c>
      <c r="D2279" t="s">
        <v>36</v>
      </c>
      <c r="E2279" t="s">
        <v>23</v>
      </c>
      <c r="F2279" t="s">
        <v>26</v>
      </c>
      <c r="G2279">
        <v>14</v>
      </c>
      <c r="H2279">
        <v>8</v>
      </c>
      <c r="I2279">
        <v>9</v>
      </c>
      <c r="J2279">
        <v>50.25</v>
      </c>
      <c r="K2279">
        <v>264.8</v>
      </c>
      <c r="L2279">
        <v>0.65</v>
      </c>
      <c r="M2279">
        <v>45.62</v>
      </c>
      <c r="N2279">
        <v>0.89</v>
      </c>
      <c r="O2279" t="s">
        <v>20</v>
      </c>
      <c r="P2279" t="s">
        <v>21</v>
      </c>
      <c r="Q2279">
        <f t="shared" si="175"/>
        <v>13</v>
      </c>
      <c r="R2279" s="4">
        <f>RANK(N2279,$N$2:N$2800,0)</f>
        <v>1815</v>
      </c>
      <c r="S2279">
        <f t="shared" si="176"/>
        <v>1.5555555555555556</v>
      </c>
      <c r="T2279" t="str">
        <f t="shared" si="177"/>
        <v>Low</v>
      </c>
      <c r="U2279" t="str" cm="1">
        <f t="array" ref="U2279">_xlfn.LET(_xlpm.roles,_xlfn.UNIQUE(D2279:D5077),_xlpm.kills, SUMIF(D2279:D5077,_xlpm.roles,G2279:G5077),INDEX(_xlpm.roles,MATCH(MAX(_xlpm.kills),_xlpm.kills,0)))</f>
        <v>IGL</v>
      </c>
      <c r="V2279" t="str">
        <f t="shared" si="178"/>
        <v>High Accuracy</v>
      </c>
      <c r="W2279" t="str" cm="1">
        <f t="array" ref="W2279">_xlfn.LET(_xlpm.roles,_xlfn.UNIQUE(D2279:D5077), _xlpm.counts,COUNTIF(D2279:D5077,_xlpm.roles), INDEX(_xlpm.roles,MATCH(MAX(_xlpm.counts),_xlpm.counts,0)))</f>
        <v>IGL</v>
      </c>
      <c r="X2279" s="2">
        <f t="shared" si="179"/>
        <v>13.103594080338267</v>
      </c>
    </row>
    <row r="2280" spans="1:24" x14ac:dyDescent="0.3">
      <c r="A2280">
        <v>1802</v>
      </c>
      <c r="B2280">
        <v>406</v>
      </c>
      <c r="C2280" t="s">
        <v>39</v>
      </c>
      <c r="D2280" t="s">
        <v>22</v>
      </c>
      <c r="E2280" t="s">
        <v>33</v>
      </c>
      <c r="F2280" t="s">
        <v>24</v>
      </c>
      <c r="G2280">
        <v>10</v>
      </c>
      <c r="H2280">
        <v>8</v>
      </c>
      <c r="I2280">
        <v>6</v>
      </c>
      <c r="J2280">
        <v>44.83</v>
      </c>
      <c r="K2280">
        <v>253.29</v>
      </c>
      <c r="L2280">
        <v>0.39</v>
      </c>
      <c r="M2280">
        <v>40.520000000000003</v>
      </c>
      <c r="N2280">
        <v>0.94</v>
      </c>
      <c r="O2280" t="s">
        <v>20</v>
      </c>
      <c r="P2280" t="s">
        <v>21</v>
      </c>
      <c r="Q2280">
        <f t="shared" si="175"/>
        <v>12</v>
      </c>
      <c r="R2280" s="4">
        <f>RANK(N2280,$N$2:N$2800,0)</f>
        <v>1431</v>
      </c>
      <c r="S2280">
        <f t="shared" si="176"/>
        <v>1.6666666666666667</v>
      </c>
      <c r="T2280" t="str">
        <f t="shared" si="177"/>
        <v>Low</v>
      </c>
      <c r="U2280" t="str" cm="1">
        <f t="array" ref="U2280">_xlfn.LET(_xlpm.roles,_xlfn.UNIQUE(D2280:D5078),_xlpm.kills, SUMIF(D2280:D5078,_xlpm.roles,G2280:G5078),INDEX(_xlpm.roles,MATCH(MAX(_xlpm.kills),_xlpm.kills,0)))</f>
        <v>IGL</v>
      </c>
      <c r="V2280" t="str">
        <f t="shared" si="178"/>
        <v>Medium Accuracy</v>
      </c>
      <c r="W2280" t="str" cm="1">
        <f t="array" ref="W2280">_xlfn.LET(_xlpm.roles,_xlfn.UNIQUE(D2280:D5078), _xlpm.counts,COUNTIF(D2280:D5078,_xlpm.roles), INDEX(_xlpm.roles,MATCH(MAX(_xlpm.counts),_xlpm.counts,0)))</f>
        <v>IGL</v>
      </c>
      <c r="X2280" s="2">
        <f t="shared" si="179"/>
        <v>13.103594080338267</v>
      </c>
    </row>
    <row r="2281" spans="1:24" x14ac:dyDescent="0.3">
      <c r="A2281">
        <v>1892</v>
      </c>
      <c r="B2281">
        <v>406</v>
      </c>
      <c r="C2281" t="s">
        <v>35</v>
      </c>
      <c r="D2281" t="s">
        <v>36</v>
      </c>
      <c r="E2281" t="s">
        <v>33</v>
      </c>
      <c r="F2281" t="s">
        <v>34</v>
      </c>
      <c r="G2281">
        <v>19</v>
      </c>
      <c r="H2281">
        <v>8</v>
      </c>
      <c r="I2281">
        <v>11</v>
      </c>
      <c r="J2281">
        <v>58.38</v>
      </c>
      <c r="K2281">
        <v>185.56</v>
      </c>
      <c r="L2281">
        <v>0.73</v>
      </c>
      <c r="M2281">
        <v>56.89</v>
      </c>
      <c r="N2281">
        <v>0.94</v>
      </c>
      <c r="O2281" t="s">
        <v>20</v>
      </c>
      <c r="P2281" t="s">
        <v>21</v>
      </c>
      <c r="Q2281">
        <f t="shared" si="175"/>
        <v>16</v>
      </c>
      <c r="R2281" s="4">
        <f>RANK(N2281,$N$2:N$2800,0)</f>
        <v>1431</v>
      </c>
      <c r="S2281">
        <f t="shared" si="176"/>
        <v>1.7272727272727273</v>
      </c>
      <c r="T2281" t="str">
        <f t="shared" si="177"/>
        <v>Good</v>
      </c>
      <c r="U2281" t="str" cm="1">
        <f t="array" ref="U2281">_xlfn.LET(_xlpm.roles,_xlfn.UNIQUE(D2281:D5079),_xlpm.kills, SUMIF(D2281:D5079,_xlpm.roles,G2281:G5079),INDEX(_xlpm.roles,MATCH(MAX(_xlpm.kills),_xlpm.kills,0)))</f>
        <v>IGL</v>
      </c>
      <c r="V2281" t="str">
        <f t="shared" si="178"/>
        <v>High Accuracy</v>
      </c>
      <c r="W2281" t="str" cm="1">
        <f t="array" ref="W2281">_xlfn.LET(_xlpm.roles,_xlfn.UNIQUE(D2281:D5079), _xlpm.counts,COUNTIF(D2281:D5079,_xlpm.roles), INDEX(_xlpm.roles,MATCH(MAX(_xlpm.counts),_xlpm.counts,0)))</f>
        <v>IGL</v>
      </c>
      <c r="X2281" s="2">
        <f t="shared" si="179"/>
        <v>12.599585062240664</v>
      </c>
    </row>
    <row r="2282" spans="1:24" x14ac:dyDescent="0.3">
      <c r="A2282">
        <v>2694</v>
      </c>
      <c r="B2282">
        <v>406</v>
      </c>
      <c r="C2282" t="s">
        <v>30</v>
      </c>
      <c r="D2282" t="s">
        <v>31</v>
      </c>
      <c r="E2282" t="s">
        <v>33</v>
      </c>
      <c r="F2282" t="s">
        <v>19</v>
      </c>
      <c r="G2282">
        <v>18</v>
      </c>
      <c r="H2282">
        <v>7</v>
      </c>
      <c r="I2282">
        <v>8</v>
      </c>
      <c r="J2282">
        <v>28.27</v>
      </c>
      <c r="K2282">
        <v>229.08</v>
      </c>
      <c r="L2282">
        <v>0.27</v>
      </c>
      <c r="M2282">
        <v>46.43</v>
      </c>
      <c r="N2282">
        <v>0.88</v>
      </c>
      <c r="O2282" t="s">
        <v>20</v>
      </c>
      <c r="P2282" t="s">
        <v>21</v>
      </c>
      <c r="Q2282">
        <f t="shared" si="175"/>
        <v>17</v>
      </c>
      <c r="R2282" s="4">
        <f>RANK(N2282,$N$2:N$2800,0)</f>
        <v>1894</v>
      </c>
      <c r="S2282">
        <f t="shared" si="176"/>
        <v>2.25</v>
      </c>
      <c r="T2282" t="str">
        <f t="shared" si="177"/>
        <v>Good</v>
      </c>
      <c r="U2282" t="str" cm="1">
        <f t="array" ref="U2282">_xlfn.LET(_xlpm.roles,_xlfn.UNIQUE(D2282:D5080),_xlpm.kills, SUMIF(D2282:D5080,_xlpm.roles,G2282:G5080),INDEX(_xlpm.roles,MATCH(MAX(_xlpm.kills),_xlpm.kills,0)))</f>
        <v>IGL</v>
      </c>
      <c r="V2282" t="str">
        <f t="shared" si="178"/>
        <v>Low Accuracy</v>
      </c>
      <c r="W2282" t="str" cm="1">
        <f t="array" ref="W2282">_xlfn.LET(_xlpm.roles,_xlfn.UNIQUE(D2282:D5080), _xlpm.counts,COUNTIF(D2282:D5080,_xlpm.roles), INDEX(_xlpm.roles,MATCH(MAX(_xlpm.counts),_xlpm.counts,0)))</f>
        <v>IGL</v>
      </c>
      <c r="X2282" s="2">
        <f t="shared" si="179"/>
        <v>13.135802469135802</v>
      </c>
    </row>
    <row r="2283" spans="1:24" x14ac:dyDescent="0.3">
      <c r="A2283">
        <v>705</v>
      </c>
      <c r="B2283">
        <v>407</v>
      </c>
      <c r="C2283" t="s">
        <v>39</v>
      </c>
      <c r="D2283" t="s">
        <v>28</v>
      </c>
      <c r="E2283" t="s">
        <v>32</v>
      </c>
      <c r="F2283" t="s">
        <v>37</v>
      </c>
      <c r="G2283">
        <v>17</v>
      </c>
      <c r="H2283">
        <v>8</v>
      </c>
      <c r="I2283">
        <v>11</v>
      </c>
      <c r="J2283">
        <v>48.35</v>
      </c>
      <c r="K2283">
        <v>161.86000000000001</v>
      </c>
      <c r="L2283">
        <v>0.69</v>
      </c>
      <c r="M2283">
        <v>48.27</v>
      </c>
      <c r="N2283">
        <v>1</v>
      </c>
      <c r="O2283" t="s">
        <v>20</v>
      </c>
      <c r="P2283" t="s">
        <v>21</v>
      </c>
      <c r="Q2283">
        <f t="shared" si="175"/>
        <v>14</v>
      </c>
      <c r="R2283" s="4">
        <f>RANK(N2283,$N$2:N$2800,0)</f>
        <v>1</v>
      </c>
      <c r="S2283">
        <f t="shared" si="176"/>
        <v>1.5454545454545454</v>
      </c>
      <c r="T2283" t="str">
        <f t="shared" si="177"/>
        <v>Low</v>
      </c>
      <c r="U2283" t="str" cm="1">
        <f t="array" ref="U2283">_xlfn.LET(_xlpm.roles,_xlfn.UNIQUE(D2283:D5081),_xlpm.kills, SUMIF(D2283:D5081,_xlpm.roles,G2283:G5081),INDEX(_xlpm.roles,MATCH(MAX(_xlpm.kills),_xlpm.kills,0)))</f>
        <v>IGL</v>
      </c>
      <c r="V2283" t="str">
        <f t="shared" si="178"/>
        <v>Medium Accuracy</v>
      </c>
      <c r="W2283" t="str" cm="1">
        <f t="array" ref="W2283">_xlfn.LET(_xlpm.roles,_xlfn.UNIQUE(D2283:D5081), _xlpm.counts,COUNTIF(D2283:D5081,_xlpm.roles), INDEX(_xlpm.roles,MATCH(MAX(_xlpm.counts),_xlpm.counts,0)))</f>
        <v>IGL</v>
      </c>
      <c r="X2283" s="2">
        <f t="shared" si="179"/>
        <v>13.103594080338267</v>
      </c>
    </row>
    <row r="2284" spans="1:24" x14ac:dyDescent="0.3">
      <c r="A2284">
        <v>424</v>
      </c>
      <c r="B2284">
        <v>408</v>
      </c>
      <c r="C2284" t="s">
        <v>25</v>
      </c>
      <c r="D2284" t="s">
        <v>36</v>
      </c>
      <c r="E2284" t="s">
        <v>32</v>
      </c>
      <c r="F2284" t="s">
        <v>37</v>
      </c>
      <c r="G2284">
        <v>11</v>
      </c>
      <c r="H2284">
        <v>8</v>
      </c>
      <c r="I2284">
        <v>9</v>
      </c>
      <c r="J2284">
        <v>41.43</v>
      </c>
      <c r="K2284">
        <v>189.9</v>
      </c>
      <c r="L2284">
        <v>0.62</v>
      </c>
      <c r="M2284">
        <v>35.520000000000003</v>
      </c>
      <c r="N2284">
        <v>0.82</v>
      </c>
      <c r="O2284" t="s">
        <v>20</v>
      </c>
      <c r="P2284" t="s">
        <v>21</v>
      </c>
      <c r="Q2284">
        <f t="shared" si="175"/>
        <v>10</v>
      </c>
      <c r="R2284" s="4">
        <f>RANK(N2284,$N$2:N$2800,0)</f>
        <v>2275</v>
      </c>
      <c r="S2284">
        <f t="shared" si="176"/>
        <v>1.2222222222222223</v>
      </c>
      <c r="T2284" t="str">
        <f t="shared" si="177"/>
        <v>Low</v>
      </c>
      <c r="U2284" t="str" cm="1">
        <f t="array" ref="U2284">_xlfn.LET(_xlpm.roles,_xlfn.UNIQUE(D2284:D5082),_xlpm.kills, SUMIF(D2284:D5082,_xlpm.roles,G2284:G5082),INDEX(_xlpm.roles,MATCH(MAX(_xlpm.kills),_xlpm.kills,0)))</f>
        <v>IGL</v>
      </c>
      <c r="V2284" t="str">
        <f t="shared" si="178"/>
        <v>Medium Accuracy</v>
      </c>
      <c r="W2284" t="str" cm="1">
        <f t="array" ref="W2284">_xlfn.LET(_xlpm.roles,_xlfn.UNIQUE(D2284:D5082), _xlpm.counts,COUNTIF(D2284:D5082,_xlpm.roles), INDEX(_xlpm.roles,MATCH(MAX(_xlpm.counts),_xlpm.counts,0)))</f>
        <v>IGL</v>
      </c>
      <c r="X2284" s="2">
        <f t="shared" si="179"/>
        <v>12.809421841541756</v>
      </c>
    </row>
    <row r="2285" spans="1:24" x14ac:dyDescent="0.3">
      <c r="A2285">
        <v>498</v>
      </c>
      <c r="B2285">
        <v>408</v>
      </c>
      <c r="C2285" t="s">
        <v>35</v>
      </c>
      <c r="D2285" t="s">
        <v>22</v>
      </c>
      <c r="E2285" t="s">
        <v>29</v>
      </c>
      <c r="F2285" t="s">
        <v>26</v>
      </c>
      <c r="G2285">
        <v>14</v>
      </c>
      <c r="H2285">
        <v>10</v>
      </c>
      <c r="I2285">
        <v>14</v>
      </c>
      <c r="J2285">
        <v>51.11</v>
      </c>
      <c r="K2285">
        <v>245.38</v>
      </c>
      <c r="L2285">
        <v>0.2</v>
      </c>
      <c r="M2285">
        <v>47.55</v>
      </c>
      <c r="N2285">
        <v>0.94</v>
      </c>
      <c r="O2285" t="s">
        <v>20</v>
      </c>
      <c r="P2285" t="s">
        <v>21</v>
      </c>
      <c r="Q2285">
        <f t="shared" si="175"/>
        <v>10</v>
      </c>
      <c r="R2285" s="4">
        <f>RANK(N2285,$N$2:N$2800,0)</f>
        <v>1431</v>
      </c>
      <c r="S2285">
        <f t="shared" si="176"/>
        <v>1</v>
      </c>
      <c r="T2285" t="str">
        <f t="shared" si="177"/>
        <v>Low</v>
      </c>
      <c r="U2285" t="str" cm="1">
        <f t="array" ref="U2285">_xlfn.LET(_xlpm.roles,_xlfn.UNIQUE(D2285:D5083),_xlpm.kills, SUMIF(D2285:D5083,_xlpm.roles,G2285:G5083),INDEX(_xlpm.roles,MATCH(MAX(_xlpm.kills),_xlpm.kills,0)))</f>
        <v>IGL</v>
      </c>
      <c r="V2285" t="str">
        <f t="shared" si="178"/>
        <v>High Accuracy</v>
      </c>
      <c r="W2285" t="str" cm="1">
        <f t="array" ref="W2285">_xlfn.LET(_xlpm.roles,_xlfn.UNIQUE(D2285:D5083), _xlpm.counts,COUNTIF(D2285:D5083,_xlpm.roles), INDEX(_xlpm.roles,MATCH(MAX(_xlpm.counts),_xlpm.counts,0)))</f>
        <v>IGL</v>
      </c>
      <c r="X2285" s="2">
        <f t="shared" si="179"/>
        <v>12.599585062240664</v>
      </c>
    </row>
    <row r="2286" spans="1:24" x14ac:dyDescent="0.3">
      <c r="A2286">
        <v>651</v>
      </c>
      <c r="B2286">
        <v>408</v>
      </c>
      <c r="C2286" t="s">
        <v>30</v>
      </c>
      <c r="D2286" t="s">
        <v>17</v>
      </c>
      <c r="E2286" t="s">
        <v>29</v>
      </c>
      <c r="F2286" t="s">
        <v>24</v>
      </c>
      <c r="G2286">
        <v>17</v>
      </c>
      <c r="H2286">
        <v>13</v>
      </c>
      <c r="I2286">
        <v>11</v>
      </c>
      <c r="J2286">
        <v>46.5</v>
      </c>
      <c r="K2286">
        <v>231.65</v>
      </c>
      <c r="L2286">
        <v>0.33</v>
      </c>
      <c r="M2286">
        <v>55.95</v>
      </c>
      <c r="N2286">
        <v>1</v>
      </c>
      <c r="O2286" t="s">
        <v>20</v>
      </c>
      <c r="P2286" t="s">
        <v>21</v>
      </c>
      <c r="Q2286">
        <f t="shared" si="175"/>
        <v>19</v>
      </c>
      <c r="R2286" s="4">
        <f>RANK(N2286,$N$2:N$2800,0)</f>
        <v>1</v>
      </c>
      <c r="S2286">
        <f t="shared" si="176"/>
        <v>1.5454545454545454</v>
      </c>
      <c r="T2286" t="str">
        <f t="shared" si="177"/>
        <v>Good</v>
      </c>
      <c r="U2286" t="str" cm="1">
        <f t="array" ref="U2286">_xlfn.LET(_xlpm.roles,_xlfn.UNIQUE(D2286:D5084),_xlpm.kills, SUMIF(D2286:D5084,_xlpm.roles,G2286:G5084),INDEX(_xlpm.roles,MATCH(MAX(_xlpm.kills),_xlpm.kills,0)))</f>
        <v>IGL</v>
      </c>
      <c r="V2286" t="str">
        <f t="shared" si="178"/>
        <v>Medium Accuracy</v>
      </c>
      <c r="W2286" t="str" cm="1">
        <f t="array" ref="W2286">_xlfn.LET(_xlpm.roles,_xlfn.UNIQUE(D2286:D5084), _xlpm.counts,COUNTIF(D2286:D5084,_xlpm.roles), INDEX(_xlpm.roles,MATCH(MAX(_xlpm.counts),_xlpm.counts,0)))</f>
        <v>IGL</v>
      </c>
      <c r="X2286" s="2">
        <f t="shared" si="179"/>
        <v>13.135802469135802</v>
      </c>
    </row>
    <row r="2287" spans="1:24" x14ac:dyDescent="0.3">
      <c r="A2287">
        <v>71</v>
      </c>
      <c r="B2287">
        <v>409</v>
      </c>
      <c r="C2287" t="s">
        <v>35</v>
      </c>
      <c r="D2287" t="s">
        <v>28</v>
      </c>
      <c r="E2287" t="s">
        <v>18</v>
      </c>
      <c r="F2287" t="s">
        <v>34</v>
      </c>
      <c r="G2287">
        <v>14</v>
      </c>
      <c r="H2287">
        <v>11</v>
      </c>
      <c r="I2287">
        <v>7</v>
      </c>
      <c r="J2287">
        <v>56.01</v>
      </c>
      <c r="K2287">
        <v>243.31</v>
      </c>
      <c r="L2287">
        <v>0.13</v>
      </c>
      <c r="M2287">
        <v>58.7</v>
      </c>
      <c r="N2287">
        <v>1</v>
      </c>
      <c r="O2287" t="s">
        <v>20</v>
      </c>
      <c r="P2287" t="s">
        <v>21</v>
      </c>
      <c r="Q2287">
        <f t="shared" si="175"/>
        <v>18</v>
      </c>
      <c r="R2287" s="4">
        <f>RANK(N2287,$N$2:N$2800,0)</f>
        <v>1</v>
      </c>
      <c r="S2287">
        <f t="shared" si="176"/>
        <v>2</v>
      </c>
      <c r="T2287" t="str">
        <f t="shared" si="177"/>
        <v>Good</v>
      </c>
      <c r="U2287" t="str" cm="1">
        <f t="array" ref="U2287">_xlfn.LET(_xlpm.roles,_xlfn.UNIQUE(D2287:D5085),_xlpm.kills, SUMIF(D2287:D5085,_xlpm.roles,G2287:G5085),INDEX(_xlpm.roles,MATCH(MAX(_xlpm.kills),_xlpm.kills,0)))</f>
        <v>IGL</v>
      </c>
      <c r="V2287" t="str">
        <f t="shared" si="178"/>
        <v>High Accuracy</v>
      </c>
      <c r="W2287" t="str" cm="1">
        <f t="array" ref="W2287">_xlfn.LET(_xlpm.roles,_xlfn.UNIQUE(D2287:D5085), _xlpm.counts,COUNTIF(D2287:D5085,_xlpm.roles), INDEX(_xlpm.roles,MATCH(MAX(_xlpm.counts),_xlpm.counts,0)))</f>
        <v>IGL</v>
      </c>
      <c r="X2287" s="2">
        <f t="shared" si="179"/>
        <v>12.599585062240664</v>
      </c>
    </row>
    <row r="2288" spans="1:24" x14ac:dyDescent="0.3">
      <c r="A2288">
        <v>489</v>
      </c>
      <c r="B2288">
        <v>409</v>
      </c>
      <c r="C2288" t="s">
        <v>30</v>
      </c>
      <c r="D2288" t="s">
        <v>36</v>
      </c>
      <c r="E2288" t="s">
        <v>18</v>
      </c>
      <c r="F2288" t="s">
        <v>34</v>
      </c>
      <c r="G2288">
        <v>16</v>
      </c>
      <c r="H2288">
        <v>11</v>
      </c>
      <c r="I2288">
        <v>14</v>
      </c>
      <c r="J2288">
        <v>43.5</v>
      </c>
      <c r="K2288">
        <v>209.42</v>
      </c>
      <c r="L2288">
        <v>0.2</v>
      </c>
      <c r="M2288">
        <v>48.75</v>
      </c>
      <c r="N2288">
        <v>1</v>
      </c>
      <c r="O2288" t="s">
        <v>20</v>
      </c>
      <c r="P2288" t="s">
        <v>21</v>
      </c>
      <c r="Q2288">
        <f t="shared" si="175"/>
        <v>13</v>
      </c>
      <c r="R2288" s="4">
        <f>RANK(N2288,$N$2:N$2800,0)</f>
        <v>1</v>
      </c>
      <c r="S2288">
        <f t="shared" si="176"/>
        <v>1.1428571428571428</v>
      </c>
      <c r="T2288" t="str">
        <f t="shared" si="177"/>
        <v>Low</v>
      </c>
      <c r="U2288" t="str" cm="1">
        <f t="array" ref="U2288">_xlfn.LET(_xlpm.roles,_xlfn.UNIQUE(D2288:D5086),_xlpm.kills, SUMIF(D2288:D5086,_xlpm.roles,G2288:G5086),INDEX(_xlpm.roles,MATCH(MAX(_xlpm.kills),_xlpm.kills,0)))</f>
        <v>IGL</v>
      </c>
      <c r="V2288" t="str">
        <f t="shared" si="178"/>
        <v>Medium Accuracy</v>
      </c>
      <c r="W2288" t="str" cm="1">
        <f t="array" ref="W2288">_xlfn.LET(_xlpm.roles,_xlfn.UNIQUE(D2288:D5086), _xlpm.counts,COUNTIF(D2288:D5086,_xlpm.roles), INDEX(_xlpm.roles,MATCH(MAX(_xlpm.counts),_xlpm.counts,0)))</f>
        <v>IGL</v>
      </c>
      <c r="X2288" s="2">
        <f t="shared" si="179"/>
        <v>13.135802469135802</v>
      </c>
    </row>
    <row r="2289" spans="1:24" x14ac:dyDescent="0.3">
      <c r="A2289">
        <v>1046</v>
      </c>
      <c r="B2289">
        <v>409</v>
      </c>
      <c r="C2289" t="s">
        <v>16</v>
      </c>
      <c r="D2289" t="s">
        <v>28</v>
      </c>
      <c r="E2289" t="s">
        <v>18</v>
      </c>
      <c r="F2289" t="s">
        <v>24</v>
      </c>
      <c r="G2289">
        <v>17</v>
      </c>
      <c r="H2289">
        <v>2</v>
      </c>
      <c r="I2289">
        <v>8</v>
      </c>
      <c r="J2289">
        <v>46.51</v>
      </c>
      <c r="K2289">
        <v>167.38</v>
      </c>
      <c r="L2289">
        <v>0.8</v>
      </c>
      <c r="M2289">
        <v>43.25</v>
      </c>
      <c r="N2289">
        <v>0.96</v>
      </c>
      <c r="O2289" t="s">
        <v>20</v>
      </c>
      <c r="P2289" t="s">
        <v>21</v>
      </c>
      <c r="Q2289">
        <f t="shared" si="175"/>
        <v>11</v>
      </c>
      <c r="R2289" s="4">
        <f>RANK(N2289,$N$2:N$2800,0)</f>
        <v>1301</v>
      </c>
      <c r="S2289">
        <f t="shared" si="176"/>
        <v>2.125</v>
      </c>
      <c r="T2289" t="str">
        <f t="shared" si="177"/>
        <v>Low</v>
      </c>
      <c r="U2289" t="str" cm="1">
        <f t="array" ref="U2289">_xlfn.LET(_xlpm.roles,_xlfn.UNIQUE(D2289:D5087),_xlpm.kills, SUMIF(D2289:D5087,_xlpm.roles,G2289:G5087),INDEX(_xlpm.roles,MATCH(MAX(_xlpm.kills),_xlpm.kills,0)))</f>
        <v>IGL</v>
      </c>
      <c r="V2289" t="str">
        <f t="shared" si="178"/>
        <v>Medium Accuracy</v>
      </c>
      <c r="W2289" t="str" cm="1">
        <f t="array" ref="W2289">_xlfn.LET(_xlpm.roles,_xlfn.UNIQUE(D2289:D5087), _xlpm.counts,COUNTIF(D2289:D5087,_xlpm.roles), INDEX(_xlpm.roles,MATCH(MAX(_xlpm.counts),_xlpm.counts,0)))</f>
        <v>IGL</v>
      </c>
      <c r="X2289" s="2">
        <f t="shared" si="179"/>
        <v>12.520971302428256</v>
      </c>
    </row>
    <row r="2290" spans="1:24" x14ac:dyDescent="0.3">
      <c r="A2290">
        <v>1070</v>
      </c>
      <c r="B2290">
        <v>409</v>
      </c>
      <c r="C2290" t="s">
        <v>30</v>
      </c>
      <c r="D2290" t="s">
        <v>22</v>
      </c>
      <c r="E2290" t="s">
        <v>29</v>
      </c>
      <c r="F2290" t="s">
        <v>19</v>
      </c>
      <c r="G2290">
        <v>21</v>
      </c>
      <c r="H2290">
        <v>11</v>
      </c>
      <c r="I2290">
        <v>6</v>
      </c>
      <c r="J2290">
        <v>41.39</v>
      </c>
      <c r="K2290">
        <v>254.65</v>
      </c>
      <c r="L2290">
        <v>0.08</v>
      </c>
      <c r="M2290">
        <v>66.89</v>
      </c>
      <c r="N2290">
        <v>1</v>
      </c>
      <c r="O2290" t="s">
        <v>20</v>
      </c>
      <c r="P2290" t="s">
        <v>38</v>
      </c>
      <c r="Q2290">
        <f t="shared" si="175"/>
        <v>26</v>
      </c>
      <c r="R2290" s="4">
        <f>RANK(N2290,$N$2:N$2800,0)</f>
        <v>1</v>
      </c>
      <c r="S2290">
        <f t="shared" si="176"/>
        <v>3.5</v>
      </c>
      <c r="T2290" t="str">
        <f t="shared" si="177"/>
        <v>Excellent</v>
      </c>
      <c r="U2290" t="str" cm="1">
        <f t="array" ref="U2290">_xlfn.LET(_xlpm.roles,_xlfn.UNIQUE(D2290:D5088),_xlpm.kills, SUMIF(D2290:D5088,_xlpm.roles,G2290:G5088),INDEX(_xlpm.roles,MATCH(MAX(_xlpm.kills),_xlpm.kills,0)))</f>
        <v>IGL</v>
      </c>
      <c r="V2290" t="str">
        <f t="shared" si="178"/>
        <v>Medium Accuracy</v>
      </c>
      <c r="W2290" t="str" cm="1">
        <f t="array" ref="W2290">_xlfn.LET(_xlpm.roles,_xlfn.UNIQUE(D2290:D5088), _xlpm.counts,COUNTIF(D2290:D5088,_xlpm.roles), INDEX(_xlpm.roles,MATCH(MAX(_xlpm.counts),_xlpm.counts,0)))</f>
        <v>IGL</v>
      </c>
      <c r="X2290" s="2">
        <f t="shared" si="179"/>
        <v>13.135802469135802</v>
      </c>
    </row>
    <row r="2291" spans="1:24" x14ac:dyDescent="0.3">
      <c r="A2291">
        <v>1995</v>
      </c>
      <c r="B2291">
        <v>409</v>
      </c>
      <c r="C2291" t="s">
        <v>30</v>
      </c>
      <c r="D2291" t="s">
        <v>22</v>
      </c>
      <c r="E2291" t="s">
        <v>32</v>
      </c>
      <c r="F2291" t="s">
        <v>26</v>
      </c>
      <c r="G2291">
        <v>9</v>
      </c>
      <c r="H2291">
        <v>4</v>
      </c>
      <c r="I2291">
        <v>17</v>
      </c>
      <c r="J2291">
        <v>51.46</v>
      </c>
      <c r="K2291">
        <v>287.67</v>
      </c>
      <c r="L2291">
        <v>7.0000000000000007E-2</v>
      </c>
      <c r="M2291">
        <v>30.03</v>
      </c>
      <c r="N2291">
        <v>0.64</v>
      </c>
      <c r="O2291" t="s">
        <v>20</v>
      </c>
      <c r="P2291" t="s">
        <v>21</v>
      </c>
      <c r="Q2291">
        <f t="shared" si="175"/>
        <v>-4</v>
      </c>
      <c r="R2291" s="4">
        <f>RANK(N2291,$N$2:N$2800,0)</f>
        <v>2767</v>
      </c>
      <c r="S2291">
        <f t="shared" si="176"/>
        <v>0.52941176470588236</v>
      </c>
      <c r="T2291" t="str">
        <f t="shared" si="177"/>
        <v>Low</v>
      </c>
      <c r="U2291" t="str" cm="1">
        <f t="array" ref="U2291">_xlfn.LET(_xlpm.roles,_xlfn.UNIQUE(D2291:D5089),_xlpm.kills, SUMIF(D2291:D5089,_xlpm.roles,G2291:G5089),INDEX(_xlpm.roles,MATCH(MAX(_xlpm.kills),_xlpm.kills,0)))</f>
        <v>IGL</v>
      </c>
      <c r="V2291" t="str">
        <f t="shared" si="178"/>
        <v>High Accuracy</v>
      </c>
      <c r="W2291" t="str" cm="1">
        <f t="array" ref="W2291">_xlfn.LET(_xlpm.roles,_xlfn.UNIQUE(D2291:D5089), _xlpm.counts,COUNTIF(D2291:D5089,_xlpm.roles), INDEX(_xlpm.roles,MATCH(MAX(_xlpm.counts),_xlpm.counts,0)))</f>
        <v>IGL</v>
      </c>
      <c r="X2291" s="2">
        <f t="shared" si="179"/>
        <v>13.135802469135802</v>
      </c>
    </row>
    <row r="2292" spans="1:24" x14ac:dyDescent="0.3">
      <c r="A2292">
        <v>2080</v>
      </c>
      <c r="B2292">
        <v>409</v>
      </c>
      <c r="C2292" t="s">
        <v>25</v>
      </c>
      <c r="D2292" t="s">
        <v>28</v>
      </c>
      <c r="E2292" t="s">
        <v>18</v>
      </c>
      <c r="F2292" t="s">
        <v>34</v>
      </c>
      <c r="G2292">
        <v>9</v>
      </c>
      <c r="H2292">
        <v>5</v>
      </c>
      <c r="I2292">
        <v>9</v>
      </c>
      <c r="J2292">
        <v>50.19</v>
      </c>
      <c r="K2292">
        <v>236.77</v>
      </c>
      <c r="L2292">
        <v>0.91</v>
      </c>
      <c r="M2292">
        <v>29.99</v>
      </c>
      <c r="N2292">
        <v>0.89</v>
      </c>
      <c r="O2292" t="s">
        <v>20</v>
      </c>
      <c r="P2292" t="s">
        <v>21</v>
      </c>
      <c r="Q2292">
        <f t="shared" si="175"/>
        <v>5</v>
      </c>
      <c r="R2292" s="4">
        <f>RANK(N2292,$N$2:N$2800,0)</f>
        <v>1815</v>
      </c>
      <c r="S2292">
        <f t="shared" si="176"/>
        <v>1</v>
      </c>
      <c r="T2292" t="str">
        <f t="shared" si="177"/>
        <v>Low</v>
      </c>
      <c r="U2292" t="str" cm="1">
        <f t="array" ref="U2292">_xlfn.LET(_xlpm.roles,_xlfn.UNIQUE(D2292:D5090),_xlpm.kills, SUMIF(D2292:D5090,_xlpm.roles,G2292:G5090),INDEX(_xlpm.roles,MATCH(MAX(_xlpm.kills),_xlpm.kills,0)))</f>
        <v>IGL</v>
      </c>
      <c r="V2292" t="str">
        <f t="shared" si="178"/>
        <v>High Accuracy</v>
      </c>
      <c r="W2292" t="str" cm="1">
        <f t="array" ref="W2292">_xlfn.LET(_xlpm.roles,_xlfn.UNIQUE(D2292:D5090), _xlpm.counts,COUNTIF(D2292:D5090,_xlpm.roles), INDEX(_xlpm.roles,MATCH(MAX(_xlpm.counts),_xlpm.counts,0)))</f>
        <v>IGL</v>
      </c>
      <c r="X2292" s="2">
        <f t="shared" si="179"/>
        <v>12.809421841541756</v>
      </c>
    </row>
    <row r="2293" spans="1:24" x14ac:dyDescent="0.3">
      <c r="A2293">
        <v>2704</v>
      </c>
      <c r="B2293">
        <v>409</v>
      </c>
      <c r="C2293" t="s">
        <v>35</v>
      </c>
      <c r="D2293" t="s">
        <v>22</v>
      </c>
      <c r="E2293" t="s">
        <v>32</v>
      </c>
      <c r="F2293" t="s">
        <v>37</v>
      </c>
      <c r="G2293">
        <v>15</v>
      </c>
      <c r="H2293">
        <v>14</v>
      </c>
      <c r="I2293">
        <v>13</v>
      </c>
      <c r="J2293">
        <v>48.7</v>
      </c>
      <c r="K2293">
        <v>231.07</v>
      </c>
      <c r="L2293">
        <v>0.35</v>
      </c>
      <c r="M2293">
        <v>51.85</v>
      </c>
      <c r="N2293">
        <v>0.99</v>
      </c>
      <c r="O2293" t="s">
        <v>20</v>
      </c>
      <c r="P2293" t="s">
        <v>21</v>
      </c>
      <c r="Q2293">
        <f t="shared" si="175"/>
        <v>16</v>
      </c>
      <c r="R2293" s="4">
        <f>RANK(N2293,$N$2:N$2800,0)</f>
        <v>1080</v>
      </c>
      <c r="S2293">
        <f t="shared" si="176"/>
        <v>1.1538461538461537</v>
      </c>
      <c r="T2293" t="str">
        <f t="shared" si="177"/>
        <v>Good</v>
      </c>
      <c r="U2293" t="str" cm="1">
        <f t="array" ref="U2293">_xlfn.LET(_xlpm.roles,_xlfn.UNIQUE(D2293:D5091),_xlpm.kills, SUMIF(D2293:D5091,_xlpm.roles,G2293:G5091),INDEX(_xlpm.roles,MATCH(MAX(_xlpm.kills),_xlpm.kills,0)))</f>
        <v>IGL</v>
      </c>
      <c r="V2293" t="str">
        <f t="shared" si="178"/>
        <v>Medium Accuracy</v>
      </c>
      <c r="W2293" t="str" cm="1">
        <f t="array" ref="W2293">_xlfn.LET(_xlpm.roles,_xlfn.UNIQUE(D2293:D5091), _xlpm.counts,COUNTIF(D2293:D5091,_xlpm.roles), INDEX(_xlpm.roles,MATCH(MAX(_xlpm.counts),_xlpm.counts,0)))</f>
        <v>IGL</v>
      </c>
      <c r="X2293" s="2">
        <f t="shared" si="179"/>
        <v>12.599585062240664</v>
      </c>
    </row>
    <row r="2294" spans="1:24" x14ac:dyDescent="0.3">
      <c r="A2294">
        <v>52</v>
      </c>
      <c r="B2294">
        <v>410</v>
      </c>
      <c r="C2294" t="s">
        <v>30</v>
      </c>
      <c r="D2294" t="s">
        <v>17</v>
      </c>
      <c r="E2294" t="s">
        <v>29</v>
      </c>
      <c r="F2294" t="s">
        <v>24</v>
      </c>
      <c r="G2294">
        <v>12</v>
      </c>
      <c r="H2294">
        <v>7</v>
      </c>
      <c r="I2294">
        <v>11</v>
      </c>
      <c r="J2294">
        <v>37.93</v>
      </c>
      <c r="K2294">
        <v>209.43</v>
      </c>
      <c r="L2294">
        <v>0.08</v>
      </c>
      <c r="M2294">
        <v>38.17</v>
      </c>
      <c r="N2294">
        <v>0.91</v>
      </c>
      <c r="O2294" t="s">
        <v>20</v>
      </c>
      <c r="P2294" t="s">
        <v>21</v>
      </c>
      <c r="Q2294">
        <f t="shared" si="175"/>
        <v>8</v>
      </c>
      <c r="R2294" s="4">
        <f>RANK(N2294,$N$2:N$2800,0)</f>
        <v>1665</v>
      </c>
      <c r="S2294">
        <f t="shared" si="176"/>
        <v>1.0909090909090908</v>
      </c>
      <c r="T2294" t="str">
        <f t="shared" si="177"/>
        <v>Low</v>
      </c>
      <c r="U2294" t="str" cm="1">
        <f t="array" ref="U2294">_xlfn.LET(_xlpm.roles,_xlfn.UNIQUE(D2294:D5092),_xlpm.kills, SUMIF(D2294:D5092,_xlpm.roles,G2294:G5092),INDEX(_xlpm.roles,MATCH(MAX(_xlpm.kills),_xlpm.kills,0)))</f>
        <v>IGL</v>
      </c>
      <c r="V2294" t="str">
        <f t="shared" si="178"/>
        <v>Medium Accuracy</v>
      </c>
      <c r="W2294" t="str" cm="1">
        <f t="array" ref="W2294">_xlfn.LET(_xlpm.roles,_xlfn.UNIQUE(D2294:D5092), _xlpm.counts,COUNTIF(D2294:D5092,_xlpm.roles), INDEX(_xlpm.roles,MATCH(MAX(_xlpm.counts),_xlpm.counts,0)))</f>
        <v>IGL</v>
      </c>
      <c r="X2294" s="2">
        <f t="shared" si="179"/>
        <v>13.135802469135802</v>
      </c>
    </row>
    <row r="2295" spans="1:24" x14ac:dyDescent="0.3">
      <c r="A2295">
        <v>1196</v>
      </c>
      <c r="B2295">
        <v>410</v>
      </c>
      <c r="C2295" t="s">
        <v>39</v>
      </c>
      <c r="D2295" t="s">
        <v>22</v>
      </c>
      <c r="E2295" t="s">
        <v>32</v>
      </c>
      <c r="F2295" t="s">
        <v>34</v>
      </c>
      <c r="G2295">
        <v>9</v>
      </c>
      <c r="H2295">
        <v>15</v>
      </c>
      <c r="I2295">
        <v>11</v>
      </c>
      <c r="J2295">
        <v>51.58</v>
      </c>
      <c r="K2295">
        <v>213.7</v>
      </c>
      <c r="L2295">
        <v>0.01</v>
      </c>
      <c r="M2295">
        <v>47.69</v>
      </c>
      <c r="N2295">
        <v>0.98</v>
      </c>
      <c r="O2295" t="s">
        <v>20</v>
      </c>
      <c r="P2295" t="s">
        <v>21</v>
      </c>
      <c r="Q2295">
        <f t="shared" si="175"/>
        <v>13</v>
      </c>
      <c r="R2295" s="4">
        <f>RANK(N2295,$N$2:N$2800,0)</f>
        <v>1157</v>
      </c>
      <c r="S2295">
        <f t="shared" si="176"/>
        <v>0.81818181818181823</v>
      </c>
      <c r="T2295" t="str">
        <f t="shared" si="177"/>
        <v>Low</v>
      </c>
      <c r="U2295" t="str" cm="1">
        <f t="array" ref="U2295">_xlfn.LET(_xlpm.roles,_xlfn.UNIQUE(D2295:D5093),_xlpm.kills, SUMIF(D2295:D5093,_xlpm.roles,G2295:G5093),INDEX(_xlpm.roles,MATCH(MAX(_xlpm.kills),_xlpm.kills,0)))</f>
        <v>IGL</v>
      </c>
      <c r="V2295" t="str">
        <f t="shared" si="178"/>
        <v>High Accuracy</v>
      </c>
      <c r="W2295" t="str" cm="1">
        <f t="array" ref="W2295">_xlfn.LET(_xlpm.roles,_xlfn.UNIQUE(D2295:D5093), _xlpm.counts,COUNTIF(D2295:D5093,_xlpm.roles), INDEX(_xlpm.roles,MATCH(MAX(_xlpm.counts),_xlpm.counts,0)))</f>
        <v>IGL</v>
      </c>
      <c r="X2295" s="2">
        <f t="shared" si="179"/>
        <v>13.103594080338267</v>
      </c>
    </row>
    <row r="2296" spans="1:24" x14ac:dyDescent="0.3">
      <c r="A2296">
        <v>1948</v>
      </c>
      <c r="B2296">
        <v>410</v>
      </c>
      <c r="C2296" t="s">
        <v>25</v>
      </c>
      <c r="D2296" t="s">
        <v>22</v>
      </c>
      <c r="E2296" t="s">
        <v>29</v>
      </c>
      <c r="F2296" t="s">
        <v>26</v>
      </c>
      <c r="G2296">
        <v>9</v>
      </c>
      <c r="H2296">
        <v>12</v>
      </c>
      <c r="I2296">
        <v>12</v>
      </c>
      <c r="J2296">
        <v>47.13</v>
      </c>
      <c r="K2296">
        <v>232.2</v>
      </c>
      <c r="L2296">
        <v>0.53</v>
      </c>
      <c r="M2296">
        <v>36.270000000000003</v>
      </c>
      <c r="N2296">
        <v>0.83</v>
      </c>
      <c r="O2296" t="s">
        <v>20</v>
      </c>
      <c r="P2296" t="s">
        <v>21</v>
      </c>
      <c r="Q2296">
        <f t="shared" si="175"/>
        <v>9</v>
      </c>
      <c r="R2296" s="4">
        <f>RANK(N2296,$N$2:N$2800,0)</f>
        <v>2218</v>
      </c>
      <c r="S2296">
        <f t="shared" si="176"/>
        <v>0.75</v>
      </c>
      <c r="T2296" t="str">
        <f t="shared" si="177"/>
        <v>Low</v>
      </c>
      <c r="U2296" t="str" cm="1">
        <f t="array" ref="U2296">_xlfn.LET(_xlpm.roles,_xlfn.UNIQUE(D2296:D5094),_xlpm.kills, SUMIF(D2296:D5094,_xlpm.roles,G2296:G5094),INDEX(_xlpm.roles,MATCH(MAX(_xlpm.kills),_xlpm.kills,0)))</f>
        <v>IGL</v>
      </c>
      <c r="V2296" t="str">
        <f t="shared" si="178"/>
        <v>Medium Accuracy</v>
      </c>
      <c r="W2296" t="str" cm="1">
        <f t="array" ref="W2296">_xlfn.LET(_xlpm.roles,_xlfn.UNIQUE(D2296:D5094), _xlpm.counts,COUNTIF(D2296:D5094,_xlpm.roles), INDEX(_xlpm.roles,MATCH(MAX(_xlpm.counts),_xlpm.counts,0)))</f>
        <v>IGL</v>
      </c>
      <c r="X2296" s="2">
        <f t="shared" si="179"/>
        <v>12.809421841541756</v>
      </c>
    </row>
    <row r="2297" spans="1:24" x14ac:dyDescent="0.3">
      <c r="A2297">
        <v>1976</v>
      </c>
      <c r="B2297">
        <v>410</v>
      </c>
      <c r="C2297" t="s">
        <v>39</v>
      </c>
      <c r="D2297" t="s">
        <v>22</v>
      </c>
      <c r="E2297" t="s">
        <v>18</v>
      </c>
      <c r="F2297" t="s">
        <v>26</v>
      </c>
      <c r="G2297">
        <v>16</v>
      </c>
      <c r="H2297">
        <v>6</v>
      </c>
      <c r="I2297">
        <v>12</v>
      </c>
      <c r="J2297">
        <v>44.24</v>
      </c>
      <c r="K2297">
        <v>252.17</v>
      </c>
      <c r="L2297">
        <v>0.76</v>
      </c>
      <c r="M2297">
        <v>40.520000000000003</v>
      </c>
      <c r="N2297">
        <v>1</v>
      </c>
      <c r="O2297" t="s">
        <v>20</v>
      </c>
      <c r="P2297" t="s">
        <v>21</v>
      </c>
      <c r="Q2297">
        <f t="shared" si="175"/>
        <v>10</v>
      </c>
      <c r="R2297" s="4">
        <f>RANK(N2297,$N$2:N$2800,0)</f>
        <v>1</v>
      </c>
      <c r="S2297">
        <f t="shared" si="176"/>
        <v>1.3333333333333333</v>
      </c>
      <c r="T2297" t="str">
        <f t="shared" si="177"/>
        <v>Low</v>
      </c>
      <c r="U2297" t="str" cm="1">
        <f t="array" ref="U2297">_xlfn.LET(_xlpm.roles,_xlfn.UNIQUE(D2297:D5095),_xlpm.kills, SUMIF(D2297:D5095,_xlpm.roles,G2297:G5095),INDEX(_xlpm.roles,MATCH(MAX(_xlpm.kills),_xlpm.kills,0)))</f>
        <v>IGL</v>
      </c>
      <c r="V2297" t="str">
        <f t="shared" si="178"/>
        <v>Medium Accuracy</v>
      </c>
      <c r="W2297" t="str" cm="1">
        <f t="array" ref="W2297">_xlfn.LET(_xlpm.roles,_xlfn.UNIQUE(D2297:D5095), _xlpm.counts,COUNTIF(D2297:D5095,_xlpm.roles), INDEX(_xlpm.roles,MATCH(MAX(_xlpm.counts),_xlpm.counts,0)))</f>
        <v>IGL</v>
      </c>
      <c r="X2297" s="2">
        <f t="shared" si="179"/>
        <v>13.103594080338267</v>
      </c>
    </row>
    <row r="2298" spans="1:24" x14ac:dyDescent="0.3">
      <c r="A2298">
        <v>2042</v>
      </c>
      <c r="B2298">
        <v>410</v>
      </c>
      <c r="C2298" t="s">
        <v>27</v>
      </c>
      <c r="D2298" t="s">
        <v>17</v>
      </c>
      <c r="E2298" t="s">
        <v>33</v>
      </c>
      <c r="F2298" t="s">
        <v>24</v>
      </c>
      <c r="G2298">
        <v>10</v>
      </c>
      <c r="H2298">
        <v>10</v>
      </c>
      <c r="I2298">
        <v>13</v>
      </c>
      <c r="J2298">
        <v>30.41</v>
      </c>
      <c r="K2298">
        <v>226.08</v>
      </c>
      <c r="L2298">
        <v>0.52</v>
      </c>
      <c r="M2298">
        <v>27</v>
      </c>
      <c r="N2298">
        <v>0.85</v>
      </c>
      <c r="O2298" t="s">
        <v>20</v>
      </c>
      <c r="P2298" t="s">
        <v>21</v>
      </c>
      <c r="Q2298">
        <f t="shared" si="175"/>
        <v>7</v>
      </c>
      <c r="R2298" s="4">
        <f>RANK(N2298,$N$2:N$2800,0)</f>
        <v>2105</v>
      </c>
      <c r="S2298">
        <f t="shared" si="176"/>
        <v>0.76923076923076927</v>
      </c>
      <c r="T2298" t="str">
        <f t="shared" si="177"/>
        <v>Low</v>
      </c>
      <c r="U2298" t="str" cm="1">
        <f t="array" ref="U2298">_xlfn.LET(_xlpm.roles,_xlfn.UNIQUE(D2298:D5096),_xlpm.kills, SUMIF(D2298:D5096,_xlpm.roles,G2298:G5096),INDEX(_xlpm.roles,MATCH(MAX(_xlpm.kills),_xlpm.kills,0)))</f>
        <v>IGL</v>
      </c>
      <c r="V2298" t="str">
        <f t="shared" si="178"/>
        <v>Medium Accuracy</v>
      </c>
      <c r="W2298" t="str" cm="1">
        <f t="array" ref="W2298">_xlfn.LET(_xlpm.roles,_xlfn.UNIQUE(D2298:D5096), _xlpm.counts,COUNTIF(D2298:D5096,_xlpm.roles), INDEX(_xlpm.roles,MATCH(MAX(_xlpm.counts),_xlpm.counts,0)))</f>
        <v>IGL</v>
      </c>
      <c r="X2298" s="2">
        <f t="shared" si="179"/>
        <v>13.057077625570777</v>
      </c>
    </row>
    <row r="2299" spans="1:24" x14ac:dyDescent="0.3">
      <c r="A2299">
        <v>2389</v>
      </c>
      <c r="B2299">
        <v>410</v>
      </c>
      <c r="C2299" t="s">
        <v>30</v>
      </c>
      <c r="D2299" t="s">
        <v>36</v>
      </c>
      <c r="E2299" t="s">
        <v>32</v>
      </c>
      <c r="F2299" t="s">
        <v>37</v>
      </c>
      <c r="G2299">
        <v>14</v>
      </c>
      <c r="H2299">
        <v>8</v>
      </c>
      <c r="I2299">
        <v>19</v>
      </c>
      <c r="J2299">
        <v>48.61</v>
      </c>
      <c r="K2299">
        <v>190.76</v>
      </c>
      <c r="L2299">
        <v>0.02</v>
      </c>
      <c r="M2299">
        <v>41.1</v>
      </c>
      <c r="N2299">
        <v>1</v>
      </c>
      <c r="O2299" t="s">
        <v>20</v>
      </c>
      <c r="P2299" t="s">
        <v>21</v>
      </c>
      <c r="Q2299">
        <f t="shared" si="175"/>
        <v>3</v>
      </c>
      <c r="R2299" s="4">
        <f>RANK(N2299,$N$2:N$2800,0)</f>
        <v>1</v>
      </c>
      <c r="S2299">
        <f t="shared" si="176"/>
        <v>0.73684210526315785</v>
      </c>
      <c r="T2299" t="str">
        <f t="shared" si="177"/>
        <v>Low</v>
      </c>
      <c r="U2299" t="str" cm="1">
        <f t="array" ref="U2299">_xlfn.LET(_xlpm.roles,_xlfn.UNIQUE(D2299:D5097),_xlpm.kills, SUMIF(D2299:D5097,_xlpm.roles,G2299:G5097),INDEX(_xlpm.roles,MATCH(MAX(_xlpm.kills),_xlpm.kills,0)))</f>
        <v>IGL</v>
      </c>
      <c r="V2299" t="str">
        <f t="shared" si="178"/>
        <v>Medium Accuracy</v>
      </c>
      <c r="W2299" t="str" cm="1">
        <f t="array" ref="W2299">_xlfn.LET(_xlpm.roles,_xlfn.UNIQUE(D2299:D5097), _xlpm.counts,COUNTIF(D2299:D5097,_xlpm.roles), INDEX(_xlpm.roles,MATCH(MAX(_xlpm.counts),_xlpm.counts,0)))</f>
        <v>IGL</v>
      </c>
      <c r="X2299" s="2">
        <f t="shared" si="179"/>
        <v>13.135802469135802</v>
      </c>
    </row>
    <row r="2300" spans="1:24" x14ac:dyDescent="0.3">
      <c r="A2300">
        <v>2681</v>
      </c>
      <c r="B2300">
        <v>410</v>
      </c>
      <c r="C2300" t="s">
        <v>35</v>
      </c>
      <c r="D2300" t="s">
        <v>36</v>
      </c>
      <c r="E2300" t="s">
        <v>32</v>
      </c>
      <c r="F2300" t="s">
        <v>24</v>
      </c>
      <c r="G2300">
        <v>16</v>
      </c>
      <c r="H2300">
        <v>5</v>
      </c>
      <c r="I2300">
        <v>14</v>
      </c>
      <c r="J2300">
        <v>60.29</v>
      </c>
      <c r="K2300">
        <v>236.01</v>
      </c>
      <c r="L2300">
        <v>0.21</v>
      </c>
      <c r="M2300">
        <v>51.04</v>
      </c>
      <c r="N2300">
        <v>1</v>
      </c>
      <c r="O2300" t="s">
        <v>20</v>
      </c>
      <c r="P2300" t="s">
        <v>21</v>
      </c>
      <c r="Q2300">
        <f t="shared" si="175"/>
        <v>7</v>
      </c>
      <c r="R2300" s="4">
        <f>RANK(N2300,$N$2:N$2800,0)</f>
        <v>1</v>
      </c>
      <c r="S2300">
        <f t="shared" si="176"/>
        <v>1.1428571428571428</v>
      </c>
      <c r="T2300" t="str">
        <f t="shared" si="177"/>
        <v>Low</v>
      </c>
      <c r="U2300" t="str" cm="1">
        <f t="array" ref="U2300">_xlfn.LET(_xlpm.roles,_xlfn.UNIQUE(D2300:D5098),_xlpm.kills, SUMIF(D2300:D5098,_xlpm.roles,G2300:G5098),INDEX(_xlpm.roles,MATCH(MAX(_xlpm.kills),_xlpm.kills,0)))</f>
        <v>IGL</v>
      </c>
      <c r="V2300" t="str">
        <f t="shared" si="178"/>
        <v>High Accuracy</v>
      </c>
      <c r="W2300" t="str" cm="1">
        <f t="array" ref="W2300">_xlfn.LET(_xlpm.roles,_xlfn.UNIQUE(D2300:D5098), _xlpm.counts,COUNTIF(D2300:D5098,_xlpm.roles), INDEX(_xlpm.roles,MATCH(MAX(_xlpm.counts),_xlpm.counts,0)))</f>
        <v>IGL</v>
      </c>
      <c r="X2300" s="2">
        <f t="shared" si="179"/>
        <v>12.599585062240664</v>
      </c>
    </row>
    <row r="2301" spans="1:24" x14ac:dyDescent="0.3">
      <c r="A2301">
        <v>347</v>
      </c>
      <c r="B2301">
        <v>411</v>
      </c>
      <c r="C2301" t="s">
        <v>27</v>
      </c>
      <c r="D2301" t="s">
        <v>28</v>
      </c>
      <c r="E2301" t="s">
        <v>23</v>
      </c>
      <c r="F2301" t="s">
        <v>37</v>
      </c>
      <c r="G2301">
        <v>14</v>
      </c>
      <c r="H2301">
        <v>8</v>
      </c>
      <c r="I2301">
        <v>7</v>
      </c>
      <c r="J2301">
        <v>42.81</v>
      </c>
      <c r="K2301">
        <v>219.57</v>
      </c>
      <c r="L2301">
        <v>0.08</v>
      </c>
      <c r="M2301">
        <v>49.61</v>
      </c>
      <c r="N2301">
        <v>1</v>
      </c>
      <c r="O2301" t="s">
        <v>20</v>
      </c>
      <c r="P2301" t="s">
        <v>21</v>
      </c>
      <c r="Q2301">
        <f t="shared" si="175"/>
        <v>15</v>
      </c>
      <c r="R2301" s="4">
        <f>RANK(N2301,$N$2:N$2800,0)</f>
        <v>1</v>
      </c>
      <c r="S2301">
        <f t="shared" si="176"/>
        <v>2</v>
      </c>
      <c r="T2301" t="str">
        <f t="shared" si="177"/>
        <v>Good</v>
      </c>
      <c r="U2301" t="str" cm="1">
        <f t="array" ref="U2301">_xlfn.LET(_xlpm.roles,_xlfn.UNIQUE(D2301:D5099),_xlpm.kills, SUMIF(D2301:D5099,_xlpm.roles,G2301:G5099),INDEX(_xlpm.roles,MATCH(MAX(_xlpm.kills),_xlpm.kills,0)))</f>
        <v>IGL</v>
      </c>
      <c r="V2301" t="str">
        <f t="shared" si="178"/>
        <v>Medium Accuracy</v>
      </c>
      <c r="W2301" t="str" cm="1">
        <f t="array" ref="W2301">_xlfn.LET(_xlpm.roles,_xlfn.UNIQUE(D2301:D5099), _xlpm.counts,COUNTIF(D2301:D5099,_xlpm.roles), INDEX(_xlpm.roles,MATCH(MAX(_xlpm.counts),_xlpm.counts,0)))</f>
        <v>IGL</v>
      </c>
      <c r="X2301" s="2">
        <f t="shared" si="179"/>
        <v>13.057077625570777</v>
      </c>
    </row>
    <row r="2302" spans="1:24" x14ac:dyDescent="0.3">
      <c r="A2302">
        <v>693</v>
      </c>
      <c r="B2302">
        <v>411</v>
      </c>
      <c r="C2302" t="s">
        <v>25</v>
      </c>
      <c r="D2302" t="s">
        <v>36</v>
      </c>
      <c r="E2302" t="s">
        <v>32</v>
      </c>
      <c r="F2302" t="s">
        <v>26</v>
      </c>
      <c r="G2302">
        <v>12</v>
      </c>
      <c r="H2302">
        <v>17</v>
      </c>
      <c r="I2302">
        <v>6</v>
      </c>
      <c r="J2302">
        <v>36.99</v>
      </c>
      <c r="K2302">
        <v>242.22</v>
      </c>
      <c r="L2302">
        <v>0</v>
      </c>
      <c r="M2302">
        <v>53.5</v>
      </c>
      <c r="N2302">
        <v>1</v>
      </c>
      <c r="O2302" t="s">
        <v>20</v>
      </c>
      <c r="P2302" t="s">
        <v>21</v>
      </c>
      <c r="Q2302">
        <f t="shared" si="175"/>
        <v>23</v>
      </c>
      <c r="R2302" s="4">
        <f>RANK(N2302,$N$2:N$2800,0)</f>
        <v>1</v>
      </c>
      <c r="S2302">
        <f t="shared" si="176"/>
        <v>2</v>
      </c>
      <c r="T2302" t="str">
        <f t="shared" si="177"/>
        <v>Good</v>
      </c>
      <c r="U2302" t="str" cm="1">
        <f t="array" ref="U2302">_xlfn.LET(_xlpm.roles,_xlfn.UNIQUE(D2302:D5100),_xlpm.kills, SUMIF(D2302:D5100,_xlpm.roles,G2302:G5100),INDEX(_xlpm.roles,MATCH(MAX(_xlpm.kills),_xlpm.kills,0)))</f>
        <v>IGL</v>
      </c>
      <c r="V2302" t="str">
        <f t="shared" si="178"/>
        <v>Medium Accuracy</v>
      </c>
      <c r="W2302" t="str" cm="1">
        <f t="array" ref="W2302">_xlfn.LET(_xlpm.roles,_xlfn.UNIQUE(D2302:D5100), _xlpm.counts,COUNTIF(D2302:D5100,_xlpm.roles), INDEX(_xlpm.roles,MATCH(MAX(_xlpm.counts),_xlpm.counts,0)))</f>
        <v>IGL</v>
      </c>
      <c r="X2302" s="2">
        <f t="shared" si="179"/>
        <v>12.809421841541756</v>
      </c>
    </row>
    <row r="2303" spans="1:24" x14ac:dyDescent="0.3">
      <c r="A2303">
        <v>2002</v>
      </c>
      <c r="B2303">
        <v>411</v>
      </c>
      <c r="C2303" t="s">
        <v>27</v>
      </c>
      <c r="D2303" t="s">
        <v>22</v>
      </c>
      <c r="E2303" t="s">
        <v>18</v>
      </c>
      <c r="F2303" t="s">
        <v>26</v>
      </c>
      <c r="G2303">
        <v>13</v>
      </c>
      <c r="H2303">
        <v>5</v>
      </c>
      <c r="I2303">
        <v>11</v>
      </c>
      <c r="J2303">
        <v>52.96</v>
      </c>
      <c r="K2303">
        <v>151.54</v>
      </c>
      <c r="L2303">
        <v>0.17</v>
      </c>
      <c r="M2303">
        <v>44.78</v>
      </c>
      <c r="N2303">
        <v>0.88</v>
      </c>
      <c r="O2303" t="s">
        <v>20</v>
      </c>
      <c r="P2303" t="s">
        <v>21</v>
      </c>
      <c r="Q2303">
        <f t="shared" si="175"/>
        <v>7</v>
      </c>
      <c r="R2303" s="4">
        <f>RANK(N2303,$N$2:N$2800,0)</f>
        <v>1894</v>
      </c>
      <c r="S2303">
        <f t="shared" si="176"/>
        <v>1.1818181818181819</v>
      </c>
      <c r="T2303" t="str">
        <f t="shared" si="177"/>
        <v>Low</v>
      </c>
      <c r="U2303" t="str" cm="1">
        <f t="array" ref="U2303">_xlfn.LET(_xlpm.roles,_xlfn.UNIQUE(D2303:D5101),_xlpm.kills, SUMIF(D2303:D5101,_xlpm.roles,G2303:G5101),INDEX(_xlpm.roles,MATCH(MAX(_xlpm.kills),_xlpm.kills,0)))</f>
        <v>IGL</v>
      </c>
      <c r="V2303" t="str">
        <f t="shared" si="178"/>
        <v>High Accuracy</v>
      </c>
      <c r="W2303" t="str" cm="1">
        <f t="array" ref="W2303">_xlfn.LET(_xlpm.roles,_xlfn.UNIQUE(D2303:D5101), _xlpm.counts,COUNTIF(D2303:D5101,_xlpm.roles), INDEX(_xlpm.roles,MATCH(MAX(_xlpm.counts),_xlpm.counts,0)))</f>
        <v>IGL</v>
      </c>
      <c r="X2303" s="2">
        <f t="shared" si="179"/>
        <v>13.057077625570777</v>
      </c>
    </row>
    <row r="2304" spans="1:24" x14ac:dyDescent="0.3">
      <c r="A2304">
        <v>2163</v>
      </c>
      <c r="B2304">
        <v>411</v>
      </c>
      <c r="C2304" t="s">
        <v>27</v>
      </c>
      <c r="D2304" t="s">
        <v>22</v>
      </c>
      <c r="E2304" t="s">
        <v>23</v>
      </c>
      <c r="F2304" t="s">
        <v>19</v>
      </c>
      <c r="G2304">
        <v>9</v>
      </c>
      <c r="H2304">
        <v>9</v>
      </c>
      <c r="I2304">
        <v>11</v>
      </c>
      <c r="J2304">
        <v>48.37</v>
      </c>
      <c r="K2304">
        <v>205.05</v>
      </c>
      <c r="L2304">
        <v>0.27</v>
      </c>
      <c r="M2304">
        <v>37.479999999999997</v>
      </c>
      <c r="N2304">
        <v>0.81</v>
      </c>
      <c r="O2304" t="s">
        <v>20</v>
      </c>
      <c r="P2304" t="s">
        <v>21</v>
      </c>
      <c r="Q2304">
        <f t="shared" si="175"/>
        <v>7</v>
      </c>
      <c r="R2304" s="4">
        <f>RANK(N2304,$N$2:N$2800,0)</f>
        <v>2341</v>
      </c>
      <c r="S2304">
        <f t="shared" si="176"/>
        <v>0.81818181818181823</v>
      </c>
      <c r="T2304" t="str">
        <f t="shared" si="177"/>
        <v>Low</v>
      </c>
      <c r="U2304" t="str" cm="1">
        <f t="array" ref="U2304">_xlfn.LET(_xlpm.roles,_xlfn.UNIQUE(D2304:D5102),_xlpm.kills, SUMIF(D2304:D5102,_xlpm.roles,G2304:G5102),INDEX(_xlpm.roles,MATCH(MAX(_xlpm.kills),_xlpm.kills,0)))</f>
        <v>IGL</v>
      </c>
      <c r="V2304" t="str">
        <f t="shared" si="178"/>
        <v>Medium Accuracy</v>
      </c>
      <c r="W2304" t="str" cm="1">
        <f t="array" ref="W2304">_xlfn.LET(_xlpm.roles,_xlfn.UNIQUE(D2304:D5102), _xlpm.counts,COUNTIF(D2304:D5102,_xlpm.roles), INDEX(_xlpm.roles,MATCH(MAX(_xlpm.counts),_xlpm.counts,0)))</f>
        <v>IGL</v>
      </c>
      <c r="X2304" s="2">
        <f t="shared" si="179"/>
        <v>13.057077625570777</v>
      </c>
    </row>
    <row r="2305" spans="1:24" x14ac:dyDescent="0.3">
      <c r="A2305">
        <v>2190</v>
      </c>
      <c r="B2305">
        <v>411</v>
      </c>
      <c r="C2305" t="s">
        <v>27</v>
      </c>
      <c r="D2305" t="s">
        <v>22</v>
      </c>
      <c r="E2305" t="s">
        <v>33</v>
      </c>
      <c r="F2305" t="s">
        <v>34</v>
      </c>
      <c r="G2305">
        <v>19</v>
      </c>
      <c r="H2305">
        <v>9</v>
      </c>
      <c r="I2305">
        <v>8</v>
      </c>
      <c r="J2305">
        <v>45.49</v>
      </c>
      <c r="K2305">
        <v>234.59</v>
      </c>
      <c r="L2305">
        <v>0.16</v>
      </c>
      <c r="M2305">
        <v>60.15</v>
      </c>
      <c r="N2305">
        <v>1</v>
      </c>
      <c r="O2305" t="s">
        <v>20</v>
      </c>
      <c r="P2305" t="s">
        <v>38</v>
      </c>
      <c r="Q2305">
        <f t="shared" si="175"/>
        <v>20</v>
      </c>
      <c r="R2305" s="4">
        <f>RANK(N2305,$N$2:N$2800,0)</f>
        <v>1</v>
      </c>
      <c r="S2305">
        <f t="shared" si="176"/>
        <v>2.375</v>
      </c>
      <c r="T2305" t="str">
        <f t="shared" si="177"/>
        <v>Good</v>
      </c>
      <c r="U2305" t="str" cm="1">
        <f t="array" ref="U2305">_xlfn.LET(_xlpm.roles,_xlfn.UNIQUE(D2305:D5103),_xlpm.kills, SUMIF(D2305:D5103,_xlpm.roles,G2305:G5103),INDEX(_xlpm.roles,MATCH(MAX(_xlpm.kills),_xlpm.kills,0)))</f>
        <v>IGL</v>
      </c>
      <c r="V2305" t="str">
        <f t="shared" si="178"/>
        <v>Medium Accuracy</v>
      </c>
      <c r="W2305" t="str" cm="1">
        <f t="array" ref="W2305">_xlfn.LET(_xlpm.roles,_xlfn.UNIQUE(D2305:D5103), _xlpm.counts,COUNTIF(D2305:D5103,_xlpm.roles), INDEX(_xlpm.roles,MATCH(MAX(_xlpm.counts),_xlpm.counts,0)))</f>
        <v>IGL</v>
      </c>
      <c r="X2305" s="2">
        <f t="shared" si="179"/>
        <v>13.057077625570777</v>
      </c>
    </row>
    <row r="2306" spans="1:24" x14ac:dyDescent="0.3">
      <c r="A2306">
        <v>2737</v>
      </c>
      <c r="B2306">
        <v>411</v>
      </c>
      <c r="C2306" t="s">
        <v>35</v>
      </c>
      <c r="D2306" t="s">
        <v>28</v>
      </c>
      <c r="E2306" t="s">
        <v>29</v>
      </c>
      <c r="F2306" t="s">
        <v>26</v>
      </c>
      <c r="G2306">
        <v>16</v>
      </c>
      <c r="H2306">
        <v>7</v>
      </c>
      <c r="I2306">
        <v>11</v>
      </c>
      <c r="J2306">
        <v>48.17</v>
      </c>
      <c r="K2306">
        <v>197.84</v>
      </c>
      <c r="L2306">
        <v>0.46</v>
      </c>
      <c r="M2306">
        <v>47.48</v>
      </c>
      <c r="N2306">
        <v>0.78</v>
      </c>
      <c r="O2306" t="s">
        <v>20</v>
      </c>
      <c r="P2306" t="s">
        <v>21</v>
      </c>
      <c r="Q2306">
        <f t="shared" si="175"/>
        <v>12</v>
      </c>
      <c r="R2306" s="4">
        <f>RANK(N2306,$N$2:N$2800,0)</f>
        <v>2469</v>
      </c>
      <c r="S2306">
        <f t="shared" si="176"/>
        <v>1.4545454545454546</v>
      </c>
      <c r="T2306" t="str">
        <f t="shared" si="177"/>
        <v>Low</v>
      </c>
      <c r="U2306" t="str" cm="1">
        <f t="array" ref="U2306">_xlfn.LET(_xlpm.roles,_xlfn.UNIQUE(D2306:D5104),_xlpm.kills, SUMIF(D2306:D5104,_xlpm.roles,G2306:G5104),INDEX(_xlpm.roles,MATCH(MAX(_xlpm.kills),_xlpm.kills,0)))</f>
        <v>IGL</v>
      </c>
      <c r="V2306" t="str">
        <f t="shared" si="178"/>
        <v>Medium Accuracy</v>
      </c>
      <c r="W2306" t="str" cm="1">
        <f t="array" ref="W2306">_xlfn.LET(_xlpm.roles,_xlfn.UNIQUE(D2306:D5104), _xlpm.counts,COUNTIF(D2306:D5104,_xlpm.roles), INDEX(_xlpm.roles,MATCH(MAX(_xlpm.counts),_xlpm.counts,0)))</f>
        <v>IGL</v>
      </c>
      <c r="X2306" s="2">
        <f t="shared" si="179"/>
        <v>12.599585062240664</v>
      </c>
    </row>
    <row r="2307" spans="1:24" x14ac:dyDescent="0.3">
      <c r="A2307">
        <v>146</v>
      </c>
      <c r="B2307">
        <v>412</v>
      </c>
      <c r="C2307" t="s">
        <v>27</v>
      </c>
      <c r="D2307" t="s">
        <v>31</v>
      </c>
      <c r="E2307" t="s">
        <v>33</v>
      </c>
      <c r="F2307" t="s">
        <v>26</v>
      </c>
      <c r="G2307">
        <v>8</v>
      </c>
      <c r="H2307">
        <v>6</v>
      </c>
      <c r="I2307">
        <v>13</v>
      </c>
      <c r="J2307">
        <v>44.67</v>
      </c>
      <c r="K2307">
        <v>267.42</v>
      </c>
      <c r="L2307">
        <v>0.26</v>
      </c>
      <c r="M2307">
        <v>28.73</v>
      </c>
      <c r="N2307">
        <v>0.69</v>
      </c>
      <c r="O2307" t="s">
        <v>20</v>
      </c>
      <c r="P2307" t="s">
        <v>21</v>
      </c>
      <c r="Q2307">
        <f t="shared" ref="Q2307:Q2370" si="180">G2307+H2307-I2307</f>
        <v>1</v>
      </c>
      <c r="R2307" s="4">
        <f>RANK(N2307,$N$2:N$2800,0)</f>
        <v>2713</v>
      </c>
      <c r="S2307">
        <f t="shared" ref="S2307:S2370" si="181">G2307/I2307</f>
        <v>0.61538461538461542</v>
      </c>
      <c r="T2307" t="str">
        <f t="shared" ref="T2307:T2370" si="182">IF(Q2307&lt;15,"Low",IF(Q2307&lt;25,"Good","Excellent"))</f>
        <v>Low</v>
      </c>
      <c r="U2307" t="str" cm="1">
        <f t="array" ref="U2307">_xlfn.LET(_xlpm.roles,_xlfn.UNIQUE(D2307:D5105),_xlpm.kills, SUMIF(D2307:D5105,_xlpm.roles,G2307:G5105),INDEX(_xlpm.roles,MATCH(MAX(_xlpm.kills),_xlpm.kills,0)))</f>
        <v>IGL</v>
      </c>
      <c r="V2307" t="str">
        <f t="shared" ref="V2307:V2370" si="183">IF(J2307&gt;=50,"High Accuracy",IF(J2307&gt;=30,"Medium Accuracy","Low Accuracy"))</f>
        <v>Medium Accuracy</v>
      </c>
      <c r="W2307" t="str" cm="1">
        <f t="array" ref="W2307">_xlfn.LET(_xlpm.roles,_xlfn.UNIQUE(D2307:D5105), _xlpm.counts,COUNTIF(D2307:D5105,_xlpm.roles), INDEX(_xlpm.roles,MATCH(MAX(_xlpm.counts),_xlpm.counts,0)))</f>
        <v>IGL</v>
      </c>
      <c r="X2307" s="2">
        <f t="shared" ref="X2307:X2370" si="184">AVERAGEIF($C$2:$C$2800,C2307,$Q$2:$Q$2800)</f>
        <v>13.057077625570777</v>
      </c>
    </row>
    <row r="2308" spans="1:24" x14ac:dyDescent="0.3">
      <c r="A2308">
        <v>923</v>
      </c>
      <c r="B2308">
        <v>412</v>
      </c>
      <c r="C2308" t="s">
        <v>27</v>
      </c>
      <c r="D2308" t="s">
        <v>36</v>
      </c>
      <c r="E2308" t="s">
        <v>18</v>
      </c>
      <c r="F2308" t="s">
        <v>34</v>
      </c>
      <c r="G2308">
        <v>10</v>
      </c>
      <c r="H2308">
        <v>6</v>
      </c>
      <c r="I2308">
        <v>6</v>
      </c>
      <c r="J2308">
        <v>39.909999999999997</v>
      </c>
      <c r="K2308">
        <v>225.21</v>
      </c>
      <c r="L2308">
        <v>0.46</v>
      </c>
      <c r="M2308">
        <v>35.35</v>
      </c>
      <c r="N2308">
        <v>0.72</v>
      </c>
      <c r="O2308" t="s">
        <v>20</v>
      </c>
      <c r="P2308" t="s">
        <v>21</v>
      </c>
      <c r="Q2308">
        <f t="shared" si="180"/>
        <v>10</v>
      </c>
      <c r="R2308" s="4">
        <f>RANK(N2308,$N$2:N$2800,0)</f>
        <v>2663</v>
      </c>
      <c r="S2308">
        <f t="shared" si="181"/>
        <v>1.6666666666666667</v>
      </c>
      <c r="T2308" t="str">
        <f t="shared" si="182"/>
        <v>Low</v>
      </c>
      <c r="U2308" t="str" cm="1">
        <f t="array" ref="U2308">_xlfn.LET(_xlpm.roles,_xlfn.UNIQUE(D2308:D5106),_xlpm.kills, SUMIF(D2308:D5106,_xlpm.roles,G2308:G5106),INDEX(_xlpm.roles,MATCH(MAX(_xlpm.kills),_xlpm.kills,0)))</f>
        <v>IGL</v>
      </c>
      <c r="V2308" t="str">
        <f t="shared" si="183"/>
        <v>Medium Accuracy</v>
      </c>
      <c r="W2308" t="str" cm="1">
        <f t="array" ref="W2308">_xlfn.LET(_xlpm.roles,_xlfn.UNIQUE(D2308:D5106), _xlpm.counts,COUNTIF(D2308:D5106,_xlpm.roles), INDEX(_xlpm.roles,MATCH(MAX(_xlpm.counts),_xlpm.counts,0)))</f>
        <v>IGL</v>
      </c>
      <c r="X2308" s="2">
        <f t="shared" si="184"/>
        <v>13.057077625570777</v>
      </c>
    </row>
    <row r="2309" spans="1:24" x14ac:dyDescent="0.3">
      <c r="A2309">
        <v>1539</v>
      </c>
      <c r="B2309">
        <v>412</v>
      </c>
      <c r="C2309" t="s">
        <v>30</v>
      </c>
      <c r="D2309" t="s">
        <v>31</v>
      </c>
      <c r="E2309" t="s">
        <v>23</v>
      </c>
      <c r="F2309" t="s">
        <v>37</v>
      </c>
      <c r="G2309">
        <v>10</v>
      </c>
      <c r="H2309">
        <v>4</v>
      </c>
      <c r="I2309">
        <v>8</v>
      </c>
      <c r="J2309">
        <v>41.14</v>
      </c>
      <c r="K2309">
        <v>229.3</v>
      </c>
      <c r="L2309">
        <v>0.79</v>
      </c>
      <c r="M2309">
        <v>28.67</v>
      </c>
      <c r="N2309">
        <v>0.78</v>
      </c>
      <c r="O2309" t="s">
        <v>20</v>
      </c>
      <c r="P2309" t="s">
        <v>21</v>
      </c>
      <c r="Q2309">
        <f t="shared" si="180"/>
        <v>6</v>
      </c>
      <c r="R2309" s="4">
        <f>RANK(N2309,$N$2:N$2800,0)</f>
        <v>2469</v>
      </c>
      <c r="S2309">
        <f t="shared" si="181"/>
        <v>1.25</v>
      </c>
      <c r="T2309" t="str">
        <f t="shared" si="182"/>
        <v>Low</v>
      </c>
      <c r="U2309" t="str" cm="1">
        <f t="array" ref="U2309">_xlfn.LET(_xlpm.roles,_xlfn.UNIQUE(D2309:D5107),_xlpm.kills, SUMIF(D2309:D5107,_xlpm.roles,G2309:G5107),INDEX(_xlpm.roles,MATCH(MAX(_xlpm.kills),_xlpm.kills,0)))</f>
        <v>IGL</v>
      </c>
      <c r="V2309" t="str">
        <f t="shared" si="183"/>
        <v>Medium Accuracy</v>
      </c>
      <c r="W2309" t="str" cm="1">
        <f t="array" ref="W2309">_xlfn.LET(_xlpm.roles,_xlfn.UNIQUE(D2309:D5107), _xlpm.counts,COUNTIF(D2309:D5107,_xlpm.roles), INDEX(_xlpm.roles,MATCH(MAX(_xlpm.counts),_xlpm.counts,0)))</f>
        <v>IGL</v>
      </c>
      <c r="X2309" s="2">
        <f t="shared" si="184"/>
        <v>13.135802469135802</v>
      </c>
    </row>
    <row r="2310" spans="1:24" x14ac:dyDescent="0.3">
      <c r="A2310">
        <v>2088</v>
      </c>
      <c r="B2310">
        <v>412</v>
      </c>
      <c r="C2310" t="s">
        <v>39</v>
      </c>
      <c r="D2310" t="s">
        <v>31</v>
      </c>
      <c r="E2310" t="s">
        <v>18</v>
      </c>
      <c r="F2310" t="s">
        <v>37</v>
      </c>
      <c r="G2310">
        <v>11</v>
      </c>
      <c r="H2310">
        <v>5</v>
      </c>
      <c r="I2310">
        <v>13</v>
      </c>
      <c r="J2310">
        <v>50.12</v>
      </c>
      <c r="K2310">
        <v>224.91</v>
      </c>
      <c r="L2310">
        <v>0.89</v>
      </c>
      <c r="M2310">
        <v>30.16</v>
      </c>
      <c r="N2310">
        <v>0.77</v>
      </c>
      <c r="O2310" t="s">
        <v>20</v>
      </c>
      <c r="P2310" t="s">
        <v>21</v>
      </c>
      <c r="Q2310">
        <f t="shared" si="180"/>
        <v>3</v>
      </c>
      <c r="R2310" s="4">
        <f>RANK(N2310,$N$2:N$2800,0)</f>
        <v>2511</v>
      </c>
      <c r="S2310">
        <f t="shared" si="181"/>
        <v>0.84615384615384615</v>
      </c>
      <c r="T2310" t="str">
        <f t="shared" si="182"/>
        <v>Low</v>
      </c>
      <c r="U2310" t="str" cm="1">
        <f t="array" ref="U2310">_xlfn.LET(_xlpm.roles,_xlfn.UNIQUE(D2310:D5108),_xlpm.kills, SUMIF(D2310:D5108,_xlpm.roles,G2310:G5108),INDEX(_xlpm.roles,MATCH(MAX(_xlpm.kills),_xlpm.kills,0)))</f>
        <v>IGL</v>
      </c>
      <c r="V2310" t="str">
        <f t="shared" si="183"/>
        <v>High Accuracy</v>
      </c>
      <c r="W2310" t="str" cm="1">
        <f t="array" ref="W2310">_xlfn.LET(_xlpm.roles,_xlfn.UNIQUE(D2310:D5108), _xlpm.counts,COUNTIF(D2310:D5108,_xlpm.roles), INDEX(_xlpm.roles,MATCH(MAX(_xlpm.counts),_xlpm.counts,0)))</f>
        <v>IGL</v>
      </c>
      <c r="X2310" s="2">
        <f t="shared" si="184"/>
        <v>13.103594080338267</v>
      </c>
    </row>
    <row r="2311" spans="1:24" x14ac:dyDescent="0.3">
      <c r="A2311">
        <v>196</v>
      </c>
      <c r="B2311">
        <v>413</v>
      </c>
      <c r="C2311" t="s">
        <v>30</v>
      </c>
      <c r="D2311" t="s">
        <v>36</v>
      </c>
      <c r="E2311" t="s">
        <v>29</v>
      </c>
      <c r="F2311" t="s">
        <v>19</v>
      </c>
      <c r="G2311">
        <v>22</v>
      </c>
      <c r="H2311">
        <v>10</v>
      </c>
      <c r="I2311">
        <v>12</v>
      </c>
      <c r="J2311">
        <v>47.02</v>
      </c>
      <c r="K2311">
        <v>187.35</v>
      </c>
      <c r="L2311">
        <v>0.08</v>
      </c>
      <c r="M2311">
        <v>64.709999999999994</v>
      </c>
      <c r="N2311">
        <v>1</v>
      </c>
      <c r="O2311" t="s">
        <v>20</v>
      </c>
      <c r="P2311" t="s">
        <v>38</v>
      </c>
      <c r="Q2311">
        <f t="shared" si="180"/>
        <v>20</v>
      </c>
      <c r="R2311" s="4">
        <f>RANK(N2311,$N$2:N$2800,0)</f>
        <v>1</v>
      </c>
      <c r="S2311">
        <f t="shared" si="181"/>
        <v>1.8333333333333333</v>
      </c>
      <c r="T2311" t="str">
        <f t="shared" si="182"/>
        <v>Good</v>
      </c>
      <c r="U2311" t="str" cm="1">
        <f t="array" ref="U2311">_xlfn.LET(_xlpm.roles,_xlfn.UNIQUE(D2311:D5109),_xlpm.kills, SUMIF(D2311:D5109,_xlpm.roles,G2311:G5109),INDEX(_xlpm.roles,MATCH(MAX(_xlpm.kills),_xlpm.kills,0)))</f>
        <v>IGL</v>
      </c>
      <c r="V2311" t="str">
        <f t="shared" si="183"/>
        <v>Medium Accuracy</v>
      </c>
      <c r="W2311" t="str" cm="1">
        <f t="array" ref="W2311">_xlfn.LET(_xlpm.roles,_xlfn.UNIQUE(D2311:D5109), _xlpm.counts,COUNTIF(D2311:D5109,_xlpm.roles), INDEX(_xlpm.roles,MATCH(MAX(_xlpm.counts),_xlpm.counts,0)))</f>
        <v>IGL</v>
      </c>
      <c r="X2311" s="2">
        <f t="shared" si="184"/>
        <v>13.135802469135802</v>
      </c>
    </row>
    <row r="2312" spans="1:24" x14ac:dyDescent="0.3">
      <c r="A2312">
        <v>455</v>
      </c>
      <c r="B2312">
        <v>413</v>
      </c>
      <c r="C2312" t="s">
        <v>30</v>
      </c>
      <c r="D2312" t="s">
        <v>17</v>
      </c>
      <c r="E2312" t="s">
        <v>18</v>
      </c>
      <c r="F2312" t="s">
        <v>37</v>
      </c>
      <c r="G2312">
        <v>17</v>
      </c>
      <c r="H2312">
        <v>10</v>
      </c>
      <c r="I2312">
        <v>10</v>
      </c>
      <c r="J2312">
        <v>56.7</v>
      </c>
      <c r="K2312">
        <v>211.29</v>
      </c>
      <c r="L2312">
        <v>0.68</v>
      </c>
      <c r="M2312">
        <v>55.55</v>
      </c>
      <c r="N2312">
        <v>1</v>
      </c>
      <c r="O2312" t="s">
        <v>20</v>
      </c>
      <c r="P2312" t="s">
        <v>21</v>
      </c>
      <c r="Q2312">
        <f t="shared" si="180"/>
        <v>17</v>
      </c>
      <c r="R2312" s="4">
        <f>RANK(N2312,$N$2:N$2800,0)</f>
        <v>1</v>
      </c>
      <c r="S2312">
        <f t="shared" si="181"/>
        <v>1.7</v>
      </c>
      <c r="T2312" t="str">
        <f t="shared" si="182"/>
        <v>Good</v>
      </c>
      <c r="U2312" t="str" cm="1">
        <f t="array" ref="U2312">_xlfn.LET(_xlpm.roles,_xlfn.UNIQUE(D2312:D5110),_xlpm.kills, SUMIF(D2312:D5110,_xlpm.roles,G2312:G5110),INDEX(_xlpm.roles,MATCH(MAX(_xlpm.kills),_xlpm.kills,0)))</f>
        <v>IGL</v>
      </c>
      <c r="V2312" t="str">
        <f t="shared" si="183"/>
        <v>High Accuracy</v>
      </c>
      <c r="W2312" t="str" cm="1">
        <f t="array" ref="W2312">_xlfn.LET(_xlpm.roles,_xlfn.UNIQUE(D2312:D5110), _xlpm.counts,COUNTIF(D2312:D5110,_xlpm.roles), INDEX(_xlpm.roles,MATCH(MAX(_xlpm.counts),_xlpm.counts,0)))</f>
        <v>IGL</v>
      </c>
      <c r="X2312" s="2">
        <f t="shared" si="184"/>
        <v>13.135802469135802</v>
      </c>
    </row>
    <row r="2313" spans="1:24" x14ac:dyDescent="0.3">
      <c r="A2313">
        <v>636</v>
      </c>
      <c r="B2313">
        <v>413</v>
      </c>
      <c r="C2313" t="s">
        <v>27</v>
      </c>
      <c r="D2313" t="s">
        <v>36</v>
      </c>
      <c r="E2313" t="s">
        <v>29</v>
      </c>
      <c r="F2313" t="s">
        <v>34</v>
      </c>
      <c r="G2313">
        <v>9</v>
      </c>
      <c r="H2313">
        <v>8</v>
      </c>
      <c r="I2313">
        <v>5</v>
      </c>
      <c r="J2313">
        <v>38.36</v>
      </c>
      <c r="K2313">
        <v>172.43</v>
      </c>
      <c r="L2313">
        <v>0.18</v>
      </c>
      <c r="M2313">
        <v>38.380000000000003</v>
      </c>
      <c r="N2313">
        <v>0.95</v>
      </c>
      <c r="O2313" t="s">
        <v>20</v>
      </c>
      <c r="P2313" t="s">
        <v>21</v>
      </c>
      <c r="Q2313">
        <f t="shared" si="180"/>
        <v>12</v>
      </c>
      <c r="R2313" s="4">
        <f>RANK(N2313,$N$2:N$2800,0)</f>
        <v>1367</v>
      </c>
      <c r="S2313">
        <f t="shared" si="181"/>
        <v>1.8</v>
      </c>
      <c r="T2313" t="str">
        <f t="shared" si="182"/>
        <v>Low</v>
      </c>
      <c r="U2313" t="str" cm="1">
        <f t="array" ref="U2313">_xlfn.LET(_xlpm.roles,_xlfn.UNIQUE(D2313:D5111),_xlpm.kills, SUMIF(D2313:D5111,_xlpm.roles,G2313:G5111),INDEX(_xlpm.roles,MATCH(MAX(_xlpm.kills),_xlpm.kills,0)))</f>
        <v>IGL</v>
      </c>
      <c r="V2313" t="str">
        <f t="shared" si="183"/>
        <v>Medium Accuracy</v>
      </c>
      <c r="W2313" t="str" cm="1">
        <f t="array" ref="W2313">_xlfn.LET(_xlpm.roles,_xlfn.UNIQUE(D2313:D5111), _xlpm.counts,COUNTIF(D2313:D5111,_xlpm.roles), INDEX(_xlpm.roles,MATCH(MAX(_xlpm.counts),_xlpm.counts,0)))</f>
        <v>IGL</v>
      </c>
      <c r="X2313" s="2">
        <f t="shared" si="184"/>
        <v>13.057077625570777</v>
      </c>
    </row>
    <row r="2314" spans="1:24" x14ac:dyDescent="0.3">
      <c r="A2314">
        <v>931</v>
      </c>
      <c r="B2314">
        <v>413</v>
      </c>
      <c r="C2314" t="s">
        <v>39</v>
      </c>
      <c r="D2314" t="s">
        <v>31</v>
      </c>
      <c r="E2314" t="s">
        <v>29</v>
      </c>
      <c r="F2314" t="s">
        <v>34</v>
      </c>
      <c r="G2314">
        <v>8</v>
      </c>
      <c r="H2314">
        <v>7</v>
      </c>
      <c r="I2314">
        <v>9</v>
      </c>
      <c r="J2314">
        <v>45.74</v>
      </c>
      <c r="K2314">
        <v>208.01</v>
      </c>
      <c r="L2314">
        <v>0.95</v>
      </c>
      <c r="M2314">
        <v>27.37</v>
      </c>
      <c r="N2314">
        <v>0.77</v>
      </c>
      <c r="O2314" t="s">
        <v>20</v>
      </c>
      <c r="P2314" t="s">
        <v>21</v>
      </c>
      <c r="Q2314">
        <f t="shared" si="180"/>
        <v>6</v>
      </c>
      <c r="R2314" s="4">
        <f>RANK(N2314,$N$2:N$2800,0)</f>
        <v>2511</v>
      </c>
      <c r="S2314">
        <f t="shared" si="181"/>
        <v>0.88888888888888884</v>
      </c>
      <c r="T2314" t="str">
        <f t="shared" si="182"/>
        <v>Low</v>
      </c>
      <c r="U2314" t="str" cm="1">
        <f t="array" ref="U2314">_xlfn.LET(_xlpm.roles,_xlfn.UNIQUE(D2314:D5112),_xlpm.kills, SUMIF(D2314:D5112,_xlpm.roles,G2314:G5112),INDEX(_xlpm.roles,MATCH(MAX(_xlpm.kills),_xlpm.kills,0)))</f>
        <v>IGL</v>
      </c>
      <c r="V2314" t="str">
        <f t="shared" si="183"/>
        <v>Medium Accuracy</v>
      </c>
      <c r="W2314" t="str" cm="1">
        <f t="array" ref="W2314">_xlfn.LET(_xlpm.roles,_xlfn.UNIQUE(D2314:D5112), _xlpm.counts,COUNTIF(D2314:D5112,_xlpm.roles), INDEX(_xlpm.roles,MATCH(MAX(_xlpm.counts),_xlpm.counts,0)))</f>
        <v>IGL</v>
      </c>
      <c r="X2314" s="2">
        <f t="shared" si="184"/>
        <v>13.103594080338267</v>
      </c>
    </row>
    <row r="2315" spans="1:24" x14ac:dyDescent="0.3">
      <c r="A2315">
        <v>1595</v>
      </c>
      <c r="B2315">
        <v>413</v>
      </c>
      <c r="C2315" t="s">
        <v>25</v>
      </c>
      <c r="D2315" t="s">
        <v>31</v>
      </c>
      <c r="E2315" t="s">
        <v>23</v>
      </c>
      <c r="F2315" t="s">
        <v>26</v>
      </c>
      <c r="G2315">
        <v>12</v>
      </c>
      <c r="H2315">
        <v>10</v>
      </c>
      <c r="I2315">
        <v>4</v>
      </c>
      <c r="J2315">
        <v>32.24</v>
      </c>
      <c r="K2315">
        <v>246.96</v>
      </c>
      <c r="L2315">
        <v>0.44</v>
      </c>
      <c r="M2315">
        <v>41.72</v>
      </c>
      <c r="N2315">
        <v>0.86</v>
      </c>
      <c r="O2315" t="s">
        <v>20</v>
      </c>
      <c r="P2315" t="s">
        <v>21</v>
      </c>
      <c r="Q2315">
        <f t="shared" si="180"/>
        <v>18</v>
      </c>
      <c r="R2315" s="4">
        <f>RANK(N2315,$N$2:N$2800,0)</f>
        <v>2040</v>
      </c>
      <c r="S2315">
        <f t="shared" si="181"/>
        <v>3</v>
      </c>
      <c r="T2315" t="str">
        <f t="shared" si="182"/>
        <v>Good</v>
      </c>
      <c r="U2315" t="str" cm="1">
        <f t="array" ref="U2315">_xlfn.LET(_xlpm.roles,_xlfn.UNIQUE(D2315:D5113),_xlpm.kills, SUMIF(D2315:D5113,_xlpm.roles,G2315:G5113),INDEX(_xlpm.roles,MATCH(MAX(_xlpm.kills),_xlpm.kills,0)))</f>
        <v>IGL</v>
      </c>
      <c r="V2315" t="str">
        <f t="shared" si="183"/>
        <v>Medium Accuracy</v>
      </c>
      <c r="W2315" t="str" cm="1">
        <f t="array" ref="W2315">_xlfn.LET(_xlpm.roles,_xlfn.UNIQUE(D2315:D5113), _xlpm.counts,COUNTIF(D2315:D5113,_xlpm.roles), INDEX(_xlpm.roles,MATCH(MAX(_xlpm.counts),_xlpm.counts,0)))</f>
        <v>IGL</v>
      </c>
      <c r="X2315" s="2">
        <f t="shared" si="184"/>
        <v>12.809421841541756</v>
      </c>
    </row>
    <row r="2316" spans="1:24" x14ac:dyDescent="0.3">
      <c r="A2316">
        <v>2250</v>
      </c>
      <c r="B2316">
        <v>413</v>
      </c>
      <c r="C2316" t="s">
        <v>30</v>
      </c>
      <c r="D2316" t="s">
        <v>17</v>
      </c>
      <c r="E2316" t="s">
        <v>32</v>
      </c>
      <c r="F2316" t="s">
        <v>24</v>
      </c>
      <c r="G2316">
        <v>15</v>
      </c>
      <c r="H2316">
        <v>9</v>
      </c>
      <c r="I2316">
        <v>10</v>
      </c>
      <c r="J2316">
        <v>42.97</v>
      </c>
      <c r="K2316">
        <v>244.89</v>
      </c>
      <c r="L2316">
        <v>0.75</v>
      </c>
      <c r="M2316">
        <v>42.98</v>
      </c>
      <c r="N2316">
        <v>0.96</v>
      </c>
      <c r="O2316" t="s">
        <v>20</v>
      </c>
      <c r="P2316" t="s">
        <v>21</v>
      </c>
      <c r="Q2316">
        <f t="shared" si="180"/>
        <v>14</v>
      </c>
      <c r="R2316" s="4">
        <f>RANK(N2316,$N$2:N$2800,0)</f>
        <v>1301</v>
      </c>
      <c r="S2316">
        <f t="shared" si="181"/>
        <v>1.5</v>
      </c>
      <c r="T2316" t="str">
        <f t="shared" si="182"/>
        <v>Low</v>
      </c>
      <c r="U2316" t="str" cm="1">
        <f t="array" ref="U2316">_xlfn.LET(_xlpm.roles,_xlfn.UNIQUE(D2316:D5114),_xlpm.kills, SUMIF(D2316:D5114,_xlpm.roles,G2316:G5114),INDEX(_xlpm.roles,MATCH(MAX(_xlpm.kills),_xlpm.kills,0)))</f>
        <v>IGL</v>
      </c>
      <c r="V2316" t="str">
        <f t="shared" si="183"/>
        <v>Medium Accuracy</v>
      </c>
      <c r="W2316" t="str" cm="1">
        <f t="array" ref="W2316">_xlfn.LET(_xlpm.roles,_xlfn.UNIQUE(D2316:D5114), _xlpm.counts,COUNTIF(D2316:D5114,_xlpm.roles), INDEX(_xlpm.roles,MATCH(MAX(_xlpm.counts),_xlpm.counts,0)))</f>
        <v>IGL</v>
      </c>
      <c r="X2316" s="2">
        <f t="shared" si="184"/>
        <v>13.135802469135802</v>
      </c>
    </row>
    <row r="2317" spans="1:24" x14ac:dyDescent="0.3">
      <c r="A2317">
        <v>2399</v>
      </c>
      <c r="B2317">
        <v>413</v>
      </c>
      <c r="C2317" t="s">
        <v>30</v>
      </c>
      <c r="D2317" t="s">
        <v>17</v>
      </c>
      <c r="E2317" t="s">
        <v>33</v>
      </c>
      <c r="F2317" t="s">
        <v>37</v>
      </c>
      <c r="G2317">
        <v>15</v>
      </c>
      <c r="H2317">
        <v>6</v>
      </c>
      <c r="I2317">
        <v>12</v>
      </c>
      <c r="J2317">
        <v>45.46</v>
      </c>
      <c r="K2317">
        <v>296.07</v>
      </c>
      <c r="L2317">
        <v>0.97</v>
      </c>
      <c r="M2317">
        <v>37.03</v>
      </c>
      <c r="N2317">
        <v>0.87</v>
      </c>
      <c r="O2317" t="s">
        <v>20</v>
      </c>
      <c r="P2317" t="s">
        <v>21</v>
      </c>
      <c r="Q2317">
        <f t="shared" si="180"/>
        <v>9</v>
      </c>
      <c r="R2317" s="4">
        <f>RANK(N2317,$N$2:N$2800,0)</f>
        <v>1965</v>
      </c>
      <c r="S2317">
        <f t="shared" si="181"/>
        <v>1.25</v>
      </c>
      <c r="T2317" t="str">
        <f t="shared" si="182"/>
        <v>Low</v>
      </c>
      <c r="U2317" t="str" cm="1">
        <f t="array" ref="U2317">_xlfn.LET(_xlpm.roles,_xlfn.UNIQUE(D2317:D5115),_xlpm.kills, SUMIF(D2317:D5115,_xlpm.roles,G2317:G5115),INDEX(_xlpm.roles,MATCH(MAX(_xlpm.kills),_xlpm.kills,0)))</f>
        <v>IGL</v>
      </c>
      <c r="V2317" t="str">
        <f t="shared" si="183"/>
        <v>Medium Accuracy</v>
      </c>
      <c r="W2317" t="str" cm="1">
        <f t="array" ref="W2317">_xlfn.LET(_xlpm.roles,_xlfn.UNIQUE(D2317:D5115), _xlpm.counts,COUNTIF(D2317:D5115,_xlpm.roles), INDEX(_xlpm.roles,MATCH(MAX(_xlpm.counts),_xlpm.counts,0)))</f>
        <v>IGL</v>
      </c>
      <c r="X2317" s="2">
        <f t="shared" si="184"/>
        <v>13.135802469135802</v>
      </c>
    </row>
    <row r="2318" spans="1:24" x14ac:dyDescent="0.3">
      <c r="A2318">
        <v>396</v>
      </c>
      <c r="B2318">
        <v>414</v>
      </c>
      <c r="C2318" t="s">
        <v>25</v>
      </c>
      <c r="D2318" t="s">
        <v>22</v>
      </c>
      <c r="E2318" t="s">
        <v>18</v>
      </c>
      <c r="F2318" t="s">
        <v>34</v>
      </c>
      <c r="G2318">
        <v>12</v>
      </c>
      <c r="H2318">
        <v>5</v>
      </c>
      <c r="I2318">
        <v>12</v>
      </c>
      <c r="J2318">
        <v>46.74</v>
      </c>
      <c r="K2318">
        <v>243.52</v>
      </c>
      <c r="L2318">
        <v>0.12</v>
      </c>
      <c r="M2318">
        <v>39.17</v>
      </c>
      <c r="N2318">
        <v>0.76</v>
      </c>
      <c r="O2318" t="s">
        <v>20</v>
      </c>
      <c r="P2318" t="s">
        <v>21</v>
      </c>
      <c r="Q2318">
        <f t="shared" si="180"/>
        <v>5</v>
      </c>
      <c r="R2318" s="4">
        <f>RANK(N2318,$N$2:N$2800,0)</f>
        <v>2547</v>
      </c>
      <c r="S2318">
        <f t="shared" si="181"/>
        <v>1</v>
      </c>
      <c r="T2318" t="str">
        <f t="shared" si="182"/>
        <v>Low</v>
      </c>
      <c r="U2318" t="str" cm="1">
        <f t="array" ref="U2318">_xlfn.LET(_xlpm.roles,_xlfn.UNIQUE(D2318:D5116),_xlpm.kills, SUMIF(D2318:D5116,_xlpm.roles,G2318:G5116),INDEX(_xlpm.roles,MATCH(MAX(_xlpm.kills),_xlpm.kills,0)))</f>
        <v>IGL</v>
      </c>
      <c r="V2318" t="str">
        <f t="shared" si="183"/>
        <v>Medium Accuracy</v>
      </c>
      <c r="W2318" t="str" cm="1">
        <f t="array" ref="W2318">_xlfn.LET(_xlpm.roles,_xlfn.UNIQUE(D2318:D5116), _xlpm.counts,COUNTIF(D2318:D5116,_xlpm.roles), INDEX(_xlpm.roles,MATCH(MAX(_xlpm.counts),_xlpm.counts,0)))</f>
        <v>IGL</v>
      </c>
      <c r="X2318" s="2">
        <f t="shared" si="184"/>
        <v>12.809421841541756</v>
      </c>
    </row>
    <row r="2319" spans="1:24" x14ac:dyDescent="0.3">
      <c r="A2319">
        <v>1838</v>
      </c>
      <c r="B2319">
        <v>414</v>
      </c>
      <c r="C2319" t="s">
        <v>30</v>
      </c>
      <c r="D2319" t="s">
        <v>31</v>
      </c>
      <c r="E2319" t="s">
        <v>23</v>
      </c>
      <c r="F2319" t="s">
        <v>19</v>
      </c>
      <c r="G2319">
        <v>9</v>
      </c>
      <c r="H2319">
        <v>10</v>
      </c>
      <c r="I2319">
        <v>10</v>
      </c>
      <c r="J2319">
        <v>45.07</v>
      </c>
      <c r="K2319">
        <v>227.86</v>
      </c>
      <c r="L2319">
        <v>0.89</v>
      </c>
      <c r="M2319">
        <v>31.63</v>
      </c>
      <c r="N2319">
        <v>0.89</v>
      </c>
      <c r="O2319" t="s">
        <v>20</v>
      </c>
      <c r="P2319" t="s">
        <v>21</v>
      </c>
      <c r="Q2319">
        <f t="shared" si="180"/>
        <v>9</v>
      </c>
      <c r="R2319" s="4">
        <f>RANK(N2319,$N$2:N$2800,0)</f>
        <v>1815</v>
      </c>
      <c r="S2319">
        <f t="shared" si="181"/>
        <v>0.9</v>
      </c>
      <c r="T2319" t="str">
        <f t="shared" si="182"/>
        <v>Low</v>
      </c>
      <c r="U2319" t="str" cm="1">
        <f t="array" ref="U2319">_xlfn.LET(_xlpm.roles,_xlfn.UNIQUE(D2319:D5117),_xlpm.kills, SUMIF(D2319:D5117,_xlpm.roles,G2319:G5117),INDEX(_xlpm.roles,MATCH(MAX(_xlpm.kills),_xlpm.kills,0)))</f>
        <v>IGL</v>
      </c>
      <c r="V2319" t="str">
        <f t="shared" si="183"/>
        <v>Medium Accuracy</v>
      </c>
      <c r="W2319" t="str" cm="1">
        <f t="array" ref="W2319">_xlfn.LET(_xlpm.roles,_xlfn.UNIQUE(D2319:D5117), _xlpm.counts,COUNTIF(D2319:D5117,_xlpm.roles), INDEX(_xlpm.roles,MATCH(MAX(_xlpm.counts),_xlpm.counts,0)))</f>
        <v>IGL</v>
      </c>
      <c r="X2319" s="2">
        <f t="shared" si="184"/>
        <v>13.135802469135802</v>
      </c>
    </row>
    <row r="2320" spans="1:24" x14ac:dyDescent="0.3">
      <c r="A2320">
        <v>2336</v>
      </c>
      <c r="B2320">
        <v>414</v>
      </c>
      <c r="C2320" t="s">
        <v>25</v>
      </c>
      <c r="D2320" t="s">
        <v>36</v>
      </c>
      <c r="E2320" t="s">
        <v>18</v>
      </c>
      <c r="F2320" t="s">
        <v>19</v>
      </c>
      <c r="G2320">
        <v>16</v>
      </c>
      <c r="H2320">
        <v>8</v>
      </c>
      <c r="I2320">
        <v>16</v>
      </c>
      <c r="J2320">
        <v>51.35</v>
      </c>
      <c r="K2320">
        <v>259.26</v>
      </c>
      <c r="L2320">
        <v>0.53</v>
      </c>
      <c r="M2320">
        <v>44.38</v>
      </c>
      <c r="N2320">
        <v>0.86</v>
      </c>
      <c r="O2320" t="s">
        <v>20</v>
      </c>
      <c r="P2320" t="s">
        <v>21</v>
      </c>
      <c r="Q2320">
        <f t="shared" si="180"/>
        <v>8</v>
      </c>
      <c r="R2320" s="4">
        <f>RANK(N2320,$N$2:N$2800,0)</f>
        <v>2040</v>
      </c>
      <c r="S2320">
        <f t="shared" si="181"/>
        <v>1</v>
      </c>
      <c r="T2320" t="str">
        <f t="shared" si="182"/>
        <v>Low</v>
      </c>
      <c r="U2320" t="str" cm="1">
        <f t="array" ref="U2320">_xlfn.LET(_xlpm.roles,_xlfn.UNIQUE(D2320:D5118),_xlpm.kills, SUMIF(D2320:D5118,_xlpm.roles,G2320:G5118),INDEX(_xlpm.roles,MATCH(MAX(_xlpm.kills),_xlpm.kills,0)))</f>
        <v>IGL</v>
      </c>
      <c r="V2320" t="str">
        <f t="shared" si="183"/>
        <v>High Accuracy</v>
      </c>
      <c r="W2320" t="str" cm="1">
        <f t="array" ref="W2320">_xlfn.LET(_xlpm.roles,_xlfn.UNIQUE(D2320:D5118), _xlpm.counts,COUNTIF(D2320:D5118,_xlpm.roles), INDEX(_xlpm.roles,MATCH(MAX(_xlpm.counts),_xlpm.counts,0)))</f>
        <v>IGL</v>
      </c>
      <c r="X2320" s="2">
        <f t="shared" si="184"/>
        <v>12.809421841541756</v>
      </c>
    </row>
    <row r="2321" spans="1:24" x14ac:dyDescent="0.3">
      <c r="A2321">
        <v>2460</v>
      </c>
      <c r="B2321">
        <v>414</v>
      </c>
      <c r="C2321" t="s">
        <v>30</v>
      </c>
      <c r="D2321" t="s">
        <v>31</v>
      </c>
      <c r="E2321" t="s">
        <v>23</v>
      </c>
      <c r="F2321" t="s">
        <v>19</v>
      </c>
      <c r="G2321">
        <v>24</v>
      </c>
      <c r="H2321">
        <v>9</v>
      </c>
      <c r="I2321">
        <v>14</v>
      </c>
      <c r="J2321">
        <v>34.61</v>
      </c>
      <c r="K2321">
        <v>261.07</v>
      </c>
      <c r="L2321">
        <v>0.08</v>
      </c>
      <c r="M2321">
        <v>59.51</v>
      </c>
      <c r="N2321">
        <v>0.97</v>
      </c>
      <c r="O2321" t="s">
        <v>20</v>
      </c>
      <c r="P2321" t="s">
        <v>21</v>
      </c>
      <c r="Q2321">
        <f t="shared" si="180"/>
        <v>19</v>
      </c>
      <c r="R2321" s="4">
        <f>RANK(N2321,$N$2:N$2800,0)</f>
        <v>1243</v>
      </c>
      <c r="S2321">
        <f t="shared" si="181"/>
        <v>1.7142857142857142</v>
      </c>
      <c r="T2321" t="str">
        <f t="shared" si="182"/>
        <v>Good</v>
      </c>
      <c r="U2321" t="str" cm="1">
        <f t="array" ref="U2321">_xlfn.LET(_xlpm.roles,_xlfn.UNIQUE(D2321:D5119),_xlpm.kills, SUMIF(D2321:D5119,_xlpm.roles,G2321:G5119),INDEX(_xlpm.roles,MATCH(MAX(_xlpm.kills),_xlpm.kills,0)))</f>
        <v>IGL</v>
      </c>
      <c r="V2321" t="str">
        <f t="shared" si="183"/>
        <v>Medium Accuracy</v>
      </c>
      <c r="W2321" t="str" cm="1">
        <f t="array" ref="W2321">_xlfn.LET(_xlpm.roles,_xlfn.UNIQUE(D2321:D5119), _xlpm.counts,COUNTIF(D2321:D5119,_xlpm.roles), INDEX(_xlpm.roles,MATCH(MAX(_xlpm.counts),_xlpm.counts,0)))</f>
        <v>IGL</v>
      </c>
      <c r="X2321" s="2">
        <f t="shared" si="184"/>
        <v>13.135802469135802</v>
      </c>
    </row>
    <row r="2322" spans="1:24" x14ac:dyDescent="0.3">
      <c r="A2322">
        <v>2713</v>
      </c>
      <c r="B2322">
        <v>414</v>
      </c>
      <c r="C2322" t="s">
        <v>30</v>
      </c>
      <c r="D2322" t="s">
        <v>28</v>
      </c>
      <c r="E2322" t="s">
        <v>18</v>
      </c>
      <c r="F2322" t="s">
        <v>19</v>
      </c>
      <c r="G2322">
        <v>8</v>
      </c>
      <c r="H2322">
        <v>3</v>
      </c>
      <c r="I2322">
        <v>6</v>
      </c>
      <c r="J2322">
        <v>48.41</v>
      </c>
      <c r="K2322">
        <v>212.92</v>
      </c>
      <c r="L2322">
        <v>0.87</v>
      </c>
      <c r="M2322">
        <v>28.5</v>
      </c>
      <c r="N2322">
        <v>0.93</v>
      </c>
      <c r="O2322" t="s">
        <v>20</v>
      </c>
      <c r="P2322" t="s">
        <v>21</v>
      </c>
      <c r="Q2322">
        <f t="shared" si="180"/>
        <v>5</v>
      </c>
      <c r="R2322" s="4">
        <f>RANK(N2322,$N$2:N$2800,0)</f>
        <v>1505</v>
      </c>
      <c r="S2322">
        <f t="shared" si="181"/>
        <v>1.3333333333333333</v>
      </c>
      <c r="T2322" t="str">
        <f t="shared" si="182"/>
        <v>Low</v>
      </c>
      <c r="U2322" t="str" cm="1">
        <f t="array" ref="U2322">_xlfn.LET(_xlpm.roles,_xlfn.UNIQUE(D2322:D5120),_xlpm.kills, SUMIF(D2322:D5120,_xlpm.roles,G2322:G5120),INDEX(_xlpm.roles,MATCH(MAX(_xlpm.kills),_xlpm.kills,0)))</f>
        <v>IGL</v>
      </c>
      <c r="V2322" t="str">
        <f t="shared" si="183"/>
        <v>Medium Accuracy</v>
      </c>
      <c r="W2322" t="str" cm="1">
        <f t="array" ref="W2322">_xlfn.LET(_xlpm.roles,_xlfn.UNIQUE(D2322:D5120), _xlpm.counts,COUNTIF(D2322:D5120,_xlpm.roles), INDEX(_xlpm.roles,MATCH(MAX(_xlpm.counts),_xlpm.counts,0)))</f>
        <v>IGL</v>
      </c>
      <c r="X2322" s="2">
        <f t="shared" si="184"/>
        <v>13.135802469135802</v>
      </c>
    </row>
    <row r="2323" spans="1:24" x14ac:dyDescent="0.3">
      <c r="A2323">
        <v>241</v>
      </c>
      <c r="B2323">
        <v>415</v>
      </c>
      <c r="C2323" t="s">
        <v>35</v>
      </c>
      <c r="D2323" t="s">
        <v>22</v>
      </c>
      <c r="E2323" t="s">
        <v>32</v>
      </c>
      <c r="F2323" t="s">
        <v>34</v>
      </c>
      <c r="G2323">
        <v>14</v>
      </c>
      <c r="H2323">
        <v>7</v>
      </c>
      <c r="I2323">
        <v>11</v>
      </c>
      <c r="J2323">
        <v>39.200000000000003</v>
      </c>
      <c r="K2323">
        <v>226</v>
      </c>
      <c r="L2323">
        <v>0.09</v>
      </c>
      <c r="M2323">
        <v>42.7</v>
      </c>
      <c r="N2323">
        <v>0.93</v>
      </c>
      <c r="O2323" t="s">
        <v>20</v>
      </c>
      <c r="P2323" t="s">
        <v>21</v>
      </c>
      <c r="Q2323">
        <f t="shared" si="180"/>
        <v>10</v>
      </c>
      <c r="R2323" s="4">
        <f>RANK(N2323,$N$2:N$2800,0)</f>
        <v>1505</v>
      </c>
      <c r="S2323">
        <f t="shared" si="181"/>
        <v>1.2727272727272727</v>
      </c>
      <c r="T2323" t="str">
        <f t="shared" si="182"/>
        <v>Low</v>
      </c>
      <c r="U2323" t="str" cm="1">
        <f t="array" ref="U2323">_xlfn.LET(_xlpm.roles,_xlfn.UNIQUE(D2323:D5121),_xlpm.kills, SUMIF(D2323:D5121,_xlpm.roles,G2323:G5121),INDEX(_xlpm.roles,MATCH(MAX(_xlpm.kills),_xlpm.kills,0)))</f>
        <v>IGL</v>
      </c>
      <c r="V2323" t="str">
        <f t="shared" si="183"/>
        <v>Medium Accuracy</v>
      </c>
      <c r="W2323" t="str" cm="1">
        <f t="array" ref="W2323">_xlfn.LET(_xlpm.roles,_xlfn.UNIQUE(D2323:D5121), _xlpm.counts,COUNTIF(D2323:D5121,_xlpm.roles), INDEX(_xlpm.roles,MATCH(MAX(_xlpm.counts),_xlpm.counts,0)))</f>
        <v>IGL</v>
      </c>
      <c r="X2323" s="2">
        <f t="shared" si="184"/>
        <v>12.599585062240664</v>
      </c>
    </row>
    <row r="2324" spans="1:24" x14ac:dyDescent="0.3">
      <c r="A2324">
        <v>526</v>
      </c>
      <c r="B2324">
        <v>415</v>
      </c>
      <c r="C2324" t="s">
        <v>16</v>
      </c>
      <c r="D2324" t="s">
        <v>31</v>
      </c>
      <c r="E2324" t="s">
        <v>18</v>
      </c>
      <c r="F2324" t="s">
        <v>37</v>
      </c>
      <c r="G2324">
        <v>9</v>
      </c>
      <c r="H2324">
        <v>10</v>
      </c>
      <c r="I2324">
        <v>7</v>
      </c>
      <c r="J2324">
        <v>34.409999999999997</v>
      </c>
      <c r="K2324">
        <v>206.54</v>
      </c>
      <c r="L2324">
        <v>0.81</v>
      </c>
      <c r="M2324">
        <v>30.1</v>
      </c>
      <c r="N2324">
        <v>0.82</v>
      </c>
      <c r="O2324" t="s">
        <v>20</v>
      </c>
      <c r="P2324" t="s">
        <v>21</v>
      </c>
      <c r="Q2324">
        <f t="shared" si="180"/>
        <v>12</v>
      </c>
      <c r="R2324" s="4">
        <f>RANK(N2324,$N$2:N$2800,0)</f>
        <v>2275</v>
      </c>
      <c r="S2324">
        <f t="shared" si="181"/>
        <v>1.2857142857142858</v>
      </c>
      <c r="T2324" t="str">
        <f t="shared" si="182"/>
        <v>Low</v>
      </c>
      <c r="U2324" t="str" cm="1">
        <f t="array" ref="U2324">_xlfn.LET(_xlpm.roles,_xlfn.UNIQUE(D2324:D5122),_xlpm.kills, SUMIF(D2324:D5122,_xlpm.roles,G2324:G5122),INDEX(_xlpm.roles,MATCH(MAX(_xlpm.kills),_xlpm.kills,0)))</f>
        <v>IGL</v>
      </c>
      <c r="V2324" t="str">
        <f t="shared" si="183"/>
        <v>Medium Accuracy</v>
      </c>
      <c r="W2324" t="str" cm="1">
        <f t="array" ref="W2324">_xlfn.LET(_xlpm.roles,_xlfn.UNIQUE(D2324:D5122), _xlpm.counts,COUNTIF(D2324:D5122,_xlpm.roles), INDEX(_xlpm.roles,MATCH(MAX(_xlpm.counts),_xlpm.counts,0)))</f>
        <v>IGL</v>
      </c>
      <c r="X2324" s="2">
        <f t="shared" si="184"/>
        <v>12.520971302428256</v>
      </c>
    </row>
    <row r="2325" spans="1:24" x14ac:dyDescent="0.3">
      <c r="A2325">
        <v>982</v>
      </c>
      <c r="B2325">
        <v>415</v>
      </c>
      <c r="C2325" t="s">
        <v>16</v>
      </c>
      <c r="D2325" t="s">
        <v>31</v>
      </c>
      <c r="E2325" t="s">
        <v>23</v>
      </c>
      <c r="F2325" t="s">
        <v>26</v>
      </c>
      <c r="G2325">
        <v>13</v>
      </c>
      <c r="H2325">
        <v>4</v>
      </c>
      <c r="I2325">
        <v>8</v>
      </c>
      <c r="J2325">
        <v>40.15</v>
      </c>
      <c r="K2325">
        <v>191.9</v>
      </c>
      <c r="L2325">
        <v>0.64</v>
      </c>
      <c r="M2325">
        <v>35.68</v>
      </c>
      <c r="N2325">
        <v>0.87</v>
      </c>
      <c r="O2325" t="s">
        <v>20</v>
      </c>
      <c r="P2325" t="s">
        <v>21</v>
      </c>
      <c r="Q2325">
        <f t="shared" si="180"/>
        <v>9</v>
      </c>
      <c r="R2325" s="4">
        <f>RANK(N2325,$N$2:N$2800,0)</f>
        <v>1965</v>
      </c>
      <c r="S2325">
        <f t="shared" si="181"/>
        <v>1.625</v>
      </c>
      <c r="T2325" t="str">
        <f t="shared" si="182"/>
        <v>Low</v>
      </c>
      <c r="U2325" t="str" cm="1">
        <f t="array" ref="U2325">_xlfn.LET(_xlpm.roles,_xlfn.UNIQUE(D2325:D5123),_xlpm.kills, SUMIF(D2325:D5123,_xlpm.roles,G2325:G5123),INDEX(_xlpm.roles,MATCH(MAX(_xlpm.kills),_xlpm.kills,0)))</f>
        <v>IGL</v>
      </c>
      <c r="V2325" t="str">
        <f t="shared" si="183"/>
        <v>Medium Accuracy</v>
      </c>
      <c r="W2325" t="str" cm="1">
        <f t="array" ref="W2325">_xlfn.LET(_xlpm.roles,_xlfn.UNIQUE(D2325:D5123), _xlpm.counts,COUNTIF(D2325:D5123,_xlpm.roles), INDEX(_xlpm.roles,MATCH(MAX(_xlpm.counts),_xlpm.counts,0)))</f>
        <v>IGL</v>
      </c>
      <c r="X2325" s="2">
        <f t="shared" si="184"/>
        <v>12.520971302428256</v>
      </c>
    </row>
    <row r="2326" spans="1:24" x14ac:dyDescent="0.3">
      <c r="A2326">
        <v>1042</v>
      </c>
      <c r="B2326">
        <v>415</v>
      </c>
      <c r="C2326" t="s">
        <v>39</v>
      </c>
      <c r="D2326" t="s">
        <v>28</v>
      </c>
      <c r="E2326" t="s">
        <v>32</v>
      </c>
      <c r="F2326" t="s">
        <v>26</v>
      </c>
      <c r="G2326">
        <v>13</v>
      </c>
      <c r="H2326">
        <v>8</v>
      </c>
      <c r="I2326">
        <v>9</v>
      </c>
      <c r="J2326">
        <v>35.369999999999997</v>
      </c>
      <c r="K2326">
        <v>251.68</v>
      </c>
      <c r="L2326">
        <v>0.09</v>
      </c>
      <c r="M2326">
        <v>41.79</v>
      </c>
      <c r="N2326">
        <v>0.77</v>
      </c>
      <c r="O2326" t="s">
        <v>20</v>
      </c>
      <c r="P2326" t="s">
        <v>21</v>
      </c>
      <c r="Q2326">
        <f t="shared" si="180"/>
        <v>12</v>
      </c>
      <c r="R2326" s="4">
        <f>RANK(N2326,$N$2:N$2800,0)</f>
        <v>2511</v>
      </c>
      <c r="S2326">
        <f t="shared" si="181"/>
        <v>1.4444444444444444</v>
      </c>
      <c r="T2326" t="str">
        <f t="shared" si="182"/>
        <v>Low</v>
      </c>
      <c r="U2326" t="str" cm="1">
        <f t="array" ref="U2326">_xlfn.LET(_xlpm.roles,_xlfn.UNIQUE(D2326:D5124),_xlpm.kills, SUMIF(D2326:D5124,_xlpm.roles,G2326:G5124),INDEX(_xlpm.roles,MATCH(MAX(_xlpm.kills),_xlpm.kills,0)))</f>
        <v>IGL</v>
      </c>
      <c r="V2326" t="str">
        <f t="shared" si="183"/>
        <v>Medium Accuracy</v>
      </c>
      <c r="W2326" t="str" cm="1">
        <f t="array" ref="W2326">_xlfn.LET(_xlpm.roles,_xlfn.UNIQUE(D2326:D5124), _xlpm.counts,COUNTIF(D2326:D5124,_xlpm.roles), INDEX(_xlpm.roles,MATCH(MAX(_xlpm.counts),_xlpm.counts,0)))</f>
        <v>IGL</v>
      </c>
      <c r="X2326" s="2">
        <f t="shared" si="184"/>
        <v>13.103594080338267</v>
      </c>
    </row>
    <row r="2327" spans="1:24" x14ac:dyDescent="0.3">
      <c r="A2327">
        <v>1644</v>
      </c>
      <c r="B2327">
        <v>415</v>
      </c>
      <c r="C2327" t="s">
        <v>16</v>
      </c>
      <c r="D2327" t="s">
        <v>36</v>
      </c>
      <c r="E2327" t="s">
        <v>23</v>
      </c>
      <c r="F2327" t="s">
        <v>19</v>
      </c>
      <c r="G2327">
        <v>13</v>
      </c>
      <c r="H2327">
        <v>4</v>
      </c>
      <c r="I2327">
        <v>12</v>
      </c>
      <c r="J2327">
        <v>43.98</v>
      </c>
      <c r="K2327">
        <v>206.26</v>
      </c>
      <c r="L2327">
        <v>0.17</v>
      </c>
      <c r="M2327">
        <v>38.29</v>
      </c>
      <c r="N2327">
        <v>0.82</v>
      </c>
      <c r="O2327" t="s">
        <v>20</v>
      </c>
      <c r="P2327" t="s">
        <v>21</v>
      </c>
      <c r="Q2327">
        <f t="shared" si="180"/>
        <v>5</v>
      </c>
      <c r="R2327" s="4">
        <f>RANK(N2327,$N$2:N$2800,0)</f>
        <v>2275</v>
      </c>
      <c r="S2327">
        <f t="shared" si="181"/>
        <v>1.0833333333333333</v>
      </c>
      <c r="T2327" t="str">
        <f t="shared" si="182"/>
        <v>Low</v>
      </c>
      <c r="U2327" t="str" cm="1">
        <f t="array" ref="U2327">_xlfn.LET(_xlpm.roles,_xlfn.UNIQUE(D2327:D5125),_xlpm.kills, SUMIF(D2327:D5125,_xlpm.roles,G2327:G5125),INDEX(_xlpm.roles,MATCH(MAX(_xlpm.kills),_xlpm.kills,0)))</f>
        <v>IGL</v>
      </c>
      <c r="V2327" t="str">
        <f t="shared" si="183"/>
        <v>Medium Accuracy</v>
      </c>
      <c r="W2327" t="str" cm="1">
        <f t="array" ref="W2327">_xlfn.LET(_xlpm.roles,_xlfn.UNIQUE(D2327:D5125), _xlpm.counts,COUNTIF(D2327:D5125,_xlpm.roles), INDEX(_xlpm.roles,MATCH(MAX(_xlpm.counts),_xlpm.counts,0)))</f>
        <v>IGL</v>
      </c>
      <c r="X2327" s="2">
        <f t="shared" si="184"/>
        <v>12.520971302428256</v>
      </c>
    </row>
    <row r="2328" spans="1:24" x14ac:dyDescent="0.3">
      <c r="A2328">
        <v>2418</v>
      </c>
      <c r="B2328">
        <v>415</v>
      </c>
      <c r="C2328" t="s">
        <v>27</v>
      </c>
      <c r="D2328" t="s">
        <v>22</v>
      </c>
      <c r="E2328" t="s">
        <v>18</v>
      </c>
      <c r="F2328" t="s">
        <v>34</v>
      </c>
      <c r="G2328">
        <v>12</v>
      </c>
      <c r="H2328">
        <v>14</v>
      </c>
      <c r="I2328">
        <v>12</v>
      </c>
      <c r="J2328">
        <v>35.19</v>
      </c>
      <c r="K2328">
        <v>179.62</v>
      </c>
      <c r="L2328">
        <v>0.01</v>
      </c>
      <c r="M2328">
        <v>43.49</v>
      </c>
      <c r="N2328">
        <v>0.9</v>
      </c>
      <c r="O2328" t="s">
        <v>20</v>
      </c>
      <c r="P2328" t="s">
        <v>21</v>
      </c>
      <c r="Q2328">
        <f t="shared" si="180"/>
        <v>14</v>
      </c>
      <c r="R2328" s="4">
        <f>RANK(N2328,$N$2:N$2800,0)</f>
        <v>1738</v>
      </c>
      <c r="S2328">
        <f t="shared" si="181"/>
        <v>1</v>
      </c>
      <c r="T2328" t="str">
        <f t="shared" si="182"/>
        <v>Low</v>
      </c>
      <c r="U2328" t="str" cm="1">
        <f t="array" ref="U2328">_xlfn.LET(_xlpm.roles,_xlfn.UNIQUE(D2328:D5126),_xlpm.kills, SUMIF(D2328:D5126,_xlpm.roles,G2328:G5126),INDEX(_xlpm.roles,MATCH(MAX(_xlpm.kills),_xlpm.kills,0)))</f>
        <v>IGL</v>
      </c>
      <c r="V2328" t="str">
        <f t="shared" si="183"/>
        <v>Medium Accuracy</v>
      </c>
      <c r="W2328" t="str" cm="1">
        <f t="array" ref="W2328">_xlfn.LET(_xlpm.roles,_xlfn.UNIQUE(D2328:D5126), _xlpm.counts,COUNTIF(D2328:D5126,_xlpm.roles), INDEX(_xlpm.roles,MATCH(MAX(_xlpm.counts),_xlpm.counts,0)))</f>
        <v>IGL</v>
      </c>
      <c r="X2328" s="2">
        <f t="shared" si="184"/>
        <v>13.057077625570777</v>
      </c>
    </row>
    <row r="2329" spans="1:24" x14ac:dyDescent="0.3">
      <c r="A2329">
        <v>2689</v>
      </c>
      <c r="B2329">
        <v>415</v>
      </c>
      <c r="C2329" t="s">
        <v>35</v>
      </c>
      <c r="D2329" t="s">
        <v>36</v>
      </c>
      <c r="E2329" t="s">
        <v>23</v>
      </c>
      <c r="F2329" t="s">
        <v>24</v>
      </c>
      <c r="G2329">
        <v>17</v>
      </c>
      <c r="H2329">
        <v>14</v>
      </c>
      <c r="I2329">
        <v>9</v>
      </c>
      <c r="J2329">
        <v>49.32</v>
      </c>
      <c r="K2329">
        <v>221.32</v>
      </c>
      <c r="L2329">
        <v>0.03</v>
      </c>
      <c r="M2329">
        <v>63.36</v>
      </c>
      <c r="N2329">
        <v>1</v>
      </c>
      <c r="O2329" t="s">
        <v>20</v>
      </c>
      <c r="P2329" t="s">
        <v>38</v>
      </c>
      <c r="Q2329">
        <f t="shared" si="180"/>
        <v>22</v>
      </c>
      <c r="R2329" s="4">
        <f>RANK(N2329,$N$2:N$2800,0)</f>
        <v>1</v>
      </c>
      <c r="S2329">
        <f t="shared" si="181"/>
        <v>1.8888888888888888</v>
      </c>
      <c r="T2329" t="str">
        <f t="shared" si="182"/>
        <v>Good</v>
      </c>
      <c r="U2329" t="str" cm="1">
        <f t="array" ref="U2329">_xlfn.LET(_xlpm.roles,_xlfn.UNIQUE(D2329:D5127),_xlpm.kills, SUMIF(D2329:D5127,_xlpm.roles,G2329:G5127),INDEX(_xlpm.roles,MATCH(MAX(_xlpm.kills),_xlpm.kills,0)))</f>
        <v>IGL</v>
      </c>
      <c r="V2329" t="str">
        <f t="shared" si="183"/>
        <v>Medium Accuracy</v>
      </c>
      <c r="W2329" t="str" cm="1">
        <f t="array" ref="W2329">_xlfn.LET(_xlpm.roles,_xlfn.UNIQUE(D2329:D5127), _xlpm.counts,COUNTIF(D2329:D5127,_xlpm.roles), INDEX(_xlpm.roles,MATCH(MAX(_xlpm.counts),_xlpm.counts,0)))</f>
        <v>IGL</v>
      </c>
      <c r="X2329" s="2">
        <f t="shared" si="184"/>
        <v>12.599585062240664</v>
      </c>
    </row>
    <row r="2330" spans="1:24" x14ac:dyDescent="0.3">
      <c r="A2330">
        <v>2740</v>
      </c>
      <c r="B2330">
        <v>415</v>
      </c>
      <c r="C2330" t="s">
        <v>27</v>
      </c>
      <c r="D2330" t="s">
        <v>36</v>
      </c>
      <c r="E2330" t="s">
        <v>33</v>
      </c>
      <c r="F2330" t="s">
        <v>34</v>
      </c>
      <c r="G2330">
        <v>16</v>
      </c>
      <c r="H2330">
        <v>6</v>
      </c>
      <c r="I2330">
        <v>11</v>
      </c>
      <c r="J2330">
        <v>35.200000000000003</v>
      </c>
      <c r="K2330">
        <v>145.01</v>
      </c>
      <c r="L2330">
        <v>0.04</v>
      </c>
      <c r="M2330">
        <v>44.2</v>
      </c>
      <c r="N2330">
        <v>0.87</v>
      </c>
      <c r="O2330" t="s">
        <v>20</v>
      </c>
      <c r="P2330" t="s">
        <v>21</v>
      </c>
      <c r="Q2330">
        <f t="shared" si="180"/>
        <v>11</v>
      </c>
      <c r="R2330" s="4">
        <f>RANK(N2330,$N$2:N$2800,0)</f>
        <v>1965</v>
      </c>
      <c r="S2330">
        <f t="shared" si="181"/>
        <v>1.4545454545454546</v>
      </c>
      <c r="T2330" t="str">
        <f t="shared" si="182"/>
        <v>Low</v>
      </c>
      <c r="U2330" t="str" cm="1">
        <f t="array" ref="U2330">_xlfn.LET(_xlpm.roles,_xlfn.UNIQUE(D2330:D5128),_xlpm.kills, SUMIF(D2330:D5128,_xlpm.roles,G2330:G5128),INDEX(_xlpm.roles,MATCH(MAX(_xlpm.kills),_xlpm.kills,0)))</f>
        <v>IGL</v>
      </c>
      <c r="V2330" t="str">
        <f t="shared" si="183"/>
        <v>Medium Accuracy</v>
      </c>
      <c r="W2330" t="str" cm="1">
        <f t="array" ref="W2330">_xlfn.LET(_xlpm.roles,_xlfn.UNIQUE(D2330:D5128), _xlpm.counts,COUNTIF(D2330:D5128,_xlpm.roles), INDEX(_xlpm.roles,MATCH(MAX(_xlpm.counts),_xlpm.counts,0)))</f>
        <v>IGL</v>
      </c>
      <c r="X2330" s="2">
        <f t="shared" si="184"/>
        <v>13.057077625570777</v>
      </c>
    </row>
    <row r="2331" spans="1:24" x14ac:dyDescent="0.3">
      <c r="A2331">
        <v>2760</v>
      </c>
      <c r="B2331">
        <v>415</v>
      </c>
      <c r="C2331" t="s">
        <v>39</v>
      </c>
      <c r="D2331" t="s">
        <v>17</v>
      </c>
      <c r="E2331" t="s">
        <v>32</v>
      </c>
      <c r="F2331" t="s">
        <v>19</v>
      </c>
      <c r="G2331">
        <v>18</v>
      </c>
      <c r="H2331">
        <v>5</v>
      </c>
      <c r="I2331">
        <v>18</v>
      </c>
      <c r="J2331">
        <v>51.96</v>
      </c>
      <c r="K2331">
        <v>148.55000000000001</v>
      </c>
      <c r="L2331">
        <v>0.21</v>
      </c>
      <c r="M2331">
        <v>46.88</v>
      </c>
      <c r="N2331">
        <v>0.9</v>
      </c>
      <c r="O2331" t="s">
        <v>20</v>
      </c>
      <c r="P2331" t="s">
        <v>21</v>
      </c>
      <c r="Q2331">
        <f t="shared" si="180"/>
        <v>5</v>
      </c>
      <c r="R2331" s="4">
        <f>RANK(N2331,$N$2:N$2800,0)</f>
        <v>1738</v>
      </c>
      <c r="S2331">
        <f t="shared" si="181"/>
        <v>1</v>
      </c>
      <c r="T2331" t="str">
        <f t="shared" si="182"/>
        <v>Low</v>
      </c>
      <c r="U2331" t="str" cm="1">
        <f t="array" ref="U2331">_xlfn.LET(_xlpm.roles,_xlfn.UNIQUE(D2331:D5129),_xlpm.kills, SUMIF(D2331:D5129,_xlpm.roles,G2331:G5129),INDEX(_xlpm.roles,MATCH(MAX(_xlpm.kills),_xlpm.kills,0)))</f>
        <v>IGL</v>
      </c>
      <c r="V2331" t="str">
        <f t="shared" si="183"/>
        <v>High Accuracy</v>
      </c>
      <c r="W2331" t="str" cm="1">
        <f t="array" ref="W2331">_xlfn.LET(_xlpm.roles,_xlfn.UNIQUE(D2331:D5129), _xlpm.counts,COUNTIF(D2331:D5129,_xlpm.roles), INDEX(_xlpm.roles,MATCH(MAX(_xlpm.counts),_xlpm.counts,0)))</f>
        <v>IGL</v>
      </c>
      <c r="X2331" s="2">
        <f t="shared" si="184"/>
        <v>13.103594080338267</v>
      </c>
    </row>
    <row r="2332" spans="1:24" x14ac:dyDescent="0.3">
      <c r="A2332">
        <v>398</v>
      </c>
      <c r="B2332">
        <v>416</v>
      </c>
      <c r="C2332" t="s">
        <v>30</v>
      </c>
      <c r="D2332" t="s">
        <v>17</v>
      </c>
      <c r="E2332" t="s">
        <v>23</v>
      </c>
      <c r="F2332" t="s">
        <v>24</v>
      </c>
      <c r="G2332">
        <v>19</v>
      </c>
      <c r="H2332">
        <v>7</v>
      </c>
      <c r="I2332">
        <v>8</v>
      </c>
      <c r="J2332">
        <v>53.65</v>
      </c>
      <c r="K2332">
        <v>214.72</v>
      </c>
      <c r="L2332">
        <v>0.4</v>
      </c>
      <c r="M2332">
        <v>59.83</v>
      </c>
      <c r="N2332">
        <v>0.81</v>
      </c>
      <c r="O2332" t="s">
        <v>20</v>
      </c>
      <c r="P2332" t="s">
        <v>21</v>
      </c>
      <c r="Q2332">
        <f t="shared" si="180"/>
        <v>18</v>
      </c>
      <c r="R2332" s="4">
        <f>RANK(N2332,$N$2:N$2800,0)</f>
        <v>2341</v>
      </c>
      <c r="S2332">
        <f t="shared" si="181"/>
        <v>2.375</v>
      </c>
      <c r="T2332" t="str">
        <f t="shared" si="182"/>
        <v>Good</v>
      </c>
      <c r="U2332" t="str" cm="1">
        <f t="array" ref="U2332">_xlfn.LET(_xlpm.roles,_xlfn.UNIQUE(D2332:D5130),_xlpm.kills, SUMIF(D2332:D5130,_xlpm.roles,G2332:G5130),INDEX(_xlpm.roles,MATCH(MAX(_xlpm.kills),_xlpm.kills,0)))</f>
        <v>IGL</v>
      </c>
      <c r="V2332" t="str">
        <f t="shared" si="183"/>
        <v>High Accuracy</v>
      </c>
      <c r="W2332" t="str" cm="1">
        <f t="array" ref="W2332">_xlfn.LET(_xlpm.roles,_xlfn.UNIQUE(D2332:D5130), _xlpm.counts,COUNTIF(D2332:D5130,_xlpm.roles), INDEX(_xlpm.roles,MATCH(MAX(_xlpm.counts),_xlpm.counts,0)))</f>
        <v>IGL</v>
      </c>
      <c r="X2332" s="2">
        <f t="shared" si="184"/>
        <v>13.135802469135802</v>
      </c>
    </row>
    <row r="2333" spans="1:24" x14ac:dyDescent="0.3">
      <c r="A2333">
        <v>959</v>
      </c>
      <c r="B2333">
        <v>416</v>
      </c>
      <c r="C2333" t="s">
        <v>25</v>
      </c>
      <c r="D2333" t="s">
        <v>28</v>
      </c>
      <c r="E2333" t="s">
        <v>32</v>
      </c>
      <c r="F2333" t="s">
        <v>19</v>
      </c>
      <c r="G2333">
        <v>18</v>
      </c>
      <c r="H2333">
        <v>9</v>
      </c>
      <c r="I2333">
        <v>8</v>
      </c>
      <c r="J2333">
        <v>53.46</v>
      </c>
      <c r="K2333">
        <v>199.13</v>
      </c>
      <c r="L2333">
        <v>0.67</v>
      </c>
      <c r="M2333">
        <v>57.03</v>
      </c>
      <c r="N2333">
        <v>1</v>
      </c>
      <c r="O2333" t="s">
        <v>20</v>
      </c>
      <c r="P2333" t="s">
        <v>21</v>
      </c>
      <c r="Q2333">
        <f t="shared" si="180"/>
        <v>19</v>
      </c>
      <c r="R2333" s="4">
        <f>RANK(N2333,$N$2:N$2800,0)</f>
        <v>1</v>
      </c>
      <c r="S2333">
        <f t="shared" si="181"/>
        <v>2.25</v>
      </c>
      <c r="T2333" t="str">
        <f t="shared" si="182"/>
        <v>Good</v>
      </c>
      <c r="U2333" t="str" cm="1">
        <f t="array" ref="U2333">_xlfn.LET(_xlpm.roles,_xlfn.UNIQUE(D2333:D5131),_xlpm.kills, SUMIF(D2333:D5131,_xlpm.roles,G2333:G5131),INDEX(_xlpm.roles,MATCH(MAX(_xlpm.kills),_xlpm.kills,0)))</f>
        <v>IGL</v>
      </c>
      <c r="V2333" t="str">
        <f t="shared" si="183"/>
        <v>High Accuracy</v>
      </c>
      <c r="W2333" t="str" cm="1">
        <f t="array" ref="W2333">_xlfn.LET(_xlpm.roles,_xlfn.UNIQUE(D2333:D5131), _xlpm.counts,COUNTIF(D2333:D5131,_xlpm.roles), INDEX(_xlpm.roles,MATCH(MAX(_xlpm.counts),_xlpm.counts,0)))</f>
        <v>IGL</v>
      </c>
      <c r="X2333" s="2">
        <f t="shared" si="184"/>
        <v>12.809421841541756</v>
      </c>
    </row>
    <row r="2334" spans="1:24" x14ac:dyDescent="0.3">
      <c r="A2334">
        <v>1271</v>
      </c>
      <c r="B2334">
        <v>416</v>
      </c>
      <c r="C2334" t="s">
        <v>35</v>
      </c>
      <c r="D2334" t="s">
        <v>31</v>
      </c>
      <c r="E2334" t="s">
        <v>29</v>
      </c>
      <c r="F2334" t="s">
        <v>37</v>
      </c>
      <c r="G2334">
        <v>16</v>
      </c>
      <c r="H2334">
        <v>8</v>
      </c>
      <c r="I2334">
        <v>10</v>
      </c>
      <c r="J2334">
        <v>46.35</v>
      </c>
      <c r="K2334">
        <v>226.91</v>
      </c>
      <c r="L2334">
        <v>0.97</v>
      </c>
      <c r="M2334">
        <v>43.47</v>
      </c>
      <c r="N2334">
        <v>0.98</v>
      </c>
      <c r="O2334" t="s">
        <v>20</v>
      </c>
      <c r="P2334" t="s">
        <v>21</v>
      </c>
      <c r="Q2334">
        <f t="shared" si="180"/>
        <v>14</v>
      </c>
      <c r="R2334" s="4">
        <f>RANK(N2334,$N$2:N$2800,0)</f>
        <v>1157</v>
      </c>
      <c r="S2334">
        <f t="shared" si="181"/>
        <v>1.6</v>
      </c>
      <c r="T2334" t="str">
        <f t="shared" si="182"/>
        <v>Low</v>
      </c>
      <c r="U2334" t="str" cm="1">
        <f t="array" ref="U2334">_xlfn.LET(_xlpm.roles,_xlfn.UNIQUE(D2334:D5132),_xlpm.kills, SUMIF(D2334:D5132,_xlpm.roles,G2334:G5132),INDEX(_xlpm.roles,MATCH(MAX(_xlpm.kills),_xlpm.kills,0)))</f>
        <v>IGL</v>
      </c>
      <c r="V2334" t="str">
        <f t="shared" si="183"/>
        <v>Medium Accuracy</v>
      </c>
      <c r="W2334" t="str" cm="1">
        <f t="array" ref="W2334">_xlfn.LET(_xlpm.roles,_xlfn.UNIQUE(D2334:D5132), _xlpm.counts,COUNTIF(D2334:D5132,_xlpm.roles), INDEX(_xlpm.roles,MATCH(MAX(_xlpm.counts),_xlpm.counts,0)))</f>
        <v>IGL</v>
      </c>
      <c r="X2334" s="2">
        <f t="shared" si="184"/>
        <v>12.599585062240664</v>
      </c>
    </row>
    <row r="2335" spans="1:24" x14ac:dyDescent="0.3">
      <c r="A2335">
        <v>1663</v>
      </c>
      <c r="B2335">
        <v>416</v>
      </c>
      <c r="C2335" t="s">
        <v>39</v>
      </c>
      <c r="D2335" t="s">
        <v>28</v>
      </c>
      <c r="E2335" t="s">
        <v>33</v>
      </c>
      <c r="F2335" t="s">
        <v>37</v>
      </c>
      <c r="G2335">
        <v>9</v>
      </c>
      <c r="H2335">
        <v>9</v>
      </c>
      <c r="I2335">
        <v>9</v>
      </c>
      <c r="J2335">
        <v>44.76</v>
      </c>
      <c r="K2335">
        <v>205.65</v>
      </c>
      <c r="L2335">
        <v>0.21</v>
      </c>
      <c r="M2335">
        <v>38.28</v>
      </c>
      <c r="N2335">
        <v>0.71</v>
      </c>
      <c r="O2335" t="s">
        <v>20</v>
      </c>
      <c r="P2335" t="s">
        <v>21</v>
      </c>
      <c r="Q2335">
        <f t="shared" si="180"/>
        <v>9</v>
      </c>
      <c r="R2335" s="4">
        <f>RANK(N2335,$N$2:N$2800,0)</f>
        <v>2688</v>
      </c>
      <c r="S2335">
        <f t="shared" si="181"/>
        <v>1</v>
      </c>
      <c r="T2335" t="str">
        <f t="shared" si="182"/>
        <v>Low</v>
      </c>
      <c r="U2335" t="str" cm="1">
        <f t="array" ref="U2335">_xlfn.LET(_xlpm.roles,_xlfn.UNIQUE(D2335:D5133),_xlpm.kills, SUMIF(D2335:D5133,_xlpm.roles,G2335:G5133),INDEX(_xlpm.roles,MATCH(MAX(_xlpm.kills),_xlpm.kills,0)))</f>
        <v>IGL</v>
      </c>
      <c r="V2335" t="str">
        <f t="shared" si="183"/>
        <v>Medium Accuracy</v>
      </c>
      <c r="W2335" t="str" cm="1">
        <f t="array" ref="W2335">_xlfn.LET(_xlpm.roles,_xlfn.UNIQUE(D2335:D5133), _xlpm.counts,COUNTIF(D2335:D5133,_xlpm.roles), INDEX(_xlpm.roles,MATCH(MAX(_xlpm.counts),_xlpm.counts,0)))</f>
        <v>IGL</v>
      </c>
      <c r="X2335" s="2">
        <f t="shared" si="184"/>
        <v>13.103594080338267</v>
      </c>
    </row>
    <row r="2336" spans="1:24" x14ac:dyDescent="0.3">
      <c r="A2336">
        <v>2084</v>
      </c>
      <c r="B2336">
        <v>416</v>
      </c>
      <c r="C2336" t="s">
        <v>16</v>
      </c>
      <c r="D2336" t="s">
        <v>17</v>
      </c>
      <c r="E2336" t="s">
        <v>23</v>
      </c>
      <c r="F2336" t="s">
        <v>34</v>
      </c>
      <c r="G2336">
        <v>12</v>
      </c>
      <c r="H2336">
        <v>13</v>
      </c>
      <c r="I2336">
        <v>10</v>
      </c>
      <c r="J2336">
        <v>47.9</v>
      </c>
      <c r="K2336">
        <v>210.08</v>
      </c>
      <c r="L2336">
        <v>0.19</v>
      </c>
      <c r="M2336">
        <v>49.05</v>
      </c>
      <c r="N2336">
        <v>1</v>
      </c>
      <c r="O2336" t="s">
        <v>20</v>
      </c>
      <c r="P2336" t="s">
        <v>21</v>
      </c>
      <c r="Q2336">
        <f t="shared" si="180"/>
        <v>15</v>
      </c>
      <c r="R2336" s="4">
        <f>RANK(N2336,$N$2:N$2800,0)</f>
        <v>1</v>
      </c>
      <c r="S2336">
        <f t="shared" si="181"/>
        <v>1.2</v>
      </c>
      <c r="T2336" t="str">
        <f t="shared" si="182"/>
        <v>Good</v>
      </c>
      <c r="U2336" t="str" cm="1">
        <f t="array" ref="U2336">_xlfn.LET(_xlpm.roles,_xlfn.UNIQUE(D2336:D5134),_xlpm.kills, SUMIF(D2336:D5134,_xlpm.roles,G2336:G5134),INDEX(_xlpm.roles,MATCH(MAX(_xlpm.kills),_xlpm.kills,0)))</f>
        <v>IGL</v>
      </c>
      <c r="V2336" t="str">
        <f t="shared" si="183"/>
        <v>Medium Accuracy</v>
      </c>
      <c r="W2336" t="str" cm="1">
        <f t="array" ref="W2336">_xlfn.LET(_xlpm.roles,_xlfn.UNIQUE(D2336:D5134), _xlpm.counts,COUNTIF(D2336:D5134,_xlpm.roles), INDEX(_xlpm.roles,MATCH(MAX(_xlpm.counts),_xlpm.counts,0)))</f>
        <v>IGL</v>
      </c>
      <c r="X2336" s="2">
        <f t="shared" si="184"/>
        <v>12.520971302428256</v>
      </c>
    </row>
    <row r="2337" spans="1:24" x14ac:dyDescent="0.3">
      <c r="A2337">
        <v>89</v>
      </c>
      <c r="B2337">
        <v>417</v>
      </c>
      <c r="C2337" t="s">
        <v>35</v>
      </c>
      <c r="D2337" t="s">
        <v>36</v>
      </c>
      <c r="E2337" t="s">
        <v>18</v>
      </c>
      <c r="F2337" t="s">
        <v>37</v>
      </c>
      <c r="G2337">
        <v>8</v>
      </c>
      <c r="H2337">
        <v>12</v>
      </c>
      <c r="I2337">
        <v>10</v>
      </c>
      <c r="J2337">
        <v>42.03</v>
      </c>
      <c r="K2337">
        <v>190.23</v>
      </c>
      <c r="L2337">
        <v>7.0000000000000007E-2</v>
      </c>
      <c r="M2337">
        <v>38.31</v>
      </c>
      <c r="N2337">
        <v>0.89</v>
      </c>
      <c r="O2337" t="s">
        <v>20</v>
      </c>
      <c r="P2337" t="s">
        <v>21</v>
      </c>
      <c r="Q2337">
        <f t="shared" si="180"/>
        <v>10</v>
      </c>
      <c r="R2337" s="4">
        <f>RANK(N2337,$N$2:N$2800,0)</f>
        <v>1815</v>
      </c>
      <c r="S2337">
        <f t="shared" si="181"/>
        <v>0.8</v>
      </c>
      <c r="T2337" t="str">
        <f t="shared" si="182"/>
        <v>Low</v>
      </c>
      <c r="U2337" t="str" cm="1">
        <f t="array" ref="U2337">_xlfn.LET(_xlpm.roles,_xlfn.UNIQUE(D2337:D5135),_xlpm.kills, SUMIF(D2337:D5135,_xlpm.roles,G2337:G5135),INDEX(_xlpm.roles,MATCH(MAX(_xlpm.kills),_xlpm.kills,0)))</f>
        <v>IGL</v>
      </c>
      <c r="V2337" t="str">
        <f t="shared" si="183"/>
        <v>Medium Accuracy</v>
      </c>
      <c r="W2337" t="str" cm="1">
        <f t="array" ref="W2337">_xlfn.LET(_xlpm.roles,_xlfn.UNIQUE(D2337:D5135), _xlpm.counts,COUNTIF(D2337:D5135,_xlpm.roles), INDEX(_xlpm.roles,MATCH(MAX(_xlpm.counts),_xlpm.counts,0)))</f>
        <v>IGL</v>
      </c>
      <c r="X2337" s="2">
        <f t="shared" si="184"/>
        <v>12.599585062240664</v>
      </c>
    </row>
    <row r="2338" spans="1:24" x14ac:dyDescent="0.3">
      <c r="A2338">
        <v>484</v>
      </c>
      <c r="B2338">
        <v>417</v>
      </c>
      <c r="C2338" t="s">
        <v>27</v>
      </c>
      <c r="D2338" t="s">
        <v>36</v>
      </c>
      <c r="E2338" t="s">
        <v>33</v>
      </c>
      <c r="F2338" t="s">
        <v>24</v>
      </c>
      <c r="G2338">
        <v>24</v>
      </c>
      <c r="H2338">
        <v>8</v>
      </c>
      <c r="I2338">
        <v>9</v>
      </c>
      <c r="J2338">
        <v>29.53</v>
      </c>
      <c r="K2338">
        <v>170.44</v>
      </c>
      <c r="L2338">
        <v>0.51</v>
      </c>
      <c r="M2338">
        <v>56.66</v>
      </c>
      <c r="N2338">
        <v>1</v>
      </c>
      <c r="O2338" t="s">
        <v>20</v>
      </c>
      <c r="P2338" t="s">
        <v>21</v>
      </c>
      <c r="Q2338">
        <f t="shared" si="180"/>
        <v>23</v>
      </c>
      <c r="R2338" s="4">
        <f>RANK(N2338,$N$2:N$2800,0)</f>
        <v>1</v>
      </c>
      <c r="S2338">
        <f t="shared" si="181"/>
        <v>2.6666666666666665</v>
      </c>
      <c r="T2338" t="str">
        <f t="shared" si="182"/>
        <v>Good</v>
      </c>
      <c r="U2338" t="str" cm="1">
        <f t="array" ref="U2338">_xlfn.LET(_xlpm.roles,_xlfn.UNIQUE(D2338:D5136),_xlpm.kills, SUMIF(D2338:D5136,_xlpm.roles,G2338:G5136),INDEX(_xlpm.roles,MATCH(MAX(_xlpm.kills),_xlpm.kills,0)))</f>
        <v>IGL</v>
      </c>
      <c r="V2338" t="str">
        <f t="shared" si="183"/>
        <v>Low Accuracy</v>
      </c>
      <c r="W2338" t="str" cm="1">
        <f t="array" ref="W2338">_xlfn.LET(_xlpm.roles,_xlfn.UNIQUE(D2338:D5136), _xlpm.counts,COUNTIF(D2338:D5136,_xlpm.roles), INDEX(_xlpm.roles,MATCH(MAX(_xlpm.counts),_xlpm.counts,0)))</f>
        <v>IGL</v>
      </c>
      <c r="X2338" s="2">
        <f t="shared" si="184"/>
        <v>13.057077625570777</v>
      </c>
    </row>
    <row r="2339" spans="1:24" x14ac:dyDescent="0.3">
      <c r="A2339">
        <v>2388</v>
      </c>
      <c r="B2339">
        <v>417</v>
      </c>
      <c r="C2339" t="s">
        <v>35</v>
      </c>
      <c r="D2339" t="s">
        <v>36</v>
      </c>
      <c r="E2339" t="s">
        <v>29</v>
      </c>
      <c r="F2339" t="s">
        <v>37</v>
      </c>
      <c r="G2339">
        <v>21</v>
      </c>
      <c r="H2339">
        <v>8</v>
      </c>
      <c r="I2339">
        <v>6</v>
      </c>
      <c r="J2339">
        <v>52.21</v>
      </c>
      <c r="K2339">
        <v>194.57</v>
      </c>
      <c r="L2339">
        <v>0.5</v>
      </c>
      <c r="M2339">
        <v>65.11</v>
      </c>
      <c r="N2339">
        <v>1</v>
      </c>
      <c r="O2339" t="s">
        <v>20</v>
      </c>
      <c r="P2339" t="s">
        <v>38</v>
      </c>
      <c r="Q2339">
        <f t="shared" si="180"/>
        <v>23</v>
      </c>
      <c r="R2339" s="4">
        <f>RANK(N2339,$N$2:N$2800,0)</f>
        <v>1</v>
      </c>
      <c r="S2339">
        <f t="shared" si="181"/>
        <v>3.5</v>
      </c>
      <c r="T2339" t="str">
        <f t="shared" si="182"/>
        <v>Good</v>
      </c>
      <c r="U2339" t="str" cm="1">
        <f t="array" ref="U2339">_xlfn.LET(_xlpm.roles,_xlfn.UNIQUE(D2339:D5137),_xlpm.kills, SUMIF(D2339:D5137,_xlpm.roles,G2339:G5137),INDEX(_xlpm.roles,MATCH(MAX(_xlpm.kills),_xlpm.kills,0)))</f>
        <v>IGL</v>
      </c>
      <c r="V2339" t="str">
        <f t="shared" si="183"/>
        <v>High Accuracy</v>
      </c>
      <c r="W2339" t="str" cm="1">
        <f t="array" ref="W2339">_xlfn.LET(_xlpm.roles,_xlfn.UNIQUE(D2339:D5137), _xlpm.counts,COUNTIF(D2339:D5137,_xlpm.roles), INDEX(_xlpm.roles,MATCH(MAX(_xlpm.counts),_xlpm.counts,0)))</f>
        <v>IGL</v>
      </c>
      <c r="X2339" s="2">
        <f t="shared" si="184"/>
        <v>12.599585062240664</v>
      </c>
    </row>
    <row r="2340" spans="1:24" x14ac:dyDescent="0.3">
      <c r="A2340">
        <v>2468</v>
      </c>
      <c r="B2340">
        <v>417</v>
      </c>
      <c r="C2340" t="s">
        <v>35</v>
      </c>
      <c r="D2340" t="s">
        <v>31</v>
      </c>
      <c r="E2340" t="s">
        <v>29</v>
      </c>
      <c r="F2340" t="s">
        <v>19</v>
      </c>
      <c r="G2340">
        <v>15</v>
      </c>
      <c r="H2340">
        <v>10</v>
      </c>
      <c r="I2340">
        <v>7</v>
      </c>
      <c r="J2340">
        <v>38.799999999999997</v>
      </c>
      <c r="K2340">
        <v>247.79</v>
      </c>
      <c r="L2340">
        <v>0.1</v>
      </c>
      <c r="M2340">
        <v>51.4</v>
      </c>
      <c r="N2340">
        <v>0.96</v>
      </c>
      <c r="O2340" t="s">
        <v>20</v>
      </c>
      <c r="P2340" t="s">
        <v>21</v>
      </c>
      <c r="Q2340">
        <f t="shared" si="180"/>
        <v>18</v>
      </c>
      <c r="R2340" s="4">
        <f>RANK(N2340,$N$2:N$2800,0)</f>
        <v>1301</v>
      </c>
      <c r="S2340">
        <f t="shared" si="181"/>
        <v>2.1428571428571428</v>
      </c>
      <c r="T2340" t="str">
        <f t="shared" si="182"/>
        <v>Good</v>
      </c>
      <c r="U2340" t="str" cm="1">
        <f t="array" ref="U2340">_xlfn.LET(_xlpm.roles,_xlfn.UNIQUE(D2340:D5138),_xlpm.kills, SUMIF(D2340:D5138,_xlpm.roles,G2340:G5138),INDEX(_xlpm.roles,MATCH(MAX(_xlpm.kills),_xlpm.kills,0)))</f>
        <v>IGL</v>
      </c>
      <c r="V2340" t="str">
        <f t="shared" si="183"/>
        <v>Medium Accuracy</v>
      </c>
      <c r="W2340" t="str" cm="1">
        <f t="array" ref="W2340">_xlfn.LET(_xlpm.roles,_xlfn.UNIQUE(D2340:D5138), _xlpm.counts,COUNTIF(D2340:D5138,_xlpm.roles), INDEX(_xlpm.roles,MATCH(MAX(_xlpm.counts),_xlpm.counts,0)))</f>
        <v>IGL</v>
      </c>
      <c r="X2340" s="2">
        <f t="shared" si="184"/>
        <v>12.599585062240664</v>
      </c>
    </row>
    <row r="2341" spans="1:24" x14ac:dyDescent="0.3">
      <c r="A2341">
        <v>2692</v>
      </c>
      <c r="B2341">
        <v>417</v>
      </c>
      <c r="C2341" t="s">
        <v>39</v>
      </c>
      <c r="D2341" t="s">
        <v>22</v>
      </c>
      <c r="E2341" t="s">
        <v>32</v>
      </c>
      <c r="F2341" t="s">
        <v>34</v>
      </c>
      <c r="G2341">
        <v>17</v>
      </c>
      <c r="H2341">
        <v>9</v>
      </c>
      <c r="I2341">
        <v>7</v>
      </c>
      <c r="J2341">
        <v>47.15</v>
      </c>
      <c r="K2341">
        <v>242.54</v>
      </c>
      <c r="L2341">
        <v>0.64</v>
      </c>
      <c r="M2341">
        <v>53.18</v>
      </c>
      <c r="N2341">
        <v>0.91</v>
      </c>
      <c r="O2341" t="s">
        <v>20</v>
      </c>
      <c r="P2341" t="s">
        <v>21</v>
      </c>
      <c r="Q2341">
        <f t="shared" si="180"/>
        <v>19</v>
      </c>
      <c r="R2341" s="4">
        <f>RANK(N2341,$N$2:N$2800,0)</f>
        <v>1665</v>
      </c>
      <c r="S2341">
        <f t="shared" si="181"/>
        <v>2.4285714285714284</v>
      </c>
      <c r="T2341" t="str">
        <f t="shared" si="182"/>
        <v>Good</v>
      </c>
      <c r="U2341" t="str" cm="1">
        <f t="array" ref="U2341">_xlfn.LET(_xlpm.roles,_xlfn.UNIQUE(D2341:D5139),_xlpm.kills, SUMIF(D2341:D5139,_xlpm.roles,G2341:G5139),INDEX(_xlpm.roles,MATCH(MAX(_xlpm.kills),_xlpm.kills,0)))</f>
        <v>IGL</v>
      </c>
      <c r="V2341" t="str">
        <f t="shared" si="183"/>
        <v>Medium Accuracy</v>
      </c>
      <c r="W2341" t="str" cm="1">
        <f t="array" ref="W2341">_xlfn.LET(_xlpm.roles,_xlfn.UNIQUE(D2341:D5139), _xlpm.counts,COUNTIF(D2341:D5139,_xlpm.roles), INDEX(_xlpm.roles,MATCH(MAX(_xlpm.counts),_xlpm.counts,0)))</f>
        <v>IGL</v>
      </c>
      <c r="X2341" s="2">
        <f t="shared" si="184"/>
        <v>13.103594080338267</v>
      </c>
    </row>
    <row r="2342" spans="1:24" x14ac:dyDescent="0.3">
      <c r="A2342">
        <v>521</v>
      </c>
      <c r="B2342">
        <v>418</v>
      </c>
      <c r="C2342" t="s">
        <v>35</v>
      </c>
      <c r="D2342" t="s">
        <v>17</v>
      </c>
      <c r="E2342" t="s">
        <v>29</v>
      </c>
      <c r="F2342" t="s">
        <v>24</v>
      </c>
      <c r="G2342">
        <v>11</v>
      </c>
      <c r="H2342">
        <v>10</v>
      </c>
      <c r="I2342">
        <v>10</v>
      </c>
      <c r="J2342">
        <v>41.77</v>
      </c>
      <c r="K2342">
        <v>220.05</v>
      </c>
      <c r="L2342">
        <v>0.25</v>
      </c>
      <c r="M2342">
        <v>40.39</v>
      </c>
      <c r="N2342">
        <v>0.87</v>
      </c>
      <c r="O2342" t="s">
        <v>20</v>
      </c>
      <c r="P2342" t="s">
        <v>21</v>
      </c>
      <c r="Q2342">
        <f t="shared" si="180"/>
        <v>11</v>
      </c>
      <c r="R2342" s="4">
        <f>RANK(N2342,$N$2:N$2800,0)</f>
        <v>1965</v>
      </c>
      <c r="S2342">
        <f t="shared" si="181"/>
        <v>1.1000000000000001</v>
      </c>
      <c r="T2342" t="str">
        <f t="shared" si="182"/>
        <v>Low</v>
      </c>
      <c r="U2342" t="str" cm="1">
        <f t="array" ref="U2342">_xlfn.LET(_xlpm.roles,_xlfn.UNIQUE(D2342:D5140),_xlpm.kills, SUMIF(D2342:D5140,_xlpm.roles,G2342:G5140),INDEX(_xlpm.roles,MATCH(MAX(_xlpm.kills),_xlpm.kills,0)))</f>
        <v>IGL</v>
      </c>
      <c r="V2342" t="str">
        <f t="shared" si="183"/>
        <v>Medium Accuracy</v>
      </c>
      <c r="W2342" t="str" cm="1">
        <f t="array" ref="W2342">_xlfn.LET(_xlpm.roles,_xlfn.UNIQUE(D2342:D5140), _xlpm.counts,COUNTIF(D2342:D5140,_xlpm.roles), INDEX(_xlpm.roles,MATCH(MAX(_xlpm.counts),_xlpm.counts,0)))</f>
        <v>IGL</v>
      </c>
      <c r="X2342" s="2">
        <f t="shared" si="184"/>
        <v>12.599585062240664</v>
      </c>
    </row>
    <row r="2343" spans="1:24" x14ac:dyDescent="0.3">
      <c r="A2343">
        <v>664</v>
      </c>
      <c r="B2343">
        <v>418</v>
      </c>
      <c r="C2343" t="s">
        <v>30</v>
      </c>
      <c r="D2343" t="s">
        <v>17</v>
      </c>
      <c r="E2343" t="s">
        <v>33</v>
      </c>
      <c r="F2343" t="s">
        <v>34</v>
      </c>
      <c r="G2343">
        <v>15</v>
      </c>
      <c r="H2343">
        <v>9</v>
      </c>
      <c r="I2343">
        <v>11</v>
      </c>
      <c r="J2343">
        <v>51.58</v>
      </c>
      <c r="K2343">
        <v>204.6</v>
      </c>
      <c r="L2343">
        <v>0.65</v>
      </c>
      <c r="M2343">
        <v>47.29</v>
      </c>
      <c r="N2343">
        <v>0.92</v>
      </c>
      <c r="O2343" t="s">
        <v>20</v>
      </c>
      <c r="P2343" t="s">
        <v>21</v>
      </c>
      <c r="Q2343">
        <f t="shared" si="180"/>
        <v>13</v>
      </c>
      <c r="R2343" s="4">
        <f>RANK(N2343,$N$2:N$2800,0)</f>
        <v>1585</v>
      </c>
      <c r="S2343">
        <f t="shared" si="181"/>
        <v>1.3636363636363635</v>
      </c>
      <c r="T2343" t="str">
        <f t="shared" si="182"/>
        <v>Low</v>
      </c>
      <c r="U2343" t="str" cm="1">
        <f t="array" ref="U2343">_xlfn.LET(_xlpm.roles,_xlfn.UNIQUE(D2343:D5141),_xlpm.kills, SUMIF(D2343:D5141,_xlpm.roles,G2343:G5141),INDEX(_xlpm.roles,MATCH(MAX(_xlpm.kills),_xlpm.kills,0)))</f>
        <v>IGL</v>
      </c>
      <c r="V2343" t="str">
        <f t="shared" si="183"/>
        <v>High Accuracy</v>
      </c>
      <c r="W2343" t="str" cm="1">
        <f t="array" ref="W2343">_xlfn.LET(_xlpm.roles,_xlfn.UNIQUE(D2343:D5141), _xlpm.counts,COUNTIF(D2343:D5141,_xlpm.roles), INDEX(_xlpm.roles,MATCH(MAX(_xlpm.counts),_xlpm.counts,0)))</f>
        <v>IGL</v>
      </c>
      <c r="X2343" s="2">
        <f t="shared" si="184"/>
        <v>13.135802469135802</v>
      </c>
    </row>
    <row r="2344" spans="1:24" x14ac:dyDescent="0.3">
      <c r="A2344">
        <v>741</v>
      </c>
      <c r="B2344">
        <v>418</v>
      </c>
      <c r="C2344" t="s">
        <v>39</v>
      </c>
      <c r="D2344" t="s">
        <v>22</v>
      </c>
      <c r="E2344" t="s">
        <v>32</v>
      </c>
      <c r="F2344" t="s">
        <v>19</v>
      </c>
      <c r="G2344">
        <v>21</v>
      </c>
      <c r="H2344">
        <v>9</v>
      </c>
      <c r="I2344">
        <v>7</v>
      </c>
      <c r="J2344">
        <v>53.84</v>
      </c>
      <c r="K2344">
        <v>145.69999999999999</v>
      </c>
      <c r="L2344">
        <v>0.9</v>
      </c>
      <c r="M2344">
        <v>61.92</v>
      </c>
      <c r="N2344">
        <v>1</v>
      </c>
      <c r="O2344" t="s">
        <v>20</v>
      </c>
      <c r="P2344" t="s">
        <v>38</v>
      </c>
      <c r="Q2344">
        <f t="shared" si="180"/>
        <v>23</v>
      </c>
      <c r="R2344" s="4">
        <f>RANK(N2344,$N$2:N$2800,0)</f>
        <v>1</v>
      </c>
      <c r="S2344">
        <f t="shared" si="181"/>
        <v>3</v>
      </c>
      <c r="T2344" t="str">
        <f t="shared" si="182"/>
        <v>Good</v>
      </c>
      <c r="U2344" t="str" cm="1">
        <f t="array" ref="U2344">_xlfn.LET(_xlpm.roles,_xlfn.UNIQUE(D2344:D5142),_xlpm.kills, SUMIF(D2344:D5142,_xlpm.roles,G2344:G5142),INDEX(_xlpm.roles,MATCH(MAX(_xlpm.kills),_xlpm.kills,0)))</f>
        <v>IGL</v>
      </c>
      <c r="V2344" t="str">
        <f t="shared" si="183"/>
        <v>High Accuracy</v>
      </c>
      <c r="W2344" t="str" cm="1">
        <f t="array" ref="W2344">_xlfn.LET(_xlpm.roles,_xlfn.UNIQUE(D2344:D5142), _xlpm.counts,COUNTIF(D2344:D5142,_xlpm.roles), INDEX(_xlpm.roles,MATCH(MAX(_xlpm.counts),_xlpm.counts,0)))</f>
        <v>IGL</v>
      </c>
      <c r="X2344" s="2">
        <f t="shared" si="184"/>
        <v>13.103594080338267</v>
      </c>
    </row>
    <row r="2345" spans="1:24" x14ac:dyDescent="0.3">
      <c r="A2345">
        <v>774</v>
      </c>
      <c r="B2345">
        <v>418</v>
      </c>
      <c r="C2345" t="s">
        <v>25</v>
      </c>
      <c r="D2345" t="s">
        <v>31</v>
      </c>
      <c r="E2345" t="s">
        <v>32</v>
      </c>
      <c r="F2345" t="s">
        <v>24</v>
      </c>
      <c r="G2345">
        <v>18</v>
      </c>
      <c r="H2345">
        <v>9</v>
      </c>
      <c r="I2345">
        <v>10</v>
      </c>
      <c r="J2345">
        <v>43.71</v>
      </c>
      <c r="K2345">
        <v>148.52000000000001</v>
      </c>
      <c r="L2345">
        <v>0.78</v>
      </c>
      <c r="M2345">
        <v>49.06</v>
      </c>
      <c r="N2345">
        <v>0.88</v>
      </c>
      <c r="O2345" t="s">
        <v>20</v>
      </c>
      <c r="P2345" t="s">
        <v>21</v>
      </c>
      <c r="Q2345">
        <f t="shared" si="180"/>
        <v>17</v>
      </c>
      <c r="R2345" s="4">
        <f>RANK(N2345,$N$2:N$2800,0)</f>
        <v>1894</v>
      </c>
      <c r="S2345">
        <f t="shared" si="181"/>
        <v>1.8</v>
      </c>
      <c r="T2345" t="str">
        <f t="shared" si="182"/>
        <v>Good</v>
      </c>
      <c r="U2345" t="str" cm="1">
        <f t="array" ref="U2345">_xlfn.LET(_xlpm.roles,_xlfn.UNIQUE(D2345:D5143),_xlpm.kills, SUMIF(D2345:D5143,_xlpm.roles,G2345:G5143),INDEX(_xlpm.roles,MATCH(MAX(_xlpm.kills),_xlpm.kills,0)))</f>
        <v>IGL</v>
      </c>
      <c r="V2345" t="str">
        <f t="shared" si="183"/>
        <v>Medium Accuracy</v>
      </c>
      <c r="W2345" t="str" cm="1">
        <f t="array" ref="W2345">_xlfn.LET(_xlpm.roles,_xlfn.UNIQUE(D2345:D5143), _xlpm.counts,COUNTIF(D2345:D5143,_xlpm.roles), INDEX(_xlpm.roles,MATCH(MAX(_xlpm.counts),_xlpm.counts,0)))</f>
        <v>IGL</v>
      </c>
      <c r="X2345" s="2">
        <f t="shared" si="184"/>
        <v>12.809421841541756</v>
      </c>
    </row>
    <row r="2346" spans="1:24" x14ac:dyDescent="0.3">
      <c r="A2346">
        <v>854</v>
      </c>
      <c r="B2346">
        <v>418</v>
      </c>
      <c r="C2346" t="s">
        <v>30</v>
      </c>
      <c r="D2346" t="s">
        <v>22</v>
      </c>
      <c r="E2346" t="s">
        <v>32</v>
      </c>
      <c r="F2346" t="s">
        <v>24</v>
      </c>
      <c r="G2346">
        <v>16</v>
      </c>
      <c r="H2346">
        <v>13</v>
      </c>
      <c r="I2346">
        <v>10</v>
      </c>
      <c r="J2346">
        <v>48.95</v>
      </c>
      <c r="K2346">
        <v>199.5</v>
      </c>
      <c r="L2346">
        <v>0.47</v>
      </c>
      <c r="M2346">
        <v>54.78</v>
      </c>
      <c r="N2346">
        <v>1</v>
      </c>
      <c r="O2346" t="s">
        <v>20</v>
      </c>
      <c r="P2346" t="s">
        <v>21</v>
      </c>
      <c r="Q2346">
        <f t="shared" si="180"/>
        <v>19</v>
      </c>
      <c r="R2346" s="4">
        <f>RANK(N2346,$N$2:N$2800,0)</f>
        <v>1</v>
      </c>
      <c r="S2346">
        <f t="shared" si="181"/>
        <v>1.6</v>
      </c>
      <c r="T2346" t="str">
        <f t="shared" si="182"/>
        <v>Good</v>
      </c>
      <c r="U2346" t="str" cm="1">
        <f t="array" ref="U2346">_xlfn.LET(_xlpm.roles,_xlfn.UNIQUE(D2346:D5144),_xlpm.kills, SUMIF(D2346:D5144,_xlpm.roles,G2346:G5144),INDEX(_xlpm.roles,MATCH(MAX(_xlpm.kills),_xlpm.kills,0)))</f>
        <v>IGL</v>
      </c>
      <c r="V2346" t="str">
        <f t="shared" si="183"/>
        <v>Medium Accuracy</v>
      </c>
      <c r="W2346" t="str" cm="1">
        <f t="array" ref="W2346">_xlfn.LET(_xlpm.roles,_xlfn.UNIQUE(D2346:D5144), _xlpm.counts,COUNTIF(D2346:D5144,_xlpm.roles), INDEX(_xlpm.roles,MATCH(MAX(_xlpm.counts),_xlpm.counts,0)))</f>
        <v>IGL</v>
      </c>
      <c r="X2346" s="2">
        <f t="shared" si="184"/>
        <v>13.135802469135802</v>
      </c>
    </row>
    <row r="2347" spans="1:24" x14ac:dyDescent="0.3">
      <c r="A2347">
        <v>1713</v>
      </c>
      <c r="B2347">
        <v>418</v>
      </c>
      <c r="C2347" t="s">
        <v>39</v>
      </c>
      <c r="D2347" t="s">
        <v>22</v>
      </c>
      <c r="E2347" t="s">
        <v>32</v>
      </c>
      <c r="F2347" t="s">
        <v>37</v>
      </c>
      <c r="G2347">
        <v>15</v>
      </c>
      <c r="H2347">
        <v>6</v>
      </c>
      <c r="I2347">
        <v>10</v>
      </c>
      <c r="J2347">
        <v>48.44</v>
      </c>
      <c r="K2347">
        <v>275.81</v>
      </c>
      <c r="L2347">
        <v>0.02</v>
      </c>
      <c r="M2347">
        <v>50.02</v>
      </c>
      <c r="N2347">
        <v>0.92</v>
      </c>
      <c r="O2347" t="s">
        <v>20</v>
      </c>
      <c r="P2347" t="s">
        <v>21</v>
      </c>
      <c r="Q2347">
        <f t="shared" si="180"/>
        <v>11</v>
      </c>
      <c r="R2347" s="4">
        <f>RANK(N2347,$N$2:N$2800,0)</f>
        <v>1585</v>
      </c>
      <c r="S2347">
        <f t="shared" si="181"/>
        <v>1.5</v>
      </c>
      <c r="T2347" t="str">
        <f t="shared" si="182"/>
        <v>Low</v>
      </c>
      <c r="U2347" t="str" cm="1">
        <f t="array" ref="U2347">_xlfn.LET(_xlpm.roles,_xlfn.UNIQUE(D2347:D5145),_xlpm.kills, SUMIF(D2347:D5145,_xlpm.roles,G2347:G5145),INDEX(_xlpm.roles,MATCH(MAX(_xlpm.kills),_xlpm.kills,0)))</f>
        <v>IGL</v>
      </c>
      <c r="V2347" t="str">
        <f t="shared" si="183"/>
        <v>Medium Accuracy</v>
      </c>
      <c r="W2347" t="str" cm="1">
        <f t="array" ref="W2347">_xlfn.LET(_xlpm.roles,_xlfn.UNIQUE(D2347:D5145), _xlpm.counts,COUNTIF(D2347:D5145,_xlpm.roles), INDEX(_xlpm.roles,MATCH(MAX(_xlpm.counts),_xlpm.counts,0)))</f>
        <v>IGL</v>
      </c>
      <c r="X2347" s="2">
        <f t="shared" si="184"/>
        <v>13.103594080338267</v>
      </c>
    </row>
    <row r="2348" spans="1:24" x14ac:dyDescent="0.3">
      <c r="A2348">
        <v>1913</v>
      </c>
      <c r="B2348">
        <v>418</v>
      </c>
      <c r="C2348" t="s">
        <v>30</v>
      </c>
      <c r="D2348" t="s">
        <v>22</v>
      </c>
      <c r="E2348" t="s">
        <v>32</v>
      </c>
      <c r="F2348" t="s">
        <v>34</v>
      </c>
      <c r="G2348">
        <v>14</v>
      </c>
      <c r="H2348">
        <v>12</v>
      </c>
      <c r="I2348">
        <v>5</v>
      </c>
      <c r="J2348">
        <v>44.55</v>
      </c>
      <c r="K2348">
        <v>240</v>
      </c>
      <c r="L2348">
        <v>0.42</v>
      </c>
      <c r="M2348">
        <v>53.07</v>
      </c>
      <c r="N2348">
        <v>1</v>
      </c>
      <c r="O2348" t="s">
        <v>20</v>
      </c>
      <c r="P2348" t="s">
        <v>21</v>
      </c>
      <c r="Q2348">
        <f t="shared" si="180"/>
        <v>21</v>
      </c>
      <c r="R2348" s="4">
        <f>RANK(N2348,$N$2:N$2800,0)</f>
        <v>1</v>
      </c>
      <c r="S2348">
        <f t="shared" si="181"/>
        <v>2.8</v>
      </c>
      <c r="T2348" t="str">
        <f t="shared" si="182"/>
        <v>Good</v>
      </c>
      <c r="U2348" t="str" cm="1">
        <f t="array" ref="U2348">_xlfn.LET(_xlpm.roles,_xlfn.UNIQUE(D2348:D5146),_xlpm.kills, SUMIF(D2348:D5146,_xlpm.roles,G2348:G5146),INDEX(_xlpm.roles,MATCH(MAX(_xlpm.kills),_xlpm.kills,0)))</f>
        <v>IGL</v>
      </c>
      <c r="V2348" t="str">
        <f t="shared" si="183"/>
        <v>Medium Accuracy</v>
      </c>
      <c r="W2348" t="str" cm="1">
        <f t="array" ref="W2348">_xlfn.LET(_xlpm.roles,_xlfn.UNIQUE(D2348:D5146), _xlpm.counts,COUNTIF(D2348:D5146,_xlpm.roles), INDEX(_xlpm.roles,MATCH(MAX(_xlpm.counts),_xlpm.counts,0)))</f>
        <v>IGL</v>
      </c>
      <c r="X2348" s="2">
        <f t="shared" si="184"/>
        <v>13.135802469135802</v>
      </c>
    </row>
    <row r="2349" spans="1:24" x14ac:dyDescent="0.3">
      <c r="A2349">
        <v>589</v>
      </c>
      <c r="B2349">
        <v>419</v>
      </c>
      <c r="C2349" t="s">
        <v>30</v>
      </c>
      <c r="D2349" t="s">
        <v>28</v>
      </c>
      <c r="E2349" t="s">
        <v>23</v>
      </c>
      <c r="F2349" t="s">
        <v>37</v>
      </c>
      <c r="G2349">
        <v>11</v>
      </c>
      <c r="H2349">
        <v>5</v>
      </c>
      <c r="I2349">
        <v>3</v>
      </c>
      <c r="J2349">
        <v>70.260000000000005</v>
      </c>
      <c r="K2349">
        <v>247.2</v>
      </c>
      <c r="L2349">
        <v>0.27</v>
      </c>
      <c r="M2349">
        <v>56.43</v>
      </c>
      <c r="N2349">
        <v>1</v>
      </c>
      <c r="O2349" t="s">
        <v>20</v>
      </c>
      <c r="P2349" t="s">
        <v>21</v>
      </c>
      <c r="Q2349">
        <f t="shared" si="180"/>
        <v>13</v>
      </c>
      <c r="R2349" s="4">
        <f>RANK(N2349,$N$2:N$2800,0)</f>
        <v>1</v>
      </c>
      <c r="S2349">
        <f t="shared" si="181"/>
        <v>3.6666666666666665</v>
      </c>
      <c r="T2349" t="str">
        <f t="shared" si="182"/>
        <v>Low</v>
      </c>
      <c r="U2349" t="str" cm="1">
        <f t="array" ref="U2349">_xlfn.LET(_xlpm.roles,_xlfn.UNIQUE(D2349:D5147),_xlpm.kills, SUMIF(D2349:D5147,_xlpm.roles,G2349:G5147),INDEX(_xlpm.roles,MATCH(MAX(_xlpm.kills),_xlpm.kills,0)))</f>
        <v>IGL</v>
      </c>
      <c r="V2349" t="str">
        <f t="shared" si="183"/>
        <v>High Accuracy</v>
      </c>
      <c r="W2349" t="str" cm="1">
        <f t="array" ref="W2349">_xlfn.LET(_xlpm.roles,_xlfn.UNIQUE(D2349:D5147), _xlpm.counts,COUNTIF(D2349:D5147,_xlpm.roles), INDEX(_xlpm.roles,MATCH(MAX(_xlpm.counts),_xlpm.counts,0)))</f>
        <v>IGL</v>
      </c>
      <c r="X2349" s="2">
        <f t="shared" si="184"/>
        <v>13.135802469135802</v>
      </c>
    </row>
    <row r="2350" spans="1:24" x14ac:dyDescent="0.3">
      <c r="A2350">
        <v>1128</v>
      </c>
      <c r="B2350">
        <v>419</v>
      </c>
      <c r="C2350" t="s">
        <v>16</v>
      </c>
      <c r="D2350" t="s">
        <v>31</v>
      </c>
      <c r="E2350" t="s">
        <v>32</v>
      </c>
      <c r="F2350" t="s">
        <v>37</v>
      </c>
      <c r="G2350">
        <v>18</v>
      </c>
      <c r="H2350">
        <v>2</v>
      </c>
      <c r="I2350">
        <v>10</v>
      </c>
      <c r="J2350">
        <v>50.37</v>
      </c>
      <c r="K2350">
        <v>217.85</v>
      </c>
      <c r="L2350">
        <v>0.61</v>
      </c>
      <c r="M2350">
        <v>47.09</v>
      </c>
      <c r="N2350">
        <v>0.83</v>
      </c>
      <c r="O2350" t="s">
        <v>20</v>
      </c>
      <c r="P2350" t="s">
        <v>21</v>
      </c>
      <c r="Q2350">
        <f t="shared" si="180"/>
        <v>10</v>
      </c>
      <c r="R2350" s="4">
        <f>RANK(N2350,$N$2:N$2800,0)</f>
        <v>2218</v>
      </c>
      <c r="S2350">
        <f t="shared" si="181"/>
        <v>1.8</v>
      </c>
      <c r="T2350" t="str">
        <f t="shared" si="182"/>
        <v>Low</v>
      </c>
      <c r="U2350" t="str" cm="1">
        <f t="array" ref="U2350">_xlfn.LET(_xlpm.roles,_xlfn.UNIQUE(D2350:D5148),_xlpm.kills, SUMIF(D2350:D5148,_xlpm.roles,G2350:G5148),INDEX(_xlpm.roles,MATCH(MAX(_xlpm.kills),_xlpm.kills,0)))</f>
        <v>IGL</v>
      </c>
      <c r="V2350" t="str">
        <f t="shared" si="183"/>
        <v>High Accuracy</v>
      </c>
      <c r="W2350" t="str" cm="1">
        <f t="array" ref="W2350">_xlfn.LET(_xlpm.roles,_xlfn.UNIQUE(D2350:D5148), _xlpm.counts,COUNTIF(D2350:D5148,_xlpm.roles), INDEX(_xlpm.roles,MATCH(MAX(_xlpm.counts),_xlpm.counts,0)))</f>
        <v>IGL</v>
      </c>
      <c r="X2350" s="2">
        <f t="shared" si="184"/>
        <v>12.520971302428256</v>
      </c>
    </row>
    <row r="2351" spans="1:24" x14ac:dyDescent="0.3">
      <c r="A2351">
        <v>1421</v>
      </c>
      <c r="B2351">
        <v>419</v>
      </c>
      <c r="C2351" t="s">
        <v>35</v>
      </c>
      <c r="D2351" t="s">
        <v>28</v>
      </c>
      <c r="E2351" t="s">
        <v>33</v>
      </c>
      <c r="F2351" t="s">
        <v>37</v>
      </c>
      <c r="G2351">
        <v>14</v>
      </c>
      <c r="H2351">
        <v>7</v>
      </c>
      <c r="I2351">
        <v>10</v>
      </c>
      <c r="J2351">
        <v>52.45</v>
      </c>
      <c r="K2351">
        <v>244.74</v>
      </c>
      <c r="L2351">
        <v>0.04</v>
      </c>
      <c r="M2351">
        <v>50.83</v>
      </c>
      <c r="N2351">
        <v>1</v>
      </c>
      <c r="O2351" t="s">
        <v>20</v>
      </c>
      <c r="P2351" t="s">
        <v>21</v>
      </c>
      <c r="Q2351">
        <f t="shared" si="180"/>
        <v>11</v>
      </c>
      <c r="R2351" s="4">
        <f>RANK(N2351,$N$2:N$2800,0)</f>
        <v>1</v>
      </c>
      <c r="S2351">
        <f t="shared" si="181"/>
        <v>1.4</v>
      </c>
      <c r="T2351" t="str">
        <f t="shared" si="182"/>
        <v>Low</v>
      </c>
      <c r="U2351" t="str" cm="1">
        <f t="array" ref="U2351">_xlfn.LET(_xlpm.roles,_xlfn.UNIQUE(D2351:D5149),_xlpm.kills, SUMIF(D2351:D5149,_xlpm.roles,G2351:G5149),INDEX(_xlpm.roles,MATCH(MAX(_xlpm.kills),_xlpm.kills,0)))</f>
        <v>IGL</v>
      </c>
      <c r="V2351" t="str">
        <f t="shared" si="183"/>
        <v>High Accuracy</v>
      </c>
      <c r="W2351" t="str" cm="1">
        <f t="array" ref="W2351">_xlfn.LET(_xlpm.roles,_xlfn.UNIQUE(D2351:D5149), _xlpm.counts,COUNTIF(D2351:D5149,_xlpm.roles), INDEX(_xlpm.roles,MATCH(MAX(_xlpm.counts),_xlpm.counts,0)))</f>
        <v>IGL</v>
      </c>
      <c r="X2351" s="2">
        <f t="shared" si="184"/>
        <v>12.599585062240664</v>
      </c>
    </row>
    <row r="2352" spans="1:24" x14ac:dyDescent="0.3">
      <c r="A2352">
        <v>2153</v>
      </c>
      <c r="B2352">
        <v>419</v>
      </c>
      <c r="C2352" t="s">
        <v>25</v>
      </c>
      <c r="D2352" t="s">
        <v>22</v>
      </c>
      <c r="E2352" t="s">
        <v>29</v>
      </c>
      <c r="F2352" t="s">
        <v>34</v>
      </c>
      <c r="G2352">
        <v>18</v>
      </c>
      <c r="H2352">
        <v>11</v>
      </c>
      <c r="I2352">
        <v>11</v>
      </c>
      <c r="J2352">
        <v>44.16</v>
      </c>
      <c r="K2352">
        <v>180.11</v>
      </c>
      <c r="L2352">
        <v>0.39</v>
      </c>
      <c r="M2352">
        <v>54.18</v>
      </c>
      <c r="N2352">
        <v>1</v>
      </c>
      <c r="O2352" t="s">
        <v>20</v>
      </c>
      <c r="P2352" t="s">
        <v>21</v>
      </c>
      <c r="Q2352">
        <f t="shared" si="180"/>
        <v>18</v>
      </c>
      <c r="R2352" s="4">
        <f>RANK(N2352,$N$2:N$2800,0)</f>
        <v>1</v>
      </c>
      <c r="S2352">
        <f t="shared" si="181"/>
        <v>1.6363636363636365</v>
      </c>
      <c r="T2352" t="str">
        <f t="shared" si="182"/>
        <v>Good</v>
      </c>
      <c r="U2352" t="str" cm="1">
        <f t="array" ref="U2352">_xlfn.LET(_xlpm.roles,_xlfn.UNIQUE(D2352:D5150),_xlpm.kills, SUMIF(D2352:D5150,_xlpm.roles,G2352:G5150),INDEX(_xlpm.roles,MATCH(MAX(_xlpm.kills),_xlpm.kills,0)))</f>
        <v>IGL</v>
      </c>
      <c r="V2352" t="str">
        <f t="shared" si="183"/>
        <v>Medium Accuracy</v>
      </c>
      <c r="W2352" t="str" cm="1">
        <f t="array" ref="W2352">_xlfn.LET(_xlpm.roles,_xlfn.UNIQUE(D2352:D5150), _xlpm.counts,COUNTIF(D2352:D5150,_xlpm.roles), INDEX(_xlpm.roles,MATCH(MAX(_xlpm.counts),_xlpm.counts,0)))</f>
        <v>IGL</v>
      </c>
      <c r="X2352" s="2">
        <f t="shared" si="184"/>
        <v>12.809421841541756</v>
      </c>
    </row>
    <row r="2353" spans="1:24" x14ac:dyDescent="0.3">
      <c r="A2353">
        <v>2218</v>
      </c>
      <c r="B2353">
        <v>419</v>
      </c>
      <c r="C2353" t="s">
        <v>39</v>
      </c>
      <c r="D2353" t="s">
        <v>36</v>
      </c>
      <c r="E2353" t="s">
        <v>33</v>
      </c>
      <c r="F2353" t="s">
        <v>24</v>
      </c>
      <c r="G2353">
        <v>11</v>
      </c>
      <c r="H2353">
        <v>8</v>
      </c>
      <c r="I2353">
        <v>14</v>
      </c>
      <c r="J2353">
        <v>42.52</v>
      </c>
      <c r="K2353">
        <v>228.62</v>
      </c>
      <c r="L2353">
        <v>0.83</v>
      </c>
      <c r="M2353">
        <v>28.96</v>
      </c>
      <c r="N2353">
        <v>0.89</v>
      </c>
      <c r="O2353" t="s">
        <v>20</v>
      </c>
      <c r="P2353" t="s">
        <v>21</v>
      </c>
      <c r="Q2353">
        <f t="shared" si="180"/>
        <v>5</v>
      </c>
      <c r="R2353" s="4">
        <f>RANK(N2353,$N$2:N$2800,0)</f>
        <v>1815</v>
      </c>
      <c r="S2353">
        <f t="shared" si="181"/>
        <v>0.7857142857142857</v>
      </c>
      <c r="T2353" t="str">
        <f t="shared" si="182"/>
        <v>Low</v>
      </c>
      <c r="U2353" t="str" cm="1">
        <f t="array" ref="U2353">_xlfn.LET(_xlpm.roles,_xlfn.UNIQUE(D2353:D5151),_xlpm.kills, SUMIF(D2353:D5151,_xlpm.roles,G2353:G5151),INDEX(_xlpm.roles,MATCH(MAX(_xlpm.kills),_xlpm.kills,0)))</f>
        <v>IGL</v>
      </c>
      <c r="V2353" t="str">
        <f t="shared" si="183"/>
        <v>Medium Accuracy</v>
      </c>
      <c r="W2353" t="str" cm="1">
        <f t="array" ref="W2353">_xlfn.LET(_xlpm.roles,_xlfn.UNIQUE(D2353:D5151), _xlpm.counts,COUNTIF(D2353:D5151,_xlpm.roles), INDEX(_xlpm.roles,MATCH(MAX(_xlpm.counts),_xlpm.counts,0)))</f>
        <v>IGL</v>
      </c>
      <c r="X2353" s="2">
        <f t="shared" si="184"/>
        <v>13.103594080338267</v>
      </c>
    </row>
    <row r="2354" spans="1:24" x14ac:dyDescent="0.3">
      <c r="A2354">
        <v>237</v>
      </c>
      <c r="B2354">
        <v>420</v>
      </c>
      <c r="C2354" t="s">
        <v>16</v>
      </c>
      <c r="D2354" t="s">
        <v>22</v>
      </c>
      <c r="E2354" t="s">
        <v>29</v>
      </c>
      <c r="F2354" t="s">
        <v>37</v>
      </c>
      <c r="G2354">
        <v>19</v>
      </c>
      <c r="H2354">
        <v>9</v>
      </c>
      <c r="I2354">
        <v>10</v>
      </c>
      <c r="J2354">
        <v>46.26</v>
      </c>
      <c r="K2354">
        <v>220.19</v>
      </c>
      <c r="L2354">
        <v>0.14000000000000001</v>
      </c>
      <c r="M2354">
        <v>58.73</v>
      </c>
      <c r="N2354">
        <v>0.99</v>
      </c>
      <c r="O2354" t="s">
        <v>20</v>
      </c>
      <c r="P2354" t="s">
        <v>21</v>
      </c>
      <c r="Q2354">
        <f t="shared" si="180"/>
        <v>18</v>
      </c>
      <c r="R2354" s="4">
        <f>RANK(N2354,$N$2:N$2800,0)</f>
        <v>1080</v>
      </c>
      <c r="S2354">
        <f t="shared" si="181"/>
        <v>1.9</v>
      </c>
      <c r="T2354" t="str">
        <f t="shared" si="182"/>
        <v>Good</v>
      </c>
      <c r="U2354" t="str" cm="1">
        <f t="array" ref="U2354">_xlfn.LET(_xlpm.roles,_xlfn.UNIQUE(D2354:D5152),_xlpm.kills, SUMIF(D2354:D5152,_xlpm.roles,G2354:G5152),INDEX(_xlpm.roles,MATCH(MAX(_xlpm.kills),_xlpm.kills,0)))</f>
        <v>IGL</v>
      </c>
      <c r="V2354" t="str">
        <f t="shared" si="183"/>
        <v>Medium Accuracy</v>
      </c>
      <c r="W2354" t="str" cm="1">
        <f t="array" ref="W2354">_xlfn.LET(_xlpm.roles,_xlfn.UNIQUE(D2354:D5152), _xlpm.counts,COUNTIF(D2354:D5152,_xlpm.roles), INDEX(_xlpm.roles,MATCH(MAX(_xlpm.counts),_xlpm.counts,0)))</f>
        <v>IGL</v>
      </c>
      <c r="X2354" s="2">
        <f t="shared" si="184"/>
        <v>12.520971302428256</v>
      </c>
    </row>
    <row r="2355" spans="1:24" x14ac:dyDescent="0.3">
      <c r="A2355">
        <v>803</v>
      </c>
      <c r="B2355">
        <v>420</v>
      </c>
      <c r="C2355" t="s">
        <v>25</v>
      </c>
      <c r="D2355" t="s">
        <v>28</v>
      </c>
      <c r="E2355" t="s">
        <v>18</v>
      </c>
      <c r="F2355" t="s">
        <v>26</v>
      </c>
      <c r="G2355">
        <v>16</v>
      </c>
      <c r="H2355">
        <v>6</v>
      </c>
      <c r="I2355">
        <v>14</v>
      </c>
      <c r="J2355">
        <v>41.99</v>
      </c>
      <c r="K2355">
        <v>227.84</v>
      </c>
      <c r="L2355">
        <v>0.03</v>
      </c>
      <c r="M2355">
        <v>44.7</v>
      </c>
      <c r="N2355">
        <v>0.85</v>
      </c>
      <c r="O2355" t="s">
        <v>20</v>
      </c>
      <c r="P2355" t="s">
        <v>21</v>
      </c>
      <c r="Q2355">
        <f t="shared" si="180"/>
        <v>8</v>
      </c>
      <c r="R2355" s="4">
        <f>RANK(N2355,$N$2:N$2800,0)</f>
        <v>2105</v>
      </c>
      <c r="S2355">
        <f t="shared" si="181"/>
        <v>1.1428571428571428</v>
      </c>
      <c r="T2355" t="str">
        <f t="shared" si="182"/>
        <v>Low</v>
      </c>
      <c r="U2355" t="str" cm="1">
        <f t="array" ref="U2355">_xlfn.LET(_xlpm.roles,_xlfn.UNIQUE(D2355:D5153),_xlpm.kills, SUMIF(D2355:D5153,_xlpm.roles,G2355:G5153),INDEX(_xlpm.roles,MATCH(MAX(_xlpm.kills),_xlpm.kills,0)))</f>
        <v>IGL</v>
      </c>
      <c r="V2355" t="str">
        <f t="shared" si="183"/>
        <v>Medium Accuracy</v>
      </c>
      <c r="W2355" t="str" cm="1">
        <f t="array" ref="W2355">_xlfn.LET(_xlpm.roles,_xlfn.UNIQUE(D2355:D5153), _xlpm.counts,COUNTIF(D2355:D5153,_xlpm.roles), INDEX(_xlpm.roles,MATCH(MAX(_xlpm.counts),_xlpm.counts,0)))</f>
        <v>IGL</v>
      </c>
      <c r="X2355" s="2">
        <f t="shared" si="184"/>
        <v>12.809421841541756</v>
      </c>
    </row>
    <row r="2356" spans="1:24" x14ac:dyDescent="0.3">
      <c r="A2356">
        <v>1374</v>
      </c>
      <c r="B2356">
        <v>420</v>
      </c>
      <c r="C2356" t="s">
        <v>16</v>
      </c>
      <c r="D2356" t="s">
        <v>31</v>
      </c>
      <c r="E2356" t="s">
        <v>32</v>
      </c>
      <c r="F2356" t="s">
        <v>34</v>
      </c>
      <c r="G2356">
        <v>18</v>
      </c>
      <c r="H2356">
        <v>4</v>
      </c>
      <c r="I2356">
        <v>11</v>
      </c>
      <c r="J2356">
        <v>50.82</v>
      </c>
      <c r="K2356">
        <v>157.24</v>
      </c>
      <c r="L2356">
        <v>0.17</v>
      </c>
      <c r="M2356">
        <v>52.71</v>
      </c>
      <c r="N2356">
        <v>1</v>
      </c>
      <c r="O2356" t="s">
        <v>20</v>
      </c>
      <c r="P2356" t="s">
        <v>21</v>
      </c>
      <c r="Q2356">
        <f t="shared" si="180"/>
        <v>11</v>
      </c>
      <c r="R2356" s="4">
        <f>RANK(N2356,$N$2:N$2800,0)</f>
        <v>1</v>
      </c>
      <c r="S2356">
        <f t="shared" si="181"/>
        <v>1.6363636363636365</v>
      </c>
      <c r="T2356" t="str">
        <f t="shared" si="182"/>
        <v>Low</v>
      </c>
      <c r="U2356" t="str" cm="1">
        <f t="array" ref="U2356">_xlfn.LET(_xlpm.roles,_xlfn.UNIQUE(D2356:D5154),_xlpm.kills, SUMIF(D2356:D5154,_xlpm.roles,G2356:G5154),INDEX(_xlpm.roles,MATCH(MAX(_xlpm.kills),_xlpm.kills,0)))</f>
        <v>IGL</v>
      </c>
      <c r="V2356" t="str">
        <f t="shared" si="183"/>
        <v>High Accuracy</v>
      </c>
      <c r="W2356" t="str" cm="1">
        <f t="array" ref="W2356">_xlfn.LET(_xlpm.roles,_xlfn.UNIQUE(D2356:D5154), _xlpm.counts,COUNTIF(D2356:D5154,_xlpm.roles), INDEX(_xlpm.roles,MATCH(MAX(_xlpm.counts),_xlpm.counts,0)))</f>
        <v>IGL</v>
      </c>
      <c r="X2356" s="2">
        <f t="shared" si="184"/>
        <v>12.520971302428256</v>
      </c>
    </row>
    <row r="2357" spans="1:24" x14ac:dyDescent="0.3">
      <c r="A2357">
        <v>1771</v>
      </c>
      <c r="B2357">
        <v>420</v>
      </c>
      <c r="C2357" t="s">
        <v>16</v>
      </c>
      <c r="D2357" t="s">
        <v>31</v>
      </c>
      <c r="E2357" t="s">
        <v>33</v>
      </c>
      <c r="F2357" t="s">
        <v>34</v>
      </c>
      <c r="G2357">
        <v>16</v>
      </c>
      <c r="H2357">
        <v>11</v>
      </c>
      <c r="I2357">
        <v>10</v>
      </c>
      <c r="J2357">
        <v>30.61</v>
      </c>
      <c r="K2357">
        <v>155.9</v>
      </c>
      <c r="L2357">
        <v>0.23</v>
      </c>
      <c r="M2357">
        <v>46.01</v>
      </c>
      <c r="N2357">
        <v>0.96</v>
      </c>
      <c r="O2357" t="s">
        <v>20</v>
      </c>
      <c r="P2357" t="s">
        <v>21</v>
      </c>
      <c r="Q2357">
        <f t="shared" si="180"/>
        <v>17</v>
      </c>
      <c r="R2357" s="4">
        <f>RANK(N2357,$N$2:N$2800,0)</f>
        <v>1301</v>
      </c>
      <c r="S2357">
        <f t="shared" si="181"/>
        <v>1.6</v>
      </c>
      <c r="T2357" t="str">
        <f t="shared" si="182"/>
        <v>Good</v>
      </c>
      <c r="U2357" t="str" cm="1">
        <f t="array" ref="U2357">_xlfn.LET(_xlpm.roles,_xlfn.UNIQUE(D2357:D5155),_xlpm.kills, SUMIF(D2357:D5155,_xlpm.roles,G2357:G5155),INDEX(_xlpm.roles,MATCH(MAX(_xlpm.kills),_xlpm.kills,0)))</f>
        <v>IGL</v>
      </c>
      <c r="V2357" t="str">
        <f t="shared" si="183"/>
        <v>Medium Accuracy</v>
      </c>
      <c r="W2357" t="str" cm="1">
        <f t="array" ref="W2357">_xlfn.LET(_xlpm.roles,_xlfn.UNIQUE(D2357:D5155), _xlpm.counts,COUNTIF(D2357:D5155,_xlpm.roles), INDEX(_xlpm.roles,MATCH(MAX(_xlpm.counts),_xlpm.counts,0)))</f>
        <v>IGL</v>
      </c>
      <c r="X2357" s="2">
        <f t="shared" si="184"/>
        <v>12.520971302428256</v>
      </c>
    </row>
    <row r="2358" spans="1:24" x14ac:dyDescent="0.3">
      <c r="A2358">
        <v>2139</v>
      </c>
      <c r="B2358">
        <v>420</v>
      </c>
      <c r="C2358" t="s">
        <v>35</v>
      </c>
      <c r="D2358" t="s">
        <v>22</v>
      </c>
      <c r="E2358" t="s">
        <v>18</v>
      </c>
      <c r="F2358" t="s">
        <v>37</v>
      </c>
      <c r="G2358">
        <v>15</v>
      </c>
      <c r="H2358">
        <v>3</v>
      </c>
      <c r="I2358">
        <v>14</v>
      </c>
      <c r="J2358">
        <v>42.39</v>
      </c>
      <c r="K2358">
        <v>197.92</v>
      </c>
      <c r="L2358">
        <v>0.83</v>
      </c>
      <c r="M2358">
        <v>31.9</v>
      </c>
      <c r="N2358">
        <v>0.74</v>
      </c>
      <c r="O2358" t="s">
        <v>20</v>
      </c>
      <c r="P2358" t="s">
        <v>21</v>
      </c>
      <c r="Q2358">
        <f t="shared" si="180"/>
        <v>4</v>
      </c>
      <c r="R2358" s="4">
        <f>RANK(N2358,$N$2:N$2800,0)</f>
        <v>2613</v>
      </c>
      <c r="S2358">
        <f t="shared" si="181"/>
        <v>1.0714285714285714</v>
      </c>
      <c r="T2358" t="str">
        <f t="shared" si="182"/>
        <v>Low</v>
      </c>
      <c r="U2358" t="str" cm="1">
        <f t="array" ref="U2358">_xlfn.LET(_xlpm.roles,_xlfn.UNIQUE(D2358:D5156),_xlpm.kills, SUMIF(D2358:D5156,_xlpm.roles,G2358:G5156),INDEX(_xlpm.roles,MATCH(MAX(_xlpm.kills),_xlpm.kills,0)))</f>
        <v>IGL</v>
      </c>
      <c r="V2358" t="str">
        <f t="shared" si="183"/>
        <v>Medium Accuracy</v>
      </c>
      <c r="W2358" t="str" cm="1">
        <f t="array" ref="W2358">_xlfn.LET(_xlpm.roles,_xlfn.UNIQUE(D2358:D5156), _xlpm.counts,COUNTIF(D2358:D5156,_xlpm.roles), INDEX(_xlpm.roles,MATCH(MAX(_xlpm.counts),_xlpm.counts,0)))</f>
        <v>IGL</v>
      </c>
      <c r="X2358" s="2">
        <f t="shared" si="184"/>
        <v>12.599585062240664</v>
      </c>
    </row>
    <row r="2359" spans="1:24" x14ac:dyDescent="0.3">
      <c r="A2359">
        <v>2461</v>
      </c>
      <c r="B2359">
        <v>420</v>
      </c>
      <c r="C2359" t="s">
        <v>16</v>
      </c>
      <c r="D2359" t="s">
        <v>17</v>
      </c>
      <c r="E2359" t="s">
        <v>29</v>
      </c>
      <c r="F2359" t="s">
        <v>19</v>
      </c>
      <c r="G2359">
        <v>12</v>
      </c>
      <c r="H2359">
        <v>7</v>
      </c>
      <c r="I2359">
        <v>11</v>
      </c>
      <c r="J2359">
        <v>50.06</v>
      </c>
      <c r="K2359">
        <v>173.97</v>
      </c>
      <c r="L2359">
        <v>0.52</v>
      </c>
      <c r="M2359">
        <v>39.83</v>
      </c>
      <c r="N2359">
        <v>0.82</v>
      </c>
      <c r="O2359" t="s">
        <v>20</v>
      </c>
      <c r="P2359" t="s">
        <v>21</v>
      </c>
      <c r="Q2359">
        <f t="shared" si="180"/>
        <v>8</v>
      </c>
      <c r="R2359" s="4">
        <f>RANK(N2359,$N$2:N$2800,0)</f>
        <v>2275</v>
      </c>
      <c r="S2359">
        <f t="shared" si="181"/>
        <v>1.0909090909090908</v>
      </c>
      <c r="T2359" t="str">
        <f t="shared" si="182"/>
        <v>Low</v>
      </c>
      <c r="U2359" t="str" cm="1">
        <f t="array" ref="U2359">_xlfn.LET(_xlpm.roles,_xlfn.UNIQUE(D2359:D5157),_xlpm.kills, SUMIF(D2359:D5157,_xlpm.roles,G2359:G5157),INDEX(_xlpm.roles,MATCH(MAX(_xlpm.kills),_xlpm.kills,0)))</f>
        <v>IGL</v>
      </c>
      <c r="V2359" t="str">
        <f t="shared" si="183"/>
        <v>High Accuracy</v>
      </c>
      <c r="W2359" t="str" cm="1">
        <f t="array" ref="W2359">_xlfn.LET(_xlpm.roles,_xlfn.UNIQUE(D2359:D5157), _xlpm.counts,COUNTIF(D2359:D5157,_xlpm.roles), INDEX(_xlpm.roles,MATCH(MAX(_xlpm.counts),_xlpm.counts,0)))</f>
        <v>IGL</v>
      </c>
      <c r="X2359" s="2">
        <f t="shared" si="184"/>
        <v>12.520971302428256</v>
      </c>
    </row>
    <row r="2360" spans="1:24" x14ac:dyDescent="0.3">
      <c r="A2360">
        <v>2516</v>
      </c>
      <c r="B2360">
        <v>420</v>
      </c>
      <c r="C2360" t="s">
        <v>30</v>
      </c>
      <c r="D2360" t="s">
        <v>31</v>
      </c>
      <c r="E2360" t="s">
        <v>29</v>
      </c>
      <c r="F2360" t="s">
        <v>34</v>
      </c>
      <c r="G2360">
        <v>14</v>
      </c>
      <c r="H2360">
        <v>6</v>
      </c>
      <c r="I2360">
        <v>11</v>
      </c>
      <c r="J2360">
        <v>39.35</v>
      </c>
      <c r="K2360">
        <v>269.83</v>
      </c>
      <c r="L2360">
        <v>0.81</v>
      </c>
      <c r="M2360">
        <v>34.57</v>
      </c>
      <c r="N2360">
        <v>0.99</v>
      </c>
      <c r="O2360" t="s">
        <v>20</v>
      </c>
      <c r="P2360" t="s">
        <v>21</v>
      </c>
      <c r="Q2360">
        <f t="shared" si="180"/>
        <v>9</v>
      </c>
      <c r="R2360" s="4">
        <f>RANK(N2360,$N$2:N$2800,0)</f>
        <v>1080</v>
      </c>
      <c r="S2360">
        <f t="shared" si="181"/>
        <v>1.2727272727272727</v>
      </c>
      <c r="T2360" t="str">
        <f t="shared" si="182"/>
        <v>Low</v>
      </c>
      <c r="U2360" t="str" cm="1">
        <f t="array" ref="U2360">_xlfn.LET(_xlpm.roles,_xlfn.UNIQUE(D2360:D5158),_xlpm.kills, SUMIF(D2360:D5158,_xlpm.roles,G2360:G5158),INDEX(_xlpm.roles,MATCH(MAX(_xlpm.kills),_xlpm.kills,0)))</f>
        <v>IGL</v>
      </c>
      <c r="V2360" t="str">
        <f t="shared" si="183"/>
        <v>Medium Accuracy</v>
      </c>
      <c r="W2360" t="str" cm="1">
        <f t="array" ref="W2360">_xlfn.LET(_xlpm.roles,_xlfn.UNIQUE(D2360:D5158), _xlpm.counts,COUNTIF(D2360:D5158,_xlpm.roles), INDEX(_xlpm.roles,MATCH(MAX(_xlpm.counts),_xlpm.counts,0)))</f>
        <v>IGL</v>
      </c>
      <c r="X2360" s="2">
        <f t="shared" si="184"/>
        <v>13.135802469135802</v>
      </c>
    </row>
    <row r="2361" spans="1:24" x14ac:dyDescent="0.3">
      <c r="A2361">
        <v>1065</v>
      </c>
      <c r="B2361">
        <v>421</v>
      </c>
      <c r="C2361" t="s">
        <v>16</v>
      </c>
      <c r="D2361" t="s">
        <v>22</v>
      </c>
      <c r="E2361" t="s">
        <v>33</v>
      </c>
      <c r="F2361" t="s">
        <v>26</v>
      </c>
      <c r="G2361">
        <v>15</v>
      </c>
      <c r="H2361">
        <v>4</v>
      </c>
      <c r="I2361">
        <v>11</v>
      </c>
      <c r="J2361">
        <v>35.85</v>
      </c>
      <c r="K2361">
        <v>264.27</v>
      </c>
      <c r="L2361">
        <v>0.81</v>
      </c>
      <c r="M2361">
        <v>32.82</v>
      </c>
      <c r="N2361">
        <v>0.73</v>
      </c>
      <c r="O2361" t="s">
        <v>20</v>
      </c>
      <c r="P2361" t="s">
        <v>21</v>
      </c>
      <c r="Q2361">
        <f t="shared" si="180"/>
        <v>8</v>
      </c>
      <c r="R2361" s="4">
        <f>RANK(N2361,$N$2:N$2800,0)</f>
        <v>2642</v>
      </c>
      <c r="S2361">
        <f t="shared" si="181"/>
        <v>1.3636363636363635</v>
      </c>
      <c r="T2361" t="str">
        <f t="shared" si="182"/>
        <v>Low</v>
      </c>
      <c r="U2361" t="str" cm="1">
        <f t="array" ref="U2361">_xlfn.LET(_xlpm.roles,_xlfn.UNIQUE(D2361:D5159),_xlpm.kills, SUMIF(D2361:D5159,_xlpm.roles,G2361:G5159),INDEX(_xlpm.roles,MATCH(MAX(_xlpm.kills),_xlpm.kills,0)))</f>
        <v>IGL</v>
      </c>
      <c r="V2361" t="str">
        <f t="shared" si="183"/>
        <v>Medium Accuracy</v>
      </c>
      <c r="W2361" t="str" cm="1">
        <f t="array" ref="W2361">_xlfn.LET(_xlpm.roles,_xlfn.UNIQUE(D2361:D5159), _xlpm.counts,COUNTIF(D2361:D5159,_xlpm.roles), INDEX(_xlpm.roles,MATCH(MAX(_xlpm.counts),_xlpm.counts,0)))</f>
        <v>IGL</v>
      </c>
      <c r="X2361" s="2">
        <f t="shared" si="184"/>
        <v>12.520971302428256</v>
      </c>
    </row>
    <row r="2362" spans="1:24" x14ac:dyDescent="0.3">
      <c r="A2362">
        <v>1199</v>
      </c>
      <c r="B2362">
        <v>421</v>
      </c>
      <c r="C2362" t="s">
        <v>39</v>
      </c>
      <c r="D2362" t="s">
        <v>28</v>
      </c>
      <c r="E2362" t="s">
        <v>18</v>
      </c>
      <c r="F2362" t="s">
        <v>26</v>
      </c>
      <c r="G2362">
        <v>15</v>
      </c>
      <c r="H2362">
        <v>6</v>
      </c>
      <c r="I2362">
        <v>10</v>
      </c>
      <c r="J2362">
        <v>35.770000000000003</v>
      </c>
      <c r="K2362">
        <v>217.19</v>
      </c>
      <c r="L2362">
        <v>0.51</v>
      </c>
      <c r="M2362">
        <v>38.79</v>
      </c>
      <c r="N2362">
        <v>0.97</v>
      </c>
      <c r="O2362" t="s">
        <v>20</v>
      </c>
      <c r="P2362" t="s">
        <v>21</v>
      </c>
      <c r="Q2362">
        <f t="shared" si="180"/>
        <v>11</v>
      </c>
      <c r="R2362" s="4">
        <f>RANK(N2362,$N$2:N$2800,0)</f>
        <v>1243</v>
      </c>
      <c r="S2362">
        <f t="shared" si="181"/>
        <v>1.5</v>
      </c>
      <c r="T2362" t="str">
        <f t="shared" si="182"/>
        <v>Low</v>
      </c>
      <c r="U2362" t="str" cm="1">
        <f t="array" ref="U2362">_xlfn.LET(_xlpm.roles,_xlfn.UNIQUE(D2362:D5160),_xlpm.kills, SUMIF(D2362:D5160,_xlpm.roles,G2362:G5160),INDEX(_xlpm.roles,MATCH(MAX(_xlpm.kills),_xlpm.kills,0)))</f>
        <v>IGL</v>
      </c>
      <c r="V2362" t="str">
        <f t="shared" si="183"/>
        <v>Medium Accuracy</v>
      </c>
      <c r="W2362" t="str" cm="1">
        <f t="array" ref="W2362">_xlfn.LET(_xlpm.roles,_xlfn.UNIQUE(D2362:D5160), _xlpm.counts,COUNTIF(D2362:D5160,_xlpm.roles), INDEX(_xlpm.roles,MATCH(MAX(_xlpm.counts),_xlpm.counts,0)))</f>
        <v>IGL</v>
      </c>
      <c r="X2362" s="2">
        <f t="shared" si="184"/>
        <v>13.103594080338267</v>
      </c>
    </row>
    <row r="2363" spans="1:24" x14ac:dyDescent="0.3">
      <c r="A2363">
        <v>2022</v>
      </c>
      <c r="B2363">
        <v>421</v>
      </c>
      <c r="C2363" t="s">
        <v>16</v>
      </c>
      <c r="D2363" t="s">
        <v>28</v>
      </c>
      <c r="E2363" t="s">
        <v>33</v>
      </c>
      <c r="F2363" t="s">
        <v>37</v>
      </c>
      <c r="G2363">
        <v>14</v>
      </c>
      <c r="H2363">
        <v>8</v>
      </c>
      <c r="I2363">
        <v>11</v>
      </c>
      <c r="J2363">
        <v>47.19</v>
      </c>
      <c r="K2363">
        <v>219.72</v>
      </c>
      <c r="L2363">
        <v>0.65</v>
      </c>
      <c r="M2363">
        <v>42.09</v>
      </c>
      <c r="N2363">
        <v>0.9</v>
      </c>
      <c r="O2363" t="s">
        <v>20</v>
      </c>
      <c r="P2363" t="s">
        <v>21</v>
      </c>
      <c r="Q2363">
        <f t="shared" si="180"/>
        <v>11</v>
      </c>
      <c r="R2363" s="4">
        <f>RANK(N2363,$N$2:N$2800,0)</f>
        <v>1738</v>
      </c>
      <c r="S2363">
        <f t="shared" si="181"/>
        <v>1.2727272727272727</v>
      </c>
      <c r="T2363" t="str">
        <f t="shared" si="182"/>
        <v>Low</v>
      </c>
      <c r="U2363" t="str" cm="1">
        <f t="array" ref="U2363">_xlfn.LET(_xlpm.roles,_xlfn.UNIQUE(D2363:D5161),_xlpm.kills, SUMIF(D2363:D5161,_xlpm.roles,G2363:G5161),INDEX(_xlpm.roles,MATCH(MAX(_xlpm.kills),_xlpm.kills,0)))</f>
        <v>IGL</v>
      </c>
      <c r="V2363" t="str">
        <f t="shared" si="183"/>
        <v>Medium Accuracy</v>
      </c>
      <c r="W2363" t="str" cm="1">
        <f t="array" ref="W2363">_xlfn.LET(_xlpm.roles,_xlfn.UNIQUE(D2363:D5161), _xlpm.counts,COUNTIF(D2363:D5161,_xlpm.roles), INDEX(_xlpm.roles,MATCH(MAX(_xlpm.counts),_xlpm.counts,0)))</f>
        <v>IGL</v>
      </c>
      <c r="X2363" s="2">
        <f t="shared" si="184"/>
        <v>12.520971302428256</v>
      </c>
    </row>
    <row r="2364" spans="1:24" x14ac:dyDescent="0.3">
      <c r="A2364">
        <v>2109</v>
      </c>
      <c r="B2364">
        <v>421</v>
      </c>
      <c r="C2364" t="s">
        <v>16</v>
      </c>
      <c r="D2364" t="s">
        <v>36</v>
      </c>
      <c r="E2364" t="s">
        <v>18</v>
      </c>
      <c r="F2364" t="s">
        <v>34</v>
      </c>
      <c r="G2364">
        <v>13</v>
      </c>
      <c r="H2364">
        <v>6</v>
      </c>
      <c r="I2364">
        <v>9</v>
      </c>
      <c r="J2364">
        <v>53.36</v>
      </c>
      <c r="K2364">
        <v>198.87</v>
      </c>
      <c r="L2364">
        <v>0.01</v>
      </c>
      <c r="M2364">
        <v>49.58</v>
      </c>
      <c r="N2364">
        <v>1</v>
      </c>
      <c r="O2364" t="s">
        <v>20</v>
      </c>
      <c r="P2364" t="s">
        <v>21</v>
      </c>
      <c r="Q2364">
        <f t="shared" si="180"/>
        <v>10</v>
      </c>
      <c r="R2364" s="4">
        <f>RANK(N2364,$N$2:N$2800,0)</f>
        <v>1</v>
      </c>
      <c r="S2364">
        <f t="shared" si="181"/>
        <v>1.4444444444444444</v>
      </c>
      <c r="T2364" t="str">
        <f t="shared" si="182"/>
        <v>Low</v>
      </c>
      <c r="U2364" t="str" cm="1">
        <f t="array" ref="U2364">_xlfn.LET(_xlpm.roles,_xlfn.UNIQUE(D2364:D5162),_xlpm.kills, SUMIF(D2364:D5162,_xlpm.roles,G2364:G5162),INDEX(_xlpm.roles,MATCH(MAX(_xlpm.kills),_xlpm.kills,0)))</f>
        <v>IGL</v>
      </c>
      <c r="V2364" t="str">
        <f t="shared" si="183"/>
        <v>High Accuracy</v>
      </c>
      <c r="W2364" t="str" cm="1">
        <f t="array" ref="W2364">_xlfn.LET(_xlpm.roles,_xlfn.UNIQUE(D2364:D5162), _xlpm.counts,COUNTIF(D2364:D5162,_xlpm.roles), INDEX(_xlpm.roles,MATCH(MAX(_xlpm.counts),_xlpm.counts,0)))</f>
        <v>IGL</v>
      </c>
      <c r="X2364" s="2">
        <f t="shared" si="184"/>
        <v>12.520971302428256</v>
      </c>
    </row>
    <row r="2365" spans="1:24" x14ac:dyDescent="0.3">
      <c r="A2365">
        <v>2298</v>
      </c>
      <c r="B2365">
        <v>421</v>
      </c>
      <c r="C2365" t="s">
        <v>27</v>
      </c>
      <c r="D2365" t="s">
        <v>36</v>
      </c>
      <c r="E2365" t="s">
        <v>33</v>
      </c>
      <c r="F2365" t="s">
        <v>19</v>
      </c>
      <c r="G2365">
        <v>13</v>
      </c>
      <c r="H2365">
        <v>2</v>
      </c>
      <c r="I2365">
        <v>8</v>
      </c>
      <c r="J2365">
        <v>48</v>
      </c>
      <c r="K2365">
        <v>229.19</v>
      </c>
      <c r="L2365">
        <v>0.99</v>
      </c>
      <c r="M2365">
        <v>34.1</v>
      </c>
      <c r="N2365">
        <v>0.76</v>
      </c>
      <c r="O2365" t="s">
        <v>20</v>
      </c>
      <c r="P2365" t="s">
        <v>21</v>
      </c>
      <c r="Q2365">
        <f t="shared" si="180"/>
        <v>7</v>
      </c>
      <c r="R2365" s="4">
        <f>RANK(N2365,$N$2:N$2800,0)</f>
        <v>2547</v>
      </c>
      <c r="S2365">
        <f t="shared" si="181"/>
        <v>1.625</v>
      </c>
      <c r="T2365" t="str">
        <f t="shared" si="182"/>
        <v>Low</v>
      </c>
      <c r="U2365" t="str" cm="1">
        <f t="array" ref="U2365">_xlfn.LET(_xlpm.roles,_xlfn.UNIQUE(D2365:D5163),_xlpm.kills, SUMIF(D2365:D5163,_xlpm.roles,G2365:G5163),INDEX(_xlpm.roles,MATCH(MAX(_xlpm.kills),_xlpm.kills,0)))</f>
        <v>IGL</v>
      </c>
      <c r="V2365" t="str">
        <f t="shared" si="183"/>
        <v>Medium Accuracy</v>
      </c>
      <c r="W2365" t="str" cm="1">
        <f t="array" ref="W2365">_xlfn.LET(_xlpm.roles,_xlfn.UNIQUE(D2365:D5163), _xlpm.counts,COUNTIF(D2365:D5163,_xlpm.roles), INDEX(_xlpm.roles,MATCH(MAX(_xlpm.counts),_xlpm.counts,0)))</f>
        <v>IGL</v>
      </c>
      <c r="X2365" s="2">
        <f t="shared" si="184"/>
        <v>13.057077625570777</v>
      </c>
    </row>
    <row r="2366" spans="1:24" x14ac:dyDescent="0.3">
      <c r="A2366">
        <v>2592</v>
      </c>
      <c r="B2366">
        <v>421</v>
      </c>
      <c r="C2366" t="s">
        <v>39</v>
      </c>
      <c r="D2366" t="s">
        <v>22</v>
      </c>
      <c r="E2366" t="s">
        <v>23</v>
      </c>
      <c r="F2366" t="s">
        <v>24</v>
      </c>
      <c r="G2366">
        <v>11</v>
      </c>
      <c r="H2366">
        <v>8</v>
      </c>
      <c r="I2366">
        <v>10</v>
      </c>
      <c r="J2366">
        <v>38.270000000000003</v>
      </c>
      <c r="K2366">
        <v>258.47000000000003</v>
      </c>
      <c r="L2366">
        <v>0.22</v>
      </c>
      <c r="M2366">
        <v>36.94</v>
      </c>
      <c r="N2366">
        <v>0.81</v>
      </c>
      <c r="O2366" t="s">
        <v>20</v>
      </c>
      <c r="P2366" t="s">
        <v>21</v>
      </c>
      <c r="Q2366">
        <f t="shared" si="180"/>
        <v>9</v>
      </c>
      <c r="R2366" s="4">
        <f>RANK(N2366,$N$2:N$2800,0)</f>
        <v>2341</v>
      </c>
      <c r="S2366">
        <f t="shared" si="181"/>
        <v>1.1000000000000001</v>
      </c>
      <c r="T2366" t="str">
        <f t="shared" si="182"/>
        <v>Low</v>
      </c>
      <c r="U2366" t="str" cm="1">
        <f t="array" ref="U2366">_xlfn.LET(_xlpm.roles,_xlfn.UNIQUE(D2366:D5164),_xlpm.kills, SUMIF(D2366:D5164,_xlpm.roles,G2366:G5164),INDEX(_xlpm.roles,MATCH(MAX(_xlpm.kills),_xlpm.kills,0)))</f>
        <v>IGL</v>
      </c>
      <c r="V2366" t="str">
        <f t="shared" si="183"/>
        <v>Medium Accuracy</v>
      </c>
      <c r="W2366" t="str" cm="1">
        <f t="array" ref="W2366">_xlfn.LET(_xlpm.roles,_xlfn.UNIQUE(D2366:D5164), _xlpm.counts,COUNTIF(D2366:D5164,_xlpm.roles), INDEX(_xlpm.roles,MATCH(MAX(_xlpm.counts),_xlpm.counts,0)))</f>
        <v>IGL</v>
      </c>
      <c r="X2366" s="2">
        <f t="shared" si="184"/>
        <v>13.103594080338267</v>
      </c>
    </row>
    <row r="2367" spans="1:24" x14ac:dyDescent="0.3">
      <c r="A2367">
        <v>144</v>
      </c>
      <c r="B2367">
        <v>422</v>
      </c>
      <c r="C2367" t="s">
        <v>27</v>
      </c>
      <c r="D2367" t="s">
        <v>22</v>
      </c>
      <c r="E2367" t="s">
        <v>33</v>
      </c>
      <c r="F2367" t="s">
        <v>24</v>
      </c>
      <c r="G2367">
        <v>15</v>
      </c>
      <c r="H2367">
        <v>6</v>
      </c>
      <c r="I2367">
        <v>6</v>
      </c>
      <c r="J2367">
        <v>45.12</v>
      </c>
      <c r="K2367">
        <v>223.06</v>
      </c>
      <c r="L2367">
        <v>0.35</v>
      </c>
      <c r="M2367">
        <v>49.06</v>
      </c>
      <c r="N2367">
        <v>1</v>
      </c>
      <c r="O2367" t="s">
        <v>20</v>
      </c>
      <c r="P2367" t="s">
        <v>21</v>
      </c>
      <c r="Q2367">
        <f t="shared" si="180"/>
        <v>15</v>
      </c>
      <c r="R2367" s="4">
        <f>RANK(N2367,$N$2:N$2800,0)</f>
        <v>1</v>
      </c>
      <c r="S2367">
        <f t="shared" si="181"/>
        <v>2.5</v>
      </c>
      <c r="T2367" t="str">
        <f t="shared" si="182"/>
        <v>Good</v>
      </c>
      <c r="U2367" t="str" cm="1">
        <f t="array" ref="U2367">_xlfn.LET(_xlpm.roles,_xlfn.UNIQUE(D2367:D5165),_xlpm.kills, SUMIF(D2367:D5165,_xlpm.roles,G2367:G5165),INDEX(_xlpm.roles,MATCH(MAX(_xlpm.kills),_xlpm.kills,0)))</f>
        <v>IGL</v>
      </c>
      <c r="V2367" t="str">
        <f t="shared" si="183"/>
        <v>Medium Accuracy</v>
      </c>
      <c r="W2367" t="str" cm="1">
        <f t="array" ref="W2367">_xlfn.LET(_xlpm.roles,_xlfn.UNIQUE(D2367:D5165), _xlpm.counts,COUNTIF(D2367:D5165,_xlpm.roles), INDEX(_xlpm.roles,MATCH(MAX(_xlpm.counts),_xlpm.counts,0)))</f>
        <v>IGL</v>
      </c>
      <c r="X2367" s="2">
        <f t="shared" si="184"/>
        <v>13.057077625570777</v>
      </c>
    </row>
    <row r="2368" spans="1:24" x14ac:dyDescent="0.3">
      <c r="A2368">
        <v>1003</v>
      </c>
      <c r="B2368">
        <v>422</v>
      </c>
      <c r="C2368" t="s">
        <v>30</v>
      </c>
      <c r="D2368" t="s">
        <v>31</v>
      </c>
      <c r="E2368" t="s">
        <v>18</v>
      </c>
      <c r="F2368" t="s">
        <v>34</v>
      </c>
      <c r="G2368">
        <v>7</v>
      </c>
      <c r="H2368">
        <v>9</v>
      </c>
      <c r="I2368">
        <v>9</v>
      </c>
      <c r="J2368">
        <v>50.47</v>
      </c>
      <c r="K2368">
        <v>224.04</v>
      </c>
      <c r="L2368">
        <v>0.35</v>
      </c>
      <c r="M2368">
        <v>35.729999999999997</v>
      </c>
      <c r="N2368">
        <v>0.75</v>
      </c>
      <c r="O2368" t="s">
        <v>20</v>
      </c>
      <c r="P2368" t="s">
        <v>21</v>
      </c>
      <c r="Q2368">
        <f t="shared" si="180"/>
        <v>7</v>
      </c>
      <c r="R2368" s="4">
        <f>RANK(N2368,$N$2:N$2800,0)</f>
        <v>2586</v>
      </c>
      <c r="S2368">
        <f t="shared" si="181"/>
        <v>0.77777777777777779</v>
      </c>
      <c r="T2368" t="str">
        <f t="shared" si="182"/>
        <v>Low</v>
      </c>
      <c r="U2368" t="str" cm="1">
        <f t="array" ref="U2368">_xlfn.LET(_xlpm.roles,_xlfn.UNIQUE(D2368:D5166),_xlpm.kills, SUMIF(D2368:D5166,_xlpm.roles,G2368:G5166),INDEX(_xlpm.roles,MATCH(MAX(_xlpm.kills),_xlpm.kills,0)))</f>
        <v>IGL</v>
      </c>
      <c r="V2368" t="str">
        <f t="shared" si="183"/>
        <v>High Accuracy</v>
      </c>
      <c r="W2368" t="str" cm="1">
        <f t="array" ref="W2368">_xlfn.LET(_xlpm.roles,_xlfn.UNIQUE(D2368:D5166), _xlpm.counts,COUNTIF(D2368:D5166,_xlpm.roles), INDEX(_xlpm.roles,MATCH(MAX(_xlpm.counts),_xlpm.counts,0)))</f>
        <v>IGL</v>
      </c>
      <c r="X2368" s="2">
        <f t="shared" si="184"/>
        <v>13.135802469135802</v>
      </c>
    </row>
    <row r="2369" spans="1:24" x14ac:dyDescent="0.3">
      <c r="A2369">
        <v>1157</v>
      </c>
      <c r="B2369">
        <v>422</v>
      </c>
      <c r="C2369" t="s">
        <v>27</v>
      </c>
      <c r="D2369" t="s">
        <v>36</v>
      </c>
      <c r="E2369" t="s">
        <v>33</v>
      </c>
      <c r="F2369" t="s">
        <v>26</v>
      </c>
      <c r="G2369">
        <v>20</v>
      </c>
      <c r="H2369">
        <v>9</v>
      </c>
      <c r="I2369">
        <v>11</v>
      </c>
      <c r="J2369">
        <v>44.6</v>
      </c>
      <c r="K2369">
        <v>235.23</v>
      </c>
      <c r="L2369">
        <v>0.79</v>
      </c>
      <c r="M2369">
        <v>52.4</v>
      </c>
      <c r="N2369">
        <v>1</v>
      </c>
      <c r="O2369" t="s">
        <v>20</v>
      </c>
      <c r="P2369" t="s">
        <v>21</v>
      </c>
      <c r="Q2369">
        <f t="shared" si="180"/>
        <v>18</v>
      </c>
      <c r="R2369" s="4">
        <f>RANK(N2369,$N$2:N$2800,0)</f>
        <v>1</v>
      </c>
      <c r="S2369">
        <f t="shared" si="181"/>
        <v>1.8181818181818181</v>
      </c>
      <c r="T2369" t="str">
        <f t="shared" si="182"/>
        <v>Good</v>
      </c>
      <c r="U2369" t="str" cm="1">
        <f t="array" ref="U2369">_xlfn.LET(_xlpm.roles,_xlfn.UNIQUE(D2369:D5167),_xlpm.kills, SUMIF(D2369:D5167,_xlpm.roles,G2369:G5167),INDEX(_xlpm.roles,MATCH(MAX(_xlpm.kills),_xlpm.kills,0)))</f>
        <v>IGL</v>
      </c>
      <c r="V2369" t="str">
        <f t="shared" si="183"/>
        <v>Medium Accuracy</v>
      </c>
      <c r="W2369" t="str" cm="1">
        <f t="array" ref="W2369">_xlfn.LET(_xlpm.roles,_xlfn.UNIQUE(D2369:D5167), _xlpm.counts,COUNTIF(D2369:D5167,_xlpm.roles), INDEX(_xlpm.roles,MATCH(MAX(_xlpm.counts),_xlpm.counts,0)))</f>
        <v>IGL</v>
      </c>
      <c r="X2369" s="2">
        <f t="shared" si="184"/>
        <v>13.057077625570777</v>
      </c>
    </row>
    <row r="2370" spans="1:24" x14ac:dyDescent="0.3">
      <c r="A2370">
        <v>1586</v>
      </c>
      <c r="B2370">
        <v>422</v>
      </c>
      <c r="C2370" t="s">
        <v>25</v>
      </c>
      <c r="D2370" t="s">
        <v>28</v>
      </c>
      <c r="E2370" t="s">
        <v>18</v>
      </c>
      <c r="F2370" t="s">
        <v>34</v>
      </c>
      <c r="G2370">
        <v>11</v>
      </c>
      <c r="H2370">
        <v>5</v>
      </c>
      <c r="I2370">
        <v>9</v>
      </c>
      <c r="J2370">
        <v>25.24</v>
      </c>
      <c r="K2370">
        <v>205.57</v>
      </c>
      <c r="L2370">
        <v>0.33</v>
      </c>
      <c r="M2370">
        <v>27.32</v>
      </c>
      <c r="N2370">
        <v>0.67</v>
      </c>
      <c r="O2370" t="s">
        <v>20</v>
      </c>
      <c r="P2370" t="s">
        <v>21</v>
      </c>
      <c r="Q2370">
        <f t="shared" si="180"/>
        <v>7</v>
      </c>
      <c r="R2370" s="4">
        <f>RANK(N2370,$N$2:N$2800,0)</f>
        <v>2731</v>
      </c>
      <c r="S2370">
        <f t="shared" si="181"/>
        <v>1.2222222222222223</v>
      </c>
      <c r="T2370" t="str">
        <f t="shared" si="182"/>
        <v>Low</v>
      </c>
      <c r="U2370" t="str" cm="1">
        <f t="array" ref="U2370">_xlfn.LET(_xlpm.roles,_xlfn.UNIQUE(D2370:D5168),_xlpm.kills, SUMIF(D2370:D5168,_xlpm.roles,G2370:G5168),INDEX(_xlpm.roles,MATCH(MAX(_xlpm.kills),_xlpm.kills,0)))</f>
        <v>IGL</v>
      </c>
      <c r="V2370" t="str">
        <f t="shared" si="183"/>
        <v>Low Accuracy</v>
      </c>
      <c r="W2370" t="str" cm="1">
        <f t="array" ref="W2370">_xlfn.LET(_xlpm.roles,_xlfn.UNIQUE(D2370:D5168), _xlpm.counts,COUNTIF(D2370:D5168,_xlpm.roles), INDEX(_xlpm.roles,MATCH(MAX(_xlpm.counts),_xlpm.counts,0)))</f>
        <v>IGL</v>
      </c>
      <c r="X2370" s="2">
        <f t="shared" si="184"/>
        <v>12.809421841541756</v>
      </c>
    </row>
    <row r="2371" spans="1:24" x14ac:dyDescent="0.3">
      <c r="A2371">
        <v>2503</v>
      </c>
      <c r="B2371">
        <v>422</v>
      </c>
      <c r="C2371" t="s">
        <v>27</v>
      </c>
      <c r="D2371" t="s">
        <v>31</v>
      </c>
      <c r="E2371" t="s">
        <v>32</v>
      </c>
      <c r="F2371" t="s">
        <v>24</v>
      </c>
      <c r="G2371">
        <v>20</v>
      </c>
      <c r="H2371">
        <v>7</v>
      </c>
      <c r="I2371">
        <v>12</v>
      </c>
      <c r="J2371">
        <v>45.65</v>
      </c>
      <c r="K2371">
        <v>199.67</v>
      </c>
      <c r="L2371">
        <v>0.28999999999999998</v>
      </c>
      <c r="M2371">
        <v>54.93</v>
      </c>
      <c r="N2371">
        <v>1</v>
      </c>
      <c r="O2371" t="s">
        <v>20</v>
      </c>
      <c r="P2371" t="s">
        <v>21</v>
      </c>
      <c r="Q2371">
        <f t="shared" ref="Q2371:Q2434" si="185">G2371+H2371-I2371</f>
        <v>15</v>
      </c>
      <c r="R2371" s="4">
        <f>RANK(N2371,$N$2:N$2800,0)</f>
        <v>1</v>
      </c>
      <c r="S2371">
        <f t="shared" ref="S2371:S2434" si="186">G2371/I2371</f>
        <v>1.6666666666666667</v>
      </c>
      <c r="T2371" t="str">
        <f t="shared" ref="T2371:T2434" si="187">IF(Q2371&lt;15,"Low",IF(Q2371&lt;25,"Good","Excellent"))</f>
        <v>Good</v>
      </c>
      <c r="U2371" t="str" cm="1">
        <f t="array" ref="U2371">_xlfn.LET(_xlpm.roles,_xlfn.UNIQUE(D2371:D5169),_xlpm.kills, SUMIF(D2371:D5169,_xlpm.roles,G2371:G5169),INDEX(_xlpm.roles,MATCH(MAX(_xlpm.kills),_xlpm.kills,0)))</f>
        <v>IGL</v>
      </c>
      <c r="V2371" t="str">
        <f t="shared" ref="V2371:V2434" si="188">IF(J2371&gt;=50,"High Accuracy",IF(J2371&gt;=30,"Medium Accuracy","Low Accuracy"))</f>
        <v>Medium Accuracy</v>
      </c>
      <c r="W2371" t="str" cm="1">
        <f t="array" ref="W2371">_xlfn.LET(_xlpm.roles,_xlfn.UNIQUE(D2371:D5169), _xlpm.counts,COUNTIF(D2371:D5169,_xlpm.roles), INDEX(_xlpm.roles,MATCH(MAX(_xlpm.counts),_xlpm.counts,0)))</f>
        <v>IGL</v>
      </c>
      <c r="X2371" s="2">
        <f t="shared" ref="X2371:X2434" si="189">AVERAGEIF($C$2:$C$2800,C2371,$Q$2:$Q$2800)</f>
        <v>13.057077625570777</v>
      </c>
    </row>
    <row r="2372" spans="1:24" x14ac:dyDescent="0.3">
      <c r="A2372">
        <v>687</v>
      </c>
      <c r="B2372">
        <v>423</v>
      </c>
      <c r="C2372" t="s">
        <v>25</v>
      </c>
      <c r="D2372" t="s">
        <v>28</v>
      </c>
      <c r="E2372" t="s">
        <v>33</v>
      </c>
      <c r="F2372" t="s">
        <v>34</v>
      </c>
      <c r="G2372">
        <v>15</v>
      </c>
      <c r="H2372">
        <v>12</v>
      </c>
      <c r="I2372">
        <v>7</v>
      </c>
      <c r="J2372">
        <v>41.63</v>
      </c>
      <c r="K2372">
        <v>175.07</v>
      </c>
      <c r="L2372">
        <v>0.73</v>
      </c>
      <c r="M2372">
        <v>48.52</v>
      </c>
      <c r="N2372">
        <v>0.85</v>
      </c>
      <c r="O2372" t="s">
        <v>20</v>
      </c>
      <c r="P2372" t="s">
        <v>21</v>
      </c>
      <c r="Q2372">
        <f t="shared" si="185"/>
        <v>20</v>
      </c>
      <c r="R2372" s="4">
        <f>RANK(N2372,$N$2:N$2800,0)</f>
        <v>2105</v>
      </c>
      <c r="S2372">
        <f t="shared" si="186"/>
        <v>2.1428571428571428</v>
      </c>
      <c r="T2372" t="str">
        <f t="shared" si="187"/>
        <v>Good</v>
      </c>
      <c r="U2372" t="str" cm="1">
        <f t="array" ref="U2372">_xlfn.LET(_xlpm.roles,_xlfn.UNIQUE(D2372:D5170),_xlpm.kills, SUMIF(D2372:D5170,_xlpm.roles,G2372:G5170),INDEX(_xlpm.roles,MATCH(MAX(_xlpm.kills),_xlpm.kills,0)))</f>
        <v>IGL</v>
      </c>
      <c r="V2372" t="str">
        <f t="shared" si="188"/>
        <v>Medium Accuracy</v>
      </c>
      <c r="W2372" t="str" cm="1">
        <f t="array" ref="W2372">_xlfn.LET(_xlpm.roles,_xlfn.UNIQUE(D2372:D5170), _xlpm.counts,COUNTIF(D2372:D5170,_xlpm.roles), INDEX(_xlpm.roles,MATCH(MAX(_xlpm.counts),_xlpm.counts,0)))</f>
        <v>IGL</v>
      </c>
      <c r="X2372" s="2">
        <f t="shared" si="189"/>
        <v>12.809421841541756</v>
      </c>
    </row>
    <row r="2373" spans="1:24" x14ac:dyDescent="0.3">
      <c r="A2373">
        <v>757</v>
      </c>
      <c r="B2373">
        <v>424</v>
      </c>
      <c r="C2373" t="s">
        <v>25</v>
      </c>
      <c r="D2373" t="s">
        <v>31</v>
      </c>
      <c r="E2373" t="s">
        <v>18</v>
      </c>
      <c r="F2373" t="s">
        <v>24</v>
      </c>
      <c r="G2373">
        <v>23</v>
      </c>
      <c r="H2373">
        <v>8</v>
      </c>
      <c r="I2373">
        <v>13</v>
      </c>
      <c r="J2373">
        <v>44.48</v>
      </c>
      <c r="K2373">
        <v>254.89</v>
      </c>
      <c r="L2373">
        <v>0.83</v>
      </c>
      <c r="M2373">
        <v>54.94</v>
      </c>
      <c r="N2373">
        <v>1</v>
      </c>
      <c r="O2373" t="s">
        <v>20</v>
      </c>
      <c r="P2373" t="s">
        <v>21</v>
      </c>
      <c r="Q2373">
        <f t="shared" si="185"/>
        <v>18</v>
      </c>
      <c r="R2373" s="4">
        <f>RANK(N2373,$N$2:N$2800,0)</f>
        <v>1</v>
      </c>
      <c r="S2373">
        <f t="shared" si="186"/>
        <v>1.7692307692307692</v>
      </c>
      <c r="T2373" t="str">
        <f t="shared" si="187"/>
        <v>Good</v>
      </c>
      <c r="U2373" t="str" cm="1">
        <f t="array" ref="U2373">_xlfn.LET(_xlpm.roles,_xlfn.UNIQUE(D2373:D5171),_xlpm.kills, SUMIF(D2373:D5171,_xlpm.roles,G2373:G5171),INDEX(_xlpm.roles,MATCH(MAX(_xlpm.kills),_xlpm.kills,0)))</f>
        <v>IGL</v>
      </c>
      <c r="V2373" t="str">
        <f t="shared" si="188"/>
        <v>Medium Accuracy</v>
      </c>
      <c r="W2373" t="str" cm="1">
        <f t="array" ref="W2373">_xlfn.LET(_xlpm.roles,_xlfn.UNIQUE(D2373:D5171), _xlpm.counts,COUNTIF(D2373:D5171,_xlpm.roles), INDEX(_xlpm.roles,MATCH(MAX(_xlpm.counts),_xlpm.counts,0)))</f>
        <v>IGL</v>
      </c>
      <c r="X2373" s="2">
        <f t="shared" si="189"/>
        <v>12.809421841541756</v>
      </c>
    </row>
    <row r="2374" spans="1:24" x14ac:dyDescent="0.3">
      <c r="A2374">
        <v>1138</v>
      </c>
      <c r="B2374">
        <v>424</v>
      </c>
      <c r="C2374" t="s">
        <v>30</v>
      </c>
      <c r="D2374" t="s">
        <v>31</v>
      </c>
      <c r="E2374" t="s">
        <v>18</v>
      </c>
      <c r="F2374" t="s">
        <v>34</v>
      </c>
      <c r="G2374">
        <v>16</v>
      </c>
      <c r="H2374">
        <v>5</v>
      </c>
      <c r="I2374">
        <v>7</v>
      </c>
      <c r="J2374">
        <v>31.01</v>
      </c>
      <c r="K2374">
        <v>224.32</v>
      </c>
      <c r="L2374">
        <v>0.55000000000000004</v>
      </c>
      <c r="M2374">
        <v>40.01</v>
      </c>
      <c r="N2374">
        <v>0.84</v>
      </c>
      <c r="O2374" t="s">
        <v>20</v>
      </c>
      <c r="P2374" t="s">
        <v>21</v>
      </c>
      <c r="Q2374">
        <f t="shared" si="185"/>
        <v>14</v>
      </c>
      <c r="R2374" s="4">
        <f>RANK(N2374,$N$2:N$2800,0)</f>
        <v>2156</v>
      </c>
      <c r="S2374">
        <f t="shared" si="186"/>
        <v>2.2857142857142856</v>
      </c>
      <c r="T2374" t="str">
        <f t="shared" si="187"/>
        <v>Low</v>
      </c>
      <c r="U2374" t="str" cm="1">
        <f t="array" ref="U2374">_xlfn.LET(_xlpm.roles,_xlfn.UNIQUE(D2374:D5172),_xlpm.kills, SUMIF(D2374:D5172,_xlpm.roles,G2374:G5172),INDEX(_xlpm.roles,MATCH(MAX(_xlpm.kills),_xlpm.kills,0)))</f>
        <v>IGL</v>
      </c>
      <c r="V2374" t="str">
        <f t="shared" si="188"/>
        <v>Medium Accuracy</v>
      </c>
      <c r="W2374" t="str" cm="1">
        <f t="array" ref="W2374">_xlfn.LET(_xlpm.roles,_xlfn.UNIQUE(D2374:D5172), _xlpm.counts,COUNTIF(D2374:D5172,_xlpm.roles), INDEX(_xlpm.roles,MATCH(MAX(_xlpm.counts),_xlpm.counts,0)))</f>
        <v>IGL</v>
      </c>
      <c r="X2374" s="2">
        <f t="shared" si="189"/>
        <v>13.135802469135802</v>
      </c>
    </row>
    <row r="2375" spans="1:24" x14ac:dyDescent="0.3">
      <c r="A2375">
        <v>1148</v>
      </c>
      <c r="B2375">
        <v>424</v>
      </c>
      <c r="C2375" t="s">
        <v>30</v>
      </c>
      <c r="D2375" t="s">
        <v>36</v>
      </c>
      <c r="E2375" t="s">
        <v>29</v>
      </c>
      <c r="F2375" t="s">
        <v>26</v>
      </c>
      <c r="G2375">
        <v>16</v>
      </c>
      <c r="H2375">
        <v>8</v>
      </c>
      <c r="I2375">
        <v>9</v>
      </c>
      <c r="J2375">
        <v>58.41</v>
      </c>
      <c r="K2375">
        <v>183.84</v>
      </c>
      <c r="L2375">
        <v>0.89</v>
      </c>
      <c r="M2375">
        <v>51.3</v>
      </c>
      <c r="N2375">
        <v>0.77</v>
      </c>
      <c r="O2375" t="s">
        <v>20</v>
      </c>
      <c r="P2375" t="s">
        <v>21</v>
      </c>
      <c r="Q2375">
        <f t="shared" si="185"/>
        <v>15</v>
      </c>
      <c r="R2375" s="4">
        <f>RANK(N2375,$N$2:N$2800,0)</f>
        <v>2511</v>
      </c>
      <c r="S2375">
        <f t="shared" si="186"/>
        <v>1.7777777777777777</v>
      </c>
      <c r="T2375" t="str">
        <f t="shared" si="187"/>
        <v>Good</v>
      </c>
      <c r="U2375" t="str" cm="1">
        <f t="array" ref="U2375">_xlfn.LET(_xlpm.roles,_xlfn.UNIQUE(D2375:D5173),_xlpm.kills, SUMIF(D2375:D5173,_xlpm.roles,G2375:G5173),INDEX(_xlpm.roles,MATCH(MAX(_xlpm.kills),_xlpm.kills,0)))</f>
        <v>IGL</v>
      </c>
      <c r="V2375" t="str">
        <f t="shared" si="188"/>
        <v>High Accuracy</v>
      </c>
      <c r="W2375" t="str" cm="1">
        <f t="array" ref="W2375">_xlfn.LET(_xlpm.roles,_xlfn.UNIQUE(D2375:D5173), _xlpm.counts,COUNTIF(D2375:D5173,_xlpm.roles), INDEX(_xlpm.roles,MATCH(MAX(_xlpm.counts),_xlpm.counts,0)))</f>
        <v>IGL</v>
      </c>
      <c r="X2375" s="2">
        <f t="shared" si="189"/>
        <v>13.135802469135802</v>
      </c>
    </row>
    <row r="2376" spans="1:24" x14ac:dyDescent="0.3">
      <c r="A2376">
        <v>1817</v>
      </c>
      <c r="B2376">
        <v>424</v>
      </c>
      <c r="C2376" t="s">
        <v>30</v>
      </c>
      <c r="D2376" t="s">
        <v>17</v>
      </c>
      <c r="E2376" t="s">
        <v>23</v>
      </c>
      <c r="F2376" t="s">
        <v>19</v>
      </c>
      <c r="G2376">
        <v>16</v>
      </c>
      <c r="H2376">
        <v>6</v>
      </c>
      <c r="I2376">
        <v>14</v>
      </c>
      <c r="J2376">
        <v>52.49</v>
      </c>
      <c r="K2376">
        <v>193.22</v>
      </c>
      <c r="L2376">
        <v>0.89</v>
      </c>
      <c r="M2376">
        <v>41.35</v>
      </c>
      <c r="N2376">
        <v>1</v>
      </c>
      <c r="O2376" t="s">
        <v>20</v>
      </c>
      <c r="P2376" t="s">
        <v>21</v>
      </c>
      <c r="Q2376">
        <f t="shared" si="185"/>
        <v>8</v>
      </c>
      <c r="R2376" s="4">
        <f>RANK(N2376,$N$2:N$2800,0)</f>
        <v>1</v>
      </c>
      <c r="S2376">
        <f t="shared" si="186"/>
        <v>1.1428571428571428</v>
      </c>
      <c r="T2376" t="str">
        <f t="shared" si="187"/>
        <v>Low</v>
      </c>
      <c r="U2376" t="str" cm="1">
        <f t="array" ref="U2376">_xlfn.LET(_xlpm.roles,_xlfn.UNIQUE(D2376:D5174),_xlpm.kills, SUMIF(D2376:D5174,_xlpm.roles,G2376:G5174),INDEX(_xlpm.roles,MATCH(MAX(_xlpm.kills),_xlpm.kills,0)))</f>
        <v>IGL</v>
      </c>
      <c r="V2376" t="str">
        <f t="shared" si="188"/>
        <v>High Accuracy</v>
      </c>
      <c r="W2376" t="str" cm="1">
        <f t="array" ref="W2376">_xlfn.LET(_xlpm.roles,_xlfn.UNIQUE(D2376:D5174), _xlpm.counts,COUNTIF(D2376:D5174,_xlpm.roles), INDEX(_xlpm.roles,MATCH(MAX(_xlpm.counts),_xlpm.counts,0)))</f>
        <v>IGL</v>
      </c>
      <c r="X2376" s="2">
        <f t="shared" si="189"/>
        <v>13.135802469135802</v>
      </c>
    </row>
    <row r="2377" spans="1:24" x14ac:dyDescent="0.3">
      <c r="A2377">
        <v>1851</v>
      </c>
      <c r="B2377">
        <v>424</v>
      </c>
      <c r="C2377" t="s">
        <v>35</v>
      </c>
      <c r="D2377" t="s">
        <v>28</v>
      </c>
      <c r="E2377" t="s">
        <v>23</v>
      </c>
      <c r="F2377" t="s">
        <v>19</v>
      </c>
      <c r="G2377">
        <v>11</v>
      </c>
      <c r="H2377">
        <v>10</v>
      </c>
      <c r="I2377">
        <v>9</v>
      </c>
      <c r="J2377">
        <v>31.95</v>
      </c>
      <c r="K2377">
        <v>131.99</v>
      </c>
      <c r="L2377">
        <v>0.74</v>
      </c>
      <c r="M2377">
        <v>31.58</v>
      </c>
      <c r="N2377">
        <v>0.74</v>
      </c>
      <c r="O2377" t="s">
        <v>20</v>
      </c>
      <c r="P2377" t="s">
        <v>21</v>
      </c>
      <c r="Q2377">
        <f t="shared" si="185"/>
        <v>12</v>
      </c>
      <c r="R2377" s="4">
        <f>RANK(N2377,$N$2:N$2800,0)</f>
        <v>2613</v>
      </c>
      <c r="S2377">
        <f t="shared" si="186"/>
        <v>1.2222222222222223</v>
      </c>
      <c r="T2377" t="str">
        <f t="shared" si="187"/>
        <v>Low</v>
      </c>
      <c r="U2377" t="str" cm="1">
        <f t="array" ref="U2377">_xlfn.LET(_xlpm.roles,_xlfn.UNIQUE(D2377:D5175),_xlpm.kills, SUMIF(D2377:D5175,_xlpm.roles,G2377:G5175),INDEX(_xlpm.roles,MATCH(MAX(_xlpm.kills),_xlpm.kills,0)))</f>
        <v>IGL</v>
      </c>
      <c r="V2377" t="str">
        <f t="shared" si="188"/>
        <v>Medium Accuracy</v>
      </c>
      <c r="W2377" t="str" cm="1">
        <f t="array" ref="W2377">_xlfn.LET(_xlpm.roles,_xlfn.UNIQUE(D2377:D5175), _xlpm.counts,COUNTIF(D2377:D5175,_xlpm.roles), INDEX(_xlpm.roles,MATCH(MAX(_xlpm.counts),_xlpm.counts,0)))</f>
        <v>IGL</v>
      </c>
      <c r="X2377" s="2">
        <f t="shared" si="189"/>
        <v>12.599585062240664</v>
      </c>
    </row>
    <row r="2378" spans="1:24" x14ac:dyDescent="0.3">
      <c r="A2378">
        <v>2039</v>
      </c>
      <c r="B2378">
        <v>424</v>
      </c>
      <c r="C2378" t="s">
        <v>16</v>
      </c>
      <c r="D2378" t="s">
        <v>28</v>
      </c>
      <c r="E2378" t="s">
        <v>33</v>
      </c>
      <c r="F2378" t="s">
        <v>26</v>
      </c>
      <c r="G2378">
        <v>13</v>
      </c>
      <c r="H2378">
        <v>5</v>
      </c>
      <c r="I2378">
        <v>11</v>
      </c>
      <c r="J2378">
        <v>41.08</v>
      </c>
      <c r="K2378">
        <v>236.75</v>
      </c>
      <c r="L2378">
        <v>0.41</v>
      </c>
      <c r="M2378">
        <v>36.44</v>
      </c>
      <c r="N2378">
        <v>0.92</v>
      </c>
      <c r="O2378" t="s">
        <v>20</v>
      </c>
      <c r="P2378" t="s">
        <v>21</v>
      </c>
      <c r="Q2378">
        <f t="shared" si="185"/>
        <v>7</v>
      </c>
      <c r="R2378" s="4">
        <f>RANK(N2378,$N$2:N$2800,0)</f>
        <v>1585</v>
      </c>
      <c r="S2378">
        <f t="shared" si="186"/>
        <v>1.1818181818181819</v>
      </c>
      <c r="T2378" t="str">
        <f t="shared" si="187"/>
        <v>Low</v>
      </c>
      <c r="U2378" t="str" cm="1">
        <f t="array" ref="U2378">_xlfn.LET(_xlpm.roles,_xlfn.UNIQUE(D2378:D5176),_xlpm.kills, SUMIF(D2378:D5176,_xlpm.roles,G2378:G5176),INDEX(_xlpm.roles,MATCH(MAX(_xlpm.kills),_xlpm.kills,0)))</f>
        <v>IGL</v>
      </c>
      <c r="V2378" t="str">
        <f t="shared" si="188"/>
        <v>Medium Accuracy</v>
      </c>
      <c r="W2378" t="str" cm="1">
        <f t="array" ref="W2378">_xlfn.LET(_xlpm.roles,_xlfn.UNIQUE(D2378:D5176), _xlpm.counts,COUNTIF(D2378:D5176,_xlpm.roles), INDEX(_xlpm.roles,MATCH(MAX(_xlpm.counts),_xlpm.counts,0)))</f>
        <v>IGL</v>
      </c>
      <c r="X2378" s="2">
        <f t="shared" si="189"/>
        <v>12.520971302428256</v>
      </c>
    </row>
    <row r="2379" spans="1:24" x14ac:dyDescent="0.3">
      <c r="A2379">
        <v>2469</v>
      </c>
      <c r="B2379">
        <v>424</v>
      </c>
      <c r="C2379" t="s">
        <v>30</v>
      </c>
      <c r="D2379" t="s">
        <v>17</v>
      </c>
      <c r="E2379" t="s">
        <v>33</v>
      </c>
      <c r="F2379" t="s">
        <v>19</v>
      </c>
      <c r="G2379">
        <v>21</v>
      </c>
      <c r="H2379">
        <v>8</v>
      </c>
      <c r="I2379">
        <v>13</v>
      </c>
      <c r="J2379">
        <v>40.1</v>
      </c>
      <c r="K2379">
        <v>193.69</v>
      </c>
      <c r="L2379">
        <v>0.51</v>
      </c>
      <c r="M2379">
        <v>51.95</v>
      </c>
      <c r="N2379">
        <v>1</v>
      </c>
      <c r="O2379" t="s">
        <v>20</v>
      </c>
      <c r="P2379" t="s">
        <v>21</v>
      </c>
      <c r="Q2379">
        <f t="shared" si="185"/>
        <v>16</v>
      </c>
      <c r="R2379" s="4">
        <f>RANK(N2379,$N$2:N$2800,0)</f>
        <v>1</v>
      </c>
      <c r="S2379">
        <f t="shared" si="186"/>
        <v>1.6153846153846154</v>
      </c>
      <c r="T2379" t="str">
        <f t="shared" si="187"/>
        <v>Good</v>
      </c>
      <c r="U2379" t="str" cm="1">
        <f t="array" ref="U2379">_xlfn.LET(_xlpm.roles,_xlfn.UNIQUE(D2379:D5177),_xlpm.kills, SUMIF(D2379:D5177,_xlpm.roles,G2379:G5177),INDEX(_xlpm.roles,MATCH(MAX(_xlpm.kills),_xlpm.kills,0)))</f>
        <v>IGL</v>
      </c>
      <c r="V2379" t="str">
        <f t="shared" si="188"/>
        <v>Medium Accuracy</v>
      </c>
      <c r="W2379" t="str" cm="1">
        <f t="array" ref="W2379">_xlfn.LET(_xlpm.roles,_xlfn.UNIQUE(D2379:D5177), _xlpm.counts,COUNTIF(D2379:D5177,_xlpm.roles), INDEX(_xlpm.roles,MATCH(MAX(_xlpm.counts),_xlpm.counts,0)))</f>
        <v>IGL</v>
      </c>
      <c r="X2379" s="2">
        <f t="shared" si="189"/>
        <v>13.135802469135802</v>
      </c>
    </row>
    <row r="2380" spans="1:24" x14ac:dyDescent="0.3">
      <c r="A2380">
        <v>315</v>
      </c>
      <c r="B2380">
        <v>425</v>
      </c>
      <c r="C2380" t="s">
        <v>39</v>
      </c>
      <c r="D2380" t="s">
        <v>31</v>
      </c>
      <c r="E2380" t="s">
        <v>23</v>
      </c>
      <c r="F2380" t="s">
        <v>19</v>
      </c>
      <c r="G2380">
        <v>16</v>
      </c>
      <c r="H2380">
        <v>8</v>
      </c>
      <c r="I2380">
        <v>8</v>
      </c>
      <c r="J2380">
        <v>48.84</v>
      </c>
      <c r="K2380">
        <v>188.35</v>
      </c>
      <c r="L2380">
        <v>0.25</v>
      </c>
      <c r="M2380">
        <v>53.92</v>
      </c>
      <c r="N2380">
        <v>1</v>
      </c>
      <c r="O2380" t="s">
        <v>20</v>
      </c>
      <c r="P2380" t="s">
        <v>21</v>
      </c>
      <c r="Q2380">
        <f t="shared" si="185"/>
        <v>16</v>
      </c>
      <c r="R2380" s="4">
        <f>RANK(N2380,$N$2:N$2800,0)</f>
        <v>1</v>
      </c>
      <c r="S2380">
        <f t="shared" si="186"/>
        <v>2</v>
      </c>
      <c r="T2380" t="str">
        <f t="shared" si="187"/>
        <v>Good</v>
      </c>
      <c r="U2380" t="str" cm="1">
        <f t="array" ref="U2380">_xlfn.LET(_xlpm.roles,_xlfn.UNIQUE(D2380:D5178),_xlpm.kills, SUMIF(D2380:D5178,_xlpm.roles,G2380:G5178),INDEX(_xlpm.roles,MATCH(MAX(_xlpm.kills),_xlpm.kills,0)))</f>
        <v>IGL</v>
      </c>
      <c r="V2380" t="str">
        <f t="shared" si="188"/>
        <v>Medium Accuracy</v>
      </c>
      <c r="W2380" t="str" cm="1">
        <f t="array" ref="W2380">_xlfn.LET(_xlpm.roles,_xlfn.UNIQUE(D2380:D5178), _xlpm.counts,COUNTIF(D2380:D5178,_xlpm.roles), INDEX(_xlpm.roles,MATCH(MAX(_xlpm.counts),_xlpm.counts,0)))</f>
        <v>IGL</v>
      </c>
      <c r="X2380" s="2">
        <f t="shared" si="189"/>
        <v>13.103594080338267</v>
      </c>
    </row>
    <row r="2381" spans="1:24" x14ac:dyDescent="0.3">
      <c r="A2381">
        <v>421</v>
      </c>
      <c r="B2381">
        <v>425</v>
      </c>
      <c r="C2381" t="s">
        <v>25</v>
      </c>
      <c r="D2381" t="s">
        <v>31</v>
      </c>
      <c r="E2381" t="s">
        <v>18</v>
      </c>
      <c r="F2381" t="s">
        <v>26</v>
      </c>
      <c r="G2381">
        <v>14</v>
      </c>
      <c r="H2381">
        <v>5</v>
      </c>
      <c r="I2381">
        <v>13</v>
      </c>
      <c r="J2381">
        <v>32.159999999999997</v>
      </c>
      <c r="K2381">
        <v>192.19</v>
      </c>
      <c r="L2381">
        <v>0.4</v>
      </c>
      <c r="M2381">
        <v>32.08</v>
      </c>
      <c r="N2381">
        <v>0.82</v>
      </c>
      <c r="O2381" t="s">
        <v>20</v>
      </c>
      <c r="P2381" t="s">
        <v>21</v>
      </c>
      <c r="Q2381">
        <f t="shared" si="185"/>
        <v>6</v>
      </c>
      <c r="R2381" s="4">
        <f>RANK(N2381,$N$2:N$2800,0)</f>
        <v>2275</v>
      </c>
      <c r="S2381">
        <f t="shared" si="186"/>
        <v>1.0769230769230769</v>
      </c>
      <c r="T2381" t="str">
        <f t="shared" si="187"/>
        <v>Low</v>
      </c>
      <c r="U2381" t="str" cm="1">
        <f t="array" ref="U2381">_xlfn.LET(_xlpm.roles,_xlfn.UNIQUE(D2381:D5179),_xlpm.kills, SUMIF(D2381:D5179,_xlpm.roles,G2381:G5179),INDEX(_xlpm.roles,MATCH(MAX(_xlpm.kills),_xlpm.kills,0)))</f>
        <v>IGL</v>
      </c>
      <c r="V2381" t="str">
        <f t="shared" si="188"/>
        <v>Medium Accuracy</v>
      </c>
      <c r="W2381" t="str" cm="1">
        <f t="array" ref="W2381">_xlfn.LET(_xlpm.roles,_xlfn.UNIQUE(D2381:D5179), _xlpm.counts,COUNTIF(D2381:D5179,_xlpm.roles), INDEX(_xlpm.roles,MATCH(MAX(_xlpm.counts),_xlpm.counts,0)))</f>
        <v>IGL</v>
      </c>
      <c r="X2381" s="2">
        <f t="shared" si="189"/>
        <v>12.809421841541756</v>
      </c>
    </row>
    <row r="2382" spans="1:24" x14ac:dyDescent="0.3">
      <c r="A2382">
        <v>493</v>
      </c>
      <c r="B2382">
        <v>425</v>
      </c>
      <c r="C2382" t="s">
        <v>39</v>
      </c>
      <c r="D2382" t="s">
        <v>31</v>
      </c>
      <c r="E2382" t="s">
        <v>18</v>
      </c>
      <c r="F2382" t="s">
        <v>37</v>
      </c>
      <c r="G2382">
        <v>17</v>
      </c>
      <c r="H2382">
        <v>6</v>
      </c>
      <c r="I2382">
        <v>11</v>
      </c>
      <c r="J2382">
        <v>53.23</v>
      </c>
      <c r="K2382">
        <v>197.68</v>
      </c>
      <c r="L2382">
        <v>0.33</v>
      </c>
      <c r="M2382">
        <v>52.31</v>
      </c>
      <c r="N2382">
        <v>0.96</v>
      </c>
      <c r="O2382" t="s">
        <v>20</v>
      </c>
      <c r="P2382" t="s">
        <v>21</v>
      </c>
      <c r="Q2382">
        <f t="shared" si="185"/>
        <v>12</v>
      </c>
      <c r="R2382" s="4">
        <f>RANK(N2382,$N$2:N$2800,0)</f>
        <v>1301</v>
      </c>
      <c r="S2382">
        <f t="shared" si="186"/>
        <v>1.5454545454545454</v>
      </c>
      <c r="T2382" t="str">
        <f t="shared" si="187"/>
        <v>Low</v>
      </c>
      <c r="U2382" t="str" cm="1">
        <f t="array" ref="U2382">_xlfn.LET(_xlpm.roles,_xlfn.UNIQUE(D2382:D5180),_xlpm.kills, SUMIF(D2382:D5180,_xlpm.roles,G2382:G5180),INDEX(_xlpm.roles,MATCH(MAX(_xlpm.kills),_xlpm.kills,0)))</f>
        <v>IGL</v>
      </c>
      <c r="V2382" t="str">
        <f t="shared" si="188"/>
        <v>High Accuracy</v>
      </c>
      <c r="W2382" t="str" cm="1">
        <f t="array" ref="W2382">_xlfn.LET(_xlpm.roles,_xlfn.UNIQUE(D2382:D5180), _xlpm.counts,COUNTIF(D2382:D5180,_xlpm.roles), INDEX(_xlpm.roles,MATCH(MAX(_xlpm.counts),_xlpm.counts,0)))</f>
        <v>IGL</v>
      </c>
      <c r="X2382" s="2">
        <f t="shared" si="189"/>
        <v>13.103594080338267</v>
      </c>
    </row>
    <row r="2383" spans="1:24" x14ac:dyDescent="0.3">
      <c r="A2383">
        <v>775</v>
      </c>
      <c r="B2383">
        <v>425</v>
      </c>
      <c r="C2383" t="s">
        <v>39</v>
      </c>
      <c r="D2383" t="s">
        <v>31</v>
      </c>
      <c r="E2383" t="s">
        <v>18</v>
      </c>
      <c r="F2383" t="s">
        <v>24</v>
      </c>
      <c r="G2383">
        <v>11</v>
      </c>
      <c r="H2383">
        <v>12</v>
      </c>
      <c r="I2383">
        <v>5</v>
      </c>
      <c r="J2383">
        <v>49.43</v>
      </c>
      <c r="K2383">
        <v>232.61</v>
      </c>
      <c r="L2383">
        <v>0.78</v>
      </c>
      <c r="M2383">
        <v>45.92</v>
      </c>
      <c r="N2383">
        <v>0.98</v>
      </c>
      <c r="O2383" t="s">
        <v>20</v>
      </c>
      <c r="P2383" t="s">
        <v>21</v>
      </c>
      <c r="Q2383">
        <f t="shared" si="185"/>
        <v>18</v>
      </c>
      <c r="R2383" s="4">
        <f>RANK(N2383,$N$2:N$2800,0)</f>
        <v>1157</v>
      </c>
      <c r="S2383">
        <f t="shared" si="186"/>
        <v>2.2000000000000002</v>
      </c>
      <c r="T2383" t="str">
        <f t="shared" si="187"/>
        <v>Good</v>
      </c>
      <c r="U2383" t="str" cm="1">
        <f t="array" ref="U2383">_xlfn.LET(_xlpm.roles,_xlfn.UNIQUE(D2383:D5181),_xlpm.kills, SUMIF(D2383:D5181,_xlpm.roles,G2383:G5181),INDEX(_xlpm.roles,MATCH(MAX(_xlpm.kills),_xlpm.kills,0)))</f>
        <v>IGL</v>
      </c>
      <c r="V2383" t="str">
        <f t="shared" si="188"/>
        <v>Medium Accuracy</v>
      </c>
      <c r="W2383" t="str" cm="1">
        <f t="array" ref="W2383">_xlfn.LET(_xlpm.roles,_xlfn.UNIQUE(D2383:D5181), _xlpm.counts,COUNTIF(D2383:D5181,_xlpm.roles), INDEX(_xlpm.roles,MATCH(MAX(_xlpm.counts),_xlpm.counts,0)))</f>
        <v>IGL</v>
      </c>
      <c r="X2383" s="2">
        <f t="shared" si="189"/>
        <v>13.103594080338267</v>
      </c>
    </row>
    <row r="2384" spans="1:24" x14ac:dyDescent="0.3">
      <c r="A2384">
        <v>1446</v>
      </c>
      <c r="B2384">
        <v>425</v>
      </c>
      <c r="C2384" t="s">
        <v>25</v>
      </c>
      <c r="D2384" t="s">
        <v>36</v>
      </c>
      <c r="E2384" t="s">
        <v>18</v>
      </c>
      <c r="F2384" t="s">
        <v>24</v>
      </c>
      <c r="G2384">
        <v>16</v>
      </c>
      <c r="H2384">
        <v>9</v>
      </c>
      <c r="I2384">
        <v>9</v>
      </c>
      <c r="J2384">
        <v>35.450000000000003</v>
      </c>
      <c r="K2384">
        <v>249.46</v>
      </c>
      <c r="L2384">
        <v>0.48</v>
      </c>
      <c r="M2384">
        <v>44.93</v>
      </c>
      <c r="N2384">
        <v>1</v>
      </c>
      <c r="O2384" t="s">
        <v>20</v>
      </c>
      <c r="P2384" t="s">
        <v>21</v>
      </c>
      <c r="Q2384">
        <f t="shared" si="185"/>
        <v>16</v>
      </c>
      <c r="R2384" s="4">
        <f>RANK(N2384,$N$2:N$2800,0)</f>
        <v>1</v>
      </c>
      <c r="S2384">
        <f t="shared" si="186"/>
        <v>1.7777777777777777</v>
      </c>
      <c r="T2384" t="str">
        <f t="shared" si="187"/>
        <v>Good</v>
      </c>
      <c r="U2384" t="str" cm="1">
        <f t="array" ref="U2384">_xlfn.LET(_xlpm.roles,_xlfn.UNIQUE(D2384:D5182),_xlpm.kills, SUMIF(D2384:D5182,_xlpm.roles,G2384:G5182),INDEX(_xlpm.roles,MATCH(MAX(_xlpm.kills),_xlpm.kills,0)))</f>
        <v>IGL</v>
      </c>
      <c r="V2384" t="str">
        <f t="shared" si="188"/>
        <v>Medium Accuracy</v>
      </c>
      <c r="W2384" t="str" cm="1">
        <f t="array" ref="W2384">_xlfn.LET(_xlpm.roles,_xlfn.UNIQUE(D2384:D5182), _xlpm.counts,COUNTIF(D2384:D5182,_xlpm.roles), INDEX(_xlpm.roles,MATCH(MAX(_xlpm.counts),_xlpm.counts,0)))</f>
        <v>IGL</v>
      </c>
      <c r="X2384" s="2">
        <f t="shared" si="189"/>
        <v>12.809421841541756</v>
      </c>
    </row>
    <row r="2385" spans="1:24" x14ac:dyDescent="0.3">
      <c r="A2385">
        <v>1681</v>
      </c>
      <c r="B2385">
        <v>425</v>
      </c>
      <c r="C2385" t="s">
        <v>39</v>
      </c>
      <c r="D2385" t="s">
        <v>28</v>
      </c>
      <c r="E2385" t="s">
        <v>29</v>
      </c>
      <c r="F2385" t="s">
        <v>26</v>
      </c>
      <c r="G2385">
        <v>17</v>
      </c>
      <c r="H2385">
        <v>12</v>
      </c>
      <c r="I2385">
        <v>11</v>
      </c>
      <c r="J2385">
        <v>46.34</v>
      </c>
      <c r="K2385">
        <v>191.11</v>
      </c>
      <c r="L2385">
        <v>0.35</v>
      </c>
      <c r="M2385">
        <v>54.67</v>
      </c>
      <c r="N2385">
        <v>1</v>
      </c>
      <c r="O2385" t="s">
        <v>20</v>
      </c>
      <c r="P2385" t="s">
        <v>21</v>
      </c>
      <c r="Q2385">
        <f t="shared" si="185"/>
        <v>18</v>
      </c>
      <c r="R2385" s="4">
        <f>RANK(N2385,$N$2:N$2800,0)</f>
        <v>1</v>
      </c>
      <c r="S2385">
        <f t="shared" si="186"/>
        <v>1.5454545454545454</v>
      </c>
      <c r="T2385" t="str">
        <f t="shared" si="187"/>
        <v>Good</v>
      </c>
      <c r="U2385" t="str" cm="1">
        <f t="array" ref="U2385">_xlfn.LET(_xlpm.roles,_xlfn.UNIQUE(D2385:D5183),_xlpm.kills, SUMIF(D2385:D5183,_xlpm.roles,G2385:G5183),INDEX(_xlpm.roles,MATCH(MAX(_xlpm.kills),_xlpm.kills,0)))</f>
        <v>IGL</v>
      </c>
      <c r="V2385" t="str">
        <f t="shared" si="188"/>
        <v>Medium Accuracy</v>
      </c>
      <c r="W2385" t="str" cm="1">
        <f t="array" ref="W2385">_xlfn.LET(_xlpm.roles,_xlfn.UNIQUE(D2385:D5183), _xlpm.counts,COUNTIF(D2385:D5183,_xlpm.roles), INDEX(_xlpm.roles,MATCH(MAX(_xlpm.counts),_xlpm.counts,0)))</f>
        <v>IGL</v>
      </c>
      <c r="X2385" s="2">
        <f t="shared" si="189"/>
        <v>13.103594080338267</v>
      </c>
    </row>
    <row r="2386" spans="1:24" x14ac:dyDescent="0.3">
      <c r="A2386">
        <v>2759</v>
      </c>
      <c r="B2386">
        <v>425</v>
      </c>
      <c r="C2386" t="s">
        <v>30</v>
      </c>
      <c r="D2386" t="s">
        <v>28</v>
      </c>
      <c r="E2386" t="s">
        <v>18</v>
      </c>
      <c r="F2386" t="s">
        <v>34</v>
      </c>
      <c r="G2386">
        <v>14</v>
      </c>
      <c r="H2386">
        <v>5</v>
      </c>
      <c r="I2386">
        <v>14</v>
      </c>
      <c r="J2386">
        <v>35.92</v>
      </c>
      <c r="K2386">
        <v>170.78</v>
      </c>
      <c r="L2386">
        <v>0.62</v>
      </c>
      <c r="M2386">
        <v>30.76</v>
      </c>
      <c r="N2386">
        <v>0.88</v>
      </c>
      <c r="O2386" t="s">
        <v>20</v>
      </c>
      <c r="P2386" t="s">
        <v>21</v>
      </c>
      <c r="Q2386">
        <f t="shared" si="185"/>
        <v>5</v>
      </c>
      <c r="R2386" s="4">
        <f>RANK(N2386,$N$2:N$2800,0)</f>
        <v>1894</v>
      </c>
      <c r="S2386">
        <f t="shared" si="186"/>
        <v>1</v>
      </c>
      <c r="T2386" t="str">
        <f t="shared" si="187"/>
        <v>Low</v>
      </c>
      <c r="U2386" t="str" cm="1">
        <f t="array" ref="U2386">_xlfn.LET(_xlpm.roles,_xlfn.UNIQUE(D2386:D5184),_xlpm.kills, SUMIF(D2386:D5184,_xlpm.roles,G2386:G5184),INDEX(_xlpm.roles,MATCH(MAX(_xlpm.kills),_xlpm.kills,0)))</f>
        <v>IGL</v>
      </c>
      <c r="V2386" t="str">
        <f t="shared" si="188"/>
        <v>Medium Accuracy</v>
      </c>
      <c r="W2386" t="str" cm="1">
        <f t="array" ref="W2386">_xlfn.LET(_xlpm.roles,_xlfn.UNIQUE(D2386:D5184), _xlpm.counts,COUNTIF(D2386:D5184,_xlpm.roles), INDEX(_xlpm.roles,MATCH(MAX(_xlpm.counts),_xlpm.counts,0)))</f>
        <v>IGL</v>
      </c>
      <c r="X2386" s="2">
        <f t="shared" si="189"/>
        <v>13.135802469135802</v>
      </c>
    </row>
    <row r="2387" spans="1:24" x14ac:dyDescent="0.3">
      <c r="A2387">
        <v>81</v>
      </c>
      <c r="B2387">
        <v>426</v>
      </c>
      <c r="C2387" t="s">
        <v>25</v>
      </c>
      <c r="D2387" t="s">
        <v>28</v>
      </c>
      <c r="E2387" t="s">
        <v>33</v>
      </c>
      <c r="F2387" t="s">
        <v>37</v>
      </c>
      <c r="G2387">
        <v>13</v>
      </c>
      <c r="H2387">
        <v>7</v>
      </c>
      <c r="I2387">
        <v>12</v>
      </c>
      <c r="J2387">
        <v>59.77</v>
      </c>
      <c r="K2387">
        <v>226.67</v>
      </c>
      <c r="L2387">
        <v>0.11</v>
      </c>
      <c r="M2387">
        <v>49.79</v>
      </c>
      <c r="N2387">
        <v>0.84</v>
      </c>
      <c r="O2387" t="s">
        <v>20</v>
      </c>
      <c r="P2387" t="s">
        <v>21</v>
      </c>
      <c r="Q2387">
        <f t="shared" si="185"/>
        <v>8</v>
      </c>
      <c r="R2387" s="4">
        <f>RANK(N2387,$N$2:N$2800,0)</f>
        <v>2156</v>
      </c>
      <c r="S2387">
        <f t="shared" si="186"/>
        <v>1.0833333333333333</v>
      </c>
      <c r="T2387" t="str">
        <f t="shared" si="187"/>
        <v>Low</v>
      </c>
      <c r="U2387" t="str" cm="1">
        <f t="array" ref="U2387">_xlfn.LET(_xlpm.roles,_xlfn.UNIQUE(D2387:D5185),_xlpm.kills, SUMIF(D2387:D5185,_xlpm.roles,G2387:G5185),INDEX(_xlpm.roles,MATCH(MAX(_xlpm.kills),_xlpm.kills,0)))</f>
        <v>IGL</v>
      </c>
      <c r="V2387" t="str">
        <f t="shared" si="188"/>
        <v>High Accuracy</v>
      </c>
      <c r="W2387" t="str" cm="1">
        <f t="array" ref="W2387">_xlfn.LET(_xlpm.roles,_xlfn.UNIQUE(D2387:D5185), _xlpm.counts,COUNTIF(D2387:D5185,_xlpm.roles), INDEX(_xlpm.roles,MATCH(MAX(_xlpm.counts),_xlpm.counts,0)))</f>
        <v>IGL</v>
      </c>
      <c r="X2387" s="2">
        <f t="shared" si="189"/>
        <v>12.809421841541756</v>
      </c>
    </row>
    <row r="2388" spans="1:24" x14ac:dyDescent="0.3">
      <c r="A2388">
        <v>95</v>
      </c>
      <c r="B2388">
        <v>426</v>
      </c>
      <c r="C2388" t="s">
        <v>27</v>
      </c>
      <c r="D2388" t="s">
        <v>36</v>
      </c>
      <c r="E2388" t="s">
        <v>29</v>
      </c>
      <c r="F2388" t="s">
        <v>24</v>
      </c>
      <c r="G2388">
        <v>8</v>
      </c>
      <c r="H2388">
        <v>5</v>
      </c>
      <c r="I2388">
        <v>12</v>
      </c>
      <c r="J2388">
        <v>34.22</v>
      </c>
      <c r="K2388">
        <v>190.85</v>
      </c>
      <c r="L2388">
        <v>0.35</v>
      </c>
      <c r="M2388">
        <v>22.61</v>
      </c>
      <c r="N2388">
        <v>0.79</v>
      </c>
      <c r="O2388" t="s">
        <v>20</v>
      </c>
      <c r="P2388" t="s">
        <v>21</v>
      </c>
      <c r="Q2388">
        <f t="shared" si="185"/>
        <v>1</v>
      </c>
      <c r="R2388" s="4">
        <f>RANK(N2388,$N$2:N$2800,0)</f>
        <v>2436</v>
      </c>
      <c r="S2388">
        <f t="shared" si="186"/>
        <v>0.66666666666666663</v>
      </c>
      <c r="T2388" t="str">
        <f t="shared" si="187"/>
        <v>Low</v>
      </c>
      <c r="U2388" t="str" cm="1">
        <f t="array" ref="U2388">_xlfn.LET(_xlpm.roles,_xlfn.UNIQUE(D2388:D5186),_xlpm.kills, SUMIF(D2388:D5186,_xlpm.roles,G2388:G5186),INDEX(_xlpm.roles,MATCH(MAX(_xlpm.kills),_xlpm.kills,0)))</f>
        <v>IGL</v>
      </c>
      <c r="V2388" t="str">
        <f t="shared" si="188"/>
        <v>Medium Accuracy</v>
      </c>
      <c r="W2388" t="str" cm="1">
        <f t="array" ref="W2388">_xlfn.LET(_xlpm.roles,_xlfn.UNIQUE(D2388:D5186), _xlpm.counts,COUNTIF(D2388:D5186,_xlpm.roles), INDEX(_xlpm.roles,MATCH(MAX(_xlpm.counts),_xlpm.counts,0)))</f>
        <v>Flex</v>
      </c>
      <c r="X2388" s="2">
        <f t="shared" si="189"/>
        <v>13.057077625570777</v>
      </c>
    </row>
    <row r="2389" spans="1:24" x14ac:dyDescent="0.3">
      <c r="A2389">
        <v>302</v>
      </c>
      <c r="B2389">
        <v>426</v>
      </c>
      <c r="C2389" t="s">
        <v>16</v>
      </c>
      <c r="D2389" t="s">
        <v>22</v>
      </c>
      <c r="E2389" t="s">
        <v>32</v>
      </c>
      <c r="F2389" t="s">
        <v>24</v>
      </c>
      <c r="G2389">
        <v>20</v>
      </c>
      <c r="H2389">
        <v>7</v>
      </c>
      <c r="I2389">
        <v>7</v>
      </c>
      <c r="J2389">
        <v>49.11</v>
      </c>
      <c r="K2389">
        <v>232.62</v>
      </c>
      <c r="L2389">
        <v>0.5</v>
      </c>
      <c r="M2389">
        <v>59.56</v>
      </c>
      <c r="N2389">
        <v>1</v>
      </c>
      <c r="O2389" t="s">
        <v>20</v>
      </c>
      <c r="P2389" t="s">
        <v>21</v>
      </c>
      <c r="Q2389">
        <f t="shared" si="185"/>
        <v>20</v>
      </c>
      <c r="R2389" s="4">
        <f>RANK(N2389,$N$2:N$2800,0)</f>
        <v>1</v>
      </c>
      <c r="S2389">
        <f t="shared" si="186"/>
        <v>2.8571428571428572</v>
      </c>
      <c r="T2389" t="str">
        <f t="shared" si="187"/>
        <v>Good</v>
      </c>
      <c r="U2389" t="str" cm="1">
        <f t="array" ref="U2389">_xlfn.LET(_xlpm.roles,_xlfn.UNIQUE(D2389:D5187),_xlpm.kills, SUMIF(D2389:D5187,_xlpm.roles,G2389:G5187),INDEX(_xlpm.roles,MATCH(MAX(_xlpm.kills),_xlpm.kills,0)))</f>
        <v>IGL</v>
      </c>
      <c r="V2389" t="str">
        <f t="shared" si="188"/>
        <v>Medium Accuracy</v>
      </c>
      <c r="W2389" t="str" cm="1">
        <f t="array" ref="W2389">_xlfn.LET(_xlpm.roles,_xlfn.UNIQUE(D2389:D5187), _xlpm.counts,COUNTIF(D2389:D5187,_xlpm.roles), INDEX(_xlpm.roles,MATCH(MAX(_xlpm.counts),_xlpm.counts,0)))</f>
        <v>Flex</v>
      </c>
      <c r="X2389" s="2">
        <f t="shared" si="189"/>
        <v>12.520971302428256</v>
      </c>
    </row>
    <row r="2390" spans="1:24" x14ac:dyDescent="0.3">
      <c r="A2390">
        <v>506</v>
      </c>
      <c r="B2390">
        <v>426</v>
      </c>
      <c r="C2390" t="s">
        <v>25</v>
      </c>
      <c r="D2390" t="s">
        <v>36</v>
      </c>
      <c r="E2390" t="s">
        <v>29</v>
      </c>
      <c r="F2390" t="s">
        <v>37</v>
      </c>
      <c r="G2390">
        <v>11</v>
      </c>
      <c r="H2390">
        <v>8</v>
      </c>
      <c r="I2390">
        <v>10</v>
      </c>
      <c r="J2390">
        <v>44.29</v>
      </c>
      <c r="K2390">
        <v>226.52</v>
      </c>
      <c r="L2390">
        <v>0.62</v>
      </c>
      <c r="M2390">
        <v>35.94</v>
      </c>
      <c r="N2390">
        <v>0.81</v>
      </c>
      <c r="O2390" t="s">
        <v>20</v>
      </c>
      <c r="P2390" t="s">
        <v>21</v>
      </c>
      <c r="Q2390">
        <f t="shared" si="185"/>
        <v>9</v>
      </c>
      <c r="R2390" s="4">
        <f>RANK(N2390,$N$2:N$2800,0)</f>
        <v>2341</v>
      </c>
      <c r="S2390">
        <f t="shared" si="186"/>
        <v>1.1000000000000001</v>
      </c>
      <c r="T2390" t="str">
        <f t="shared" si="187"/>
        <v>Low</v>
      </c>
      <c r="U2390" t="str" cm="1">
        <f t="array" ref="U2390">_xlfn.LET(_xlpm.roles,_xlfn.UNIQUE(D2390:D5188),_xlpm.kills, SUMIF(D2390:D5188,_xlpm.roles,G2390:G5188),INDEX(_xlpm.roles,MATCH(MAX(_xlpm.kills),_xlpm.kills,0)))</f>
        <v>IGL</v>
      </c>
      <c r="V2390" t="str">
        <f t="shared" si="188"/>
        <v>Medium Accuracy</v>
      </c>
      <c r="W2390" t="str" cm="1">
        <f t="array" ref="W2390">_xlfn.LET(_xlpm.roles,_xlfn.UNIQUE(D2390:D5188), _xlpm.counts,COUNTIF(D2390:D5188,_xlpm.roles), INDEX(_xlpm.roles,MATCH(MAX(_xlpm.counts),_xlpm.counts,0)))</f>
        <v>Flex</v>
      </c>
      <c r="X2390" s="2">
        <f t="shared" si="189"/>
        <v>12.809421841541756</v>
      </c>
    </row>
    <row r="2391" spans="1:24" x14ac:dyDescent="0.3">
      <c r="A2391">
        <v>890</v>
      </c>
      <c r="B2391">
        <v>426</v>
      </c>
      <c r="C2391" t="s">
        <v>39</v>
      </c>
      <c r="D2391" t="s">
        <v>36</v>
      </c>
      <c r="E2391" t="s">
        <v>33</v>
      </c>
      <c r="F2391" t="s">
        <v>34</v>
      </c>
      <c r="G2391">
        <v>13</v>
      </c>
      <c r="H2391">
        <v>6</v>
      </c>
      <c r="I2391">
        <v>19</v>
      </c>
      <c r="J2391">
        <v>45.78</v>
      </c>
      <c r="K2391">
        <v>226.19</v>
      </c>
      <c r="L2391">
        <v>0.69</v>
      </c>
      <c r="M2391">
        <v>28.99</v>
      </c>
      <c r="N2391">
        <v>0.74</v>
      </c>
      <c r="O2391" t="s">
        <v>20</v>
      </c>
      <c r="P2391" t="s">
        <v>21</v>
      </c>
      <c r="Q2391">
        <f t="shared" si="185"/>
        <v>0</v>
      </c>
      <c r="R2391" s="4">
        <f>RANK(N2391,$N$2:N$2800,0)</f>
        <v>2613</v>
      </c>
      <c r="S2391">
        <f t="shared" si="186"/>
        <v>0.68421052631578949</v>
      </c>
      <c r="T2391" t="str">
        <f t="shared" si="187"/>
        <v>Low</v>
      </c>
      <c r="U2391" t="str" cm="1">
        <f t="array" ref="U2391">_xlfn.LET(_xlpm.roles,_xlfn.UNIQUE(D2391:D5189),_xlpm.kills, SUMIF(D2391:D5189,_xlpm.roles,G2391:G5189),INDEX(_xlpm.roles,MATCH(MAX(_xlpm.kills),_xlpm.kills,0)))</f>
        <v>IGL</v>
      </c>
      <c r="V2391" t="str">
        <f t="shared" si="188"/>
        <v>Medium Accuracy</v>
      </c>
      <c r="W2391" t="str" cm="1">
        <f t="array" ref="W2391">_xlfn.LET(_xlpm.roles,_xlfn.UNIQUE(D2391:D5189), _xlpm.counts,COUNTIF(D2391:D5189,_xlpm.roles), INDEX(_xlpm.roles,MATCH(MAX(_xlpm.counts),_xlpm.counts,0)))</f>
        <v>Flex</v>
      </c>
      <c r="X2391" s="2">
        <f t="shared" si="189"/>
        <v>13.103594080338267</v>
      </c>
    </row>
    <row r="2392" spans="1:24" x14ac:dyDescent="0.3">
      <c r="A2392">
        <v>1661</v>
      </c>
      <c r="B2392">
        <v>426</v>
      </c>
      <c r="C2392" t="s">
        <v>39</v>
      </c>
      <c r="D2392" t="s">
        <v>17</v>
      </c>
      <c r="E2392" t="s">
        <v>32</v>
      </c>
      <c r="F2392" t="s">
        <v>34</v>
      </c>
      <c r="G2392">
        <v>12</v>
      </c>
      <c r="H2392">
        <v>5</v>
      </c>
      <c r="I2392">
        <v>7</v>
      </c>
      <c r="J2392">
        <v>44.46</v>
      </c>
      <c r="K2392">
        <v>224.59</v>
      </c>
      <c r="L2392">
        <v>0.86</v>
      </c>
      <c r="M2392">
        <v>35.630000000000003</v>
      </c>
      <c r="N2392">
        <v>0.92</v>
      </c>
      <c r="O2392" t="s">
        <v>20</v>
      </c>
      <c r="P2392" t="s">
        <v>21</v>
      </c>
      <c r="Q2392">
        <f t="shared" si="185"/>
        <v>10</v>
      </c>
      <c r="R2392" s="4">
        <f>RANK(N2392,$N$2:N$2800,0)</f>
        <v>1585</v>
      </c>
      <c r="S2392">
        <f t="shared" si="186"/>
        <v>1.7142857142857142</v>
      </c>
      <c r="T2392" t="str">
        <f t="shared" si="187"/>
        <v>Low</v>
      </c>
      <c r="U2392" t="str" cm="1">
        <f t="array" ref="U2392">_xlfn.LET(_xlpm.roles,_xlfn.UNIQUE(D2392:D5190),_xlpm.kills, SUMIF(D2392:D5190,_xlpm.roles,G2392:G5190),INDEX(_xlpm.roles,MATCH(MAX(_xlpm.kills),_xlpm.kills,0)))</f>
        <v>IGL</v>
      </c>
      <c r="V2392" t="str">
        <f t="shared" si="188"/>
        <v>Medium Accuracy</v>
      </c>
      <c r="W2392" t="str" cm="1">
        <f t="array" ref="W2392">_xlfn.LET(_xlpm.roles,_xlfn.UNIQUE(D2392:D5190), _xlpm.counts,COUNTIF(D2392:D5190,_xlpm.roles), INDEX(_xlpm.roles,MATCH(MAX(_xlpm.counts),_xlpm.counts,0)))</f>
        <v>Flex</v>
      </c>
      <c r="X2392" s="2">
        <f t="shared" si="189"/>
        <v>13.103594080338267</v>
      </c>
    </row>
    <row r="2393" spans="1:24" x14ac:dyDescent="0.3">
      <c r="A2393">
        <v>1780</v>
      </c>
      <c r="B2393">
        <v>426</v>
      </c>
      <c r="C2393" t="s">
        <v>25</v>
      </c>
      <c r="D2393" t="s">
        <v>17</v>
      </c>
      <c r="E2393" t="s">
        <v>23</v>
      </c>
      <c r="F2393" t="s">
        <v>37</v>
      </c>
      <c r="G2393">
        <v>13</v>
      </c>
      <c r="H2393">
        <v>7</v>
      </c>
      <c r="I2393">
        <v>11</v>
      </c>
      <c r="J2393">
        <v>41.42</v>
      </c>
      <c r="K2393">
        <v>231.54</v>
      </c>
      <c r="L2393">
        <v>0.98</v>
      </c>
      <c r="M2393">
        <v>32.909999999999997</v>
      </c>
      <c r="N2393">
        <v>0.72</v>
      </c>
      <c r="O2393" t="s">
        <v>20</v>
      </c>
      <c r="P2393" t="s">
        <v>21</v>
      </c>
      <c r="Q2393">
        <f t="shared" si="185"/>
        <v>9</v>
      </c>
      <c r="R2393" s="4">
        <f>RANK(N2393,$N$2:N$2800,0)</f>
        <v>2663</v>
      </c>
      <c r="S2393">
        <f t="shared" si="186"/>
        <v>1.1818181818181819</v>
      </c>
      <c r="T2393" t="str">
        <f t="shared" si="187"/>
        <v>Low</v>
      </c>
      <c r="U2393" t="str" cm="1">
        <f t="array" ref="U2393">_xlfn.LET(_xlpm.roles,_xlfn.UNIQUE(D2393:D5191),_xlpm.kills, SUMIF(D2393:D5191,_xlpm.roles,G2393:G5191),INDEX(_xlpm.roles,MATCH(MAX(_xlpm.kills),_xlpm.kills,0)))</f>
        <v>IGL</v>
      </c>
      <c r="V2393" t="str">
        <f t="shared" si="188"/>
        <v>Medium Accuracy</v>
      </c>
      <c r="W2393" t="str" cm="1">
        <f t="array" ref="W2393">_xlfn.LET(_xlpm.roles,_xlfn.UNIQUE(D2393:D5191), _xlpm.counts,COUNTIF(D2393:D5191,_xlpm.roles), INDEX(_xlpm.roles,MATCH(MAX(_xlpm.counts),_xlpm.counts,0)))</f>
        <v>IGL</v>
      </c>
      <c r="X2393" s="2">
        <f t="shared" si="189"/>
        <v>12.809421841541756</v>
      </c>
    </row>
    <row r="2394" spans="1:24" x14ac:dyDescent="0.3">
      <c r="A2394">
        <v>2168</v>
      </c>
      <c r="B2394">
        <v>426</v>
      </c>
      <c r="C2394" t="s">
        <v>27</v>
      </c>
      <c r="D2394" t="s">
        <v>22</v>
      </c>
      <c r="E2394" t="s">
        <v>18</v>
      </c>
      <c r="F2394" t="s">
        <v>24</v>
      </c>
      <c r="G2394">
        <v>14</v>
      </c>
      <c r="H2394">
        <v>8</v>
      </c>
      <c r="I2394">
        <v>13</v>
      </c>
      <c r="J2394">
        <v>29.79</v>
      </c>
      <c r="K2394">
        <v>209.51</v>
      </c>
      <c r="L2394">
        <v>0.14000000000000001</v>
      </c>
      <c r="M2394">
        <v>36.49</v>
      </c>
      <c r="N2394">
        <v>0.76</v>
      </c>
      <c r="O2394" t="s">
        <v>20</v>
      </c>
      <c r="P2394" t="s">
        <v>21</v>
      </c>
      <c r="Q2394">
        <f t="shared" si="185"/>
        <v>9</v>
      </c>
      <c r="R2394" s="4">
        <f>RANK(N2394,$N$2:N$2800,0)</f>
        <v>2547</v>
      </c>
      <c r="S2394">
        <f t="shared" si="186"/>
        <v>1.0769230769230769</v>
      </c>
      <c r="T2394" t="str">
        <f t="shared" si="187"/>
        <v>Low</v>
      </c>
      <c r="U2394" t="str" cm="1">
        <f t="array" ref="U2394">_xlfn.LET(_xlpm.roles,_xlfn.UNIQUE(D2394:D5192),_xlpm.kills, SUMIF(D2394:D5192,_xlpm.roles,G2394:G5192),INDEX(_xlpm.roles,MATCH(MAX(_xlpm.kills),_xlpm.kills,0)))</f>
        <v>IGL</v>
      </c>
      <c r="V2394" t="str">
        <f t="shared" si="188"/>
        <v>Low Accuracy</v>
      </c>
      <c r="W2394" t="str" cm="1">
        <f t="array" ref="W2394">_xlfn.LET(_xlpm.roles,_xlfn.UNIQUE(D2394:D5192), _xlpm.counts,COUNTIF(D2394:D5192,_xlpm.roles), INDEX(_xlpm.roles,MATCH(MAX(_xlpm.counts),_xlpm.counts,0)))</f>
        <v>IGL</v>
      </c>
      <c r="X2394" s="2">
        <f t="shared" si="189"/>
        <v>13.057077625570777</v>
      </c>
    </row>
    <row r="2395" spans="1:24" x14ac:dyDescent="0.3">
      <c r="A2395">
        <v>366</v>
      </c>
      <c r="B2395">
        <v>427</v>
      </c>
      <c r="C2395" t="s">
        <v>16</v>
      </c>
      <c r="D2395" t="s">
        <v>17</v>
      </c>
      <c r="E2395" t="s">
        <v>18</v>
      </c>
      <c r="F2395" t="s">
        <v>26</v>
      </c>
      <c r="G2395">
        <v>24</v>
      </c>
      <c r="H2395">
        <v>7</v>
      </c>
      <c r="I2395">
        <v>11</v>
      </c>
      <c r="J2395">
        <v>50.86</v>
      </c>
      <c r="K2395">
        <v>213.84</v>
      </c>
      <c r="L2395">
        <v>0.19</v>
      </c>
      <c r="M2395">
        <v>67.53</v>
      </c>
      <c r="N2395">
        <v>1</v>
      </c>
      <c r="O2395" t="s">
        <v>20</v>
      </c>
      <c r="P2395" t="s">
        <v>38</v>
      </c>
      <c r="Q2395">
        <f t="shared" si="185"/>
        <v>20</v>
      </c>
      <c r="R2395" s="4">
        <f>RANK(N2395,$N$2:N$2800,0)</f>
        <v>1</v>
      </c>
      <c r="S2395">
        <f t="shared" si="186"/>
        <v>2.1818181818181817</v>
      </c>
      <c r="T2395" t="str">
        <f t="shared" si="187"/>
        <v>Good</v>
      </c>
      <c r="U2395" t="str" cm="1">
        <f t="array" ref="U2395">_xlfn.LET(_xlpm.roles,_xlfn.UNIQUE(D2395:D5193),_xlpm.kills, SUMIF(D2395:D5193,_xlpm.roles,G2395:G5193),INDEX(_xlpm.roles,MATCH(MAX(_xlpm.kills),_xlpm.kills,0)))</f>
        <v>IGL</v>
      </c>
      <c r="V2395" t="str">
        <f t="shared" si="188"/>
        <v>High Accuracy</v>
      </c>
      <c r="W2395" t="str" cm="1">
        <f t="array" ref="W2395">_xlfn.LET(_xlpm.roles,_xlfn.UNIQUE(D2395:D5193), _xlpm.counts,COUNTIF(D2395:D5193,_xlpm.roles), INDEX(_xlpm.roles,MATCH(MAX(_xlpm.counts),_xlpm.counts,0)))</f>
        <v>IGL</v>
      </c>
      <c r="X2395" s="2">
        <f t="shared" si="189"/>
        <v>12.520971302428256</v>
      </c>
    </row>
    <row r="2396" spans="1:24" x14ac:dyDescent="0.3">
      <c r="A2396">
        <v>1424</v>
      </c>
      <c r="B2396">
        <v>427</v>
      </c>
      <c r="C2396" t="s">
        <v>35</v>
      </c>
      <c r="D2396" t="s">
        <v>22</v>
      </c>
      <c r="E2396" t="s">
        <v>23</v>
      </c>
      <c r="F2396" t="s">
        <v>34</v>
      </c>
      <c r="G2396">
        <v>7</v>
      </c>
      <c r="H2396">
        <v>10</v>
      </c>
      <c r="I2396">
        <v>8</v>
      </c>
      <c r="J2396">
        <v>30.49</v>
      </c>
      <c r="K2396">
        <v>198.84</v>
      </c>
      <c r="L2396">
        <v>0.27</v>
      </c>
      <c r="M2396">
        <v>28.54</v>
      </c>
      <c r="N2396">
        <v>0.78</v>
      </c>
      <c r="O2396" t="s">
        <v>20</v>
      </c>
      <c r="P2396" t="s">
        <v>21</v>
      </c>
      <c r="Q2396">
        <f t="shared" si="185"/>
        <v>9</v>
      </c>
      <c r="R2396" s="4">
        <f>RANK(N2396,$N$2:N$2800,0)</f>
        <v>2469</v>
      </c>
      <c r="S2396">
        <f t="shared" si="186"/>
        <v>0.875</v>
      </c>
      <c r="T2396" t="str">
        <f t="shared" si="187"/>
        <v>Low</v>
      </c>
      <c r="U2396" t="str" cm="1">
        <f t="array" ref="U2396">_xlfn.LET(_xlpm.roles,_xlfn.UNIQUE(D2396:D5194),_xlpm.kills, SUMIF(D2396:D5194,_xlpm.roles,G2396:G5194),INDEX(_xlpm.roles,MATCH(MAX(_xlpm.kills),_xlpm.kills,0)))</f>
        <v>IGL</v>
      </c>
      <c r="V2396" t="str">
        <f t="shared" si="188"/>
        <v>Medium Accuracy</v>
      </c>
      <c r="W2396" t="str" cm="1">
        <f t="array" ref="W2396">_xlfn.LET(_xlpm.roles,_xlfn.UNIQUE(D2396:D5194), _xlpm.counts,COUNTIF(D2396:D5194,_xlpm.roles), INDEX(_xlpm.roles,MATCH(MAX(_xlpm.counts),_xlpm.counts,0)))</f>
        <v>IGL</v>
      </c>
      <c r="X2396" s="2">
        <f t="shared" si="189"/>
        <v>12.599585062240664</v>
      </c>
    </row>
    <row r="2397" spans="1:24" x14ac:dyDescent="0.3">
      <c r="A2397">
        <v>1503</v>
      </c>
      <c r="B2397">
        <v>427</v>
      </c>
      <c r="C2397" t="s">
        <v>35</v>
      </c>
      <c r="D2397" t="s">
        <v>17</v>
      </c>
      <c r="E2397" t="s">
        <v>23</v>
      </c>
      <c r="F2397" t="s">
        <v>26</v>
      </c>
      <c r="G2397">
        <v>16</v>
      </c>
      <c r="H2397">
        <v>6</v>
      </c>
      <c r="I2397">
        <v>7</v>
      </c>
      <c r="J2397">
        <v>47.87</v>
      </c>
      <c r="K2397">
        <v>221.04</v>
      </c>
      <c r="L2397">
        <v>0.84</v>
      </c>
      <c r="M2397">
        <v>46.54</v>
      </c>
      <c r="N2397">
        <v>1</v>
      </c>
      <c r="O2397" t="s">
        <v>20</v>
      </c>
      <c r="P2397" t="s">
        <v>21</v>
      </c>
      <c r="Q2397">
        <f t="shared" si="185"/>
        <v>15</v>
      </c>
      <c r="R2397" s="4">
        <f>RANK(N2397,$N$2:N$2800,0)</f>
        <v>1</v>
      </c>
      <c r="S2397">
        <f t="shared" si="186"/>
        <v>2.2857142857142856</v>
      </c>
      <c r="T2397" t="str">
        <f t="shared" si="187"/>
        <v>Good</v>
      </c>
      <c r="U2397" t="str" cm="1">
        <f t="array" ref="U2397">_xlfn.LET(_xlpm.roles,_xlfn.UNIQUE(D2397:D5195),_xlpm.kills, SUMIF(D2397:D5195,_xlpm.roles,G2397:G5195),INDEX(_xlpm.roles,MATCH(MAX(_xlpm.kills),_xlpm.kills,0)))</f>
        <v>IGL</v>
      </c>
      <c r="V2397" t="str">
        <f t="shared" si="188"/>
        <v>Medium Accuracy</v>
      </c>
      <c r="W2397" t="str" cm="1">
        <f t="array" ref="W2397">_xlfn.LET(_xlpm.roles,_xlfn.UNIQUE(D2397:D5195), _xlpm.counts,COUNTIF(D2397:D5195,_xlpm.roles), INDEX(_xlpm.roles,MATCH(MAX(_xlpm.counts),_xlpm.counts,0)))</f>
        <v>IGL</v>
      </c>
      <c r="X2397" s="2">
        <f t="shared" si="189"/>
        <v>12.599585062240664</v>
      </c>
    </row>
    <row r="2398" spans="1:24" x14ac:dyDescent="0.3">
      <c r="A2398">
        <v>1846</v>
      </c>
      <c r="B2398">
        <v>427</v>
      </c>
      <c r="C2398" t="s">
        <v>27</v>
      </c>
      <c r="D2398" t="s">
        <v>31</v>
      </c>
      <c r="E2398" t="s">
        <v>18</v>
      </c>
      <c r="F2398" t="s">
        <v>24</v>
      </c>
      <c r="G2398">
        <v>24</v>
      </c>
      <c r="H2398">
        <v>11</v>
      </c>
      <c r="I2398">
        <v>9</v>
      </c>
      <c r="J2398">
        <v>45.54</v>
      </c>
      <c r="K2398">
        <v>228.69</v>
      </c>
      <c r="L2398">
        <v>0.37</v>
      </c>
      <c r="M2398">
        <v>69.069999999999993</v>
      </c>
      <c r="N2398">
        <v>1</v>
      </c>
      <c r="O2398" t="s">
        <v>20</v>
      </c>
      <c r="P2398" t="s">
        <v>38</v>
      </c>
      <c r="Q2398">
        <f t="shared" si="185"/>
        <v>26</v>
      </c>
      <c r="R2398" s="4">
        <f>RANK(N2398,$N$2:N$2800,0)</f>
        <v>1</v>
      </c>
      <c r="S2398">
        <f t="shared" si="186"/>
        <v>2.6666666666666665</v>
      </c>
      <c r="T2398" t="str">
        <f t="shared" si="187"/>
        <v>Excellent</v>
      </c>
      <c r="U2398" t="str" cm="1">
        <f t="array" ref="U2398">_xlfn.LET(_xlpm.roles,_xlfn.UNIQUE(D2398:D5196),_xlpm.kills, SUMIF(D2398:D5196,_xlpm.roles,G2398:G5196),INDEX(_xlpm.roles,MATCH(MAX(_xlpm.kills),_xlpm.kills,0)))</f>
        <v>IGL</v>
      </c>
      <c r="V2398" t="str">
        <f t="shared" si="188"/>
        <v>Medium Accuracy</v>
      </c>
      <c r="W2398" t="str" cm="1">
        <f t="array" ref="W2398">_xlfn.LET(_xlpm.roles,_xlfn.UNIQUE(D2398:D5196), _xlpm.counts,COUNTIF(D2398:D5196,_xlpm.roles), INDEX(_xlpm.roles,MATCH(MAX(_xlpm.counts),_xlpm.counts,0)))</f>
        <v>IGL</v>
      </c>
      <c r="X2398" s="2">
        <f t="shared" si="189"/>
        <v>13.057077625570777</v>
      </c>
    </row>
    <row r="2399" spans="1:24" x14ac:dyDescent="0.3">
      <c r="A2399">
        <v>2359</v>
      </c>
      <c r="B2399">
        <v>427</v>
      </c>
      <c r="C2399" t="s">
        <v>16</v>
      </c>
      <c r="D2399" t="s">
        <v>36</v>
      </c>
      <c r="E2399" t="s">
        <v>33</v>
      </c>
      <c r="F2399" t="s">
        <v>19</v>
      </c>
      <c r="G2399">
        <v>6</v>
      </c>
      <c r="H2399">
        <v>12</v>
      </c>
      <c r="I2399">
        <v>14</v>
      </c>
      <c r="J2399">
        <v>37.99</v>
      </c>
      <c r="K2399">
        <v>271.77999999999997</v>
      </c>
      <c r="L2399">
        <v>0.97</v>
      </c>
      <c r="M2399">
        <v>19.3</v>
      </c>
      <c r="N2399">
        <v>0.66</v>
      </c>
      <c r="O2399" t="s">
        <v>20</v>
      </c>
      <c r="P2399" t="s">
        <v>21</v>
      </c>
      <c r="Q2399">
        <f t="shared" si="185"/>
        <v>4</v>
      </c>
      <c r="R2399" s="4">
        <f>RANK(N2399,$N$2:N$2800,0)</f>
        <v>2746</v>
      </c>
      <c r="S2399">
        <f t="shared" si="186"/>
        <v>0.42857142857142855</v>
      </c>
      <c r="T2399" t="str">
        <f t="shared" si="187"/>
        <v>Low</v>
      </c>
      <c r="U2399" t="str" cm="1">
        <f t="array" ref="U2399">_xlfn.LET(_xlpm.roles,_xlfn.UNIQUE(D2399:D5197),_xlpm.kills, SUMIF(D2399:D5197,_xlpm.roles,G2399:G5197),INDEX(_xlpm.roles,MATCH(MAX(_xlpm.kills),_xlpm.kills,0)))</f>
        <v>IGL</v>
      </c>
      <c r="V2399" t="str">
        <f t="shared" si="188"/>
        <v>Medium Accuracy</v>
      </c>
      <c r="W2399" t="str" cm="1">
        <f t="array" ref="W2399">_xlfn.LET(_xlpm.roles,_xlfn.UNIQUE(D2399:D5197), _xlpm.counts,COUNTIF(D2399:D5197,_xlpm.roles), INDEX(_xlpm.roles,MATCH(MAX(_xlpm.counts),_xlpm.counts,0)))</f>
        <v>IGL</v>
      </c>
      <c r="X2399" s="2">
        <f t="shared" si="189"/>
        <v>12.520971302428256</v>
      </c>
    </row>
    <row r="2400" spans="1:24" x14ac:dyDescent="0.3">
      <c r="A2400">
        <v>267</v>
      </c>
      <c r="B2400">
        <v>428</v>
      </c>
      <c r="C2400" t="s">
        <v>30</v>
      </c>
      <c r="D2400" t="s">
        <v>36</v>
      </c>
      <c r="E2400" t="s">
        <v>33</v>
      </c>
      <c r="F2400" t="s">
        <v>24</v>
      </c>
      <c r="G2400">
        <v>14</v>
      </c>
      <c r="H2400">
        <v>6</v>
      </c>
      <c r="I2400">
        <v>12</v>
      </c>
      <c r="J2400">
        <v>45.39</v>
      </c>
      <c r="K2400">
        <v>243.07</v>
      </c>
      <c r="L2400">
        <v>0.26</v>
      </c>
      <c r="M2400">
        <v>42.09</v>
      </c>
      <c r="N2400">
        <v>0.88</v>
      </c>
      <c r="O2400" t="s">
        <v>20</v>
      </c>
      <c r="P2400" t="s">
        <v>21</v>
      </c>
      <c r="Q2400">
        <f t="shared" si="185"/>
        <v>8</v>
      </c>
      <c r="R2400" s="4">
        <f>RANK(N2400,$N$2:N$2800,0)</f>
        <v>1894</v>
      </c>
      <c r="S2400">
        <f t="shared" si="186"/>
        <v>1.1666666666666667</v>
      </c>
      <c r="T2400" t="str">
        <f t="shared" si="187"/>
        <v>Low</v>
      </c>
      <c r="U2400" t="str" cm="1">
        <f t="array" ref="U2400">_xlfn.LET(_xlpm.roles,_xlfn.UNIQUE(D2400:D5198),_xlpm.kills, SUMIF(D2400:D5198,_xlpm.roles,G2400:G5198),INDEX(_xlpm.roles,MATCH(MAX(_xlpm.kills),_xlpm.kills,0)))</f>
        <v>IGL</v>
      </c>
      <c r="V2400" t="str">
        <f t="shared" si="188"/>
        <v>Medium Accuracy</v>
      </c>
      <c r="W2400" t="str" cm="1">
        <f t="array" ref="W2400">_xlfn.LET(_xlpm.roles,_xlfn.UNIQUE(D2400:D5198), _xlpm.counts,COUNTIF(D2400:D5198,_xlpm.roles), INDEX(_xlpm.roles,MATCH(MAX(_xlpm.counts),_xlpm.counts,0)))</f>
        <v>IGL</v>
      </c>
      <c r="X2400" s="2">
        <f t="shared" si="189"/>
        <v>13.135802469135802</v>
      </c>
    </row>
    <row r="2401" spans="1:24" x14ac:dyDescent="0.3">
      <c r="A2401">
        <v>1457</v>
      </c>
      <c r="B2401">
        <v>428</v>
      </c>
      <c r="C2401" t="s">
        <v>27</v>
      </c>
      <c r="D2401" t="s">
        <v>17</v>
      </c>
      <c r="E2401" t="s">
        <v>29</v>
      </c>
      <c r="F2401" t="s">
        <v>34</v>
      </c>
      <c r="G2401">
        <v>14</v>
      </c>
      <c r="H2401">
        <v>4</v>
      </c>
      <c r="I2401">
        <v>8</v>
      </c>
      <c r="J2401">
        <v>51.27</v>
      </c>
      <c r="K2401">
        <v>203.03</v>
      </c>
      <c r="L2401">
        <v>0.16</v>
      </c>
      <c r="M2401">
        <v>48.04</v>
      </c>
      <c r="N2401">
        <v>1</v>
      </c>
      <c r="O2401" t="s">
        <v>20</v>
      </c>
      <c r="P2401" t="s">
        <v>21</v>
      </c>
      <c r="Q2401">
        <f t="shared" si="185"/>
        <v>10</v>
      </c>
      <c r="R2401" s="4">
        <f>RANK(N2401,$N$2:N$2800,0)</f>
        <v>1</v>
      </c>
      <c r="S2401">
        <f t="shared" si="186"/>
        <v>1.75</v>
      </c>
      <c r="T2401" t="str">
        <f t="shared" si="187"/>
        <v>Low</v>
      </c>
      <c r="U2401" t="str" cm="1">
        <f t="array" ref="U2401">_xlfn.LET(_xlpm.roles,_xlfn.UNIQUE(D2401:D5199),_xlpm.kills, SUMIF(D2401:D5199,_xlpm.roles,G2401:G5199),INDEX(_xlpm.roles,MATCH(MAX(_xlpm.kills),_xlpm.kills,0)))</f>
        <v>IGL</v>
      </c>
      <c r="V2401" t="str">
        <f t="shared" si="188"/>
        <v>High Accuracy</v>
      </c>
      <c r="W2401" t="str" cm="1">
        <f t="array" ref="W2401">_xlfn.LET(_xlpm.roles,_xlfn.UNIQUE(D2401:D5199), _xlpm.counts,COUNTIF(D2401:D5199,_xlpm.roles), INDEX(_xlpm.roles,MATCH(MAX(_xlpm.counts),_xlpm.counts,0)))</f>
        <v>IGL</v>
      </c>
      <c r="X2401" s="2">
        <f t="shared" si="189"/>
        <v>13.057077625570777</v>
      </c>
    </row>
    <row r="2402" spans="1:24" x14ac:dyDescent="0.3">
      <c r="A2402">
        <v>1834</v>
      </c>
      <c r="B2402">
        <v>428</v>
      </c>
      <c r="C2402" t="s">
        <v>27</v>
      </c>
      <c r="D2402" t="s">
        <v>28</v>
      </c>
      <c r="E2402" t="s">
        <v>18</v>
      </c>
      <c r="F2402" t="s">
        <v>34</v>
      </c>
      <c r="G2402">
        <v>16</v>
      </c>
      <c r="H2402">
        <v>10</v>
      </c>
      <c r="I2402">
        <v>14</v>
      </c>
      <c r="J2402">
        <v>28.85</v>
      </c>
      <c r="K2402">
        <v>202.06</v>
      </c>
      <c r="L2402">
        <v>0.66</v>
      </c>
      <c r="M2402">
        <v>35.82</v>
      </c>
      <c r="N2402">
        <v>0.94</v>
      </c>
      <c r="O2402" t="s">
        <v>20</v>
      </c>
      <c r="P2402" t="s">
        <v>21</v>
      </c>
      <c r="Q2402">
        <f t="shared" si="185"/>
        <v>12</v>
      </c>
      <c r="R2402" s="4">
        <f>RANK(N2402,$N$2:N$2800,0)</f>
        <v>1431</v>
      </c>
      <c r="S2402">
        <f t="shared" si="186"/>
        <v>1.1428571428571428</v>
      </c>
      <c r="T2402" t="str">
        <f t="shared" si="187"/>
        <v>Low</v>
      </c>
      <c r="U2402" t="str" cm="1">
        <f t="array" ref="U2402">_xlfn.LET(_xlpm.roles,_xlfn.UNIQUE(D2402:D5200),_xlpm.kills, SUMIF(D2402:D5200,_xlpm.roles,G2402:G5200),INDEX(_xlpm.roles,MATCH(MAX(_xlpm.kills),_xlpm.kills,0)))</f>
        <v>IGL</v>
      </c>
      <c r="V2402" t="str">
        <f t="shared" si="188"/>
        <v>Low Accuracy</v>
      </c>
      <c r="W2402" t="str" cm="1">
        <f t="array" ref="W2402">_xlfn.LET(_xlpm.roles,_xlfn.UNIQUE(D2402:D5200), _xlpm.counts,COUNTIF(D2402:D5200,_xlpm.roles), INDEX(_xlpm.roles,MATCH(MAX(_xlpm.counts),_xlpm.counts,0)))</f>
        <v>IGL</v>
      </c>
      <c r="X2402" s="2">
        <f t="shared" si="189"/>
        <v>13.057077625570777</v>
      </c>
    </row>
    <row r="2403" spans="1:24" x14ac:dyDescent="0.3">
      <c r="A2403">
        <v>2371</v>
      </c>
      <c r="B2403">
        <v>428</v>
      </c>
      <c r="C2403" t="s">
        <v>25</v>
      </c>
      <c r="D2403" t="s">
        <v>22</v>
      </c>
      <c r="E2403" t="s">
        <v>32</v>
      </c>
      <c r="F2403" t="s">
        <v>19</v>
      </c>
      <c r="G2403">
        <v>18</v>
      </c>
      <c r="H2403">
        <v>4</v>
      </c>
      <c r="I2403">
        <v>13</v>
      </c>
      <c r="J2403">
        <v>38.92</v>
      </c>
      <c r="K2403">
        <v>234.63</v>
      </c>
      <c r="L2403">
        <v>0.87</v>
      </c>
      <c r="M2403">
        <v>37.76</v>
      </c>
      <c r="N2403">
        <v>0.91</v>
      </c>
      <c r="O2403" t="s">
        <v>20</v>
      </c>
      <c r="P2403" t="s">
        <v>21</v>
      </c>
      <c r="Q2403">
        <f t="shared" si="185"/>
        <v>9</v>
      </c>
      <c r="R2403" s="4">
        <f>RANK(N2403,$N$2:N$2800,0)</f>
        <v>1665</v>
      </c>
      <c r="S2403">
        <f t="shared" si="186"/>
        <v>1.3846153846153846</v>
      </c>
      <c r="T2403" t="str">
        <f t="shared" si="187"/>
        <v>Low</v>
      </c>
      <c r="U2403" t="str" cm="1">
        <f t="array" ref="U2403">_xlfn.LET(_xlpm.roles,_xlfn.UNIQUE(D2403:D5201),_xlpm.kills, SUMIF(D2403:D5201,_xlpm.roles,G2403:G5201),INDEX(_xlpm.roles,MATCH(MAX(_xlpm.kills),_xlpm.kills,0)))</f>
        <v>IGL</v>
      </c>
      <c r="V2403" t="str">
        <f t="shared" si="188"/>
        <v>Medium Accuracy</v>
      </c>
      <c r="W2403" t="str" cm="1">
        <f t="array" ref="W2403">_xlfn.LET(_xlpm.roles,_xlfn.UNIQUE(D2403:D5201), _xlpm.counts,COUNTIF(D2403:D5201,_xlpm.roles), INDEX(_xlpm.roles,MATCH(MAX(_xlpm.counts),_xlpm.counts,0)))</f>
        <v>IGL</v>
      </c>
      <c r="X2403" s="2">
        <f t="shared" si="189"/>
        <v>12.809421841541756</v>
      </c>
    </row>
    <row r="2404" spans="1:24" x14ac:dyDescent="0.3">
      <c r="A2404">
        <v>2701</v>
      </c>
      <c r="B2404">
        <v>428</v>
      </c>
      <c r="C2404" t="s">
        <v>35</v>
      </c>
      <c r="D2404" t="s">
        <v>36</v>
      </c>
      <c r="E2404" t="s">
        <v>23</v>
      </c>
      <c r="F2404" t="s">
        <v>19</v>
      </c>
      <c r="G2404">
        <v>12</v>
      </c>
      <c r="H2404">
        <v>12</v>
      </c>
      <c r="I2404">
        <v>12</v>
      </c>
      <c r="J2404">
        <v>51.56</v>
      </c>
      <c r="K2404">
        <v>189.85</v>
      </c>
      <c r="L2404">
        <v>0.66</v>
      </c>
      <c r="M2404">
        <v>43.18</v>
      </c>
      <c r="N2404">
        <v>1</v>
      </c>
      <c r="O2404" t="s">
        <v>20</v>
      </c>
      <c r="P2404" t="s">
        <v>21</v>
      </c>
      <c r="Q2404">
        <f t="shared" si="185"/>
        <v>12</v>
      </c>
      <c r="R2404" s="4">
        <f>RANK(N2404,$N$2:N$2800,0)</f>
        <v>1</v>
      </c>
      <c r="S2404">
        <f t="shared" si="186"/>
        <v>1</v>
      </c>
      <c r="T2404" t="str">
        <f t="shared" si="187"/>
        <v>Low</v>
      </c>
      <c r="U2404" t="str" cm="1">
        <f t="array" ref="U2404">_xlfn.LET(_xlpm.roles,_xlfn.UNIQUE(D2404:D5202),_xlpm.kills, SUMIF(D2404:D5202,_xlpm.roles,G2404:G5202),INDEX(_xlpm.roles,MATCH(MAX(_xlpm.kills),_xlpm.kills,0)))</f>
        <v>IGL</v>
      </c>
      <c r="V2404" t="str">
        <f t="shared" si="188"/>
        <v>High Accuracy</v>
      </c>
      <c r="W2404" t="str" cm="1">
        <f t="array" ref="W2404">_xlfn.LET(_xlpm.roles,_xlfn.UNIQUE(D2404:D5202), _xlpm.counts,COUNTIF(D2404:D5202,_xlpm.roles), INDEX(_xlpm.roles,MATCH(MAX(_xlpm.counts),_xlpm.counts,0)))</f>
        <v>IGL</v>
      </c>
      <c r="X2404" s="2">
        <f t="shared" si="189"/>
        <v>12.599585062240664</v>
      </c>
    </row>
    <row r="2405" spans="1:24" x14ac:dyDescent="0.3">
      <c r="A2405">
        <v>514</v>
      </c>
      <c r="B2405">
        <v>429</v>
      </c>
      <c r="C2405" t="s">
        <v>35</v>
      </c>
      <c r="D2405" t="s">
        <v>17</v>
      </c>
      <c r="E2405" t="s">
        <v>18</v>
      </c>
      <c r="F2405" t="s">
        <v>37</v>
      </c>
      <c r="G2405">
        <v>10</v>
      </c>
      <c r="H2405">
        <v>8</v>
      </c>
      <c r="I2405">
        <v>10</v>
      </c>
      <c r="J2405">
        <v>45.1</v>
      </c>
      <c r="K2405">
        <v>253.05</v>
      </c>
      <c r="L2405">
        <v>0.56000000000000005</v>
      </c>
      <c r="M2405">
        <v>34.950000000000003</v>
      </c>
      <c r="N2405">
        <v>0.9</v>
      </c>
      <c r="O2405" t="s">
        <v>20</v>
      </c>
      <c r="P2405" t="s">
        <v>21</v>
      </c>
      <c r="Q2405">
        <f t="shared" si="185"/>
        <v>8</v>
      </c>
      <c r="R2405" s="4">
        <f>RANK(N2405,$N$2:N$2800,0)</f>
        <v>1738</v>
      </c>
      <c r="S2405">
        <f t="shared" si="186"/>
        <v>1</v>
      </c>
      <c r="T2405" t="str">
        <f t="shared" si="187"/>
        <v>Low</v>
      </c>
      <c r="U2405" t="str" cm="1">
        <f t="array" ref="U2405">_xlfn.LET(_xlpm.roles,_xlfn.UNIQUE(D2405:D5203),_xlpm.kills, SUMIF(D2405:D5203,_xlpm.roles,G2405:G5203),INDEX(_xlpm.roles,MATCH(MAX(_xlpm.kills),_xlpm.kills,0)))</f>
        <v>IGL</v>
      </c>
      <c r="V2405" t="str">
        <f t="shared" si="188"/>
        <v>Medium Accuracy</v>
      </c>
      <c r="W2405" t="str" cm="1">
        <f t="array" ref="W2405">_xlfn.LET(_xlpm.roles,_xlfn.UNIQUE(D2405:D5203), _xlpm.counts,COUNTIF(D2405:D5203,_xlpm.roles), INDEX(_xlpm.roles,MATCH(MAX(_xlpm.counts),_xlpm.counts,0)))</f>
        <v>IGL</v>
      </c>
      <c r="X2405" s="2">
        <f t="shared" si="189"/>
        <v>12.599585062240664</v>
      </c>
    </row>
    <row r="2406" spans="1:24" x14ac:dyDescent="0.3">
      <c r="A2406">
        <v>2235</v>
      </c>
      <c r="B2406">
        <v>429</v>
      </c>
      <c r="C2406" t="s">
        <v>39</v>
      </c>
      <c r="D2406" t="s">
        <v>22</v>
      </c>
      <c r="E2406" t="s">
        <v>18</v>
      </c>
      <c r="F2406" t="s">
        <v>37</v>
      </c>
      <c r="G2406">
        <v>15</v>
      </c>
      <c r="H2406">
        <v>8</v>
      </c>
      <c r="I2406">
        <v>12</v>
      </c>
      <c r="J2406">
        <v>47.01</v>
      </c>
      <c r="K2406">
        <v>228.77</v>
      </c>
      <c r="L2406">
        <v>0.42</v>
      </c>
      <c r="M2406">
        <v>45.3</v>
      </c>
      <c r="N2406">
        <v>0.78</v>
      </c>
      <c r="O2406" t="s">
        <v>20</v>
      </c>
      <c r="P2406" t="s">
        <v>21</v>
      </c>
      <c r="Q2406">
        <f t="shared" si="185"/>
        <v>11</v>
      </c>
      <c r="R2406" s="4">
        <f>RANK(N2406,$N$2:N$2800,0)</f>
        <v>2469</v>
      </c>
      <c r="S2406">
        <f t="shared" si="186"/>
        <v>1.25</v>
      </c>
      <c r="T2406" t="str">
        <f t="shared" si="187"/>
        <v>Low</v>
      </c>
      <c r="U2406" t="str" cm="1">
        <f t="array" ref="U2406">_xlfn.LET(_xlpm.roles,_xlfn.UNIQUE(D2406:D5204),_xlpm.kills, SUMIF(D2406:D5204,_xlpm.roles,G2406:G5204),INDEX(_xlpm.roles,MATCH(MAX(_xlpm.kills),_xlpm.kills,0)))</f>
        <v>IGL</v>
      </c>
      <c r="V2406" t="str">
        <f t="shared" si="188"/>
        <v>Medium Accuracy</v>
      </c>
      <c r="W2406" t="str" cm="1">
        <f t="array" ref="W2406">_xlfn.LET(_xlpm.roles,_xlfn.UNIQUE(D2406:D5204), _xlpm.counts,COUNTIF(D2406:D5204,_xlpm.roles), INDEX(_xlpm.roles,MATCH(MAX(_xlpm.counts),_xlpm.counts,0)))</f>
        <v>IGL</v>
      </c>
      <c r="X2406" s="2">
        <f t="shared" si="189"/>
        <v>13.103594080338267</v>
      </c>
    </row>
    <row r="2407" spans="1:24" x14ac:dyDescent="0.3">
      <c r="A2407">
        <v>2652</v>
      </c>
      <c r="B2407">
        <v>429</v>
      </c>
      <c r="C2407" t="s">
        <v>39</v>
      </c>
      <c r="D2407" t="s">
        <v>36</v>
      </c>
      <c r="E2407" t="s">
        <v>32</v>
      </c>
      <c r="F2407" t="s">
        <v>24</v>
      </c>
      <c r="G2407">
        <v>14</v>
      </c>
      <c r="H2407">
        <v>8</v>
      </c>
      <c r="I2407">
        <v>11</v>
      </c>
      <c r="J2407">
        <v>43.72</v>
      </c>
      <c r="K2407">
        <v>232.03</v>
      </c>
      <c r="L2407">
        <v>0.46</v>
      </c>
      <c r="M2407">
        <v>42.26</v>
      </c>
      <c r="N2407">
        <v>0.91</v>
      </c>
      <c r="O2407" t="s">
        <v>20</v>
      </c>
      <c r="P2407" t="s">
        <v>21</v>
      </c>
      <c r="Q2407">
        <f t="shared" si="185"/>
        <v>11</v>
      </c>
      <c r="R2407" s="4">
        <f>RANK(N2407,$N$2:N$2800,0)</f>
        <v>1665</v>
      </c>
      <c r="S2407">
        <f t="shared" si="186"/>
        <v>1.2727272727272727</v>
      </c>
      <c r="T2407" t="str">
        <f t="shared" si="187"/>
        <v>Low</v>
      </c>
      <c r="U2407" t="str" cm="1">
        <f t="array" ref="U2407">_xlfn.LET(_xlpm.roles,_xlfn.UNIQUE(D2407:D5205),_xlpm.kills, SUMIF(D2407:D5205,_xlpm.roles,G2407:G5205),INDEX(_xlpm.roles,MATCH(MAX(_xlpm.kills),_xlpm.kills,0)))</f>
        <v>IGL</v>
      </c>
      <c r="V2407" t="str">
        <f t="shared" si="188"/>
        <v>Medium Accuracy</v>
      </c>
      <c r="W2407" t="str" cm="1">
        <f t="array" ref="W2407">_xlfn.LET(_xlpm.roles,_xlfn.UNIQUE(D2407:D5205), _xlpm.counts,COUNTIF(D2407:D5205,_xlpm.roles), INDEX(_xlpm.roles,MATCH(MAX(_xlpm.counts),_xlpm.counts,0)))</f>
        <v>IGL</v>
      </c>
      <c r="X2407" s="2">
        <f t="shared" si="189"/>
        <v>13.103594080338267</v>
      </c>
    </row>
    <row r="2408" spans="1:24" x14ac:dyDescent="0.3">
      <c r="A2408">
        <v>358</v>
      </c>
      <c r="B2408">
        <v>430</v>
      </c>
      <c r="C2408" t="s">
        <v>35</v>
      </c>
      <c r="D2408" t="s">
        <v>36</v>
      </c>
      <c r="E2408" t="s">
        <v>29</v>
      </c>
      <c r="F2408" t="s">
        <v>37</v>
      </c>
      <c r="G2408">
        <v>17</v>
      </c>
      <c r="H2408">
        <v>12</v>
      </c>
      <c r="I2408">
        <v>7</v>
      </c>
      <c r="J2408">
        <v>48.33</v>
      </c>
      <c r="K2408">
        <v>228.52</v>
      </c>
      <c r="L2408">
        <v>0.42</v>
      </c>
      <c r="M2408">
        <v>58.96</v>
      </c>
      <c r="N2408">
        <v>1</v>
      </c>
      <c r="O2408" t="s">
        <v>20</v>
      </c>
      <c r="P2408" t="s">
        <v>21</v>
      </c>
      <c r="Q2408">
        <f t="shared" si="185"/>
        <v>22</v>
      </c>
      <c r="R2408" s="4">
        <f>RANK(N2408,$N$2:N$2800,0)</f>
        <v>1</v>
      </c>
      <c r="S2408">
        <f t="shared" si="186"/>
        <v>2.4285714285714284</v>
      </c>
      <c r="T2408" t="str">
        <f t="shared" si="187"/>
        <v>Good</v>
      </c>
      <c r="U2408" t="str" cm="1">
        <f t="array" ref="U2408">_xlfn.LET(_xlpm.roles,_xlfn.UNIQUE(D2408:D5206),_xlpm.kills, SUMIF(D2408:D5206,_xlpm.roles,G2408:G5206),INDEX(_xlpm.roles,MATCH(MAX(_xlpm.kills),_xlpm.kills,0)))</f>
        <v>IGL</v>
      </c>
      <c r="V2408" t="str">
        <f t="shared" si="188"/>
        <v>Medium Accuracy</v>
      </c>
      <c r="W2408" t="str" cm="1">
        <f t="array" ref="W2408">_xlfn.LET(_xlpm.roles,_xlfn.UNIQUE(D2408:D5206), _xlpm.counts,COUNTIF(D2408:D5206,_xlpm.roles), INDEX(_xlpm.roles,MATCH(MAX(_xlpm.counts),_xlpm.counts,0)))</f>
        <v>IGL</v>
      </c>
      <c r="X2408" s="2">
        <f t="shared" si="189"/>
        <v>12.599585062240664</v>
      </c>
    </row>
    <row r="2409" spans="1:24" x14ac:dyDescent="0.3">
      <c r="A2409">
        <v>904</v>
      </c>
      <c r="B2409">
        <v>430</v>
      </c>
      <c r="C2409" t="s">
        <v>39</v>
      </c>
      <c r="D2409" t="s">
        <v>28</v>
      </c>
      <c r="E2409" t="s">
        <v>23</v>
      </c>
      <c r="F2409" t="s">
        <v>26</v>
      </c>
      <c r="G2409">
        <v>16</v>
      </c>
      <c r="H2409">
        <v>10</v>
      </c>
      <c r="I2409">
        <v>10</v>
      </c>
      <c r="J2409">
        <v>47.48</v>
      </c>
      <c r="K2409">
        <v>263.2</v>
      </c>
      <c r="L2409">
        <v>0.79</v>
      </c>
      <c r="M2409">
        <v>47.84</v>
      </c>
      <c r="N2409">
        <v>1</v>
      </c>
      <c r="O2409" t="s">
        <v>20</v>
      </c>
      <c r="P2409" t="s">
        <v>21</v>
      </c>
      <c r="Q2409">
        <f t="shared" si="185"/>
        <v>16</v>
      </c>
      <c r="R2409" s="4">
        <f>RANK(N2409,$N$2:N$2800,0)</f>
        <v>1</v>
      </c>
      <c r="S2409">
        <f t="shared" si="186"/>
        <v>1.6</v>
      </c>
      <c r="T2409" t="str">
        <f t="shared" si="187"/>
        <v>Good</v>
      </c>
      <c r="U2409" t="str" cm="1">
        <f t="array" ref="U2409">_xlfn.LET(_xlpm.roles,_xlfn.UNIQUE(D2409:D5207),_xlpm.kills, SUMIF(D2409:D5207,_xlpm.roles,G2409:G5207),INDEX(_xlpm.roles,MATCH(MAX(_xlpm.kills),_xlpm.kills,0)))</f>
        <v>IGL</v>
      </c>
      <c r="V2409" t="str">
        <f t="shared" si="188"/>
        <v>Medium Accuracy</v>
      </c>
      <c r="W2409" t="str" cm="1">
        <f t="array" ref="W2409">_xlfn.LET(_xlpm.roles,_xlfn.UNIQUE(D2409:D5207), _xlpm.counts,COUNTIF(D2409:D5207,_xlpm.roles), INDEX(_xlpm.roles,MATCH(MAX(_xlpm.counts),_xlpm.counts,0)))</f>
        <v>IGL</v>
      </c>
      <c r="X2409" s="2">
        <f t="shared" si="189"/>
        <v>13.103594080338267</v>
      </c>
    </row>
    <row r="2410" spans="1:24" x14ac:dyDescent="0.3">
      <c r="A2410">
        <v>999</v>
      </c>
      <c r="B2410">
        <v>430</v>
      </c>
      <c r="C2410" t="s">
        <v>16</v>
      </c>
      <c r="D2410" t="s">
        <v>28</v>
      </c>
      <c r="E2410" t="s">
        <v>18</v>
      </c>
      <c r="F2410" t="s">
        <v>24</v>
      </c>
      <c r="G2410">
        <v>11</v>
      </c>
      <c r="H2410">
        <v>6</v>
      </c>
      <c r="I2410">
        <v>16</v>
      </c>
      <c r="J2410">
        <v>49.88</v>
      </c>
      <c r="K2410">
        <v>269.22000000000003</v>
      </c>
      <c r="L2410">
        <v>0.5</v>
      </c>
      <c r="M2410">
        <v>31.94</v>
      </c>
      <c r="N2410">
        <v>0.85</v>
      </c>
      <c r="O2410" t="s">
        <v>20</v>
      </c>
      <c r="P2410" t="s">
        <v>21</v>
      </c>
      <c r="Q2410">
        <f t="shared" si="185"/>
        <v>1</v>
      </c>
      <c r="R2410" s="4">
        <f>RANK(N2410,$N$2:N$2800,0)</f>
        <v>2105</v>
      </c>
      <c r="S2410">
        <f t="shared" si="186"/>
        <v>0.6875</v>
      </c>
      <c r="T2410" t="str">
        <f t="shared" si="187"/>
        <v>Low</v>
      </c>
      <c r="U2410" t="str" cm="1">
        <f t="array" ref="U2410">_xlfn.LET(_xlpm.roles,_xlfn.UNIQUE(D2410:D5208),_xlpm.kills, SUMIF(D2410:D5208,_xlpm.roles,G2410:G5208),INDEX(_xlpm.roles,MATCH(MAX(_xlpm.kills),_xlpm.kills,0)))</f>
        <v>IGL</v>
      </c>
      <c r="V2410" t="str">
        <f t="shared" si="188"/>
        <v>Medium Accuracy</v>
      </c>
      <c r="W2410" t="str" cm="1">
        <f t="array" ref="W2410">_xlfn.LET(_xlpm.roles,_xlfn.UNIQUE(D2410:D5208), _xlpm.counts,COUNTIF(D2410:D5208,_xlpm.roles), INDEX(_xlpm.roles,MATCH(MAX(_xlpm.counts),_xlpm.counts,0)))</f>
        <v>IGL</v>
      </c>
      <c r="X2410" s="2">
        <f t="shared" si="189"/>
        <v>12.520971302428256</v>
      </c>
    </row>
    <row r="2411" spans="1:24" x14ac:dyDescent="0.3">
      <c r="A2411">
        <v>1478</v>
      </c>
      <c r="B2411">
        <v>430</v>
      </c>
      <c r="C2411" t="s">
        <v>27</v>
      </c>
      <c r="D2411" t="s">
        <v>22</v>
      </c>
      <c r="E2411" t="s">
        <v>18</v>
      </c>
      <c r="F2411" t="s">
        <v>19</v>
      </c>
      <c r="G2411">
        <v>22</v>
      </c>
      <c r="H2411">
        <v>7</v>
      </c>
      <c r="I2411">
        <v>13</v>
      </c>
      <c r="J2411">
        <v>39.65</v>
      </c>
      <c r="K2411">
        <v>156.78</v>
      </c>
      <c r="L2411">
        <v>0.34</v>
      </c>
      <c r="M2411">
        <v>54.43</v>
      </c>
      <c r="N2411">
        <v>1</v>
      </c>
      <c r="O2411" t="s">
        <v>20</v>
      </c>
      <c r="P2411" t="s">
        <v>21</v>
      </c>
      <c r="Q2411">
        <f t="shared" si="185"/>
        <v>16</v>
      </c>
      <c r="R2411" s="4">
        <f>RANK(N2411,$N$2:N$2800,0)</f>
        <v>1</v>
      </c>
      <c r="S2411">
        <f t="shared" si="186"/>
        <v>1.6923076923076923</v>
      </c>
      <c r="T2411" t="str">
        <f t="shared" si="187"/>
        <v>Good</v>
      </c>
      <c r="U2411" t="str" cm="1">
        <f t="array" ref="U2411">_xlfn.LET(_xlpm.roles,_xlfn.UNIQUE(D2411:D5209),_xlpm.kills, SUMIF(D2411:D5209,_xlpm.roles,G2411:G5209),INDEX(_xlpm.roles,MATCH(MAX(_xlpm.kills),_xlpm.kills,0)))</f>
        <v>IGL</v>
      </c>
      <c r="V2411" t="str">
        <f t="shared" si="188"/>
        <v>Medium Accuracy</v>
      </c>
      <c r="W2411" t="str" cm="1">
        <f t="array" ref="W2411">_xlfn.LET(_xlpm.roles,_xlfn.UNIQUE(D2411:D5209), _xlpm.counts,COUNTIF(D2411:D5209,_xlpm.roles), INDEX(_xlpm.roles,MATCH(MAX(_xlpm.counts),_xlpm.counts,0)))</f>
        <v>IGL</v>
      </c>
      <c r="X2411" s="2">
        <f t="shared" si="189"/>
        <v>13.057077625570777</v>
      </c>
    </row>
    <row r="2412" spans="1:24" x14ac:dyDescent="0.3">
      <c r="A2412">
        <v>1967</v>
      </c>
      <c r="B2412">
        <v>430</v>
      </c>
      <c r="C2412" t="s">
        <v>39</v>
      </c>
      <c r="D2412" t="s">
        <v>31</v>
      </c>
      <c r="E2412" t="s">
        <v>23</v>
      </c>
      <c r="F2412" t="s">
        <v>19</v>
      </c>
      <c r="G2412">
        <v>20</v>
      </c>
      <c r="H2412">
        <v>8</v>
      </c>
      <c r="I2412">
        <v>13</v>
      </c>
      <c r="J2412">
        <v>52.39</v>
      </c>
      <c r="K2412">
        <v>206.26</v>
      </c>
      <c r="L2412">
        <v>0.05</v>
      </c>
      <c r="M2412">
        <v>60.7</v>
      </c>
      <c r="N2412">
        <v>1</v>
      </c>
      <c r="O2412" t="s">
        <v>20</v>
      </c>
      <c r="P2412" t="s">
        <v>38</v>
      </c>
      <c r="Q2412">
        <f t="shared" si="185"/>
        <v>15</v>
      </c>
      <c r="R2412" s="4">
        <f>RANK(N2412,$N$2:N$2800,0)</f>
        <v>1</v>
      </c>
      <c r="S2412">
        <f t="shared" si="186"/>
        <v>1.5384615384615385</v>
      </c>
      <c r="T2412" t="str">
        <f t="shared" si="187"/>
        <v>Good</v>
      </c>
      <c r="U2412" t="str" cm="1">
        <f t="array" ref="U2412">_xlfn.LET(_xlpm.roles,_xlfn.UNIQUE(D2412:D5210),_xlpm.kills, SUMIF(D2412:D5210,_xlpm.roles,G2412:G5210),INDEX(_xlpm.roles,MATCH(MAX(_xlpm.kills),_xlpm.kills,0)))</f>
        <v>IGL</v>
      </c>
      <c r="V2412" t="str">
        <f t="shared" si="188"/>
        <v>High Accuracy</v>
      </c>
      <c r="W2412" t="str" cm="1">
        <f t="array" ref="W2412">_xlfn.LET(_xlpm.roles,_xlfn.UNIQUE(D2412:D5210), _xlpm.counts,COUNTIF(D2412:D5210,_xlpm.roles), INDEX(_xlpm.roles,MATCH(MAX(_xlpm.counts),_xlpm.counts,0)))</f>
        <v>IGL</v>
      </c>
      <c r="X2412" s="2">
        <f t="shared" si="189"/>
        <v>13.103594080338267</v>
      </c>
    </row>
    <row r="2413" spans="1:24" x14ac:dyDescent="0.3">
      <c r="A2413">
        <v>2378</v>
      </c>
      <c r="B2413">
        <v>430</v>
      </c>
      <c r="C2413" t="s">
        <v>39</v>
      </c>
      <c r="D2413" t="s">
        <v>28</v>
      </c>
      <c r="E2413" t="s">
        <v>18</v>
      </c>
      <c r="F2413" t="s">
        <v>26</v>
      </c>
      <c r="G2413">
        <v>26</v>
      </c>
      <c r="H2413">
        <v>9</v>
      </c>
      <c r="I2413">
        <v>17</v>
      </c>
      <c r="J2413">
        <v>34.479999999999997</v>
      </c>
      <c r="K2413">
        <v>260.05</v>
      </c>
      <c r="L2413">
        <v>0.08</v>
      </c>
      <c r="M2413">
        <v>60.44</v>
      </c>
      <c r="N2413">
        <v>1</v>
      </c>
      <c r="O2413" t="s">
        <v>20</v>
      </c>
      <c r="P2413" t="s">
        <v>38</v>
      </c>
      <c r="Q2413">
        <f t="shared" si="185"/>
        <v>18</v>
      </c>
      <c r="R2413" s="4">
        <f>RANK(N2413,$N$2:N$2800,0)</f>
        <v>1</v>
      </c>
      <c r="S2413">
        <f t="shared" si="186"/>
        <v>1.5294117647058822</v>
      </c>
      <c r="T2413" t="str">
        <f t="shared" si="187"/>
        <v>Good</v>
      </c>
      <c r="U2413" t="str" cm="1">
        <f t="array" ref="U2413">_xlfn.LET(_xlpm.roles,_xlfn.UNIQUE(D2413:D5211),_xlpm.kills, SUMIF(D2413:D5211,_xlpm.roles,G2413:G5211),INDEX(_xlpm.roles,MATCH(MAX(_xlpm.kills),_xlpm.kills,0)))</f>
        <v>IGL</v>
      </c>
      <c r="V2413" t="str">
        <f t="shared" si="188"/>
        <v>Medium Accuracy</v>
      </c>
      <c r="W2413" t="str" cm="1">
        <f t="array" ref="W2413">_xlfn.LET(_xlpm.roles,_xlfn.UNIQUE(D2413:D5211), _xlpm.counts,COUNTIF(D2413:D5211,_xlpm.roles), INDEX(_xlpm.roles,MATCH(MAX(_xlpm.counts),_xlpm.counts,0)))</f>
        <v>IGL</v>
      </c>
      <c r="X2413" s="2">
        <f t="shared" si="189"/>
        <v>13.103594080338267</v>
      </c>
    </row>
    <row r="2414" spans="1:24" x14ac:dyDescent="0.3">
      <c r="A2414">
        <v>2698</v>
      </c>
      <c r="B2414">
        <v>430</v>
      </c>
      <c r="C2414" t="s">
        <v>16</v>
      </c>
      <c r="D2414" t="s">
        <v>17</v>
      </c>
      <c r="E2414" t="s">
        <v>18</v>
      </c>
      <c r="F2414" t="s">
        <v>19</v>
      </c>
      <c r="G2414">
        <v>12</v>
      </c>
      <c r="H2414">
        <v>5</v>
      </c>
      <c r="I2414">
        <v>12</v>
      </c>
      <c r="J2414">
        <v>41.56</v>
      </c>
      <c r="K2414">
        <v>208.38</v>
      </c>
      <c r="L2414">
        <v>0.96</v>
      </c>
      <c r="M2414">
        <v>28.18</v>
      </c>
      <c r="N2414">
        <v>0.76</v>
      </c>
      <c r="O2414" t="s">
        <v>20</v>
      </c>
      <c r="P2414" t="s">
        <v>21</v>
      </c>
      <c r="Q2414">
        <f t="shared" si="185"/>
        <v>5</v>
      </c>
      <c r="R2414" s="4">
        <f>RANK(N2414,$N$2:N$2800,0)</f>
        <v>2547</v>
      </c>
      <c r="S2414">
        <f t="shared" si="186"/>
        <v>1</v>
      </c>
      <c r="T2414" t="str">
        <f t="shared" si="187"/>
        <v>Low</v>
      </c>
      <c r="U2414" t="str" cm="1">
        <f t="array" ref="U2414">_xlfn.LET(_xlpm.roles,_xlfn.UNIQUE(D2414:D5212),_xlpm.kills, SUMIF(D2414:D5212,_xlpm.roles,G2414:G5212),INDEX(_xlpm.roles,MATCH(MAX(_xlpm.kills),_xlpm.kills,0)))</f>
        <v>IGL</v>
      </c>
      <c r="V2414" t="str">
        <f t="shared" si="188"/>
        <v>Medium Accuracy</v>
      </c>
      <c r="W2414" t="str" cm="1">
        <f t="array" ref="W2414">_xlfn.LET(_xlpm.roles,_xlfn.UNIQUE(D2414:D5212), _xlpm.counts,COUNTIF(D2414:D5212,_xlpm.roles), INDEX(_xlpm.roles,MATCH(MAX(_xlpm.counts),_xlpm.counts,0)))</f>
        <v>IGL</v>
      </c>
      <c r="X2414" s="2">
        <f t="shared" si="189"/>
        <v>12.520971302428256</v>
      </c>
    </row>
    <row r="2415" spans="1:24" x14ac:dyDescent="0.3">
      <c r="A2415">
        <v>568</v>
      </c>
      <c r="B2415">
        <v>431</v>
      </c>
      <c r="C2415" t="s">
        <v>39</v>
      </c>
      <c r="D2415" t="s">
        <v>36</v>
      </c>
      <c r="E2415" t="s">
        <v>23</v>
      </c>
      <c r="F2415" t="s">
        <v>26</v>
      </c>
      <c r="G2415">
        <v>14</v>
      </c>
      <c r="H2415">
        <v>5</v>
      </c>
      <c r="I2415">
        <v>17</v>
      </c>
      <c r="J2415">
        <v>37.75</v>
      </c>
      <c r="K2415">
        <v>224.73</v>
      </c>
      <c r="L2415">
        <v>0.97</v>
      </c>
      <c r="M2415">
        <v>25.18</v>
      </c>
      <c r="N2415">
        <v>0.77</v>
      </c>
      <c r="O2415" t="s">
        <v>20</v>
      </c>
      <c r="P2415" t="s">
        <v>21</v>
      </c>
      <c r="Q2415">
        <f t="shared" si="185"/>
        <v>2</v>
      </c>
      <c r="R2415" s="4">
        <f>RANK(N2415,$N$2:N$2800,0)</f>
        <v>2511</v>
      </c>
      <c r="S2415">
        <f t="shared" si="186"/>
        <v>0.82352941176470584</v>
      </c>
      <c r="T2415" t="str">
        <f t="shared" si="187"/>
        <v>Low</v>
      </c>
      <c r="U2415" t="str" cm="1">
        <f t="array" ref="U2415">_xlfn.LET(_xlpm.roles,_xlfn.UNIQUE(D2415:D5213),_xlpm.kills, SUMIF(D2415:D5213,_xlpm.roles,G2415:G5213),INDEX(_xlpm.roles,MATCH(MAX(_xlpm.kills),_xlpm.kills,0)))</f>
        <v>IGL</v>
      </c>
      <c r="V2415" t="str">
        <f t="shared" si="188"/>
        <v>Medium Accuracy</v>
      </c>
      <c r="W2415" t="str" cm="1">
        <f t="array" ref="W2415">_xlfn.LET(_xlpm.roles,_xlfn.UNIQUE(D2415:D5213), _xlpm.counts,COUNTIF(D2415:D5213,_xlpm.roles), INDEX(_xlpm.roles,MATCH(MAX(_xlpm.counts),_xlpm.counts,0)))</f>
        <v>IGL</v>
      </c>
      <c r="X2415" s="2">
        <f t="shared" si="189"/>
        <v>13.103594080338267</v>
      </c>
    </row>
    <row r="2416" spans="1:24" x14ac:dyDescent="0.3">
      <c r="A2416">
        <v>680</v>
      </c>
      <c r="B2416">
        <v>431</v>
      </c>
      <c r="C2416" t="s">
        <v>35</v>
      </c>
      <c r="D2416" t="s">
        <v>28</v>
      </c>
      <c r="E2416" t="s">
        <v>32</v>
      </c>
      <c r="F2416" t="s">
        <v>37</v>
      </c>
      <c r="G2416">
        <v>22</v>
      </c>
      <c r="H2416">
        <v>4</v>
      </c>
      <c r="I2416">
        <v>6</v>
      </c>
      <c r="J2416">
        <v>36.71</v>
      </c>
      <c r="K2416">
        <v>169.18</v>
      </c>
      <c r="L2416">
        <v>0.66</v>
      </c>
      <c r="M2416">
        <v>53.76</v>
      </c>
      <c r="N2416">
        <v>0.97</v>
      </c>
      <c r="O2416" t="s">
        <v>20</v>
      </c>
      <c r="P2416" t="s">
        <v>21</v>
      </c>
      <c r="Q2416">
        <f t="shared" si="185"/>
        <v>20</v>
      </c>
      <c r="R2416" s="4">
        <f>RANK(N2416,$N$2:N$2800,0)</f>
        <v>1243</v>
      </c>
      <c r="S2416">
        <f t="shared" si="186"/>
        <v>3.6666666666666665</v>
      </c>
      <c r="T2416" t="str">
        <f t="shared" si="187"/>
        <v>Good</v>
      </c>
      <c r="U2416" t="str" cm="1">
        <f t="array" ref="U2416">_xlfn.LET(_xlpm.roles,_xlfn.UNIQUE(D2416:D5214),_xlpm.kills, SUMIF(D2416:D5214,_xlpm.roles,G2416:G5214),INDEX(_xlpm.roles,MATCH(MAX(_xlpm.kills),_xlpm.kills,0)))</f>
        <v>IGL</v>
      </c>
      <c r="V2416" t="str">
        <f t="shared" si="188"/>
        <v>Medium Accuracy</v>
      </c>
      <c r="W2416" t="str" cm="1">
        <f t="array" ref="W2416">_xlfn.LET(_xlpm.roles,_xlfn.UNIQUE(D2416:D5214), _xlpm.counts,COUNTIF(D2416:D5214,_xlpm.roles), INDEX(_xlpm.roles,MATCH(MAX(_xlpm.counts),_xlpm.counts,0)))</f>
        <v>IGL</v>
      </c>
      <c r="X2416" s="2">
        <f t="shared" si="189"/>
        <v>12.599585062240664</v>
      </c>
    </row>
    <row r="2417" spans="1:24" x14ac:dyDescent="0.3">
      <c r="A2417">
        <v>1568</v>
      </c>
      <c r="B2417">
        <v>431</v>
      </c>
      <c r="C2417" t="s">
        <v>16</v>
      </c>
      <c r="D2417" t="s">
        <v>17</v>
      </c>
      <c r="E2417" t="s">
        <v>29</v>
      </c>
      <c r="F2417" t="s">
        <v>37</v>
      </c>
      <c r="G2417">
        <v>18</v>
      </c>
      <c r="H2417">
        <v>6</v>
      </c>
      <c r="I2417">
        <v>11</v>
      </c>
      <c r="J2417">
        <v>47.31</v>
      </c>
      <c r="K2417">
        <v>211.66</v>
      </c>
      <c r="L2417">
        <v>0.91</v>
      </c>
      <c r="M2417">
        <v>45.55</v>
      </c>
      <c r="N2417">
        <v>1</v>
      </c>
      <c r="O2417" t="s">
        <v>20</v>
      </c>
      <c r="P2417" t="s">
        <v>21</v>
      </c>
      <c r="Q2417">
        <f t="shared" si="185"/>
        <v>13</v>
      </c>
      <c r="R2417" s="4">
        <f>RANK(N2417,$N$2:N$2800,0)</f>
        <v>1</v>
      </c>
      <c r="S2417">
        <f t="shared" si="186"/>
        <v>1.6363636363636365</v>
      </c>
      <c r="T2417" t="str">
        <f t="shared" si="187"/>
        <v>Low</v>
      </c>
      <c r="U2417" t="str" cm="1">
        <f t="array" ref="U2417">_xlfn.LET(_xlpm.roles,_xlfn.UNIQUE(D2417:D5215),_xlpm.kills, SUMIF(D2417:D5215,_xlpm.roles,G2417:G5215),INDEX(_xlpm.roles,MATCH(MAX(_xlpm.kills),_xlpm.kills,0)))</f>
        <v>IGL</v>
      </c>
      <c r="V2417" t="str">
        <f t="shared" si="188"/>
        <v>Medium Accuracy</v>
      </c>
      <c r="W2417" t="str" cm="1">
        <f t="array" ref="W2417">_xlfn.LET(_xlpm.roles,_xlfn.UNIQUE(D2417:D5215), _xlpm.counts,COUNTIF(D2417:D5215,_xlpm.roles), INDEX(_xlpm.roles,MATCH(MAX(_xlpm.counts),_xlpm.counts,0)))</f>
        <v>IGL</v>
      </c>
      <c r="X2417" s="2">
        <f t="shared" si="189"/>
        <v>12.520971302428256</v>
      </c>
    </row>
    <row r="2418" spans="1:24" x14ac:dyDescent="0.3">
      <c r="A2418">
        <v>1804</v>
      </c>
      <c r="B2418">
        <v>431</v>
      </c>
      <c r="C2418" t="s">
        <v>27</v>
      </c>
      <c r="D2418" t="s">
        <v>36</v>
      </c>
      <c r="E2418" t="s">
        <v>23</v>
      </c>
      <c r="F2418" t="s">
        <v>24</v>
      </c>
      <c r="G2418">
        <v>18</v>
      </c>
      <c r="H2418">
        <v>8</v>
      </c>
      <c r="I2418">
        <v>9</v>
      </c>
      <c r="J2418">
        <v>49.86</v>
      </c>
      <c r="K2418">
        <v>173.07</v>
      </c>
      <c r="L2418">
        <v>0.38</v>
      </c>
      <c r="M2418">
        <v>56.13</v>
      </c>
      <c r="N2418">
        <v>1</v>
      </c>
      <c r="O2418" t="s">
        <v>20</v>
      </c>
      <c r="P2418" t="s">
        <v>21</v>
      </c>
      <c r="Q2418">
        <f t="shared" si="185"/>
        <v>17</v>
      </c>
      <c r="R2418" s="4">
        <f>RANK(N2418,$N$2:N$2800,0)</f>
        <v>1</v>
      </c>
      <c r="S2418">
        <f t="shared" si="186"/>
        <v>2</v>
      </c>
      <c r="T2418" t="str">
        <f t="shared" si="187"/>
        <v>Good</v>
      </c>
      <c r="U2418" t="str" cm="1">
        <f t="array" ref="U2418">_xlfn.LET(_xlpm.roles,_xlfn.UNIQUE(D2418:D5216),_xlpm.kills, SUMIF(D2418:D5216,_xlpm.roles,G2418:G5216),INDEX(_xlpm.roles,MATCH(MAX(_xlpm.kills),_xlpm.kills,0)))</f>
        <v>IGL</v>
      </c>
      <c r="V2418" t="str">
        <f t="shared" si="188"/>
        <v>Medium Accuracy</v>
      </c>
      <c r="W2418" t="str" cm="1">
        <f t="array" ref="W2418">_xlfn.LET(_xlpm.roles,_xlfn.UNIQUE(D2418:D5216), _xlpm.counts,COUNTIF(D2418:D5216,_xlpm.roles), INDEX(_xlpm.roles,MATCH(MAX(_xlpm.counts),_xlpm.counts,0)))</f>
        <v>IGL</v>
      </c>
      <c r="X2418" s="2">
        <f t="shared" si="189"/>
        <v>13.057077625570777</v>
      </c>
    </row>
    <row r="2419" spans="1:24" x14ac:dyDescent="0.3">
      <c r="A2419">
        <v>1831</v>
      </c>
      <c r="B2419">
        <v>431</v>
      </c>
      <c r="C2419" t="s">
        <v>30</v>
      </c>
      <c r="D2419" t="s">
        <v>31</v>
      </c>
      <c r="E2419" t="s">
        <v>29</v>
      </c>
      <c r="F2419" t="s">
        <v>24</v>
      </c>
      <c r="G2419">
        <v>11</v>
      </c>
      <c r="H2419">
        <v>7</v>
      </c>
      <c r="I2419">
        <v>12</v>
      </c>
      <c r="J2419">
        <v>44.84</v>
      </c>
      <c r="K2419">
        <v>195.91</v>
      </c>
      <c r="L2419">
        <v>0.16</v>
      </c>
      <c r="M2419">
        <v>37.82</v>
      </c>
      <c r="N2419">
        <v>0.97</v>
      </c>
      <c r="O2419" t="s">
        <v>20</v>
      </c>
      <c r="P2419" t="s">
        <v>21</v>
      </c>
      <c r="Q2419">
        <f t="shared" si="185"/>
        <v>6</v>
      </c>
      <c r="R2419" s="4">
        <f>RANK(N2419,$N$2:N$2800,0)</f>
        <v>1243</v>
      </c>
      <c r="S2419">
        <f t="shared" si="186"/>
        <v>0.91666666666666663</v>
      </c>
      <c r="T2419" t="str">
        <f t="shared" si="187"/>
        <v>Low</v>
      </c>
      <c r="U2419" t="str" cm="1">
        <f t="array" ref="U2419">_xlfn.LET(_xlpm.roles,_xlfn.UNIQUE(D2419:D5217),_xlpm.kills, SUMIF(D2419:D5217,_xlpm.roles,G2419:G5217),INDEX(_xlpm.roles,MATCH(MAX(_xlpm.kills),_xlpm.kills,0)))</f>
        <v>IGL</v>
      </c>
      <c r="V2419" t="str">
        <f t="shared" si="188"/>
        <v>Medium Accuracy</v>
      </c>
      <c r="W2419" t="str" cm="1">
        <f t="array" ref="W2419">_xlfn.LET(_xlpm.roles,_xlfn.UNIQUE(D2419:D5217), _xlpm.counts,COUNTIF(D2419:D5217,_xlpm.roles), INDEX(_xlpm.roles,MATCH(MAX(_xlpm.counts),_xlpm.counts,0)))</f>
        <v>IGL</v>
      </c>
      <c r="X2419" s="2">
        <f t="shared" si="189"/>
        <v>13.135802469135802</v>
      </c>
    </row>
    <row r="2420" spans="1:24" x14ac:dyDescent="0.3">
      <c r="A2420">
        <v>2362</v>
      </c>
      <c r="B2420">
        <v>431</v>
      </c>
      <c r="C2420" t="s">
        <v>27</v>
      </c>
      <c r="D2420" t="s">
        <v>28</v>
      </c>
      <c r="E2420" t="s">
        <v>33</v>
      </c>
      <c r="F2420" t="s">
        <v>24</v>
      </c>
      <c r="G2420">
        <v>12</v>
      </c>
      <c r="H2420">
        <v>9</v>
      </c>
      <c r="I2420">
        <v>5</v>
      </c>
      <c r="J2420">
        <v>34.94</v>
      </c>
      <c r="K2420">
        <v>231.17</v>
      </c>
      <c r="L2420">
        <v>0.56999999999999995</v>
      </c>
      <c r="M2420">
        <v>39.770000000000003</v>
      </c>
      <c r="N2420">
        <v>0.88</v>
      </c>
      <c r="O2420" t="s">
        <v>20</v>
      </c>
      <c r="P2420" t="s">
        <v>21</v>
      </c>
      <c r="Q2420">
        <f t="shared" si="185"/>
        <v>16</v>
      </c>
      <c r="R2420" s="4">
        <f>RANK(N2420,$N$2:N$2800,0)</f>
        <v>1894</v>
      </c>
      <c r="S2420">
        <f t="shared" si="186"/>
        <v>2.4</v>
      </c>
      <c r="T2420" t="str">
        <f t="shared" si="187"/>
        <v>Good</v>
      </c>
      <c r="U2420" t="str" cm="1">
        <f t="array" ref="U2420">_xlfn.LET(_xlpm.roles,_xlfn.UNIQUE(D2420:D5218),_xlpm.kills, SUMIF(D2420:D5218,_xlpm.roles,G2420:G5218),INDEX(_xlpm.roles,MATCH(MAX(_xlpm.kills),_xlpm.kills,0)))</f>
        <v>IGL</v>
      </c>
      <c r="V2420" t="str">
        <f t="shared" si="188"/>
        <v>Medium Accuracy</v>
      </c>
      <c r="W2420" t="str" cm="1">
        <f t="array" ref="W2420">_xlfn.LET(_xlpm.roles,_xlfn.UNIQUE(D2420:D5218), _xlpm.counts,COUNTIF(D2420:D5218,_xlpm.roles), INDEX(_xlpm.roles,MATCH(MAX(_xlpm.counts),_xlpm.counts,0)))</f>
        <v>IGL</v>
      </c>
      <c r="X2420" s="2">
        <f t="shared" si="189"/>
        <v>13.057077625570777</v>
      </c>
    </row>
    <row r="2421" spans="1:24" x14ac:dyDescent="0.3">
      <c r="A2421">
        <v>2523</v>
      </c>
      <c r="B2421">
        <v>431</v>
      </c>
      <c r="C2421" t="s">
        <v>30</v>
      </c>
      <c r="D2421" t="s">
        <v>22</v>
      </c>
      <c r="E2421" t="s">
        <v>33</v>
      </c>
      <c r="F2421" t="s">
        <v>24</v>
      </c>
      <c r="G2421">
        <v>21</v>
      </c>
      <c r="H2421">
        <v>9</v>
      </c>
      <c r="I2421">
        <v>16</v>
      </c>
      <c r="J2421">
        <v>53.07</v>
      </c>
      <c r="K2421">
        <v>241.53</v>
      </c>
      <c r="L2421">
        <v>0.83</v>
      </c>
      <c r="M2421">
        <v>53.23</v>
      </c>
      <c r="N2421">
        <v>1</v>
      </c>
      <c r="O2421" t="s">
        <v>20</v>
      </c>
      <c r="P2421" t="s">
        <v>21</v>
      </c>
      <c r="Q2421">
        <f t="shared" si="185"/>
        <v>14</v>
      </c>
      <c r="R2421" s="4">
        <f>RANK(N2421,$N$2:N$2800,0)</f>
        <v>1</v>
      </c>
      <c r="S2421">
        <f t="shared" si="186"/>
        <v>1.3125</v>
      </c>
      <c r="T2421" t="str">
        <f t="shared" si="187"/>
        <v>Low</v>
      </c>
      <c r="U2421" t="str" cm="1">
        <f t="array" ref="U2421">_xlfn.LET(_xlpm.roles,_xlfn.UNIQUE(D2421:D5219),_xlpm.kills, SUMIF(D2421:D5219,_xlpm.roles,G2421:G5219),INDEX(_xlpm.roles,MATCH(MAX(_xlpm.kills),_xlpm.kills,0)))</f>
        <v>IGL</v>
      </c>
      <c r="V2421" t="str">
        <f t="shared" si="188"/>
        <v>High Accuracy</v>
      </c>
      <c r="W2421" t="str" cm="1">
        <f t="array" ref="W2421">_xlfn.LET(_xlpm.roles,_xlfn.UNIQUE(D2421:D5219), _xlpm.counts,COUNTIF(D2421:D5219,_xlpm.roles), INDEX(_xlpm.roles,MATCH(MAX(_xlpm.counts),_xlpm.counts,0)))</f>
        <v>IGL</v>
      </c>
      <c r="X2421" s="2">
        <f t="shared" si="189"/>
        <v>13.135802469135802</v>
      </c>
    </row>
    <row r="2422" spans="1:24" x14ac:dyDescent="0.3">
      <c r="A2422">
        <v>2736</v>
      </c>
      <c r="B2422">
        <v>431</v>
      </c>
      <c r="C2422" t="s">
        <v>39</v>
      </c>
      <c r="D2422" t="s">
        <v>17</v>
      </c>
      <c r="E2422" t="s">
        <v>23</v>
      </c>
      <c r="F2422" t="s">
        <v>37</v>
      </c>
      <c r="G2422">
        <v>14</v>
      </c>
      <c r="H2422">
        <v>13</v>
      </c>
      <c r="I2422">
        <v>10</v>
      </c>
      <c r="J2422">
        <v>58.56</v>
      </c>
      <c r="K2422">
        <v>231.23</v>
      </c>
      <c r="L2422">
        <v>0.33</v>
      </c>
      <c r="M2422">
        <v>56.98</v>
      </c>
      <c r="N2422">
        <v>1</v>
      </c>
      <c r="O2422" t="s">
        <v>20</v>
      </c>
      <c r="P2422" t="s">
        <v>21</v>
      </c>
      <c r="Q2422">
        <f t="shared" si="185"/>
        <v>17</v>
      </c>
      <c r="R2422" s="4">
        <f>RANK(N2422,$N$2:N$2800,0)</f>
        <v>1</v>
      </c>
      <c r="S2422">
        <f t="shared" si="186"/>
        <v>1.4</v>
      </c>
      <c r="T2422" t="str">
        <f t="shared" si="187"/>
        <v>Good</v>
      </c>
      <c r="U2422" t="str" cm="1">
        <f t="array" ref="U2422">_xlfn.LET(_xlpm.roles,_xlfn.UNIQUE(D2422:D5220),_xlpm.kills, SUMIF(D2422:D5220,_xlpm.roles,G2422:G5220),INDEX(_xlpm.roles,MATCH(MAX(_xlpm.kills),_xlpm.kills,0)))</f>
        <v>IGL</v>
      </c>
      <c r="V2422" t="str">
        <f t="shared" si="188"/>
        <v>High Accuracy</v>
      </c>
      <c r="W2422" t="str" cm="1">
        <f t="array" ref="W2422">_xlfn.LET(_xlpm.roles,_xlfn.UNIQUE(D2422:D5220), _xlpm.counts,COUNTIF(D2422:D5220,_xlpm.roles), INDEX(_xlpm.roles,MATCH(MAX(_xlpm.counts),_xlpm.counts,0)))</f>
        <v>IGL</v>
      </c>
      <c r="X2422" s="2">
        <f t="shared" si="189"/>
        <v>13.103594080338267</v>
      </c>
    </row>
    <row r="2423" spans="1:24" x14ac:dyDescent="0.3">
      <c r="A2423">
        <v>2752</v>
      </c>
      <c r="B2423">
        <v>431</v>
      </c>
      <c r="C2423" t="s">
        <v>27</v>
      </c>
      <c r="D2423" t="s">
        <v>22</v>
      </c>
      <c r="E2423" t="s">
        <v>29</v>
      </c>
      <c r="F2423" t="s">
        <v>24</v>
      </c>
      <c r="G2423">
        <v>16</v>
      </c>
      <c r="H2423">
        <v>8</v>
      </c>
      <c r="I2423">
        <v>12</v>
      </c>
      <c r="J2423">
        <v>36.39</v>
      </c>
      <c r="K2423">
        <v>236.44</v>
      </c>
      <c r="L2423">
        <v>0.38</v>
      </c>
      <c r="M2423">
        <v>42.4</v>
      </c>
      <c r="N2423">
        <v>1</v>
      </c>
      <c r="O2423" t="s">
        <v>20</v>
      </c>
      <c r="P2423" t="s">
        <v>21</v>
      </c>
      <c r="Q2423">
        <f t="shared" si="185"/>
        <v>12</v>
      </c>
      <c r="R2423" s="4">
        <f>RANK(N2423,$N$2:N$2800,0)</f>
        <v>1</v>
      </c>
      <c r="S2423">
        <f t="shared" si="186"/>
        <v>1.3333333333333333</v>
      </c>
      <c r="T2423" t="str">
        <f t="shared" si="187"/>
        <v>Low</v>
      </c>
      <c r="U2423" t="str" cm="1">
        <f t="array" ref="U2423">_xlfn.LET(_xlpm.roles,_xlfn.UNIQUE(D2423:D5221),_xlpm.kills, SUMIF(D2423:D5221,_xlpm.roles,G2423:G5221),INDEX(_xlpm.roles,MATCH(MAX(_xlpm.kills),_xlpm.kills,0)))</f>
        <v>IGL</v>
      </c>
      <c r="V2423" t="str">
        <f t="shared" si="188"/>
        <v>Medium Accuracy</v>
      </c>
      <c r="W2423" t="str" cm="1">
        <f t="array" ref="W2423">_xlfn.LET(_xlpm.roles,_xlfn.UNIQUE(D2423:D5221), _xlpm.counts,COUNTIF(D2423:D5221,_xlpm.roles), INDEX(_xlpm.roles,MATCH(MAX(_xlpm.counts),_xlpm.counts,0)))</f>
        <v>IGL</v>
      </c>
      <c r="X2423" s="2">
        <f t="shared" si="189"/>
        <v>13.057077625570777</v>
      </c>
    </row>
    <row r="2424" spans="1:24" x14ac:dyDescent="0.3">
      <c r="A2424">
        <v>639</v>
      </c>
      <c r="B2424">
        <v>432</v>
      </c>
      <c r="C2424" t="s">
        <v>30</v>
      </c>
      <c r="D2424" t="s">
        <v>17</v>
      </c>
      <c r="E2424" t="s">
        <v>33</v>
      </c>
      <c r="F2424" t="s">
        <v>26</v>
      </c>
      <c r="G2424">
        <v>16</v>
      </c>
      <c r="H2424">
        <v>10</v>
      </c>
      <c r="I2424">
        <v>11</v>
      </c>
      <c r="J2424">
        <v>43.7</v>
      </c>
      <c r="K2424">
        <v>255.86</v>
      </c>
      <c r="L2424">
        <v>0.73</v>
      </c>
      <c r="M2424">
        <v>45.55</v>
      </c>
      <c r="N2424">
        <v>0.93</v>
      </c>
      <c r="O2424" t="s">
        <v>20</v>
      </c>
      <c r="P2424" t="s">
        <v>21</v>
      </c>
      <c r="Q2424">
        <f t="shared" si="185"/>
        <v>15</v>
      </c>
      <c r="R2424" s="4">
        <f>RANK(N2424,$N$2:N$2800,0)</f>
        <v>1505</v>
      </c>
      <c r="S2424">
        <f t="shared" si="186"/>
        <v>1.4545454545454546</v>
      </c>
      <c r="T2424" t="str">
        <f t="shared" si="187"/>
        <v>Good</v>
      </c>
      <c r="U2424" t="str" cm="1">
        <f t="array" ref="U2424">_xlfn.LET(_xlpm.roles,_xlfn.UNIQUE(D2424:D5222),_xlpm.kills, SUMIF(D2424:D5222,_xlpm.roles,G2424:G5222),INDEX(_xlpm.roles,MATCH(MAX(_xlpm.kills),_xlpm.kills,0)))</f>
        <v>IGL</v>
      </c>
      <c r="V2424" t="str">
        <f t="shared" si="188"/>
        <v>Medium Accuracy</v>
      </c>
      <c r="W2424" t="str" cm="1">
        <f t="array" ref="W2424">_xlfn.LET(_xlpm.roles,_xlfn.UNIQUE(D2424:D5222), _xlpm.counts,COUNTIF(D2424:D5222,_xlpm.roles), INDEX(_xlpm.roles,MATCH(MAX(_xlpm.counts),_xlpm.counts,0)))</f>
        <v>IGL</v>
      </c>
      <c r="X2424" s="2">
        <f t="shared" si="189"/>
        <v>13.135802469135802</v>
      </c>
    </row>
    <row r="2425" spans="1:24" x14ac:dyDescent="0.3">
      <c r="A2425">
        <v>1531</v>
      </c>
      <c r="B2425">
        <v>432</v>
      </c>
      <c r="C2425" t="s">
        <v>30</v>
      </c>
      <c r="D2425" t="s">
        <v>36</v>
      </c>
      <c r="E2425" t="s">
        <v>23</v>
      </c>
      <c r="F2425" t="s">
        <v>37</v>
      </c>
      <c r="G2425">
        <v>16</v>
      </c>
      <c r="H2425">
        <v>4</v>
      </c>
      <c r="I2425">
        <v>9</v>
      </c>
      <c r="J2425">
        <v>58.27</v>
      </c>
      <c r="K2425">
        <v>208.3</v>
      </c>
      <c r="L2425">
        <v>0.96</v>
      </c>
      <c r="M2425">
        <v>46.54</v>
      </c>
      <c r="N2425">
        <v>1</v>
      </c>
      <c r="O2425" t="s">
        <v>20</v>
      </c>
      <c r="P2425" t="s">
        <v>21</v>
      </c>
      <c r="Q2425">
        <f t="shared" si="185"/>
        <v>11</v>
      </c>
      <c r="R2425" s="4">
        <f>RANK(N2425,$N$2:N$2800,0)</f>
        <v>1</v>
      </c>
      <c r="S2425">
        <f t="shared" si="186"/>
        <v>1.7777777777777777</v>
      </c>
      <c r="T2425" t="str">
        <f t="shared" si="187"/>
        <v>Low</v>
      </c>
      <c r="U2425" t="str" cm="1">
        <f t="array" ref="U2425">_xlfn.LET(_xlpm.roles,_xlfn.UNIQUE(D2425:D5223),_xlpm.kills, SUMIF(D2425:D5223,_xlpm.roles,G2425:G5223),INDEX(_xlpm.roles,MATCH(MAX(_xlpm.kills),_xlpm.kills,0)))</f>
        <v>IGL</v>
      </c>
      <c r="V2425" t="str">
        <f t="shared" si="188"/>
        <v>High Accuracy</v>
      </c>
      <c r="W2425" t="str" cm="1">
        <f t="array" ref="W2425">_xlfn.LET(_xlpm.roles,_xlfn.UNIQUE(D2425:D5223), _xlpm.counts,COUNTIF(D2425:D5223,_xlpm.roles), INDEX(_xlpm.roles,MATCH(MAX(_xlpm.counts),_xlpm.counts,0)))</f>
        <v>IGL</v>
      </c>
      <c r="X2425" s="2">
        <f t="shared" si="189"/>
        <v>13.135802469135802</v>
      </c>
    </row>
    <row r="2426" spans="1:24" x14ac:dyDescent="0.3">
      <c r="A2426">
        <v>1888</v>
      </c>
      <c r="B2426">
        <v>432</v>
      </c>
      <c r="C2426" t="s">
        <v>25</v>
      </c>
      <c r="D2426" t="s">
        <v>28</v>
      </c>
      <c r="E2426" t="s">
        <v>18</v>
      </c>
      <c r="F2426" t="s">
        <v>34</v>
      </c>
      <c r="G2426">
        <v>13</v>
      </c>
      <c r="H2426">
        <v>11</v>
      </c>
      <c r="I2426">
        <v>7</v>
      </c>
      <c r="J2426">
        <v>48.53</v>
      </c>
      <c r="K2426">
        <v>213.94</v>
      </c>
      <c r="L2426">
        <v>0.72</v>
      </c>
      <c r="M2426">
        <v>47.06</v>
      </c>
      <c r="N2426">
        <v>1</v>
      </c>
      <c r="O2426" t="s">
        <v>20</v>
      </c>
      <c r="P2426" t="s">
        <v>21</v>
      </c>
      <c r="Q2426">
        <f t="shared" si="185"/>
        <v>17</v>
      </c>
      <c r="R2426" s="4">
        <f>RANK(N2426,$N$2:N$2800,0)</f>
        <v>1</v>
      </c>
      <c r="S2426">
        <f t="shared" si="186"/>
        <v>1.8571428571428572</v>
      </c>
      <c r="T2426" t="str">
        <f t="shared" si="187"/>
        <v>Good</v>
      </c>
      <c r="U2426" t="str" cm="1">
        <f t="array" ref="U2426">_xlfn.LET(_xlpm.roles,_xlfn.UNIQUE(D2426:D5224),_xlpm.kills, SUMIF(D2426:D5224,_xlpm.roles,G2426:G5224),INDEX(_xlpm.roles,MATCH(MAX(_xlpm.kills),_xlpm.kills,0)))</f>
        <v>IGL</v>
      </c>
      <c r="V2426" t="str">
        <f t="shared" si="188"/>
        <v>Medium Accuracy</v>
      </c>
      <c r="W2426" t="str" cm="1">
        <f t="array" ref="W2426">_xlfn.LET(_xlpm.roles,_xlfn.UNIQUE(D2426:D5224), _xlpm.counts,COUNTIF(D2426:D5224,_xlpm.roles), INDEX(_xlpm.roles,MATCH(MAX(_xlpm.counts),_xlpm.counts,0)))</f>
        <v>IGL</v>
      </c>
      <c r="X2426" s="2">
        <f t="shared" si="189"/>
        <v>12.809421841541756</v>
      </c>
    </row>
    <row r="2427" spans="1:24" x14ac:dyDescent="0.3">
      <c r="A2427">
        <v>1456</v>
      </c>
      <c r="B2427">
        <v>433</v>
      </c>
      <c r="C2427" t="s">
        <v>16</v>
      </c>
      <c r="D2427" t="s">
        <v>17</v>
      </c>
      <c r="E2427" t="s">
        <v>29</v>
      </c>
      <c r="F2427" t="s">
        <v>19</v>
      </c>
      <c r="G2427">
        <v>18</v>
      </c>
      <c r="H2427">
        <v>6</v>
      </c>
      <c r="I2427">
        <v>8</v>
      </c>
      <c r="J2427">
        <v>48.3</v>
      </c>
      <c r="K2427">
        <v>222.24</v>
      </c>
      <c r="L2427">
        <v>0.62</v>
      </c>
      <c r="M2427">
        <v>51.95</v>
      </c>
      <c r="N2427">
        <v>0.92</v>
      </c>
      <c r="O2427" t="s">
        <v>20</v>
      </c>
      <c r="P2427" t="s">
        <v>21</v>
      </c>
      <c r="Q2427">
        <f t="shared" si="185"/>
        <v>16</v>
      </c>
      <c r="R2427" s="4">
        <f>RANK(N2427,$N$2:N$2800,0)</f>
        <v>1585</v>
      </c>
      <c r="S2427">
        <f t="shared" si="186"/>
        <v>2.25</v>
      </c>
      <c r="T2427" t="str">
        <f t="shared" si="187"/>
        <v>Good</v>
      </c>
      <c r="U2427" t="str" cm="1">
        <f t="array" ref="U2427">_xlfn.LET(_xlpm.roles,_xlfn.UNIQUE(D2427:D5225),_xlpm.kills, SUMIF(D2427:D5225,_xlpm.roles,G2427:G5225),INDEX(_xlpm.roles,MATCH(MAX(_xlpm.kills),_xlpm.kills,0)))</f>
        <v>IGL</v>
      </c>
      <c r="V2427" t="str">
        <f t="shared" si="188"/>
        <v>Medium Accuracy</v>
      </c>
      <c r="W2427" t="str" cm="1">
        <f t="array" ref="W2427">_xlfn.LET(_xlpm.roles,_xlfn.UNIQUE(D2427:D5225), _xlpm.counts,COUNTIF(D2427:D5225,_xlpm.roles), INDEX(_xlpm.roles,MATCH(MAX(_xlpm.counts),_xlpm.counts,0)))</f>
        <v>IGL</v>
      </c>
      <c r="X2427" s="2">
        <f t="shared" si="189"/>
        <v>12.520971302428256</v>
      </c>
    </row>
    <row r="2428" spans="1:24" x14ac:dyDescent="0.3">
      <c r="A2428">
        <v>1683</v>
      </c>
      <c r="B2428">
        <v>433</v>
      </c>
      <c r="C2428" t="s">
        <v>27</v>
      </c>
      <c r="D2428" t="s">
        <v>22</v>
      </c>
      <c r="E2428" t="s">
        <v>29</v>
      </c>
      <c r="F2428" t="s">
        <v>26</v>
      </c>
      <c r="G2428">
        <v>9</v>
      </c>
      <c r="H2428">
        <v>11</v>
      </c>
      <c r="I2428">
        <v>10</v>
      </c>
      <c r="J2428">
        <v>51.74</v>
      </c>
      <c r="K2428">
        <v>271.01</v>
      </c>
      <c r="L2428">
        <v>0.63</v>
      </c>
      <c r="M2428">
        <v>38.57</v>
      </c>
      <c r="N2428">
        <v>0.8</v>
      </c>
      <c r="O2428" t="s">
        <v>20</v>
      </c>
      <c r="P2428" t="s">
        <v>21</v>
      </c>
      <c r="Q2428">
        <f t="shared" si="185"/>
        <v>10</v>
      </c>
      <c r="R2428" s="4">
        <f>RANK(N2428,$N$2:N$2800,0)</f>
        <v>2393</v>
      </c>
      <c r="S2428">
        <f t="shared" si="186"/>
        <v>0.9</v>
      </c>
      <c r="T2428" t="str">
        <f t="shared" si="187"/>
        <v>Low</v>
      </c>
      <c r="U2428" t="str" cm="1">
        <f t="array" ref="U2428">_xlfn.LET(_xlpm.roles,_xlfn.UNIQUE(D2428:D5226),_xlpm.kills, SUMIF(D2428:D5226,_xlpm.roles,G2428:G5226),INDEX(_xlpm.roles,MATCH(MAX(_xlpm.kills),_xlpm.kills,0)))</f>
        <v>IGL</v>
      </c>
      <c r="V2428" t="str">
        <f t="shared" si="188"/>
        <v>High Accuracy</v>
      </c>
      <c r="W2428" t="str" cm="1">
        <f t="array" ref="W2428">_xlfn.LET(_xlpm.roles,_xlfn.UNIQUE(D2428:D5226), _xlpm.counts,COUNTIF(D2428:D5226,_xlpm.roles), INDEX(_xlpm.roles,MATCH(MAX(_xlpm.counts),_xlpm.counts,0)))</f>
        <v>IGL</v>
      </c>
      <c r="X2428" s="2">
        <f t="shared" si="189"/>
        <v>13.057077625570777</v>
      </c>
    </row>
    <row r="2429" spans="1:24" x14ac:dyDescent="0.3">
      <c r="A2429">
        <v>2014</v>
      </c>
      <c r="B2429">
        <v>433</v>
      </c>
      <c r="C2429" t="s">
        <v>27</v>
      </c>
      <c r="D2429" t="s">
        <v>17</v>
      </c>
      <c r="E2429" t="s">
        <v>29</v>
      </c>
      <c r="F2429" t="s">
        <v>37</v>
      </c>
      <c r="G2429">
        <v>6</v>
      </c>
      <c r="H2429">
        <v>6</v>
      </c>
      <c r="I2429">
        <v>12</v>
      </c>
      <c r="J2429">
        <v>51.07</v>
      </c>
      <c r="K2429">
        <v>219.82</v>
      </c>
      <c r="L2429">
        <v>0.41</v>
      </c>
      <c r="M2429">
        <v>27.44</v>
      </c>
      <c r="N2429">
        <v>0.88</v>
      </c>
      <c r="O2429" t="s">
        <v>20</v>
      </c>
      <c r="P2429" t="s">
        <v>21</v>
      </c>
      <c r="Q2429">
        <f t="shared" si="185"/>
        <v>0</v>
      </c>
      <c r="R2429" s="4">
        <f>RANK(N2429,$N$2:N$2800,0)</f>
        <v>1894</v>
      </c>
      <c r="S2429">
        <f t="shared" si="186"/>
        <v>0.5</v>
      </c>
      <c r="T2429" t="str">
        <f t="shared" si="187"/>
        <v>Low</v>
      </c>
      <c r="U2429" t="str" cm="1">
        <f t="array" ref="U2429">_xlfn.LET(_xlpm.roles,_xlfn.UNIQUE(D2429:D5227),_xlpm.kills, SUMIF(D2429:D5227,_xlpm.roles,G2429:G5227),INDEX(_xlpm.roles,MATCH(MAX(_xlpm.kills),_xlpm.kills,0)))</f>
        <v>IGL</v>
      </c>
      <c r="V2429" t="str">
        <f t="shared" si="188"/>
        <v>High Accuracy</v>
      </c>
      <c r="W2429" t="str" cm="1">
        <f t="array" ref="W2429">_xlfn.LET(_xlpm.roles,_xlfn.UNIQUE(D2429:D5227), _xlpm.counts,COUNTIF(D2429:D5227,_xlpm.roles), INDEX(_xlpm.roles,MATCH(MAX(_xlpm.counts),_xlpm.counts,0)))</f>
        <v>IGL</v>
      </c>
      <c r="X2429" s="2">
        <f t="shared" si="189"/>
        <v>13.057077625570777</v>
      </c>
    </row>
    <row r="2430" spans="1:24" x14ac:dyDescent="0.3">
      <c r="A2430">
        <v>2092</v>
      </c>
      <c r="B2430">
        <v>433</v>
      </c>
      <c r="C2430" t="s">
        <v>16</v>
      </c>
      <c r="D2430" t="s">
        <v>28</v>
      </c>
      <c r="E2430" t="s">
        <v>32</v>
      </c>
      <c r="F2430" t="s">
        <v>26</v>
      </c>
      <c r="G2430">
        <v>16</v>
      </c>
      <c r="H2430">
        <v>5</v>
      </c>
      <c r="I2430">
        <v>13</v>
      </c>
      <c r="J2430">
        <v>47.06</v>
      </c>
      <c r="K2430">
        <v>217.58</v>
      </c>
      <c r="L2430">
        <v>0.36</v>
      </c>
      <c r="M2430">
        <v>43.93</v>
      </c>
      <c r="N2430">
        <v>1</v>
      </c>
      <c r="O2430" t="s">
        <v>20</v>
      </c>
      <c r="P2430" t="s">
        <v>21</v>
      </c>
      <c r="Q2430">
        <f t="shared" si="185"/>
        <v>8</v>
      </c>
      <c r="R2430" s="4">
        <f>RANK(N2430,$N$2:N$2800,0)</f>
        <v>1</v>
      </c>
      <c r="S2430">
        <f t="shared" si="186"/>
        <v>1.2307692307692308</v>
      </c>
      <c r="T2430" t="str">
        <f t="shared" si="187"/>
        <v>Low</v>
      </c>
      <c r="U2430" t="str" cm="1">
        <f t="array" ref="U2430">_xlfn.LET(_xlpm.roles,_xlfn.UNIQUE(D2430:D5228),_xlpm.kills, SUMIF(D2430:D5228,_xlpm.roles,G2430:G5228),INDEX(_xlpm.roles,MATCH(MAX(_xlpm.kills),_xlpm.kills,0)))</f>
        <v>IGL</v>
      </c>
      <c r="V2430" t="str">
        <f t="shared" si="188"/>
        <v>Medium Accuracy</v>
      </c>
      <c r="W2430" t="str" cm="1">
        <f t="array" ref="W2430">_xlfn.LET(_xlpm.roles,_xlfn.UNIQUE(D2430:D5228), _xlpm.counts,COUNTIF(D2430:D5228,_xlpm.roles), INDEX(_xlpm.roles,MATCH(MAX(_xlpm.counts),_xlpm.counts,0)))</f>
        <v>IGL</v>
      </c>
      <c r="X2430" s="2">
        <f t="shared" si="189"/>
        <v>12.520971302428256</v>
      </c>
    </row>
    <row r="2431" spans="1:24" x14ac:dyDescent="0.3">
      <c r="A2431">
        <v>140</v>
      </c>
      <c r="B2431">
        <v>434</v>
      </c>
      <c r="C2431" t="s">
        <v>16</v>
      </c>
      <c r="D2431" t="s">
        <v>22</v>
      </c>
      <c r="E2431" t="s">
        <v>23</v>
      </c>
      <c r="F2431" t="s">
        <v>19</v>
      </c>
      <c r="G2431">
        <v>13</v>
      </c>
      <c r="H2431">
        <v>11</v>
      </c>
      <c r="I2431">
        <v>12</v>
      </c>
      <c r="J2431">
        <v>41.09</v>
      </c>
      <c r="K2431">
        <v>226.1</v>
      </c>
      <c r="L2431">
        <v>0.64</v>
      </c>
      <c r="M2431">
        <v>39.15</v>
      </c>
      <c r="N2431">
        <v>0.86</v>
      </c>
      <c r="O2431" t="s">
        <v>20</v>
      </c>
      <c r="P2431" t="s">
        <v>21</v>
      </c>
      <c r="Q2431">
        <f t="shared" si="185"/>
        <v>12</v>
      </c>
      <c r="R2431" s="4">
        <f>RANK(N2431,$N$2:N$2800,0)</f>
        <v>2040</v>
      </c>
      <c r="S2431">
        <f t="shared" si="186"/>
        <v>1.0833333333333333</v>
      </c>
      <c r="T2431" t="str">
        <f t="shared" si="187"/>
        <v>Low</v>
      </c>
      <c r="U2431" t="str" cm="1">
        <f t="array" ref="U2431">_xlfn.LET(_xlpm.roles,_xlfn.UNIQUE(D2431:D5229),_xlpm.kills, SUMIF(D2431:D5229,_xlpm.roles,G2431:G5229),INDEX(_xlpm.roles,MATCH(MAX(_xlpm.kills),_xlpm.kills,0)))</f>
        <v>IGL</v>
      </c>
      <c r="V2431" t="str">
        <f t="shared" si="188"/>
        <v>Medium Accuracy</v>
      </c>
      <c r="W2431" t="str" cm="1">
        <f t="array" ref="W2431">_xlfn.LET(_xlpm.roles,_xlfn.UNIQUE(D2431:D5229), _xlpm.counts,COUNTIF(D2431:D5229,_xlpm.roles), INDEX(_xlpm.roles,MATCH(MAX(_xlpm.counts),_xlpm.counts,0)))</f>
        <v>IGL</v>
      </c>
      <c r="X2431" s="2">
        <f t="shared" si="189"/>
        <v>12.520971302428256</v>
      </c>
    </row>
    <row r="2432" spans="1:24" x14ac:dyDescent="0.3">
      <c r="A2432">
        <v>145</v>
      </c>
      <c r="B2432">
        <v>434</v>
      </c>
      <c r="C2432" t="s">
        <v>16</v>
      </c>
      <c r="D2432" t="s">
        <v>36</v>
      </c>
      <c r="E2432" t="s">
        <v>23</v>
      </c>
      <c r="F2432" t="s">
        <v>19</v>
      </c>
      <c r="G2432">
        <v>13</v>
      </c>
      <c r="H2432">
        <v>10</v>
      </c>
      <c r="I2432">
        <v>4</v>
      </c>
      <c r="J2432">
        <v>44.17</v>
      </c>
      <c r="K2432">
        <v>170.7</v>
      </c>
      <c r="L2432">
        <v>0.75</v>
      </c>
      <c r="M2432">
        <v>46.59</v>
      </c>
      <c r="N2432">
        <v>0.9</v>
      </c>
      <c r="O2432" t="s">
        <v>20</v>
      </c>
      <c r="P2432" t="s">
        <v>21</v>
      </c>
      <c r="Q2432">
        <f t="shared" si="185"/>
        <v>19</v>
      </c>
      <c r="R2432" s="4">
        <f>RANK(N2432,$N$2:N$2800,0)</f>
        <v>1738</v>
      </c>
      <c r="S2432">
        <f t="shared" si="186"/>
        <v>3.25</v>
      </c>
      <c r="T2432" t="str">
        <f t="shared" si="187"/>
        <v>Good</v>
      </c>
      <c r="U2432" t="str" cm="1">
        <f t="array" ref="U2432">_xlfn.LET(_xlpm.roles,_xlfn.UNIQUE(D2432:D5230),_xlpm.kills, SUMIF(D2432:D5230,_xlpm.roles,G2432:G5230),INDEX(_xlpm.roles,MATCH(MAX(_xlpm.kills),_xlpm.kills,0)))</f>
        <v>IGL</v>
      </c>
      <c r="V2432" t="str">
        <f t="shared" si="188"/>
        <v>Medium Accuracy</v>
      </c>
      <c r="W2432" t="str" cm="1">
        <f t="array" ref="W2432">_xlfn.LET(_xlpm.roles,_xlfn.UNIQUE(D2432:D5230), _xlpm.counts,COUNTIF(D2432:D5230,_xlpm.roles), INDEX(_xlpm.roles,MATCH(MAX(_xlpm.counts),_xlpm.counts,0)))</f>
        <v>IGL</v>
      </c>
      <c r="X2432" s="2">
        <f t="shared" si="189"/>
        <v>12.520971302428256</v>
      </c>
    </row>
    <row r="2433" spans="1:24" x14ac:dyDescent="0.3">
      <c r="A2433">
        <v>816</v>
      </c>
      <c r="B2433">
        <v>434</v>
      </c>
      <c r="C2433" t="s">
        <v>16</v>
      </c>
      <c r="D2433" t="s">
        <v>22</v>
      </c>
      <c r="E2433" t="s">
        <v>29</v>
      </c>
      <c r="F2433" t="s">
        <v>37</v>
      </c>
      <c r="G2433">
        <v>13</v>
      </c>
      <c r="H2433">
        <v>12</v>
      </c>
      <c r="I2433">
        <v>9</v>
      </c>
      <c r="J2433">
        <v>44.87</v>
      </c>
      <c r="K2433">
        <v>278.79000000000002</v>
      </c>
      <c r="L2433">
        <v>0.62</v>
      </c>
      <c r="M2433">
        <v>45.23</v>
      </c>
      <c r="N2433">
        <v>0.98</v>
      </c>
      <c r="O2433" t="s">
        <v>20</v>
      </c>
      <c r="P2433" t="s">
        <v>21</v>
      </c>
      <c r="Q2433">
        <f t="shared" si="185"/>
        <v>16</v>
      </c>
      <c r="R2433" s="4">
        <f>RANK(N2433,$N$2:N$2800,0)</f>
        <v>1157</v>
      </c>
      <c r="S2433">
        <f t="shared" si="186"/>
        <v>1.4444444444444444</v>
      </c>
      <c r="T2433" t="str">
        <f t="shared" si="187"/>
        <v>Good</v>
      </c>
      <c r="U2433" t="str" cm="1">
        <f t="array" ref="U2433">_xlfn.LET(_xlpm.roles,_xlfn.UNIQUE(D2433:D5231),_xlpm.kills, SUMIF(D2433:D5231,_xlpm.roles,G2433:G5231),INDEX(_xlpm.roles,MATCH(MAX(_xlpm.kills),_xlpm.kills,0)))</f>
        <v>IGL</v>
      </c>
      <c r="V2433" t="str">
        <f t="shared" si="188"/>
        <v>Medium Accuracy</v>
      </c>
      <c r="W2433" t="str" cm="1">
        <f t="array" ref="W2433">_xlfn.LET(_xlpm.roles,_xlfn.UNIQUE(D2433:D5231), _xlpm.counts,COUNTIF(D2433:D5231,_xlpm.roles), INDEX(_xlpm.roles,MATCH(MAX(_xlpm.counts),_xlpm.counts,0)))</f>
        <v>IGL</v>
      </c>
      <c r="X2433" s="2">
        <f t="shared" si="189"/>
        <v>12.520971302428256</v>
      </c>
    </row>
    <row r="2434" spans="1:24" x14ac:dyDescent="0.3">
      <c r="A2434">
        <v>1316</v>
      </c>
      <c r="B2434">
        <v>434</v>
      </c>
      <c r="C2434" t="s">
        <v>35</v>
      </c>
      <c r="D2434" t="s">
        <v>28</v>
      </c>
      <c r="E2434" t="s">
        <v>32</v>
      </c>
      <c r="F2434" t="s">
        <v>34</v>
      </c>
      <c r="G2434">
        <v>7</v>
      </c>
      <c r="H2434">
        <v>6</v>
      </c>
      <c r="I2434">
        <v>15</v>
      </c>
      <c r="J2434">
        <v>40.020000000000003</v>
      </c>
      <c r="K2434">
        <v>225.6</v>
      </c>
      <c r="L2434">
        <v>0.08</v>
      </c>
      <c r="M2434">
        <v>24.21</v>
      </c>
      <c r="N2434">
        <v>0.76</v>
      </c>
      <c r="O2434" t="s">
        <v>20</v>
      </c>
      <c r="P2434" t="s">
        <v>21</v>
      </c>
      <c r="Q2434">
        <f t="shared" si="185"/>
        <v>-2</v>
      </c>
      <c r="R2434" s="4">
        <f>RANK(N2434,$N$2:N$2800,0)</f>
        <v>2547</v>
      </c>
      <c r="S2434">
        <f t="shared" si="186"/>
        <v>0.46666666666666667</v>
      </c>
      <c r="T2434" t="str">
        <f t="shared" si="187"/>
        <v>Low</v>
      </c>
      <c r="U2434" t="str" cm="1">
        <f t="array" ref="U2434">_xlfn.LET(_xlpm.roles,_xlfn.UNIQUE(D2434:D5232),_xlpm.kills, SUMIF(D2434:D5232,_xlpm.roles,G2434:G5232),INDEX(_xlpm.roles,MATCH(MAX(_xlpm.kills),_xlpm.kills,0)))</f>
        <v>IGL</v>
      </c>
      <c r="V2434" t="str">
        <f t="shared" si="188"/>
        <v>Medium Accuracy</v>
      </c>
      <c r="W2434" t="str" cm="1">
        <f t="array" ref="W2434">_xlfn.LET(_xlpm.roles,_xlfn.UNIQUE(D2434:D5232), _xlpm.counts,COUNTIF(D2434:D5232,_xlpm.roles), INDEX(_xlpm.roles,MATCH(MAX(_xlpm.counts),_xlpm.counts,0)))</f>
        <v>IGL</v>
      </c>
      <c r="X2434" s="2">
        <f t="shared" si="189"/>
        <v>12.599585062240664</v>
      </c>
    </row>
    <row r="2435" spans="1:24" x14ac:dyDescent="0.3">
      <c r="A2435">
        <v>1362</v>
      </c>
      <c r="B2435">
        <v>434</v>
      </c>
      <c r="C2435" t="s">
        <v>25</v>
      </c>
      <c r="D2435" t="s">
        <v>36</v>
      </c>
      <c r="E2435" t="s">
        <v>33</v>
      </c>
      <c r="F2435" t="s">
        <v>37</v>
      </c>
      <c r="G2435">
        <v>24</v>
      </c>
      <c r="H2435">
        <v>12</v>
      </c>
      <c r="I2435">
        <v>10</v>
      </c>
      <c r="J2435">
        <v>55.59</v>
      </c>
      <c r="K2435">
        <v>188.82</v>
      </c>
      <c r="L2435">
        <v>0.12</v>
      </c>
      <c r="M2435">
        <v>76.59</v>
      </c>
      <c r="N2435">
        <v>1</v>
      </c>
      <c r="O2435" t="s">
        <v>20</v>
      </c>
      <c r="P2435" t="s">
        <v>38</v>
      </c>
      <c r="Q2435">
        <f t="shared" ref="Q2435:Q2498" si="190">G2435+H2435-I2435</f>
        <v>26</v>
      </c>
      <c r="R2435" s="4">
        <f>RANK(N2435,$N$2:N$2800,0)</f>
        <v>1</v>
      </c>
      <c r="S2435">
        <f t="shared" ref="S2435:S2498" si="191">G2435/I2435</f>
        <v>2.4</v>
      </c>
      <c r="T2435" t="str">
        <f t="shared" ref="T2435:T2498" si="192">IF(Q2435&lt;15,"Low",IF(Q2435&lt;25,"Good","Excellent"))</f>
        <v>Excellent</v>
      </c>
      <c r="U2435" t="str" cm="1">
        <f t="array" ref="U2435">_xlfn.LET(_xlpm.roles,_xlfn.UNIQUE(D2435:D5233),_xlpm.kills, SUMIF(D2435:D5233,_xlpm.roles,G2435:G5233),INDEX(_xlpm.roles,MATCH(MAX(_xlpm.kills),_xlpm.kills,0)))</f>
        <v>IGL</v>
      </c>
      <c r="V2435" t="str">
        <f t="shared" ref="V2435:V2498" si="193">IF(J2435&gt;=50,"High Accuracy",IF(J2435&gt;=30,"Medium Accuracy","Low Accuracy"))</f>
        <v>High Accuracy</v>
      </c>
      <c r="W2435" t="str" cm="1">
        <f t="array" ref="W2435">_xlfn.LET(_xlpm.roles,_xlfn.UNIQUE(D2435:D5233), _xlpm.counts,COUNTIF(D2435:D5233,_xlpm.roles), INDEX(_xlpm.roles,MATCH(MAX(_xlpm.counts),_xlpm.counts,0)))</f>
        <v>IGL</v>
      </c>
      <c r="X2435" s="2">
        <f t="shared" ref="X2435:X2498" si="194">AVERAGEIF($C$2:$C$2800,C2435,$Q$2:$Q$2800)</f>
        <v>12.809421841541756</v>
      </c>
    </row>
    <row r="2436" spans="1:24" x14ac:dyDescent="0.3">
      <c r="A2436">
        <v>1900</v>
      </c>
      <c r="B2436">
        <v>434</v>
      </c>
      <c r="C2436" t="s">
        <v>27</v>
      </c>
      <c r="D2436" t="s">
        <v>22</v>
      </c>
      <c r="E2436" t="s">
        <v>18</v>
      </c>
      <c r="F2436" t="s">
        <v>26</v>
      </c>
      <c r="G2436">
        <v>13</v>
      </c>
      <c r="H2436">
        <v>10</v>
      </c>
      <c r="I2436">
        <v>8</v>
      </c>
      <c r="J2436">
        <v>54.13</v>
      </c>
      <c r="K2436">
        <v>213.12</v>
      </c>
      <c r="L2436">
        <v>0.96</v>
      </c>
      <c r="M2436">
        <v>45.46</v>
      </c>
      <c r="N2436">
        <v>1</v>
      </c>
      <c r="O2436" t="s">
        <v>20</v>
      </c>
      <c r="P2436" t="s">
        <v>21</v>
      </c>
      <c r="Q2436">
        <f t="shared" si="190"/>
        <v>15</v>
      </c>
      <c r="R2436" s="4">
        <f>RANK(N2436,$N$2:N$2800,0)</f>
        <v>1</v>
      </c>
      <c r="S2436">
        <f t="shared" si="191"/>
        <v>1.625</v>
      </c>
      <c r="T2436" t="str">
        <f t="shared" si="192"/>
        <v>Good</v>
      </c>
      <c r="U2436" t="str" cm="1">
        <f t="array" ref="U2436">_xlfn.LET(_xlpm.roles,_xlfn.UNIQUE(D2436:D5234),_xlpm.kills, SUMIF(D2436:D5234,_xlpm.roles,G2436:G5234),INDEX(_xlpm.roles,MATCH(MAX(_xlpm.kills),_xlpm.kills,0)))</f>
        <v>IGL</v>
      </c>
      <c r="V2436" t="str">
        <f t="shared" si="193"/>
        <v>High Accuracy</v>
      </c>
      <c r="W2436" t="str" cm="1">
        <f t="array" ref="W2436">_xlfn.LET(_xlpm.roles,_xlfn.UNIQUE(D2436:D5234), _xlpm.counts,COUNTIF(D2436:D5234,_xlpm.roles), INDEX(_xlpm.roles,MATCH(MAX(_xlpm.counts),_xlpm.counts,0)))</f>
        <v>IGL</v>
      </c>
      <c r="X2436" s="2">
        <f t="shared" si="194"/>
        <v>13.057077625570777</v>
      </c>
    </row>
    <row r="2437" spans="1:24" x14ac:dyDescent="0.3">
      <c r="A2437">
        <v>1988</v>
      </c>
      <c r="B2437">
        <v>434</v>
      </c>
      <c r="C2437" t="s">
        <v>30</v>
      </c>
      <c r="D2437" t="s">
        <v>17</v>
      </c>
      <c r="E2437" t="s">
        <v>32</v>
      </c>
      <c r="F2437" t="s">
        <v>37</v>
      </c>
      <c r="G2437">
        <v>10</v>
      </c>
      <c r="H2437">
        <v>5</v>
      </c>
      <c r="I2437">
        <v>8</v>
      </c>
      <c r="J2437">
        <v>42.41</v>
      </c>
      <c r="K2437">
        <v>188.64</v>
      </c>
      <c r="L2437">
        <v>0.92</v>
      </c>
      <c r="M2437">
        <v>29</v>
      </c>
      <c r="N2437">
        <v>0.65</v>
      </c>
      <c r="O2437" t="s">
        <v>20</v>
      </c>
      <c r="P2437" t="s">
        <v>21</v>
      </c>
      <c r="Q2437">
        <f t="shared" si="190"/>
        <v>7</v>
      </c>
      <c r="R2437" s="4">
        <f>RANK(N2437,$N$2:N$2800,0)</f>
        <v>2756</v>
      </c>
      <c r="S2437">
        <f t="shared" si="191"/>
        <v>1.25</v>
      </c>
      <c r="T2437" t="str">
        <f t="shared" si="192"/>
        <v>Low</v>
      </c>
      <c r="U2437" t="str" cm="1">
        <f t="array" ref="U2437">_xlfn.LET(_xlpm.roles,_xlfn.UNIQUE(D2437:D5235),_xlpm.kills, SUMIF(D2437:D5235,_xlpm.roles,G2437:G5235),INDEX(_xlpm.roles,MATCH(MAX(_xlpm.kills),_xlpm.kills,0)))</f>
        <v>IGL</v>
      </c>
      <c r="V2437" t="str">
        <f t="shared" si="193"/>
        <v>Medium Accuracy</v>
      </c>
      <c r="W2437" t="str" cm="1">
        <f t="array" ref="W2437">_xlfn.LET(_xlpm.roles,_xlfn.UNIQUE(D2437:D5235), _xlpm.counts,COUNTIF(D2437:D5235,_xlpm.roles), INDEX(_xlpm.roles,MATCH(MAX(_xlpm.counts),_xlpm.counts,0)))</f>
        <v>IGL</v>
      </c>
      <c r="X2437" s="2">
        <f t="shared" si="194"/>
        <v>13.135802469135802</v>
      </c>
    </row>
    <row r="2438" spans="1:24" x14ac:dyDescent="0.3">
      <c r="A2438">
        <v>2427</v>
      </c>
      <c r="B2438">
        <v>434</v>
      </c>
      <c r="C2438" t="s">
        <v>30</v>
      </c>
      <c r="D2438" t="s">
        <v>22</v>
      </c>
      <c r="E2438" t="s">
        <v>23</v>
      </c>
      <c r="F2438" t="s">
        <v>24</v>
      </c>
      <c r="G2438">
        <v>9</v>
      </c>
      <c r="H2438">
        <v>10</v>
      </c>
      <c r="I2438">
        <v>7</v>
      </c>
      <c r="J2438">
        <v>31.54</v>
      </c>
      <c r="K2438">
        <v>275.43</v>
      </c>
      <c r="L2438">
        <v>0.19</v>
      </c>
      <c r="M2438">
        <v>34.869999999999997</v>
      </c>
      <c r="N2438">
        <v>0.8</v>
      </c>
      <c r="O2438" t="s">
        <v>20</v>
      </c>
      <c r="P2438" t="s">
        <v>21</v>
      </c>
      <c r="Q2438">
        <f t="shared" si="190"/>
        <v>12</v>
      </c>
      <c r="R2438" s="4">
        <f>RANK(N2438,$N$2:N$2800,0)</f>
        <v>2393</v>
      </c>
      <c r="S2438">
        <f t="shared" si="191"/>
        <v>1.2857142857142858</v>
      </c>
      <c r="T2438" t="str">
        <f t="shared" si="192"/>
        <v>Low</v>
      </c>
      <c r="U2438" t="str" cm="1">
        <f t="array" ref="U2438">_xlfn.LET(_xlpm.roles,_xlfn.UNIQUE(D2438:D5236),_xlpm.kills, SUMIF(D2438:D5236,_xlpm.roles,G2438:G5236),INDEX(_xlpm.roles,MATCH(MAX(_xlpm.kills),_xlpm.kills,0)))</f>
        <v>IGL</v>
      </c>
      <c r="V2438" t="str">
        <f t="shared" si="193"/>
        <v>Medium Accuracy</v>
      </c>
      <c r="W2438" t="str" cm="1">
        <f t="array" ref="W2438">_xlfn.LET(_xlpm.roles,_xlfn.UNIQUE(D2438:D5236), _xlpm.counts,COUNTIF(D2438:D5236,_xlpm.roles), INDEX(_xlpm.roles,MATCH(MAX(_xlpm.counts),_xlpm.counts,0)))</f>
        <v>IGL</v>
      </c>
      <c r="X2438" s="2">
        <f t="shared" si="194"/>
        <v>13.135802469135802</v>
      </c>
    </row>
    <row r="2439" spans="1:24" x14ac:dyDescent="0.3">
      <c r="A2439">
        <v>251</v>
      </c>
      <c r="B2439">
        <v>435</v>
      </c>
      <c r="C2439" t="s">
        <v>16</v>
      </c>
      <c r="D2439" t="s">
        <v>22</v>
      </c>
      <c r="E2439" t="s">
        <v>23</v>
      </c>
      <c r="F2439" t="s">
        <v>19</v>
      </c>
      <c r="G2439">
        <v>14</v>
      </c>
      <c r="H2439">
        <v>5</v>
      </c>
      <c r="I2439">
        <v>12</v>
      </c>
      <c r="J2439">
        <v>47.57</v>
      </c>
      <c r="K2439">
        <v>225.04</v>
      </c>
      <c r="L2439">
        <v>0.43</v>
      </c>
      <c r="M2439">
        <v>40.479999999999997</v>
      </c>
      <c r="N2439">
        <v>0.91</v>
      </c>
      <c r="O2439" t="s">
        <v>20</v>
      </c>
      <c r="P2439" t="s">
        <v>21</v>
      </c>
      <c r="Q2439">
        <f t="shared" si="190"/>
        <v>7</v>
      </c>
      <c r="R2439" s="4">
        <f>RANK(N2439,$N$2:N$2800,0)</f>
        <v>1665</v>
      </c>
      <c r="S2439">
        <f t="shared" si="191"/>
        <v>1.1666666666666667</v>
      </c>
      <c r="T2439" t="str">
        <f t="shared" si="192"/>
        <v>Low</v>
      </c>
      <c r="U2439" t="str" cm="1">
        <f t="array" ref="U2439">_xlfn.LET(_xlpm.roles,_xlfn.UNIQUE(D2439:D5237),_xlpm.kills, SUMIF(D2439:D5237,_xlpm.roles,G2439:G5237),INDEX(_xlpm.roles,MATCH(MAX(_xlpm.kills),_xlpm.kills,0)))</f>
        <v>IGL</v>
      </c>
      <c r="V2439" t="str">
        <f t="shared" si="193"/>
        <v>Medium Accuracy</v>
      </c>
      <c r="W2439" t="str" cm="1">
        <f t="array" ref="W2439">_xlfn.LET(_xlpm.roles,_xlfn.UNIQUE(D2439:D5237), _xlpm.counts,COUNTIF(D2439:D5237,_xlpm.roles), INDEX(_xlpm.roles,MATCH(MAX(_xlpm.counts),_xlpm.counts,0)))</f>
        <v>IGL</v>
      </c>
      <c r="X2439" s="2">
        <f t="shared" si="194"/>
        <v>12.520971302428256</v>
      </c>
    </row>
    <row r="2440" spans="1:24" x14ac:dyDescent="0.3">
      <c r="A2440">
        <v>591</v>
      </c>
      <c r="B2440">
        <v>435</v>
      </c>
      <c r="C2440" t="s">
        <v>25</v>
      </c>
      <c r="D2440" t="s">
        <v>28</v>
      </c>
      <c r="E2440" t="s">
        <v>33</v>
      </c>
      <c r="F2440" t="s">
        <v>37</v>
      </c>
      <c r="G2440">
        <v>19</v>
      </c>
      <c r="H2440">
        <v>12</v>
      </c>
      <c r="I2440">
        <v>13</v>
      </c>
      <c r="J2440">
        <v>52.77</v>
      </c>
      <c r="K2440">
        <v>181.14</v>
      </c>
      <c r="L2440">
        <v>0.64</v>
      </c>
      <c r="M2440">
        <v>56.99</v>
      </c>
      <c r="N2440">
        <v>1</v>
      </c>
      <c r="O2440" t="s">
        <v>20</v>
      </c>
      <c r="P2440" t="s">
        <v>21</v>
      </c>
      <c r="Q2440">
        <f t="shared" si="190"/>
        <v>18</v>
      </c>
      <c r="R2440" s="4">
        <f>RANK(N2440,$N$2:N$2800,0)</f>
        <v>1</v>
      </c>
      <c r="S2440">
        <f t="shared" si="191"/>
        <v>1.4615384615384615</v>
      </c>
      <c r="T2440" t="str">
        <f t="shared" si="192"/>
        <v>Good</v>
      </c>
      <c r="U2440" t="str" cm="1">
        <f t="array" ref="U2440">_xlfn.LET(_xlpm.roles,_xlfn.UNIQUE(D2440:D5238),_xlpm.kills, SUMIF(D2440:D5238,_xlpm.roles,G2440:G5238),INDEX(_xlpm.roles,MATCH(MAX(_xlpm.kills),_xlpm.kills,0)))</f>
        <v>IGL</v>
      </c>
      <c r="V2440" t="str">
        <f t="shared" si="193"/>
        <v>High Accuracy</v>
      </c>
      <c r="W2440" t="str" cm="1">
        <f t="array" ref="W2440">_xlfn.LET(_xlpm.roles,_xlfn.UNIQUE(D2440:D5238), _xlpm.counts,COUNTIF(D2440:D5238,_xlpm.roles), INDEX(_xlpm.roles,MATCH(MAX(_xlpm.counts),_xlpm.counts,0)))</f>
        <v>IGL</v>
      </c>
      <c r="X2440" s="2">
        <f t="shared" si="194"/>
        <v>12.809421841541756</v>
      </c>
    </row>
    <row r="2441" spans="1:24" x14ac:dyDescent="0.3">
      <c r="A2441">
        <v>744</v>
      </c>
      <c r="B2441">
        <v>435</v>
      </c>
      <c r="C2441" t="s">
        <v>16</v>
      </c>
      <c r="D2441" t="s">
        <v>28</v>
      </c>
      <c r="E2441" t="s">
        <v>32</v>
      </c>
      <c r="F2441" t="s">
        <v>19</v>
      </c>
      <c r="G2441">
        <v>11</v>
      </c>
      <c r="H2441">
        <v>7</v>
      </c>
      <c r="I2441">
        <v>11</v>
      </c>
      <c r="J2441">
        <v>39.06</v>
      </c>
      <c r="K2441">
        <v>263.33</v>
      </c>
      <c r="L2441">
        <v>0.5</v>
      </c>
      <c r="M2441">
        <v>32.53</v>
      </c>
      <c r="N2441">
        <v>0.66</v>
      </c>
      <c r="O2441" t="s">
        <v>20</v>
      </c>
      <c r="P2441" t="s">
        <v>21</v>
      </c>
      <c r="Q2441">
        <f t="shared" si="190"/>
        <v>7</v>
      </c>
      <c r="R2441" s="4">
        <f>RANK(N2441,$N$2:N$2800,0)</f>
        <v>2746</v>
      </c>
      <c r="S2441">
        <f t="shared" si="191"/>
        <v>1</v>
      </c>
      <c r="T2441" t="str">
        <f t="shared" si="192"/>
        <v>Low</v>
      </c>
      <c r="U2441" t="str" cm="1">
        <f t="array" ref="U2441">_xlfn.LET(_xlpm.roles,_xlfn.UNIQUE(D2441:D5239),_xlpm.kills, SUMIF(D2441:D5239,_xlpm.roles,G2441:G5239),INDEX(_xlpm.roles,MATCH(MAX(_xlpm.kills),_xlpm.kills,0)))</f>
        <v>IGL</v>
      </c>
      <c r="V2441" t="str">
        <f t="shared" si="193"/>
        <v>Medium Accuracy</v>
      </c>
      <c r="W2441" t="str" cm="1">
        <f t="array" ref="W2441">_xlfn.LET(_xlpm.roles,_xlfn.UNIQUE(D2441:D5239), _xlpm.counts,COUNTIF(D2441:D5239,_xlpm.roles), INDEX(_xlpm.roles,MATCH(MAX(_xlpm.counts),_xlpm.counts,0)))</f>
        <v>IGL</v>
      </c>
      <c r="X2441" s="2">
        <f t="shared" si="194"/>
        <v>12.520971302428256</v>
      </c>
    </row>
    <row r="2442" spans="1:24" x14ac:dyDescent="0.3">
      <c r="A2442">
        <v>761</v>
      </c>
      <c r="B2442">
        <v>435</v>
      </c>
      <c r="C2442" t="s">
        <v>39</v>
      </c>
      <c r="D2442" t="s">
        <v>31</v>
      </c>
      <c r="E2442" t="s">
        <v>32</v>
      </c>
      <c r="F2442" t="s">
        <v>19</v>
      </c>
      <c r="G2442">
        <v>14</v>
      </c>
      <c r="H2442">
        <v>4</v>
      </c>
      <c r="I2442">
        <v>7</v>
      </c>
      <c r="J2442">
        <v>45.69</v>
      </c>
      <c r="K2442">
        <v>235.16</v>
      </c>
      <c r="L2442">
        <v>0.99</v>
      </c>
      <c r="M2442">
        <v>37.950000000000003</v>
      </c>
      <c r="N2442">
        <v>0.81</v>
      </c>
      <c r="O2442" t="s">
        <v>20</v>
      </c>
      <c r="P2442" t="s">
        <v>21</v>
      </c>
      <c r="Q2442">
        <f t="shared" si="190"/>
        <v>11</v>
      </c>
      <c r="R2442" s="4">
        <f>RANK(N2442,$N$2:N$2800,0)</f>
        <v>2341</v>
      </c>
      <c r="S2442">
        <f t="shared" si="191"/>
        <v>2</v>
      </c>
      <c r="T2442" t="str">
        <f t="shared" si="192"/>
        <v>Low</v>
      </c>
      <c r="U2442" t="str" cm="1">
        <f t="array" ref="U2442">_xlfn.LET(_xlpm.roles,_xlfn.UNIQUE(D2442:D5240),_xlpm.kills, SUMIF(D2442:D5240,_xlpm.roles,G2442:G5240),INDEX(_xlpm.roles,MATCH(MAX(_xlpm.kills),_xlpm.kills,0)))</f>
        <v>IGL</v>
      </c>
      <c r="V2442" t="str">
        <f t="shared" si="193"/>
        <v>Medium Accuracy</v>
      </c>
      <c r="W2442" t="str" cm="1">
        <f t="array" ref="W2442">_xlfn.LET(_xlpm.roles,_xlfn.UNIQUE(D2442:D5240), _xlpm.counts,COUNTIF(D2442:D5240,_xlpm.roles), INDEX(_xlpm.roles,MATCH(MAX(_xlpm.counts),_xlpm.counts,0)))</f>
        <v>IGL</v>
      </c>
      <c r="X2442" s="2">
        <f t="shared" si="194"/>
        <v>13.103594080338267</v>
      </c>
    </row>
    <row r="2443" spans="1:24" x14ac:dyDescent="0.3">
      <c r="A2443">
        <v>763</v>
      </c>
      <c r="B2443">
        <v>435</v>
      </c>
      <c r="C2443" t="s">
        <v>30</v>
      </c>
      <c r="D2443" t="s">
        <v>31</v>
      </c>
      <c r="E2443" t="s">
        <v>23</v>
      </c>
      <c r="F2443" t="s">
        <v>26</v>
      </c>
      <c r="G2443">
        <v>9</v>
      </c>
      <c r="H2443">
        <v>20</v>
      </c>
      <c r="I2443">
        <v>12</v>
      </c>
      <c r="J2443">
        <v>31.65</v>
      </c>
      <c r="K2443">
        <v>241.37</v>
      </c>
      <c r="L2443">
        <v>0.15</v>
      </c>
      <c r="M2443">
        <v>40.33</v>
      </c>
      <c r="N2443">
        <v>0.94</v>
      </c>
      <c r="O2443" t="s">
        <v>20</v>
      </c>
      <c r="P2443" t="s">
        <v>21</v>
      </c>
      <c r="Q2443">
        <f t="shared" si="190"/>
        <v>17</v>
      </c>
      <c r="R2443" s="4">
        <f>RANK(N2443,$N$2:N$2800,0)</f>
        <v>1431</v>
      </c>
      <c r="S2443">
        <f t="shared" si="191"/>
        <v>0.75</v>
      </c>
      <c r="T2443" t="str">
        <f t="shared" si="192"/>
        <v>Good</v>
      </c>
      <c r="U2443" t="str" cm="1">
        <f t="array" ref="U2443">_xlfn.LET(_xlpm.roles,_xlfn.UNIQUE(D2443:D5241),_xlpm.kills, SUMIF(D2443:D5241,_xlpm.roles,G2443:G5241),INDEX(_xlpm.roles,MATCH(MAX(_xlpm.kills),_xlpm.kills,0)))</f>
        <v>IGL</v>
      </c>
      <c r="V2443" t="str">
        <f t="shared" si="193"/>
        <v>Medium Accuracy</v>
      </c>
      <c r="W2443" t="str" cm="1">
        <f t="array" ref="W2443">_xlfn.LET(_xlpm.roles,_xlfn.UNIQUE(D2443:D5241), _xlpm.counts,COUNTIF(D2443:D5241,_xlpm.roles), INDEX(_xlpm.roles,MATCH(MAX(_xlpm.counts),_xlpm.counts,0)))</f>
        <v>IGL</v>
      </c>
      <c r="X2443" s="2">
        <f t="shared" si="194"/>
        <v>13.135802469135802</v>
      </c>
    </row>
    <row r="2444" spans="1:24" x14ac:dyDescent="0.3">
      <c r="A2444">
        <v>980</v>
      </c>
      <c r="B2444">
        <v>435</v>
      </c>
      <c r="C2444" t="s">
        <v>39</v>
      </c>
      <c r="D2444" t="s">
        <v>28</v>
      </c>
      <c r="E2444" t="s">
        <v>18</v>
      </c>
      <c r="F2444" t="s">
        <v>19</v>
      </c>
      <c r="G2444">
        <v>9</v>
      </c>
      <c r="H2444">
        <v>11</v>
      </c>
      <c r="I2444">
        <v>6</v>
      </c>
      <c r="J2444">
        <v>61.9</v>
      </c>
      <c r="K2444">
        <v>232.54</v>
      </c>
      <c r="L2444">
        <v>0.16</v>
      </c>
      <c r="M2444">
        <v>52.35</v>
      </c>
      <c r="N2444">
        <v>0.96</v>
      </c>
      <c r="O2444" t="s">
        <v>20</v>
      </c>
      <c r="P2444" t="s">
        <v>21</v>
      </c>
      <c r="Q2444">
        <f t="shared" si="190"/>
        <v>14</v>
      </c>
      <c r="R2444" s="4">
        <f>RANK(N2444,$N$2:N$2800,0)</f>
        <v>1301</v>
      </c>
      <c r="S2444">
        <f t="shared" si="191"/>
        <v>1.5</v>
      </c>
      <c r="T2444" t="str">
        <f t="shared" si="192"/>
        <v>Low</v>
      </c>
      <c r="U2444" t="str" cm="1">
        <f t="array" ref="U2444">_xlfn.LET(_xlpm.roles,_xlfn.UNIQUE(D2444:D5242),_xlpm.kills, SUMIF(D2444:D5242,_xlpm.roles,G2444:G5242),INDEX(_xlpm.roles,MATCH(MAX(_xlpm.kills),_xlpm.kills,0)))</f>
        <v>IGL</v>
      </c>
      <c r="V2444" t="str">
        <f t="shared" si="193"/>
        <v>High Accuracy</v>
      </c>
      <c r="W2444" t="str" cm="1">
        <f t="array" ref="W2444">_xlfn.LET(_xlpm.roles,_xlfn.UNIQUE(D2444:D5242), _xlpm.counts,COUNTIF(D2444:D5242,_xlpm.roles), INDEX(_xlpm.roles,MATCH(MAX(_xlpm.counts),_xlpm.counts,0)))</f>
        <v>IGL</v>
      </c>
      <c r="X2444" s="2">
        <f t="shared" si="194"/>
        <v>13.103594080338267</v>
      </c>
    </row>
    <row r="2445" spans="1:24" x14ac:dyDescent="0.3">
      <c r="A2445">
        <v>1551</v>
      </c>
      <c r="B2445">
        <v>435</v>
      </c>
      <c r="C2445" t="s">
        <v>27</v>
      </c>
      <c r="D2445" t="s">
        <v>28</v>
      </c>
      <c r="E2445" t="s">
        <v>23</v>
      </c>
      <c r="F2445" t="s">
        <v>19</v>
      </c>
      <c r="G2445">
        <v>14</v>
      </c>
      <c r="H2445">
        <v>6</v>
      </c>
      <c r="I2445">
        <v>9</v>
      </c>
      <c r="J2445">
        <v>37.35</v>
      </c>
      <c r="K2445">
        <v>193.52</v>
      </c>
      <c r="L2445">
        <v>0.68</v>
      </c>
      <c r="M2445">
        <v>36.880000000000003</v>
      </c>
      <c r="N2445">
        <v>0.75</v>
      </c>
      <c r="O2445" t="s">
        <v>20</v>
      </c>
      <c r="P2445" t="s">
        <v>21</v>
      </c>
      <c r="Q2445">
        <f t="shared" si="190"/>
        <v>11</v>
      </c>
      <c r="R2445" s="4">
        <f>RANK(N2445,$N$2:N$2800,0)</f>
        <v>2586</v>
      </c>
      <c r="S2445">
        <f t="shared" si="191"/>
        <v>1.5555555555555556</v>
      </c>
      <c r="T2445" t="str">
        <f t="shared" si="192"/>
        <v>Low</v>
      </c>
      <c r="U2445" t="str" cm="1">
        <f t="array" ref="U2445">_xlfn.LET(_xlpm.roles,_xlfn.UNIQUE(D2445:D5243),_xlpm.kills, SUMIF(D2445:D5243,_xlpm.roles,G2445:G5243),INDEX(_xlpm.roles,MATCH(MAX(_xlpm.kills),_xlpm.kills,0)))</f>
        <v>IGL</v>
      </c>
      <c r="V2445" t="str">
        <f t="shared" si="193"/>
        <v>Medium Accuracy</v>
      </c>
      <c r="W2445" t="str" cm="1">
        <f t="array" ref="W2445">_xlfn.LET(_xlpm.roles,_xlfn.UNIQUE(D2445:D5243), _xlpm.counts,COUNTIF(D2445:D5243,_xlpm.roles), INDEX(_xlpm.roles,MATCH(MAX(_xlpm.counts),_xlpm.counts,0)))</f>
        <v>IGL</v>
      </c>
      <c r="X2445" s="2">
        <f t="shared" si="194"/>
        <v>13.057077625570777</v>
      </c>
    </row>
    <row r="2446" spans="1:24" x14ac:dyDescent="0.3">
      <c r="A2446">
        <v>1944</v>
      </c>
      <c r="B2446">
        <v>435</v>
      </c>
      <c r="C2446" t="s">
        <v>30</v>
      </c>
      <c r="D2446" t="s">
        <v>28</v>
      </c>
      <c r="E2446" t="s">
        <v>29</v>
      </c>
      <c r="F2446" t="s">
        <v>34</v>
      </c>
      <c r="G2446">
        <v>21</v>
      </c>
      <c r="H2446">
        <v>4</v>
      </c>
      <c r="I2446">
        <v>9</v>
      </c>
      <c r="J2446">
        <v>45.51</v>
      </c>
      <c r="K2446">
        <v>180.07</v>
      </c>
      <c r="L2446">
        <v>0.78</v>
      </c>
      <c r="M2446">
        <v>51.95</v>
      </c>
      <c r="N2446">
        <v>1</v>
      </c>
      <c r="O2446" t="s">
        <v>20</v>
      </c>
      <c r="P2446" t="s">
        <v>21</v>
      </c>
      <c r="Q2446">
        <f t="shared" si="190"/>
        <v>16</v>
      </c>
      <c r="R2446" s="4">
        <f>RANK(N2446,$N$2:N$2800,0)</f>
        <v>1</v>
      </c>
      <c r="S2446">
        <f t="shared" si="191"/>
        <v>2.3333333333333335</v>
      </c>
      <c r="T2446" t="str">
        <f t="shared" si="192"/>
        <v>Good</v>
      </c>
      <c r="U2446" t="str" cm="1">
        <f t="array" ref="U2446">_xlfn.LET(_xlpm.roles,_xlfn.UNIQUE(D2446:D5244),_xlpm.kills, SUMIF(D2446:D5244,_xlpm.roles,G2446:G5244),INDEX(_xlpm.roles,MATCH(MAX(_xlpm.kills),_xlpm.kills,0)))</f>
        <v>IGL</v>
      </c>
      <c r="V2446" t="str">
        <f t="shared" si="193"/>
        <v>Medium Accuracy</v>
      </c>
      <c r="W2446" t="str" cm="1">
        <f t="array" ref="W2446">_xlfn.LET(_xlpm.roles,_xlfn.UNIQUE(D2446:D5244), _xlpm.counts,COUNTIF(D2446:D5244,_xlpm.roles), INDEX(_xlpm.roles,MATCH(MAX(_xlpm.counts),_xlpm.counts,0)))</f>
        <v>IGL</v>
      </c>
      <c r="X2446" s="2">
        <f t="shared" si="194"/>
        <v>13.135802469135802</v>
      </c>
    </row>
    <row r="2447" spans="1:24" x14ac:dyDescent="0.3">
      <c r="A2447">
        <v>2086</v>
      </c>
      <c r="B2447">
        <v>435</v>
      </c>
      <c r="C2447" t="s">
        <v>30</v>
      </c>
      <c r="D2447" t="s">
        <v>17</v>
      </c>
      <c r="E2447" t="s">
        <v>23</v>
      </c>
      <c r="F2447" t="s">
        <v>37</v>
      </c>
      <c r="G2447">
        <v>18</v>
      </c>
      <c r="H2447">
        <v>6</v>
      </c>
      <c r="I2447">
        <v>10</v>
      </c>
      <c r="J2447">
        <v>34.56</v>
      </c>
      <c r="K2447">
        <v>289.33999999999997</v>
      </c>
      <c r="L2447">
        <v>0.6</v>
      </c>
      <c r="M2447">
        <v>43.28</v>
      </c>
      <c r="N2447">
        <v>0.83</v>
      </c>
      <c r="O2447" t="s">
        <v>20</v>
      </c>
      <c r="P2447" t="s">
        <v>21</v>
      </c>
      <c r="Q2447">
        <f t="shared" si="190"/>
        <v>14</v>
      </c>
      <c r="R2447" s="4">
        <f>RANK(N2447,$N$2:N$2800,0)</f>
        <v>2218</v>
      </c>
      <c r="S2447">
        <f t="shared" si="191"/>
        <v>1.8</v>
      </c>
      <c r="T2447" t="str">
        <f t="shared" si="192"/>
        <v>Low</v>
      </c>
      <c r="U2447" t="str" cm="1">
        <f t="array" ref="U2447">_xlfn.LET(_xlpm.roles,_xlfn.UNIQUE(D2447:D5245),_xlpm.kills, SUMIF(D2447:D5245,_xlpm.roles,G2447:G5245),INDEX(_xlpm.roles,MATCH(MAX(_xlpm.kills),_xlpm.kills,0)))</f>
        <v>IGL</v>
      </c>
      <c r="V2447" t="str">
        <f t="shared" si="193"/>
        <v>Medium Accuracy</v>
      </c>
      <c r="W2447" t="str" cm="1">
        <f t="array" ref="W2447">_xlfn.LET(_xlpm.roles,_xlfn.UNIQUE(D2447:D5245), _xlpm.counts,COUNTIF(D2447:D5245,_xlpm.roles), INDEX(_xlpm.roles,MATCH(MAX(_xlpm.counts),_xlpm.counts,0)))</f>
        <v>Flex</v>
      </c>
      <c r="X2447" s="2">
        <f t="shared" si="194"/>
        <v>13.135802469135802</v>
      </c>
    </row>
    <row r="2448" spans="1:24" x14ac:dyDescent="0.3">
      <c r="A2448">
        <v>134</v>
      </c>
      <c r="B2448">
        <v>436</v>
      </c>
      <c r="C2448" t="s">
        <v>30</v>
      </c>
      <c r="D2448" t="s">
        <v>36</v>
      </c>
      <c r="E2448" t="s">
        <v>18</v>
      </c>
      <c r="F2448" t="s">
        <v>34</v>
      </c>
      <c r="G2448">
        <v>17</v>
      </c>
      <c r="H2448">
        <v>8</v>
      </c>
      <c r="I2448">
        <v>13</v>
      </c>
      <c r="J2448">
        <v>41.89</v>
      </c>
      <c r="K2448">
        <v>235.45</v>
      </c>
      <c r="L2448">
        <v>0.14000000000000001</v>
      </c>
      <c r="M2448">
        <v>48.55</v>
      </c>
      <c r="N2448">
        <v>1</v>
      </c>
      <c r="O2448" t="s">
        <v>20</v>
      </c>
      <c r="P2448" t="s">
        <v>21</v>
      </c>
      <c r="Q2448">
        <f t="shared" si="190"/>
        <v>12</v>
      </c>
      <c r="R2448" s="4">
        <f>RANK(N2448,$N$2:N$2800,0)</f>
        <v>1</v>
      </c>
      <c r="S2448">
        <f t="shared" si="191"/>
        <v>1.3076923076923077</v>
      </c>
      <c r="T2448" t="str">
        <f t="shared" si="192"/>
        <v>Low</v>
      </c>
      <c r="U2448" t="str" cm="1">
        <f t="array" ref="U2448">_xlfn.LET(_xlpm.roles,_xlfn.UNIQUE(D2448:D5246),_xlpm.kills, SUMIF(D2448:D5246,_xlpm.roles,G2448:G5246),INDEX(_xlpm.roles,MATCH(MAX(_xlpm.kills),_xlpm.kills,0)))</f>
        <v>IGL</v>
      </c>
      <c r="V2448" t="str">
        <f t="shared" si="193"/>
        <v>Medium Accuracy</v>
      </c>
      <c r="W2448" t="str" cm="1">
        <f t="array" ref="W2448">_xlfn.LET(_xlpm.roles,_xlfn.UNIQUE(D2448:D5246), _xlpm.counts,COUNTIF(D2448:D5246,_xlpm.roles), INDEX(_xlpm.roles,MATCH(MAX(_xlpm.counts),_xlpm.counts,0)))</f>
        <v>IGL</v>
      </c>
      <c r="X2448" s="2">
        <f t="shared" si="194"/>
        <v>13.135802469135802</v>
      </c>
    </row>
    <row r="2449" spans="1:24" x14ac:dyDescent="0.3">
      <c r="A2449">
        <v>406</v>
      </c>
      <c r="B2449">
        <v>436</v>
      </c>
      <c r="C2449" t="s">
        <v>39</v>
      </c>
      <c r="D2449" t="s">
        <v>22</v>
      </c>
      <c r="E2449" t="s">
        <v>18</v>
      </c>
      <c r="F2449" t="s">
        <v>24</v>
      </c>
      <c r="G2449">
        <v>16</v>
      </c>
      <c r="H2449">
        <v>7</v>
      </c>
      <c r="I2449">
        <v>9</v>
      </c>
      <c r="J2449">
        <v>49.47</v>
      </c>
      <c r="K2449">
        <v>184.67</v>
      </c>
      <c r="L2449">
        <v>0.69</v>
      </c>
      <c r="M2449">
        <v>47.84</v>
      </c>
      <c r="N2449">
        <v>1</v>
      </c>
      <c r="O2449" t="s">
        <v>20</v>
      </c>
      <c r="P2449" t="s">
        <v>21</v>
      </c>
      <c r="Q2449">
        <f t="shared" si="190"/>
        <v>14</v>
      </c>
      <c r="R2449" s="4">
        <f>RANK(N2449,$N$2:N$2800,0)</f>
        <v>1</v>
      </c>
      <c r="S2449">
        <f t="shared" si="191"/>
        <v>1.7777777777777777</v>
      </c>
      <c r="T2449" t="str">
        <f t="shared" si="192"/>
        <v>Low</v>
      </c>
      <c r="U2449" t="str" cm="1">
        <f t="array" ref="U2449">_xlfn.LET(_xlpm.roles,_xlfn.UNIQUE(D2449:D5247),_xlpm.kills, SUMIF(D2449:D5247,_xlpm.roles,G2449:G5247),INDEX(_xlpm.roles,MATCH(MAX(_xlpm.kills),_xlpm.kills,0)))</f>
        <v>IGL</v>
      </c>
      <c r="V2449" t="str">
        <f t="shared" si="193"/>
        <v>Medium Accuracy</v>
      </c>
      <c r="W2449" t="str" cm="1">
        <f t="array" ref="W2449">_xlfn.LET(_xlpm.roles,_xlfn.UNIQUE(D2449:D5247), _xlpm.counts,COUNTIF(D2449:D5247,_xlpm.roles), INDEX(_xlpm.roles,MATCH(MAX(_xlpm.counts),_xlpm.counts,0)))</f>
        <v>IGL</v>
      </c>
      <c r="X2449" s="2">
        <f t="shared" si="194"/>
        <v>13.103594080338267</v>
      </c>
    </row>
    <row r="2450" spans="1:24" x14ac:dyDescent="0.3">
      <c r="A2450">
        <v>964</v>
      </c>
      <c r="B2450">
        <v>436</v>
      </c>
      <c r="C2450" t="s">
        <v>30</v>
      </c>
      <c r="D2450" t="s">
        <v>28</v>
      </c>
      <c r="E2450" t="s">
        <v>23</v>
      </c>
      <c r="F2450" t="s">
        <v>24</v>
      </c>
      <c r="G2450">
        <v>9</v>
      </c>
      <c r="H2450">
        <v>5</v>
      </c>
      <c r="I2450">
        <v>10</v>
      </c>
      <c r="J2450">
        <v>44.91</v>
      </c>
      <c r="K2450">
        <v>251.4</v>
      </c>
      <c r="L2450">
        <v>0.31</v>
      </c>
      <c r="M2450">
        <v>32.35</v>
      </c>
      <c r="N2450">
        <v>0.75</v>
      </c>
      <c r="O2450" t="s">
        <v>20</v>
      </c>
      <c r="P2450" t="s">
        <v>21</v>
      </c>
      <c r="Q2450">
        <f t="shared" si="190"/>
        <v>4</v>
      </c>
      <c r="R2450" s="4">
        <f>RANK(N2450,$N$2:N$2800,0)</f>
        <v>2586</v>
      </c>
      <c r="S2450">
        <f t="shared" si="191"/>
        <v>0.9</v>
      </c>
      <c r="T2450" t="str">
        <f t="shared" si="192"/>
        <v>Low</v>
      </c>
      <c r="U2450" t="str" cm="1">
        <f t="array" ref="U2450">_xlfn.LET(_xlpm.roles,_xlfn.UNIQUE(D2450:D5248),_xlpm.kills, SUMIF(D2450:D5248,_xlpm.roles,G2450:G5248),INDEX(_xlpm.roles,MATCH(MAX(_xlpm.kills),_xlpm.kills,0)))</f>
        <v>IGL</v>
      </c>
      <c r="V2450" t="str">
        <f t="shared" si="193"/>
        <v>Medium Accuracy</v>
      </c>
      <c r="W2450" t="str" cm="1">
        <f t="array" ref="W2450">_xlfn.LET(_xlpm.roles,_xlfn.UNIQUE(D2450:D5248), _xlpm.counts,COUNTIF(D2450:D5248,_xlpm.roles), INDEX(_xlpm.roles,MATCH(MAX(_xlpm.counts),_xlpm.counts,0)))</f>
        <v>IGL</v>
      </c>
      <c r="X2450" s="2">
        <f t="shared" si="194"/>
        <v>13.135802469135802</v>
      </c>
    </row>
    <row r="2451" spans="1:24" x14ac:dyDescent="0.3">
      <c r="A2451">
        <v>1363</v>
      </c>
      <c r="B2451">
        <v>436</v>
      </c>
      <c r="C2451" t="s">
        <v>16</v>
      </c>
      <c r="D2451" t="s">
        <v>22</v>
      </c>
      <c r="E2451" t="s">
        <v>33</v>
      </c>
      <c r="F2451" t="s">
        <v>24</v>
      </c>
      <c r="G2451">
        <v>12</v>
      </c>
      <c r="H2451">
        <v>5</v>
      </c>
      <c r="I2451">
        <v>6</v>
      </c>
      <c r="J2451">
        <v>52.64</v>
      </c>
      <c r="K2451">
        <v>207.27</v>
      </c>
      <c r="L2451">
        <v>0.01</v>
      </c>
      <c r="M2451">
        <v>49.22</v>
      </c>
      <c r="N2451">
        <v>0.9</v>
      </c>
      <c r="O2451" t="s">
        <v>20</v>
      </c>
      <c r="P2451" t="s">
        <v>21</v>
      </c>
      <c r="Q2451">
        <f t="shared" si="190"/>
        <v>11</v>
      </c>
      <c r="R2451" s="4">
        <f>RANK(N2451,$N$2:N$2800,0)</f>
        <v>1738</v>
      </c>
      <c r="S2451">
        <f t="shared" si="191"/>
        <v>2</v>
      </c>
      <c r="T2451" t="str">
        <f t="shared" si="192"/>
        <v>Low</v>
      </c>
      <c r="U2451" t="str" cm="1">
        <f t="array" ref="U2451">_xlfn.LET(_xlpm.roles,_xlfn.UNIQUE(D2451:D5249),_xlpm.kills, SUMIF(D2451:D5249,_xlpm.roles,G2451:G5249),INDEX(_xlpm.roles,MATCH(MAX(_xlpm.kills),_xlpm.kills,0)))</f>
        <v>IGL</v>
      </c>
      <c r="V2451" t="str">
        <f t="shared" si="193"/>
        <v>High Accuracy</v>
      </c>
      <c r="W2451" t="str" cm="1">
        <f t="array" ref="W2451">_xlfn.LET(_xlpm.roles,_xlfn.UNIQUE(D2451:D5249), _xlpm.counts,COUNTIF(D2451:D5249,_xlpm.roles), INDEX(_xlpm.roles,MATCH(MAX(_xlpm.counts),_xlpm.counts,0)))</f>
        <v>Flex</v>
      </c>
      <c r="X2451" s="2">
        <f t="shared" si="194"/>
        <v>12.520971302428256</v>
      </c>
    </row>
    <row r="2452" spans="1:24" x14ac:dyDescent="0.3">
      <c r="A2452">
        <v>1525</v>
      </c>
      <c r="B2452">
        <v>436</v>
      </c>
      <c r="C2452" t="s">
        <v>16</v>
      </c>
      <c r="D2452" t="s">
        <v>28</v>
      </c>
      <c r="E2452" t="s">
        <v>18</v>
      </c>
      <c r="F2452" t="s">
        <v>37</v>
      </c>
      <c r="G2452">
        <v>21</v>
      </c>
      <c r="H2452">
        <v>9</v>
      </c>
      <c r="I2452">
        <v>4</v>
      </c>
      <c r="J2452">
        <v>58.45</v>
      </c>
      <c r="K2452">
        <v>265.54000000000002</v>
      </c>
      <c r="L2452">
        <v>0.91</v>
      </c>
      <c r="M2452">
        <v>67.12</v>
      </c>
      <c r="N2452">
        <v>1</v>
      </c>
      <c r="O2452" t="s">
        <v>20</v>
      </c>
      <c r="P2452" t="s">
        <v>38</v>
      </c>
      <c r="Q2452">
        <f t="shared" si="190"/>
        <v>26</v>
      </c>
      <c r="R2452" s="4">
        <f>RANK(N2452,$N$2:N$2800,0)</f>
        <v>1</v>
      </c>
      <c r="S2452">
        <f t="shared" si="191"/>
        <v>5.25</v>
      </c>
      <c r="T2452" t="str">
        <f t="shared" si="192"/>
        <v>Excellent</v>
      </c>
      <c r="U2452" t="str" cm="1">
        <f t="array" ref="U2452">_xlfn.LET(_xlpm.roles,_xlfn.UNIQUE(D2452:D5250),_xlpm.kills, SUMIF(D2452:D5250,_xlpm.roles,G2452:G5250),INDEX(_xlpm.roles,MATCH(MAX(_xlpm.kills),_xlpm.kills,0)))</f>
        <v>IGL</v>
      </c>
      <c r="V2452" t="str">
        <f t="shared" si="193"/>
        <v>High Accuracy</v>
      </c>
      <c r="W2452" t="str" cm="1">
        <f t="array" ref="W2452">_xlfn.LET(_xlpm.roles,_xlfn.UNIQUE(D2452:D5250), _xlpm.counts,COUNTIF(D2452:D5250,_xlpm.roles), INDEX(_xlpm.roles,MATCH(MAX(_xlpm.counts),_xlpm.counts,0)))</f>
        <v>Flex</v>
      </c>
      <c r="X2452" s="2">
        <f t="shared" si="194"/>
        <v>12.520971302428256</v>
      </c>
    </row>
    <row r="2453" spans="1:24" x14ac:dyDescent="0.3">
      <c r="A2453">
        <v>2277</v>
      </c>
      <c r="B2453">
        <v>436</v>
      </c>
      <c r="C2453" t="s">
        <v>27</v>
      </c>
      <c r="D2453" t="s">
        <v>22</v>
      </c>
      <c r="E2453" t="s">
        <v>33</v>
      </c>
      <c r="F2453" t="s">
        <v>24</v>
      </c>
      <c r="G2453">
        <v>11</v>
      </c>
      <c r="H2453">
        <v>8</v>
      </c>
      <c r="I2453">
        <v>15</v>
      </c>
      <c r="J2453">
        <v>50.79</v>
      </c>
      <c r="K2453">
        <v>145.31</v>
      </c>
      <c r="L2453">
        <v>0.8</v>
      </c>
      <c r="M2453">
        <v>32.39</v>
      </c>
      <c r="N2453">
        <v>0.83</v>
      </c>
      <c r="O2453" t="s">
        <v>20</v>
      </c>
      <c r="P2453" t="s">
        <v>21</v>
      </c>
      <c r="Q2453">
        <f t="shared" si="190"/>
        <v>4</v>
      </c>
      <c r="R2453" s="4">
        <f>RANK(N2453,$N$2:N$2800,0)</f>
        <v>2218</v>
      </c>
      <c r="S2453">
        <f t="shared" si="191"/>
        <v>0.73333333333333328</v>
      </c>
      <c r="T2453" t="str">
        <f t="shared" si="192"/>
        <v>Low</v>
      </c>
      <c r="U2453" t="str" cm="1">
        <f t="array" ref="U2453">_xlfn.LET(_xlpm.roles,_xlfn.UNIQUE(D2453:D5251),_xlpm.kills, SUMIF(D2453:D5251,_xlpm.roles,G2453:G5251),INDEX(_xlpm.roles,MATCH(MAX(_xlpm.kills),_xlpm.kills,0)))</f>
        <v>IGL</v>
      </c>
      <c r="V2453" t="str">
        <f t="shared" si="193"/>
        <v>High Accuracy</v>
      </c>
      <c r="W2453" t="str" cm="1">
        <f t="array" ref="W2453">_xlfn.LET(_xlpm.roles,_xlfn.UNIQUE(D2453:D5251), _xlpm.counts,COUNTIF(D2453:D5251,_xlpm.roles), INDEX(_xlpm.roles,MATCH(MAX(_xlpm.counts),_xlpm.counts,0)))</f>
        <v>Flex</v>
      </c>
      <c r="X2453" s="2">
        <f t="shared" si="194"/>
        <v>13.057077625570777</v>
      </c>
    </row>
    <row r="2454" spans="1:24" x14ac:dyDescent="0.3">
      <c r="A2454">
        <v>686</v>
      </c>
      <c r="B2454">
        <v>437</v>
      </c>
      <c r="C2454" t="s">
        <v>35</v>
      </c>
      <c r="D2454" t="s">
        <v>22</v>
      </c>
      <c r="E2454" t="s">
        <v>29</v>
      </c>
      <c r="F2454" t="s">
        <v>34</v>
      </c>
      <c r="G2454">
        <v>15</v>
      </c>
      <c r="H2454">
        <v>9</v>
      </c>
      <c r="I2454">
        <v>8</v>
      </c>
      <c r="J2454">
        <v>28.97</v>
      </c>
      <c r="K2454">
        <v>195.48</v>
      </c>
      <c r="L2454">
        <v>0.31</v>
      </c>
      <c r="M2454">
        <v>42.38</v>
      </c>
      <c r="N2454">
        <v>1</v>
      </c>
      <c r="O2454" t="s">
        <v>20</v>
      </c>
      <c r="P2454" t="s">
        <v>21</v>
      </c>
      <c r="Q2454">
        <f t="shared" si="190"/>
        <v>16</v>
      </c>
      <c r="R2454" s="4">
        <f>RANK(N2454,$N$2:N$2800,0)</f>
        <v>1</v>
      </c>
      <c r="S2454">
        <f t="shared" si="191"/>
        <v>1.875</v>
      </c>
      <c r="T2454" t="str">
        <f t="shared" si="192"/>
        <v>Good</v>
      </c>
      <c r="U2454" t="str" cm="1">
        <f t="array" ref="U2454">_xlfn.LET(_xlpm.roles,_xlfn.UNIQUE(D2454:D5252),_xlpm.kills, SUMIF(D2454:D5252,_xlpm.roles,G2454:G5252),INDEX(_xlpm.roles,MATCH(MAX(_xlpm.kills),_xlpm.kills,0)))</f>
        <v>IGL</v>
      </c>
      <c r="V2454" t="str">
        <f t="shared" si="193"/>
        <v>Low Accuracy</v>
      </c>
      <c r="W2454" t="str" cm="1">
        <f t="array" ref="W2454">_xlfn.LET(_xlpm.roles,_xlfn.UNIQUE(D2454:D5252), _xlpm.counts,COUNTIF(D2454:D5252,_xlpm.roles), INDEX(_xlpm.roles,MATCH(MAX(_xlpm.counts),_xlpm.counts,0)))</f>
        <v>Flex</v>
      </c>
      <c r="X2454" s="2">
        <f t="shared" si="194"/>
        <v>12.599585062240664</v>
      </c>
    </row>
    <row r="2455" spans="1:24" x14ac:dyDescent="0.3">
      <c r="A2455">
        <v>991</v>
      </c>
      <c r="B2455">
        <v>437</v>
      </c>
      <c r="C2455" t="s">
        <v>39</v>
      </c>
      <c r="D2455" t="s">
        <v>31</v>
      </c>
      <c r="E2455" t="s">
        <v>33</v>
      </c>
      <c r="F2455" t="s">
        <v>19</v>
      </c>
      <c r="G2455">
        <v>16</v>
      </c>
      <c r="H2455">
        <v>13</v>
      </c>
      <c r="I2455">
        <v>14</v>
      </c>
      <c r="J2455">
        <v>44.76</v>
      </c>
      <c r="K2455">
        <v>226.74</v>
      </c>
      <c r="L2455">
        <v>0.59</v>
      </c>
      <c r="M2455">
        <v>47.48</v>
      </c>
      <c r="N2455">
        <v>1</v>
      </c>
      <c r="O2455" t="s">
        <v>20</v>
      </c>
      <c r="P2455" t="s">
        <v>21</v>
      </c>
      <c r="Q2455">
        <f t="shared" si="190"/>
        <v>15</v>
      </c>
      <c r="R2455" s="4">
        <f>RANK(N2455,$N$2:N$2800,0)</f>
        <v>1</v>
      </c>
      <c r="S2455">
        <f t="shared" si="191"/>
        <v>1.1428571428571428</v>
      </c>
      <c r="T2455" t="str">
        <f t="shared" si="192"/>
        <v>Good</v>
      </c>
      <c r="U2455" t="str" cm="1">
        <f t="array" ref="U2455">_xlfn.LET(_xlpm.roles,_xlfn.UNIQUE(D2455:D5253),_xlpm.kills, SUMIF(D2455:D5253,_xlpm.roles,G2455:G5253),INDEX(_xlpm.roles,MATCH(MAX(_xlpm.kills),_xlpm.kills,0)))</f>
        <v>IGL</v>
      </c>
      <c r="V2455" t="str">
        <f t="shared" si="193"/>
        <v>Medium Accuracy</v>
      </c>
      <c r="W2455" t="str" cm="1">
        <f t="array" ref="W2455">_xlfn.LET(_xlpm.roles,_xlfn.UNIQUE(D2455:D5253), _xlpm.counts,COUNTIF(D2455:D5253,_xlpm.roles), INDEX(_xlpm.roles,MATCH(MAX(_xlpm.counts),_xlpm.counts,0)))</f>
        <v>Flex</v>
      </c>
      <c r="X2455" s="2">
        <f t="shared" si="194"/>
        <v>13.103594080338267</v>
      </c>
    </row>
    <row r="2456" spans="1:24" x14ac:dyDescent="0.3">
      <c r="A2456">
        <v>1394</v>
      </c>
      <c r="B2456">
        <v>437</v>
      </c>
      <c r="C2456" t="s">
        <v>25</v>
      </c>
      <c r="D2456" t="s">
        <v>17</v>
      </c>
      <c r="E2456" t="s">
        <v>29</v>
      </c>
      <c r="F2456" t="s">
        <v>24</v>
      </c>
      <c r="G2456">
        <v>16</v>
      </c>
      <c r="H2456">
        <v>10</v>
      </c>
      <c r="I2456">
        <v>10</v>
      </c>
      <c r="J2456">
        <v>43.46</v>
      </c>
      <c r="K2456">
        <v>256.83999999999997</v>
      </c>
      <c r="L2456">
        <v>0.03</v>
      </c>
      <c r="M2456">
        <v>53.43</v>
      </c>
      <c r="N2456">
        <v>0.9</v>
      </c>
      <c r="O2456" t="s">
        <v>20</v>
      </c>
      <c r="P2456" t="s">
        <v>21</v>
      </c>
      <c r="Q2456">
        <f t="shared" si="190"/>
        <v>16</v>
      </c>
      <c r="R2456" s="4">
        <f>RANK(N2456,$N$2:N$2800,0)</f>
        <v>1738</v>
      </c>
      <c r="S2456">
        <f t="shared" si="191"/>
        <v>1.6</v>
      </c>
      <c r="T2456" t="str">
        <f t="shared" si="192"/>
        <v>Good</v>
      </c>
      <c r="U2456" t="str" cm="1">
        <f t="array" ref="U2456">_xlfn.LET(_xlpm.roles,_xlfn.UNIQUE(D2456:D5254),_xlpm.kills, SUMIF(D2456:D5254,_xlpm.roles,G2456:G5254),INDEX(_xlpm.roles,MATCH(MAX(_xlpm.kills),_xlpm.kills,0)))</f>
        <v>IGL</v>
      </c>
      <c r="V2456" t="str">
        <f t="shared" si="193"/>
        <v>Medium Accuracy</v>
      </c>
      <c r="W2456" t="str" cm="1">
        <f t="array" ref="W2456">_xlfn.LET(_xlpm.roles,_xlfn.UNIQUE(D2456:D5254), _xlpm.counts,COUNTIF(D2456:D5254,_xlpm.roles), INDEX(_xlpm.roles,MATCH(MAX(_xlpm.counts),_xlpm.counts,0)))</f>
        <v>Flex</v>
      </c>
      <c r="X2456" s="2">
        <f t="shared" si="194"/>
        <v>12.809421841541756</v>
      </c>
    </row>
    <row r="2457" spans="1:24" x14ac:dyDescent="0.3">
      <c r="A2457">
        <v>1960</v>
      </c>
      <c r="B2457">
        <v>437</v>
      </c>
      <c r="C2457" t="s">
        <v>39</v>
      </c>
      <c r="D2457" t="s">
        <v>31</v>
      </c>
      <c r="E2457" t="s">
        <v>29</v>
      </c>
      <c r="F2457" t="s">
        <v>34</v>
      </c>
      <c r="G2457">
        <v>13</v>
      </c>
      <c r="H2457">
        <v>10</v>
      </c>
      <c r="I2457">
        <v>10</v>
      </c>
      <c r="J2457">
        <v>51.28</v>
      </c>
      <c r="K2457">
        <v>171.81</v>
      </c>
      <c r="L2457">
        <v>0.45</v>
      </c>
      <c r="M2457">
        <v>47.14</v>
      </c>
      <c r="N2457">
        <v>0.99</v>
      </c>
      <c r="O2457" t="s">
        <v>20</v>
      </c>
      <c r="P2457" t="s">
        <v>21</v>
      </c>
      <c r="Q2457">
        <f t="shared" si="190"/>
        <v>13</v>
      </c>
      <c r="R2457" s="4">
        <f>RANK(N2457,$N$2:N$2800,0)</f>
        <v>1080</v>
      </c>
      <c r="S2457">
        <f t="shared" si="191"/>
        <v>1.3</v>
      </c>
      <c r="T2457" t="str">
        <f t="shared" si="192"/>
        <v>Low</v>
      </c>
      <c r="U2457" t="str" cm="1">
        <f t="array" ref="U2457">_xlfn.LET(_xlpm.roles,_xlfn.UNIQUE(D2457:D5255),_xlpm.kills, SUMIF(D2457:D5255,_xlpm.roles,G2457:G5255),INDEX(_xlpm.roles,MATCH(MAX(_xlpm.kills),_xlpm.kills,0)))</f>
        <v>IGL</v>
      </c>
      <c r="V2457" t="str">
        <f t="shared" si="193"/>
        <v>High Accuracy</v>
      </c>
      <c r="W2457" t="str" cm="1">
        <f t="array" ref="W2457">_xlfn.LET(_xlpm.roles,_xlfn.UNIQUE(D2457:D5255), _xlpm.counts,COUNTIF(D2457:D5255,_xlpm.roles), INDEX(_xlpm.roles,MATCH(MAX(_xlpm.counts),_xlpm.counts,0)))</f>
        <v>Flex</v>
      </c>
      <c r="X2457" s="2">
        <f t="shared" si="194"/>
        <v>13.103594080338267</v>
      </c>
    </row>
    <row r="2458" spans="1:24" x14ac:dyDescent="0.3">
      <c r="A2458">
        <v>2249</v>
      </c>
      <c r="B2458">
        <v>437</v>
      </c>
      <c r="C2458" t="s">
        <v>25</v>
      </c>
      <c r="D2458" t="s">
        <v>36</v>
      </c>
      <c r="E2458" t="s">
        <v>23</v>
      </c>
      <c r="F2458" t="s">
        <v>34</v>
      </c>
      <c r="G2458">
        <v>18</v>
      </c>
      <c r="H2458">
        <v>10</v>
      </c>
      <c r="I2458">
        <v>7</v>
      </c>
      <c r="J2458">
        <v>40.99</v>
      </c>
      <c r="K2458">
        <v>217.78</v>
      </c>
      <c r="L2458">
        <v>0.45</v>
      </c>
      <c r="M2458">
        <v>55</v>
      </c>
      <c r="N2458">
        <v>1</v>
      </c>
      <c r="O2458" t="s">
        <v>20</v>
      </c>
      <c r="P2458" t="s">
        <v>21</v>
      </c>
      <c r="Q2458">
        <f t="shared" si="190"/>
        <v>21</v>
      </c>
      <c r="R2458" s="4">
        <f>RANK(N2458,$N$2:N$2800,0)</f>
        <v>1</v>
      </c>
      <c r="S2458">
        <f t="shared" si="191"/>
        <v>2.5714285714285716</v>
      </c>
      <c r="T2458" t="str">
        <f t="shared" si="192"/>
        <v>Good</v>
      </c>
      <c r="U2458" t="str" cm="1">
        <f t="array" ref="U2458">_xlfn.LET(_xlpm.roles,_xlfn.UNIQUE(D2458:D5256),_xlpm.kills, SUMIF(D2458:D5256,_xlpm.roles,G2458:G5256),INDEX(_xlpm.roles,MATCH(MAX(_xlpm.kills),_xlpm.kills,0)))</f>
        <v>IGL</v>
      </c>
      <c r="V2458" t="str">
        <f t="shared" si="193"/>
        <v>Medium Accuracy</v>
      </c>
      <c r="W2458" t="str" cm="1">
        <f t="array" ref="W2458">_xlfn.LET(_xlpm.roles,_xlfn.UNIQUE(D2458:D5256), _xlpm.counts,COUNTIF(D2458:D5256,_xlpm.roles), INDEX(_xlpm.roles,MATCH(MAX(_xlpm.counts),_xlpm.counts,0)))</f>
        <v>Flex</v>
      </c>
      <c r="X2458" s="2">
        <f t="shared" si="194"/>
        <v>12.809421841541756</v>
      </c>
    </row>
    <row r="2459" spans="1:24" x14ac:dyDescent="0.3">
      <c r="A2459">
        <v>2796</v>
      </c>
      <c r="B2459">
        <v>437</v>
      </c>
      <c r="C2459" t="s">
        <v>16</v>
      </c>
      <c r="D2459" t="s">
        <v>31</v>
      </c>
      <c r="E2459" t="s">
        <v>29</v>
      </c>
      <c r="F2459" t="s">
        <v>34</v>
      </c>
      <c r="G2459">
        <v>16</v>
      </c>
      <c r="H2459">
        <v>10</v>
      </c>
      <c r="I2459">
        <v>14</v>
      </c>
      <c r="J2459">
        <v>34.770000000000003</v>
      </c>
      <c r="K2459">
        <v>210.97</v>
      </c>
      <c r="L2459">
        <v>0.89</v>
      </c>
      <c r="M2459">
        <v>36.49</v>
      </c>
      <c r="N2459">
        <v>0.79</v>
      </c>
      <c r="O2459" t="s">
        <v>20</v>
      </c>
      <c r="P2459" t="s">
        <v>21</v>
      </c>
      <c r="Q2459">
        <f t="shared" si="190"/>
        <v>12</v>
      </c>
      <c r="R2459" s="4">
        <f>RANK(N2459,$N$2:N$2800,0)</f>
        <v>2436</v>
      </c>
      <c r="S2459">
        <f t="shared" si="191"/>
        <v>1.1428571428571428</v>
      </c>
      <c r="T2459" t="str">
        <f t="shared" si="192"/>
        <v>Low</v>
      </c>
      <c r="U2459" t="str" cm="1">
        <f t="array" ref="U2459">_xlfn.LET(_xlpm.roles,_xlfn.UNIQUE(D2459:D5257),_xlpm.kills, SUMIF(D2459:D5257,_xlpm.roles,G2459:G5257),INDEX(_xlpm.roles,MATCH(MAX(_xlpm.kills),_xlpm.kills,0)))</f>
        <v>IGL</v>
      </c>
      <c r="V2459" t="str">
        <f t="shared" si="193"/>
        <v>Medium Accuracy</v>
      </c>
      <c r="W2459" t="str" cm="1">
        <f t="array" ref="W2459">_xlfn.LET(_xlpm.roles,_xlfn.UNIQUE(D2459:D5257), _xlpm.counts,COUNTIF(D2459:D5257,_xlpm.roles), INDEX(_xlpm.roles,MATCH(MAX(_xlpm.counts),_xlpm.counts,0)))</f>
        <v>Flex</v>
      </c>
      <c r="X2459" s="2">
        <f t="shared" si="194"/>
        <v>12.520971302428256</v>
      </c>
    </row>
    <row r="2460" spans="1:24" x14ac:dyDescent="0.3">
      <c r="A2460">
        <v>1529</v>
      </c>
      <c r="B2460">
        <v>438</v>
      </c>
      <c r="C2460" t="s">
        <v>39</v>
      </c>
      <c r="D2460" t="s">
        <v>22</v>
      </c>
      <c r="E2460" t="s">
        <v>23</v>
      </c>
      <c r="F2460" t="s">
        <v>37</v>
      </c>
      <c r="G2460">
        <v>11</v>
      </c>
      <c r="H2460">
        <v>8</v>
      </c>
      <c r="I2460">
        <v>11</v>
      </c>
      <c r="J2460">
        <v>40.549999999999997</v>
      </c>
      <c r="K2460">
        <v>193.93</v>
      </c>
      <c r="L2460">
        <v>0.68</v>
      </c>
      <c r="M2460">
        <v>32.47</v>
      </c>
      <c r="N2460">
        <v>0.85</v>
      </c>
      <c r="O2460" t="s">
        <v>20</v>
      </c>
      <c r="P2460" t="s">
        <v>21</v>
      </c>
      <c r="Q2460">
        <f t="shared" si="190"/>
        <v>8</v>
      </c>
      <c r="R2460" s="4">
        <f>RANK(N2460,$N$2:N$2800,0)</f>
        <v>2105</v>
      </c>
      <c r="S2460">
        <f t="shared" si="191"/>
        <v>1</v>
      </c>
      <c r="T2460" t="str">
        <f t="shared" si="192"/>
        <v>Low</v>
      </c>
      <c r="U2460" t="str" cm="1">
        <f t="array" ref="U2460">_xlfn.LET(_xlpm.roles,_xlfn.UNIQUE(D2460:D5258),_xlpm.kills, SUMIF(D2460:D5258,_xlpm.roles,G2460:G5258),INDEX(_xlpm.roles,MATCH(MAX(_xlpm.kills),_xlpm.kills,0)))</f>
        <v>IGL</v>
      </c>
      <c r="V2460" t="str">
        <f t="shared" si="193"/>
        <v>Medium Accuracy</v>
      </c>
      <c r="W2460" t="str" cm="1">
        <f t="array" ref="W2460">_xlfn.LET(_xlpm.roles,_xlfn.UNIQUE(D2460:D5258), _xlpm.counts,COUNTIF(D2460:D5258,_xlpm.roles), INDEX(_xlpm.roles,MATCH(MAX(_xlpm.counts),_xlpm.counts,0)))</f>
        <v>Flex</v>
      </c>
      <c r="X2460" s="2">
        <f t="shared" si="194"/>
        <v>13.103594080338267</v>
      </c>
    </row>
    <row r="2461" spans="1:24" x14ac:dyDescent="0.3">
      <c r="A2461">
        <v>2001</v>
      </c>
      <c r="B2461">
        <v>438</v>
      </c>
      <c r="C2461" t="s">
        <v>35</v>
      </c>
      <c r="D2461" t="s">
        <v>36</v>
      </c>
      <c r="E2461" t="s">
        <v>29</v>
      </c>
      <c r="F2461" t="s">
        <v>34</v>
      </c>
      <c r="G2461">
        <v>10</v>
      </c>
      <c r="H2461">
        <v>9</v>
      </c>
      <c r="I2461">
        <v>9</v>
      </c>
      <c r="J2461">
        <v>29.86</v>
      </c>
      <c r="K2461">
        <v>213.13</v>
      </c>
      <c r="L2461">
        <v>0.83</v>
      </c>
      <c r="M2461">
        <v>26.63</v>
      </c>
      <c r="N2461">
        <v>0.75</v>
      </c>
      <c r="O2461" t="s">
        <v>20</v>
      </c>
      <c r="P2461" t="s">
        <v>21</v>
      </c>
      <c r="Q2461">
        <f t="shared" si="190"/>
        <v>10</v>
      </c>
      <c r="R2461" s="4">
        <f>RANK(N2461,$N$2:N$2800,0)</f>
        <v>2586</v>
      </c>
      <c r="S2461">
        <f t="shared" si="191"/>
        <v>1.1111111111111112</v>
      </c>
      <c r="T2461" t="str">
        <f t="shared" si="192"/>
        <v>Low</v>
      </c>
      <c r="U2461" t="str" cm="1">
        <f t="array" ref="U2461">_xlfn.LET(_xlpm.roles,_xlfn.UNIQUE(D2461:D5259),_xlpm.kills, SUMIF(D2461:D5259,_xlpm.roles,G2461:G5259),INDEX(_xlpm.roles,MATCH(MAX(_xlpm.kills),_xlpm.kills,0)))</f>
        <v>IGL</v>
      </c>
      <c r="V2461" t="str">
        <f t="shared" si="193"/>
        <v>Low Accuracy</v>
      </c>
      <c r="W2461" t="str" cm="1">
        <f t="array" ref="W2461">_xlfn.LET(_xlpm.roles,_xlfn.UNIQUE(D2461:D5259), _xlpm.counts,COUNTIF(D2461:D5259,_xlpm.roles), INDEX(_xlpm.roles,MATCH(MAX(_xlpm.counts),_xlpm.counts,0)))</f>
        <v>Flex</v>
      </c>
      <c r="X2461" s="2">
        <f t="shared" si="194"/>
        <v>12.599585062240664</v>
      </c>
    </row>
    <row r="2462" spans="1:24" x14ac:dyDescent="0.3">
      <c r="A2462">
        <v>51</v>
      </c>
      <c r="B2462">
        <v>439</v>
      </c>
      <c r="C2462" t="s">
        <v>25</v>
      </c>
      <c r="D2462" t="s">
        <v>17</v>
      </c>
      <c r="E2462" t="s">
        <v>18</v>
      </c>
      <c r="F2462" t="s">
        <v>37</v>
      </c>
      <c r="G2462">
        <v>11</v>
      </c>
      <c r="H2462">
        <v>11</v>
      </c>
      <c r="I2462">
        <v>5</v>
      </c>
      <c r="J2462">
        <v>40.11</v>
      </c>
      <c r="K2462">
        <v>177.8</v>
      </c>
      <c r="L2462">
        <v>0.28999999999999998</v>
      </c>
      <c r="M2462">
        <v>45.16</v>
      </c>
      <c r="N2462">
        <v>1</v>
      </c>
      <c r="O2462" t="s">
        <v>20</v>
      </c>
      <c r="P2462" t="s">
        <v>21</v>
      </c>
      <c r="Q2462">
        <f t="shared" si="190"/>
        <v>17</v>
      </c>
      <c r="R2462" s="4">
        <f>RANK(N2462,$N$2:N$2800,0)</f>
        <v>1</v>
      </c>
      <c r="S2462">
        <f t="shared" si="191"/>
        <v>2.2000000000000002</v>
      </c>
      <c r="T2462" t="str">
        <f t="shared" si="192"/>
        <v>Good</v>
      </c>
      <c r="U2462" t="str" cm="1">
        <f t="array" ref="U2462">_xlfn.LET(_xlpm.roles,_xlfn.UNIQUE(D2462:D5260),_xlpm.kills, SUMIF(D2462:D5260,_xlpm.roles,G2462:G5260),INDEX(_xlpm.roles,MATCH(MAX(_xlpm.kills),_xlpm.kills,0)))</f>
        <v>IGL</v>
      </c>
      <c r="V2462" t="str">
        <f t="shared" si="193"/>
        <v>Medium Accuracy</v>
      </c>
      <c r="W2462" t="str" cm="1">
        <f t="array" ref="W2462">_xlfn.LET(_xlpm.roles,_xlfn.UNIQUE(D2462:D5260), _xlpm.counts,COUNTIF(D2462:D5260,_xlpm.roles), INDEX(_xlpm.roles,MATCH(MAX(_xlpm.counts),_xlpm.counts,0)))</f>
        <v>Flex</v>
      </c>
      <c r="X2462" s="2">
        <f t="shared" si="194"/>
        <v>12.809421841541756</v>
      </c>
    </row>
    <row r="2463" spans="1:24" x14ac:dyDescent="0.3">
      <c r="A2463">
        <v>883</v>
      </c>
      <c r="B2463">
        <v>439</v>
      </c>
      <c r="C2463" t="s">
        <v>25</v>
      </c>
      <c r="D2463" t="s">
        <v>36</v>
      </c>
      <c r="E2463" t="s">
        <v>33</v>
      </c>
      <c r="F2463" t="s">
        <v>26</v>
      </c>
      <c r="G2463">
        <v>11</v>
      </c>
      <c r="H2463">
        <v>9</v>
      </c>
      <c r="I2463">
        <v>11</v>
      </c>
      <c r="J2463">
        <v>34.880000000000003</v>
      </c>
      <c r="K2463">
        <v>276.57</v>
      </c>
      <c r="L2463">
        <v>0.62</v>
      </c>
      <c r="M2463">
        <v>31.24</v>
      </c>
      <c r="N2463">
        <v>0.8</v>
      </c>
      <c r="O2463" t="s">
        <v>20</v>
      </c>
      <c r="P2463" t="s">
        <v>21</v>
      </c>
      <c r="Q2463">
        <f t="shared" si="190"/>
        <v>9</v>
      </c>
      <c r="R2463" s="4">
        <f>RANK(N2463,$N$2:N$2800,0)</f>
        <v>2393</v>
      </c>
      <c r="S2463">
        <f t="shared" si="191"/>
        <v>1</v>
      </c>
      <c r="T2463" t="str">
        <f t="shared" si="192"/>
        <v>Low</v>
      </c>
      <c r="U2463" t="str" cm="1">
        <f t="array" ref="U2463">_xlfn.LET(_xlpm.roles,_xlfn.UNIQUE(D2463:D5261),_xlpm.kills, SUMIF(D2463:D5261,_xlpm.roles,G2463:G5261),INDEX(_xlpm.roles,MATCH(MAX(_xlpm.kills),_xlpm.kills,0)))</f>
        <v>IGL</v>
      </c>
      <c r="V2463" t="str">
        <f t="shared" si="193"/>
        <v>Medium Accuracy</v>
      </c>
      <c r="W2463" t="str" cm="1">
        <f t="array" ref="W2463">_xlfn.LET(_xlpm.roles,_xlfn.UNIQUE(D2463:D5261), _xlpm.counts,COUNTIF(D2463:D5261,_xlpm.roles), INDEX(_xlpm.roles,MATCH(MAX(_xlpm.counts),_xlpm.counts,0)))</f>
        <v>IGL</v>
      </c>
      <c r="X2463" s="2">
        <f t="shared" si="194"/>
        <v>12.809421841541756</v>
      </c>
    </row>
    <row r="2464" spans="1:24" x14ac:dyDescent="0.3">
      <c r="A2464">
        <v>1225</v>
      </c>
      <c r="B2464">
        <v>439</v>
      </c>
      <c r="C2464" t="s">
        <v>35</v>
      </c>
      <c r="D2464" t="s">
        <v>31</v>
      </c>
      <c r="E2464" t="s">
        <v>33</v>
      </c>
      <c r="F2464" t="s">
        <v>34</v>
      </c>
      <c r="G2464">
        <v>12</v>
      </c>
      <c r="H2464">
        <v>12</v>
      </c>
      <c r="I2464">
        <v>7</v>
      </c>
      <c r="J2464">
        <v>42.87</v>
      </c>
      <c r="K2464">
        <v>205.24</v>
      </c>
      <c r="L2464">
        <v>0.32</v>
      </c>
      <c r="M2464">
        <v>47.23</v>
      </c>
      <c r="N2464">
        <v>0.98</v>
      </c>
      <c r="O2464" t="s">
        <v>20</v>
      </c>
      <c r="P2464" t="s">
        <v>21</v>
      </c>
      <c r="Q2464">
        <f t="shared" si="190"/>
        <v>17</v>
      </c>
      <c r="R2464" s="4">
        <f>RANK(N2464,$N$2:N$2800,0)</f>
        <v>1157</v>
      </c>
      <c r="S2464">
        <f t="shared" si="191"/>
        <v>1.7142857142857142</v>
      </c>
      <c r="T2464" t="str">
        <f t="shared" si="192"/>
        <v>Good</v>
      </c>
      <c r="U2464" t="str" cm="1">
        <f t="array" ref="U2464">_xlfn.LET(_xlpm.roles,_xlfn.UNIQUE(D2464:D5262),_xlpm.kills, SUMIF(D2464:D5262,_xlpm.roles,G2464:G5262),INDEX(_xlpm.roles,MATCH(MAX(_xlpm.kills),_xlpm.kills,0)))</f>
        <v>IGL</v>
      </c>
      <c r="V2464" t="str">
        <f t="shared" si="193"/>
        <v>Medium Accuracy</v>
      </c>
      <c r="W2464" t="str" cm="1">
        <f t="array" ref="W2464">_xlfn.LET(_xlpm.roles,_xlfn.UNIQUE(D2464:D5262), _xlpm.counts,COUNTIF(D2464:D5262,_xlpm.roles), INDEX(_xlpm.roles,MATCH(MAX(_xlpm.counts),_xlpm.counts,0)))</f>
        <v>IGL</v>
      </c>
      <c r="X2464" s="2">
        <f t="shared" si="194"/>
        <v>12.599585062240664</v>
      </c>
    </row>
    <row r="2465" spans="1:24" x14ac:dyDescent="0.3">
      <c r="A2465">
        <v>2128</v>
      </c>
      <c r="B2465">
        <v>439</v>
      </c>
      <c r="C2465" t="s">
        <v>39</v>
      </c>
      <c r="D2465" t="s">
        <v>22</v>
      </c>
      <c r="E2465" t="s">
        <v>32</v>
      </c>
      <c r="F2465" t="s">
        <v>34</v>
      </c>
      <c r="G2465">
        <v>15</v>
      </c>
      <c r="H2465">
        <v>5</v>
      </c>
      <c r="I2465">
        <v>12</v>
      </c>
      <c r="J2465">
        <v>32.950000000000003</v>
      </c>
      <c r="K2465">
        <v>263.49</v>
      </c>
      <c r="L2465">
        <v>0.15</v>
      </c>
      <c r="M2465">
        <v>37.979999999999997</v>
      </c>
      <c r="N2465">
        <v>1</v>
      </c>
      <c r="O2465" t="s">
        <v>20</v>
      </c>
      <c r="P2465" t="s">
        <v>21</v>
      </c>
      <c r="Q2465">
        <f t="shared" si="190"/>
        <v>8</v>
      </c>
      <c r="R2465" s="4">
        <f>RANK(N2465,$N$2:N$2800,0)</f>
        <v>1</v>
      </c>
      <c r="S2465">
        <f t="shared" si="191"/>
        <v>1.25</v>
      </c>
      <c r="T2465" t="str">
        <f t="shared" si="192"/>
        <v>Low</v>
      </c>
      <c r="U2465" t="str" cm="1">
        <f t="array" ref="U2465">_xlfn.LET(_xlpm.roles,_xlfn.UNIQUE(D2465:D5263),_xlpm.kills, SUMIF(D2465:D5263,_xlpm.roles,G2465:G5263),INDEX(_xlpm.roles,MATCH(MAX(_xlpm.kills),_xlpm.kills,0)))</f>
        <v>IGL</v>
      </c>
      <c r="V2465" t="str">
        <f t="shared" si="193"/>
        <v>Medium Accuracy</v>
      </c>
      <c r="W2465" t="str" cm="1">
        <f t="array" ref="W2465">_xlfn.LET(_xlpm.roles,_xlfn.UNIQUE(D2465:D5263), _xlpm.counts,COUNTIF(D2465:D5263,_xlpm.roles), INDEX(_xlpm.roles,MATCH(MAX(_xlpm.counts),_xlpm.counts,0)))</f>
        <v>IGL</v>
      </c>
      <c r="X2465" s="2">
        <f t="shared" si="194"/>
        <v>13.103594080338267</v>
      </c>
    </row>
    <row r="2466" spans="1:24" x14ac:dyDescent="0.3">
      <c r="A2466">
        <v>2339</v>
      </c>
      <c r="B2466">
        <v>439</v>
      </c>
      <c r="C2466" t="s">
        <v>16</v>
      </c>
      <c r="D2466" t="s">
        <v>28</v>
      </c>
      <c r="E2466" t="s">
        <v>18</v>
      </c>
      <c r="F2466" t="s">
        <v>37</v>
      </c>
      <c r="G2466">
        <v>15</v>
      </c>
      <c r="H2466">
        <v>4</v>
      </c>
      <c r="I2466">
        <v>11</v>
      </c>
      <c r="J2466">
        <v>50.68</v>
      </c>
      <c r="K2466">
        <v>211.97</v>
      </c>
      <c r="L2466">
        <v>0.95</v>
      </c>
      <c r="M2466">
        <v>38.840000000000003</v>
      </c>
      <c r="N2466">
        <v>0.84</v>
      </c>
      <c r="O2466" t="s">
        <v>20</v>
      </c>
      <c r="P2466" t="s">
        <v>21</v>
      </c>
      <c r="Q2466">
        <f t="shared" si="190"/>
        <v>8</v>
      </c>
      <c r="R2466" s="4">
        <f>RANK(N2466,$N$2:N$2800,0)</f>
        <v>2156</v>
      </c>
      <c r="S2466">
        <f t="shared" si="191"/>
        <v>1.3636363636363635</v>
      </c>
      <c r="T2466" t="str">
        <f t="shared" si="192"/>
        <v>Low</v>
      </c>
      <c r="U2466" t="str" cm="1">
        <f t="array" ref="U2466">_xlfn.LET(_xlpm.roles,_xlfn.UNIQUE(D2466:D5264),_xlpm.kills, SUMIF(D2466:D5264,_xlpm.roles,G2466:G5264),INDEX(_xlpm.roles,MATCH(MAX(_xlpm.kills),_xlpm.kills,0)))</f>
        <v>IGL</v>
      </c>
      <c r="V2466" t="str">
        <f t="shared" si="193"/>
        <v>High Accuracy</v>
      </c>
      <c r="W2466" t="str" cm="1">
        <f t="array" ref="W2466">_xlfn.LET(_xlpm.roles,_xlfn.UNIQUE(D2466:D5264), _xlpm.counts,COUNTIF(D2466:D5264,_xlpm.roles), INDEX(_xlpm.roles,MATCH(MAX(_xlpm.counts),_xlpm.counts,0)))</f>
        <v>IGL</v>
      </c>
      <c r="X2466" s="2">
        <f t="shared" si="194"/>
        <v>12.520971302428256</v>
      </c>
    </row>
    <row r="2467" spans="1:24" x14ac:dyDescent="0.3">
      <c r="A2467">
        <v>2499</v>
      </c>
      <c r="B2467">
        <v>439</v>
      </c>
      <c r="C2467" t="s">
        <v>27</v>
      </c>
      <c r="D2467" t="s">
        <v>28</v>
      </c>
      <c r="E2467" t="s">
        <v>32</v>
      </c>
      <c r="F2467" t="s">
        <v>34</v>
      </c>
      <c r="G2467">
        <v>6</v>
      </c>
      <c r="H2467">
        <v>7</v>
      </c>
      <c r="I2467">
        <v>7</v>
      </c>
      <c r="J2467">
        <v>51.8</v>
      </c>
      <c r="K2467">
        <v>225.67</v>
      </c>
      <c r="L2467">
        <v>0.15</v>
      </c>
      <c r="M2467">
        <v>36.4</v>
      </c>
      <c r="N2467">
        <v>0.91</v>
      </c>
      <c r="O2467" t="s">
        <v>20</v>
      </c>
      <c r="P2467" t="s">
        <v>21</v>
      </c>
      <c r="Q2467">
        <f t="shared" si="190"/>
        <v>6</v>
      </c>
      <c r="R2467" s="4">
        <f>RANK(N2467,$N$2:N$2800,0)</f>
        <v>1665</v>
      </c>
      <c r="S2467">
        <f t="shared" si="191"/>
        <v>0.8571428571428571</v>
      </c>
      <c r="T2467" t="str">
        <f t="shared" si="192"/>
        <v>Low</v>
      </c>
      <c r="U2467" t="str" cm="1">
        <f t="array" ref="U2467">_xlfn.LET(_xlpm.roles,_xlfn.UNIQUE(D2467:D5265),_xlpm.kills, SUMIF(D2467:D5265,_xlpm.roles,G2467:G5265),INDEX(_xlpm.roles,MATCH(MAX(_xlpm.kills),_xlpm.kills,0)))</f>
        <v>IGL</v>
      </c>
      <c r="V2467" t="str">
        <f t="shared" si="193"/>
        <v>High Accuracy</v>
      </c>
      <c r="W2467" t="str" cm="1">
        <f t="array" ref="W2467">_xlfn.LET(_xlpm.roles,_xlfn.UNIQUE(D2467:D5265), _xlpm.counts,COUNTIF(D2467:D5265,_xlpm.roles), INDEX(_xlpm.roles,MATCH(MAX(_xlpm.counts),_xlpm.counts,0)))</f>
        <v>Flex</v>
      </c>
      <c r="X2467" s="2">
        <f t="shared" si="194"/>
        <v>13.057077625570777</v>
      </c>
    </row>
    <row r="2468" spans="1:24" x14ac:dyDescent="0.3">
      <c r="A2468">
        <v>295</v>
      </c>
      <c r="B2468">
        <v>440</v>
      </c>
      <c r="C2468" t="s">
        <v>39</v>
      </c>
      <c r="D2468" t="s">
        <v>22</v>
      </c>
      <c r="E2468" t="s">
        <v>29</v>
      </c>
      <c r="F2468" t="s">
        <v>26</v>
      </c>
      <c r="G2468">
        <v>19</v>
      </c>
      <c r="H2468">
        <v>3</v>
      </c>
      <c r="I2468">
        <v>6</v>
      </c>
      <c r="J2468">
        <v>49.61</v>
      </c>
      <c r="K2468">
        <v>215.52</v>
      </c>
      <c r="L2468">
        <v>0.61</v>
      </c>
      <c r="M2468">
        <v>53.7</v>
      </c>
      <c r="N2468">
        <v>1</v>
      </c>
      <c r="O2468" t="s">
        <v>20</v>
      </c>
      <c r="P2468" t="s">
        <v>21</v>
      </c>
      <c r="Q2468">
        <f t="shared" si="190"/>
        <v>16</v>
      </c>
      <c r="R2468" s="4">
        <f>RANK(N2468,$N$2:N$2800,0)</f>
        <v>1</v>
      </c>
      <c r="S2468">
        <f t="shared" si="191"/>
        <v>3.1666666666666665</v>
      </c>
      <c r="T2468" t="str">
        <f t="shared" si="192"/>
        <v>Good</v>
      </c>
      <c r="U2468" t="str" cm="1">
        <f t="array" ref="U2468">_xlfn.LET(_xlpm.roles,_xlfn.UNIQUE(D2468:D5266),_xlpm.kills, SUMIF(D2468:D5266,_xlpm.roles,G2468:G5266),INDEX(_xlpm.roles,MATCH(MAX(_xlpm.kills),_xlpm.kills,0)))</f>
        <v>IGL</v>
      </c>
      <c r="V2468" t="str">
        <f t="shared" si="193"/>
        <v>Medium Accuracy</v>
      </c>
      <c r="W2468" t="str" cm="1">
        <f t="array" ref="W2468">_xlfn.LET(_xlpm.roles,_xlfn.UNIQUE(D2468:D5266), _xlpm.counts,COUNTIF(D2468:D5266,_xlpm.roles), INDEX(_xlpm.roles,MATCH(MAX(_xlpm.counts),_xlpm.counts,0)))</f>
        <v>Flex</v>
      </c>
      <c r="X2468" s="2">
        <f t="shared" si="194"/>
        <v>13.103594080338267</v>
      </c>
    </row>
    <row r="2469" spans="1:24" x14ac:dyDescent="0.3">
      <c r="A2469">
        <v>313</v>
      </c>
      <c r="B2469">
        <v>440</v>
      </c>
      <c r="C2469" t="s">
        <v>35</v>
      </c>
      <c r="D2469" t="s">
        <v>22</v>
      </c>
      <c r="E2469" t="s">
        <v>23</v>
      </c>
      <c r="F2469" t="s">
        <v>34</v>
      </c>
      <c r="G2469">
        <v>14</v>
      </c>
      <c r="H2469">
        <v>8</v>
      </c>
      <c r="I2469">
        <v>14</v>
      </c>
      <c r="J2469">
        <v>39.57</v>
      </c>
      <c r="K2469">
        <v>132.57</v>
      </c>
      <c r="L2469">
        <v>0.2</v>
      </c>
      <c r="M2469">
        <v>39.78</v>
      </c>
      <c r="N2469">
        <v>0.75</v>
      </c>
      <c r="O2469" t="s">
        <v>20</v>
      </c>
      <c r="P2469" t="s">
        <v>21</v>
      </c>
      <c r="Q2469">
        <f t="shared" si="190"/>
        <v>8</v>
      </c>
      <c r="R2469" s="4">
        <f>RANK(N2469,$N$2:N$2800,0)</f>
        <v>2586</v>
      </c>
      <c r="S2469">
        <f t="shared" si="191"/>
        <v>1</v>
      </c>
      <c r="T2469" t="str">
        <f t="shared" si="192"/>
        <v>Low</v>
      </c>
      <c r="U2469" t="str" cm="1">
        <f t="array" ref="U2469">_xlfn.LET(_xlpm.roles,_xlfn.UNIQUE(D2469:D5267),_xlpm.kills, SUMIF(D2469:D5267,_xlpm.roles,G2469:G5267),INDEX(_xlpm.roles,MATCH(MAX(_xlpm.kills),_xlpm.kills,0)))</f>
        <v>IGL</v>
      </c>
      <c r="V2469" t="str">
        <f t="shared" si="193"/>
        <v>Medium Accuracy</v>
      </c>
      <c r="W2469" t="str" cm="1">
        <f t="array" ref="W2469">_xlfn.LET(_xlpm.roles,_xlfn.UNIQUE(D2469:D5267), _xlpm.counts,COUNTIF(D2469:D5267,_xlpm.roles), INDEX(_xlpm.roles,MATCH(MAX(_xlpm.counts),_xlpm.counts,0)))</f>
        <v>Flex</v>
      </c>
      <c r="X2469" s="2">
        <f t="shared" si="194"/>
        <v>12.599585062240664</v>
      </c>
    </row>
    <row r="2470" spans="1:24" x14ac:dyDescent="0.3">
      <c r="A2470">
        <v>363</v>
      </c>
      <c r="B2470">
        <v>440</v>
      </c>
      <c r="C2470" t="s">
        <v>30</v>
      </c>
      <c r="D2470" t="s">
        <v>17</v>
      </c>
      <c r="E2470" t="s">
        <v>23</v>
      </c>
      <c r="F2470" t="s">
        <v>34</v>
      </c>
      <c r="G2470">
        <v>9</v>
      </c>
      <c r="H2470">
        <v>8</v>
      </c>
      <c r="I2470">
        <v>10</v>
      </c>
      <c r="J2470">
        <v>48.45</v>
      </c>
      <c r="K2470">
        <v>242.19</v>
      </c>
      <c r="L2470">
        <v>0.48</v>
      </c>
      <c r="M2470">
        <v>35.43</v>
      </c>
      <c r="N2470">
        <v>0.9</v>
      </c>
      <c r="O2470" t="s">
        <v>20</v>
      </c>
      <c r="P2470" t="s">
        <v>21</v>
      </c>
      <c r="Q2470">
        <f t="shared" si="190"/>
        <v>7</v>
      </c>
      <c r="R2470" s="4">
        <f>RANK(N2470,$N$2:N$2800,0)</f>
        <v>1738</v>
      </c>
      <c r="S2470">
        <f t="shared" si="191"/>
        <v>0.9</v>
      </c>
      <c r="T2470" t="str">
        <f t="shared" si="192"/>
        <v>Low</v>
      </c>
      <c r="U2470" t="str" cm="1">
        <f t="array" ref="U2470">_xlfn.LET(_xlpm.roles,_xlfn.UNIQUE(D2470:D5268),_xlpm.kills, SUMIF(D2470:D5268,_xlpm.roles,G2470:G5268),INDEX(_xlpm.roles,MATCH(MAX(_xlpm.kills),_xlpm.kills,0)))</f>
        <v>IGL</v>
      </c>
      <c r="V2470" t="str">
        <f t="shared" si="193"/>
        <v>Medium Accuracy</v>
      </c>
      <c r="W2470" t="str" cm="1">
        <f t="array" ref="W2470">_xlfn.LET(_xlpm.roles,_xlfn.UNIQUE(D2470:D5268), _xlpm.counts,COUNTIF(D2470:D5268,_xlpm.roles), INDEX(_xlpm.roles,MATCH(MAX(_xlpm.counts),_xlpm.counts,0)))</f>
        <v>Flex</v>
      </c>
      <c r="X2470" s="2">
        <f t="shared" si="194"/>
        <v>13.135802469135802</v>
      </c>
    </row>
    <row r="2471" spans="1:24" x14ac:dyDescent="0.3">
      <c r="A2471">
        <v>429</v>
      </c>
      <c r="B2471">
        <v>441</v>
      </c>
      <c r="C2471" t="s">
        <v>39</v>
      </c>
      <c r="D2471" t="s">
        <v>17</v>
      </c>
      <c r="E2471" t="s">
        <v>29</v>
      </c>
      <c r="F2471" t="s">
        <v>37</v>
      </c>
      <c r="G2471">
        <v>19</v>
      </c>
      <c r="H2471">
        <v>8</v>
      </c>
      <c r="I2471">
        <v>5</v>
      </c>
      <c r="J2471">
        <v>52.79</v>
      </c>
      <c r="K2471">
        <v>238.72</v>
      </c>
      <c r="L2471">
        <v>0.4</v>
      </c>
      <c r="M2471">
        <v>63.39</v>
      </c>
      <c r="N2471">
        <v>1</v>
      </c>
      <c r="O2471" t="s">
        <v>20</v>
      </c>
      <c r="P2471" t="s">
        <v>38</v>
      </c>
      <c r="Q2471">
        <f t="shared" si="190"/>
        <v>22</v>
      </c>
      <c r="R2471" s="4">
        <f>RANK(N2471,$N$2:N$2800,0)</f>
        <v>1</v>
      </c>
      <c r="S2471">
        <f t="shared" si="191"/>
        <v>3.8</v>
      </c>
      <c r="T2471" t="str">
        <f t="shared" si="192"/>
        <v>Good</v>
      </c>
      <c r="U2471" t="str" cm="1">
        <f t="array" ref="U2471">_xlfn.LET(_xlpm.roles,_xlfn.UNIQUE(D2471:D5269),_xlpm.kills, SUMIF(D2471:D5269,_xlpm.roles,G2471:G5269),INDEX(_xlpm.roles,MATCH(MAX(_xlpm.kills),_xlpm.kills,0)))</f>
        <v>IGL</v>
      </c>
      <c r="V2471" t="str">
        <f t="shared" si="193"/>
        <v>High Accuracy</v>
      </c>
      <c r="W2471" t="str" cm="1">
        <f t="array" ref="W2471">_xlfn.LET(_xlpm.roles,_xlfn.UNIQUE(D2471:D5269), _xlpm.counts,COUNTIF(D2471:D5269,_xlpm.roles), INDEX(_xlpm.roles,MATCH(MAX(_xlpm.counts),_xlpm.counts,0)))</f>
        <v>Flex</v>
      </c>
      <c r="X2471" s="2">
        <f t="shared" si="194"/>
        <v>13.103594080338267</v>
      </c>
    </row>
    <row r="2472" spans="1:24" x14ac:dyDescent="0.3">
      <c r="A2472">
        <v>781</v>
      </c>
      <c r="B2472">
        <v>441</v>
      </c>
      <c r="C2472" t="s">
        <v>30</v>
      </c>
      <c r="D2472" t="s">
        <v>22</v>
      </c>
      <c r="E2472" t="s">
        <v>23</v>
      </c>
      <c r="F2472" t="s">
        <v>24</v>
      </c>
      <c r="G2472">
        <v>21</v>
      </c>
      <c r="H2472">
        <v>5</v>
      </c>
      <c r="I2472">
        <v>10</v>
      </c>
      <c r="J2472">
        <v>36.15</v>
      </c>
      <c r="K2472">
        <v>223.05</v>
      </c>
      <c r="L2472">
        <v>0.93</v>
      </c>
      <c r="M2472">
        <v>45.78</v>
      </c>
      <c r="N2472">
        <v>1</v>
      </c>
      <c r="O2472" t="s">
        <v>20</v>
      </c>
      <c r="P2472" t="s">
        <v>21</v>
      </c>
      <c r="Q2472">
        <f t="shared" si="190"/>
        <v>16</v>
      </c>
      <c r="R2472" s="4">
        <f>RANK(N2472,$N$2:N$2800,0)</f>
        <v>1</v>
      </c>
      <c r="S2472">
        <f t="shared" si="191"/>
        <v>2.1</v>
      </c>
      <c r="T2472" t="str">
        <f t="shared" si="192"/>
        <v>Good</v>
      </c>
      <c r="U2472" t="str" cm="1">
        <f t="array" ref="U2472">_xlfn.LET(_xlpm.roles,_xlfn.UNIQUE(D2472:D5270),_xlpm.kills, SUMIF(D2472:D5270,_xlpm.roles,G2472:G5270),INDEX(_xlpm.roles,MATCH(MAX(_xlpm.kills),_xlpm.kills,0)))</f>
        <v>IGL</v>
      </c>
      <c r="V2472" t="str">
        <f t="shared" si="193"/>
        <v>Medium Accuracy</v>
      </c>
      <c r="W2472" t="str" cm="1">
        <f t="array" ref="W2472">_xlfn.LET(_xlpm.roles,_xlfn.UNIQUE(D2472:D5270), _xlpm.counts,COUNTIF(D2472:D5270,_xlpm.roles), INDEX(_xlpm.roles,MATCH(MAX(_xlpm.counts),_xlpm.counts,0)))</f>
        <v>Flex</v>
      </c>
      <c r="X2472" s="2">
        <f t="shared" si="194"/>
        <v>13.135802469135802</v>
      </c>
    </row>
    <row r="2473" spans="1:24" x14ac:dyDescent="0.3">
      <c r="A2473">
        <v>1314</v>
      </c>
      <c r="B2473">
        <v>441</v>
      </c>
      <c r="C2473" t="s">
        <v>39</v>
      </c>
      <c r="D2473" t="s">
        <v>17</v>
      </c>
      <c r="E2473" t="s">
        <v>29</v>
      </c>
      <c r="F2473" t="s">
        <v>37</v>
      </c>
      <c r="G2473">
        <v>14</v>
      </c>
      <c r="H2473">
        <v>10</v>
      </c>
      <c r="I2473">
        <v>9</v>
      </c>
      <c r="J2473">
        <v>29.6</v>
      </c>
      <c r="K2473">
        <v>223.1</v>
      </c>
      <c r="L2473">
        <v>0.5</v>
      </c>
      <c r="M2473">
        <v>38.799999999999997</v>
      </c>
      <c r="N2473">
        <v>0.82</v>
      </c>
      <c r="O2473" t="s">
        <v>20</v>
      </c>
      <c r="P2473" t="s">
        <v>21</v>
      </c>
      <c r="Q2473">
        <f t="shared" si="190"/>
        <v>15</v>
      </c>
      <c r="R2473" s="4">
        <f>RANK(N2473,$N$2:N$2800,0)</f>
        <v>2275</v>
      </c>
      <c r="S2473">
        <f t="shared" si="191"/>
        <v>1.5555555555555556</v>
      </c>
      <c r="T2473" t="str">
        <f t="shared" si="192"/>
        <v>Good</v>
      </c>
      <c r="U2473" t="str" cm="1">
        <f t="array" ref="U2473">_xlfn.LET(_xlpm.roles,_xlfn.UNIQUE(D2473:D5271),_xlpm.kills, SUMIF(D2473:D5271,_xlpm.roles,G2473:G5271),INDEX(_xlpm.roles,MATCH(MAX(_xlpm.kills),_xlpm.kills,0)))</f>
        <v>IGL</v>
      </c>
      <c r="V2473" t="str">
        <f t="shared" si="193"/>
        <v>Low Accuracy</v>
      </c>
      <c r="W2473" t="str" cm="1">
        <f t="array" ref="W2473">_xlfn.LET(_xlpm.roles,_xlfn.UNIQUE(D2473:D5271), _xlpm.counts,COUNTIF(D2473:D5271,_xlpm.roles), INDEX(_xlpm.roles,MATCH(MAX(_xlpm.counts),_xlpm.counts,0)))</f>
        <v>Flex</v>
      </c>
      <c r="X2473" s="2">
        <f t="shared" si="194"/>
        <v>13.103594080338267</v>
      </c>
    </row>
    <row r="2474" spans="1:24" x14ac:dyDescent="0.3">
      <c r="A2474">
        <v>2099</v>
      </c>
      <c r="B2474">
        <v>441</v>
      </c>
      <c r="C2474" t="s">
        <v>39</v>
      </c>
      <c r="D2474" t="s">
        <v>22</v>
      </c>
      <c r="E2474" t="s">
        <v>29</v>
      </c>
      <c r="F2474" t="s">
        <v>24</v>
      </c>
      <c r="G2474">
        <v>14</v>
      </c>
      <c r="H2474">
        <v>5</v>
      </c>
      <c r="I2474">
        <v>20</v>
      </c>
      <c r="J2474">
        <v>52.29</v>
      </c>
      <c r="K2474">
        <v>232.13</v>
      </c>
      <c r="L2474">
        <v>0.93</v>
      </c>
      <c r="M2474">
        <v>29.84</v>
      </c>
      <c r="N2474">
        <v>0.84</v>
      </c>
      <c r="O2474" t="s">
        <v>20</v>
      </c>
      <c r="P2474" t="s">
        <v>21</v>
      </c>
      <c r="Q2474">
        <f t="shared" si="190"/>
        <v>-1</v>
      </c>
      <c r="R2474" s="4">
        <f>RANK(N2474,$N$2:N$2800,0)</f>
        <v>2156</v>
      </c>
      <c r="S2474">
        <f t="shared" si="191"/>
        <v>0.7</v>
      </c>
      <c r="T2474" t="str">
        <f t="shared" si="192"/>
        <v>Low</v>
      </c>
      <c r="U2474" t="str" cm="1">
        <f t="array" ref="U2474">_xlfn.LET(_xlpm.roles,_xlfn.UNIQUE(D2474:D5272),_xlpm.kills, SUMIF(D2474:D5272,_xlpm.roles,G2474:G5272),INDEX(_xlpm.roles,MATCH(MAX(_xlpm.kills),_xlpm.kills,0)))</f>
        <v>IGL</v>
      </c>
      <c r="V2474" t="str">
        <f t="shared" si="193"/>
        <v>High Accuracy</v>
      </c>
      <c r="W2474" t="str" cm="1">
        <f t="array" ref="W2474">_xlfn.LET(_xlpm.roles,_xlfn.UNIQUE(D2474:D5272), _xlpm.counts,COUNTIF(D2474:D5272,_xlpm.roles), INDEX(_xlpm.roles,MATCH(MAX(_xlpm.counts),_xlpm.counts,0)))</f>
        <v>IGL</v>
      </c>
      <c r="X2474" s="2">
        <f t="shared" si="194"/>
        <v>13.103594080338267</v>
      </c>
    </row>
    <row r="2475" spans="1:24" x14ac:dyDescent="0.3">
      <c r="A2475">
        <v>2236</v>
      </c>
      <c r="B2475">
        <v>441</v>
      </c>
      <c r="C2475" t="s">
        <v>35</v>
      </c>
      <c r="D2475" t="s">
        <v>36</v>
      </c>
      <c r="E2475" t="s">
        <v>32</v>
      </c>
      <c r="F2475" t="s">
        <v>26</v>
      </c>
      <c r="G2475">
        <v>21</v>
      </c>
      <c r="H2475">
        <v>10</v>
      </c>
      <c r="I2475">
        <v>9</v>
      </c>
      <c r="J2475">
        <v>43.43</v>
      </c>
      <c r="K2475">
        <v>260.45</v>
      </c>
      <c r="L2475">
        <v>0.88</v>
      </c>
      <c r="M2475">
        <v>55.92</v>
      </c>
      <c r="N2475">
        <v>0.96</v>
      </c>
      <c r="O2475" t="s">
        <v>20</v>
      </c>
      <c r="P2475" t="s">
        <v>21</v>
      </c>
      <c r="Q2475">
        <f t="shared" si="190"/>
        <v>22</v>
      </c>
      <c r="R2475" s="4">
        <f>RANK(N2475,$N$2:N$2800,0)</f>
        <v>1301</v>
      </c>
      <c r="S2475">
        <f t="shared" si="191"/>
        <v>2.3333333333333335</v>
      </c>
      <c r="T2475" t="str">
        <f t="shared" si="192"/>
        <v>Good</v>
      </c>
      <c r="U2475" t="str" cm="1">
        <f t="array" ref="U2475">_xlfn.LET(_xlpm.roles,_xlfn.UNIQUE(D2475:D5273),_xlpm.kills, SUMIF(D2475:D5273,_xlpm.roles,G2475:G5273),INDEX(_xlpm.roles,MATCH(MAX(_xlpm.kills),_xlpm.kills,0)))</f>
        <v>IGL</v>
      </c>
      <c r="V2475" t="str">
        <f t="shared" si="193"/>
        <v>Medium Accuracy</v>
      </c>
      <c r="W2475" t="str" cm="1">
        <f t="array" ref="W2475">_xlfn.LET(_xlpm.roles,_xlfn.UNIQUE(D2475:D5273), _xlpm.counts,COUNTIF(D2475:D5273,_xlpm.roles), INDEX(_xlpm.roles,MATCH(MAX(_xlpm.counts),_xlpm.counts,0)))</f>
        <v>IGL</v>
      </c>
      <c r="X2475" s="2">
        <f t="shared" si="194"/>
        <v>12.599585062240664</v>
      </c>
    </row>
    <row r="2476" spans="1:24" x14ac:dyDescent="0.3">
      <c r="A2476">
        <v>2391</v>
      </c>
      <c r="B2476">
        <v>441</v>
      </c>
      <c r="C2476" t="s">
        <v>16</v>
      </c>
      <c r="D2476" t="s">
        <v>28</v>
      </c>
      <c r="E2476" t="s">
        <v>32</v>
      </c>
      <c r="F2476" t="s">
        <v>34</v>
      </c>
      <c r="G2476">
        <v>21</v>
      </c>
      <c r="H2476">
        <v>9</v>
      </c>
      <c r="I2476">
        <v>13</v>
      </c>
      <c r="J2476">
        <v>46.74</v>
      </c>
      <c r="K2476">
        <v>272.76</v>
      </c>
      <c r="L2476">
        <v>0.39</v>
      </c>
      <c r="M2476">
        <v>57.47</v>
      </c>
      <c r="N2476">
        <v>1</v>
      </c>
      <c r="O2476" t="s">
        <v>20</v>
      </c>
      <c r="P2476" t="s">
        <v>21</v>
      </c>
      <c r="Q2476">
        <f t="shared" si="190"/>
        <v>17</v>
      </c>
      <c r="R2476" s="4">
        <f>RANK(N2476,$N$2:N$2800,0)</f>
        <v>1</v>
      </c>
      <c r="S2476">
        <f t="shared" si="191"/>
        <v>1.6153846153846154</v>
      </c>
      <c r="T2476" t="str">
        <f t="shared" si="192"/>
        <v>Good</v>
      </c>
      <c r="U2476" t="str" cm="1">
        <f t="array" ref="U2476">_xlfn.LET(_xlpm.roles,_xlfn.UNIQUE(D2476:D5274),_xlpm.kills, SUMIF(D2476:D5274,_xlpm.roles,G2476:G5274),INDEX(_xlpm.roles,MATCH(MAX(_xlpm.kills),_xlpm.kills,0)))</f>
        <v>IGL</v>
      </c>
      <c r="V2476" t="str">
        <f t="shared" si="193"/>
        <v>Medium Accuracy</v>
      </c>
      <c r="W2476" t="str" cm="1">
        <f t="array" ref="W2476">_xlfn.LET(_xlpm.roles,_xlfn.UNIQUE(D2476:D5274), _xlpm.counts,COUNTIF(D2476:D5274,_xlpm.roles), INDEX(_xlpm.roles,MATCH(MAX(_xlpm.counts),_xlpm.counts,0)))</f>
        <v>IGL</v>
      </c>
      <c r="X2476" s="2">
        <f t="shared" si="194"/>
        <v>12.520971302428256</v>
      </c>
    </row>
    <row r="2477" spans="1:24" x14ac:dyDescent="0.3">
      <c r="A2477">
        <v>296</v>
      </c>
      <c r="B2477">
        <v>442</v>
      </c>
      <c r="C2477" t="s">
        <v>27</v>
      </c>
      <c r="D2477" t="s">
        <v>28</v>
      </c>
      <c r="E2477" t="s">
        <v>23</v>
      </c>
      <c r="F2477" t="s">
        <v>26</v>
      </c>
      <c r="G2477">
        <v>12</v>
      </c>
      <c r="H2477">
        <v>7</v>
      </c>
      <c r="I2477">
        <v>21</v>
      </c>
      <c r="J2477">
        <v>51.56</v>
      </c>
      <c r="K2477">
        <v>234.62</v>
      </c>
      <c r="L2477">
        <v>0.65</v>
      </c>
      <c r="M2477">
        <v>29.28</v>
      </c>
      <c r="N2477">
        <v>0.9</v>
      </c>
      <c r="O2477" t="s">
        <v>20</v>
      </c>
      <c r="P2477" t="s">
        <v>21</v>
      </c>
      <c r="Q2477">
        <f t="shared" si="190"/>
        <v>-2</v>
      </c>
      <c r="R2477" s="4">
        <f>RANK(N2477,$N$2:N$2800,0)</f>
        <v>1738</v>
      </c>
      <c r="S2477">
        <f t="shared" si="191"/>
        <v>0.5714285714285714</v>
      </c>
      <c r="T2477" t="str">
        <f t="shared" si="192"/>
        <v>Low</v>
      </c>
      <c r="U2477" t="str" cm="1">
        <f t="array" ref="U2477">_xlfn.LET(_xlpm.roles,_xlfn.UNIQUE(D2477:D5275),_xlpm.kills, SUMIF(D2477:D5275,_xlpm.roles,G2477:G5275),INDEX(_xlpm.roles,MATCH(MAX(_xlpm.kills),_xlpm.kills,0)))</f>
        <v>IGL</v>
      </c>
      <c r="V2477" t="str">
        <f t="shared" si="193"/>
        <v>High Accuracy</v>
      </c>
      <c r="W2477" t="str" cm="1">
        <f t="array" ref="W2477">_xlfn.LET(_xlpm.roles,_xlfn.UNIQUE(D2477:D5275), _xlpm.counts,COUNTIF(D2477:D5275,_xlpm.roles), INDEX(_xlpm.roles,MATCH(MAX(_xlpm.counts),_xlpm.counts,0)))</f>
        <v>IGL</v>
      </c>
      <c r="X2477" s="2">
        <f t="shared" si="194"/>
        <v>13.057077625570777</v>
      </c>
    </row>
    <row r="2478" spans="1:24" x14ac:dyDescent="0.3">
      <c r="A2478">
        <v>921</v>
      </c>
      <c r="B2478">
        <v>442</v>
      </c>
      <c r="C2478" t="s">
        <v>35</v>
      </c>
      <c r="D2478" t="s">
        <v>36</v>
      </c>
      <c r="E2478" t="s">
        <v>18</v>
      </c>
      <c r="F2478" t="s">
        <v>26</v>
      </c>
      <c r="G2478">
        <v>12</v>
      </c>
      <c r="H2478">
        <v>5</v>
      </c>
      <c r="I2478">
        <v>10</v>
      </c>
      <c r="J2478">
        <v>62.76</v>
      </c>
      <c r="K2478">
        <v>238.19</v>
      </c>
      <c r="L2478">
        <v>0.92</v>
      </c>
      <c r="M2478">
        <v>41.18</v>
      </c>
      <c r="N2478">
        <v>0.86</v>
      </c>
      <c r="O2478" t="s">
        <v>20</v>
      </c>
      <c r="P2478" t="s">
        <v>21</v>
      </c>
      <c r="Q2478">
        <f t="shared" si="190"/>
        <v>7</v>
      </c>
      <c r="R2478" s="4">
        <f>RANK(N2478,$N$2:N$2800,0)</f>
        <v>2040</v>
      </c>
      <c r="S2478">
        <f t="shared" si="191"/>
        <v>1.2</v>
      </c>
      <c r="T2478" t="str">
        <f t="shared" si="192"/>
        <v>Low</v>
      </c>
      <c r="U2478" t="str" cm="1">
        <f t="array" ref="U2478">_xlfn.LET(_xlpm.roles,_xlfn.UNIQUE(D2478:D5276),_xlpm.kills, SUMIF(D2478:D5276,_xlpm.roles,G2478:G5276),INDEX(_xlpm.roles,MATCH(MAX(_xlpm.kills),_xlpm.kills,0)))</f>
        <v>IGL</v>
      </c>
      <c r="V2478" t="str">
        <f t="shared" si="193"/>
        <v>High Accuracy</v>
      </c>
      <c r="W2478" t="str" cm="1">
        <f t="array" ref="W2478">_xlfn.LET(_xlpm.roles,_xlfn.UNIQUE(D2478:D5276), _xlpm.counts,COUNTIF(D2478:D5276,_xlpm.roles), INDEX(_xlpm.roles,MATCH(MAX(_xlpm.counts),_xlpm.counts,0)))</f>
        <v>Flex</v>
      </c>
      <c r="X2478" s="2">
        <f t="shared" si="194"/>
        <v>12.599585062240664</v>
      </c>
    </row>
    <row r="2479" spans="1:24" x14ac:dyDescent="0.3">
      <c r="A2479">
        <v>2270</v>
      </c>
      <c r="B2479">
        <v>442</v>
      </c>
      <c r="C2479" t="s">
        <v>16</v>
      </c>
      <c r="D2479" t="s">
        <v>31</v>
      </c>
      <c r="E2479" t="s">
        <v>18</v>
      </c>
      <c r="F2479" t="s">
        <v>26</v>
      </c>
      <c r="G2479">
        <v>15</v>
      </c>
      <c r="H2479">
        <v>7</v>
      </c>
      <c r="I2479">
        <v>14</v>
      </c>
      <c r="J2479">
        <v>51.38</v>
      </c>
      <c r="K2479">
        <v>285.11</v>
      </c>
      <c r="L2479">
        <v>0.88</v>
      </c>
      <c r="M2479">
        <v>39.89</v>
      </c>
      <c r="N2479">
        <v>0.88</v>
      </c>
      <c r="O2479" t="s">
        <v>20</v>
      </c>
      <c r="P2479" t="s">
        <v>21</v>
      </c>
      <c r="Q2479">
        <f t="shared" si="190"/>
        <v>8</v>
      </c>
      <c r="R2479" s="4">
        <f>RANK(N2479,$N$2:N$2800,0)</f>
        <v>1894</v>
      </c>
      <c r="S2479">
        <f t="shared" si="191"/>
        <v>1.0714285714285714</v>
      </c>
      <c r="T2479" t="str">
        <f t="shared" si="192"/>
        <v>Low</v>
      </c>
      <c r="U2479" t="str" cm="1">
        <f t="array" ref="U2479">_xlfn.LET(_xlpm.roles,_xlfn.UNIQUE(D2479:D5277),_xlpm.kills, SUMIF(D2479:D5277,_xlpm.roles,G2479:G5277),INDEX(_xlpm.roles,MATCH(MAX(_xlpm.kills),_xlpm.kills,0)))</f>
        <v>IGL</v>
      </c>
      <c r="V2479" t="str">
        <f t="shared" si="193"/>
        <v>High Accuracy</v>
      </c>
      <c r="W2479" t="str" cm="1">
        <f t="array" ref="W2479">_xlfn.LET(_xlpm.roles,_xlfn.UNIQUE(D2479:D5277), _xlpm.counts,COUNTIF(D2479:D5277,_xlpm.roles), INDEX(_xlpm.roles,MATCH(MAX(_xlpm.counts),_xlpm.counts,0)))</f>
        <v>Flex</v>
      </c>
      <c r="X2479" s="2">
        <f t="shared" si="194"/>
        <v>12.520971302428256</v>
      </c>
    </row>
    <row r="2480" spans="1:24" x14ac:dyDescent="0.3">
      <c r="A2480">
        <v>2404</v>
      </c>
      <c r="B2480">
        <v>442</v>
      </c>
      <c r="C2480" t="s">
        <v>27</v>
      </c>
      <c r="D2480" t="s">
        <v>28</v>
      </c>
      <c r="E2480" t="s">
        <v>33</v>
      </c>
      <c r="F2480" t="s">
        <v>26</v>
      </c>
      <c r="G2480">
        <v>9</v>
      </c>
      <c r="H2480">
        <v>5</v>
      </c>
      <c r="I2480">
        <v>7</v>
      </c>
      <c r="J2480">
        <v>33.74</v>
      </c>
      <c r="K2480">
        <v>218.6</v>
      </c>
      <c r="L2480">
        <v>0.77</v>
      </c>
      <c r="M2480">
        <v>25.17</v>
      </c>
      <c r="N2480">
        <v>0.85</v>
      </c>
      <c r="O2480" t="s">
        <v>20</v>
      </c>
      <c r="P2480" t="s">
        <v>21</v>
      </c>
      <c r="Q2480">
        <f t="shared" si="190"/>
        <v>7</v>
      </c>
      <c r="R2480" s="4">
        <f>RANK(N2480,$N$2:N$2800,0)</f>
        <v>2105</v>
      </c>
      <c r="S2480">
        <f t="shared" si="191"/>
        <v>1.2857142857142858</v>
      </c>
      <c r="T2480" t="str">
        <f t="shared" si="192"/>
        <v>Low</v>
      </c>
      <c r="U2480" t="str" cm="1">
        <f t="array" ref="U2480">_xlfn.LET(_xlpm.roles,_xlfn.UNIQUE(D2480:D5278),_xlpm.kills, SUMIF(D2480:D5278,_xlpm.roles,G2480:G5278),INDEX(_xlpm.roles,MATCH(MAX(_xlpm.kills),_xlpm.kills,0)))</f>
        <v>IGL</v>
      </c>
      <c r="V2480" t="str">
        <f t="shared" si="193"/>
        <v>Medium Accuracy</v>
      </c>
      <c r="W2480" t="str" cm="1">
        <f t="array" ref="W2480">_xlfn.LET(_xlpm.roles,_xlfn.UNIQUE(D2480:D5278), _xlpm.counts,COUNTIF(D2480:D5278,_xlpm.roles), INDEX(_xlpm.roles,MATCH(MAX(_xlpm.counts),_xlpm.counts,0)))</f>
        <v>Flex</v>
      </c>
      <c r="X2480" s="2">
        <f t="shared" si="194"/>
        <v>13.057077625570777</v>
      </c>
    </row>
    <row r="2481" spans="1:24" x14ac:dyDescent="0.3">
      <c r="A2481">
        <v>1050</v>
      </c>
      <c r="B2481">
        <v>443</v>
      </c>
      <c r="C2481" t="s">
        <v>30</v>
      </c>
      <c r="D2481" t="s">
        <v>31</v>
      </c>
      <c r="E2481" t="s">
        <v>29</v>
      </c>
      <c r="F2481" t="s">
        <v>19</v>
      </c>
      <c r="G2481">
        <v>9</v>
      </c>
      <c r="H2481">
        <v>8</v>
      </c>
      <c r="I2481">
        <v>11</v>
      </c>
      <c r="J2481">
        <v>56.87</v>
      </c>
      <c r="K2481">
        <v>224.21</v>
      </c>
      <c r="L2481">
        <v>0.95</v>
      </c>
      <c r="M2481">
        <v>33.94</v>
      </c>
      <c r="N2481">
        <v>0.77</v>
      </c>
      <c r="O2481" t="s">
        <v>20</v>
      </c>
      <c r="P2481" t="s">
        <v>21</v>
      </c>
      <c r="Q2481">
        <f t="shared" si="190"/>
        <v>6</v>
      </c>
      <c r="R2481" s="4">
        <f>RANK(N2481,$N$2:N$2800,0)</f>
        <v>2511</v>
      </c>
      <c r="S2481">
        <f t="shared" si="191"/>
        <v>0.81818181818181823</v>
      </c>
      <c r="T2481" t="str">
        <f t="shared" si="192"/>
        <v>Low</v>
      </c>
      <c r="U2481" t="str" cm="1">
        <f t="array" ref="U2481">_xlfn.LET(_xlpm.roles,_xlfn.UNIQUE(D2481:D5279),_xlpm.kills, SUMIF(D2481:D5279,_xlpm.roles,G2481:G5279),INDEX(_xlpm.roles,MATCH(MAX(_xlpm.kills),_xlpm.kills,0)))</f>
        <v>IGL</v>
      </c>
      <c r="V2481" t="str">
        <f t="shared" si="193"/>
        <v>High Accuracy</v>
      </c>
      <c r="W2481" t="str" cm="1">
        <f t="array" ref="W2481">_xlfn.LET(_xlpm.roles,_xlfn.UNIQUE(D2481:D5279), _xlpm.counts,COUNTIF(D2481:D5279,_xlpm.roles), INDEX(_xlpm.roles,MATCH(MAX(_xlpm.counts),_xlpm.counts,0)))</f>
        <v>Flex</v>
      </c>
      <c r="X2481" s="2">
        <f t="shared" si="194"/>
        <v>13.135802469135802</v>
      </c>
    </row>
    <row r="2482" spans="1:24" x14ac:dyDescent="0.3">
      <c r="A2482">
        <v>1057</v>
      </c>
      <c r="B2482">
        <v>443</v>
      </c>
      <c r="C2482" t="s">
        <v>27</v>
      </c>
      <c r="D2482" t="s">
        <v>36</v>
      </c>
      <c r="E2482" t="s">
        <v>32</v>
      </c>
      <c r="F2482" t="s">
        <v>19</v>
      </c>
      <c r="G2482">
        <v>14</v>
      </c>
      <c r="H2482">
        <v>8</v>
      </c>
      <c r="I2482">
        <v>8</v>
      </c>
      <c r="J2482">
        <v>52.1</v>
      </c>
      <c r="K2482">
        <v>221.04</v>
      </c>
      <c r="L2482">
        <v>0.04</v>
      </c>
      <c r="M2482">
        <v>53.65</v>
      </c>
      <c r="N2482">
        <v>1</v>
      </c>
      <c r="O2482" t="s">
        <v>20</v>
      </c>
      <c r="P2482" t="s">
        <v>21</v>
      </c>
      <c r="Q2482">
        <f t="shared" si="190"/>
        <v>14</v>
      </c>
      <c r="R2482" s="4">
        <f>RANK(N2482,$N$2:N$2800,0)</f>
        <v>1</v>
      </c>
      <c r="S2482">
        <f t="shared" si="191"/>
        <v>1.75</v>
      </c>
      <c r="T2482" t="str">
        <f t="shared" si="192"/>
        <v>Low</v>
      </c>
      <c r="U2482" t="str" cm="1">
        <f t="array" ref="U2482">_xlfn.LET(_xlpm.roles,_xlfn.UNIQUE(D2482:D5280),_xlpm.kills, SUMIF(D2482:D5280,_xlpm.roles,G2482:G5280),INDEX(_xlpm.roles,MATCH(MAX(_xlpm.kills),_xlpm.kills,0)))</f>
        <v>IGL</v>
      </c>
      <c r="V2482" t="str">
        <f t="shared" si="193"/>
        <v>High Accuracy</v>
      </c>
      <c r="W2482" t="str" cm="1">
        <f t="array" ref="W2482">_xlfn.LET(_xlpm.roles,_xlfn.UNIQUE(D2482:D5280), _xlpm.counts,COUNTIF(D2482:D5280,_xlpm.roles), INDEX(_xlpm.roles,MATCH(MAX(_xlpm.counts),_xlpm.counts,0)))</f>
        <v>Flex</v>
      </c>
      <c r="X2482" s="2">
        <f t="shared" si="194"/>
        <v>13.057077625570777</v>
      </c>
    </row>
    <row r="2483" spans="1:24" x14ac:dyDescent="0.3">
      <c r="A2483">
        <v>1161</v>
      </c>
      <c r="B2483">
        <v>443</v>
      </c>
      <c r="C2483" t="s">
        <v>35</v>
      </c>
      <c r="D2483" t="s">
        <v>22</v>
      </c>
      <c r="E2483" t="s">
        <v>33</v>
      </c>
      <c r="F2483" t="s">
        <v>26</v>
      </c>
      <c r="G2483">
        <v>18</v>
      </c>
      <c r="H2483">
        <v>9</v>
      </c>
      <c r="I2483">
        <v>7</v>
      </c>
      <c r="J2483">
        <v>46.31</v>
      </c>
      <c r="K2483">
        <v>243.73</v>
      </c>
      <c r="L2483">
        <v>0.21</v>
      </c>
      <c r="M2483">
        <v>59.05</v>
      </c>
      <c r="N2483">
        <v>1</v>
      </c>
      <c r="O2483" t="s">
        <v>20</v>
      </c>
      <c r="P2483" t="s">
        <v>21</v>
      </c>
      <c r="Q2483">
        <f t="shared" si="190"/>
        <v>20</v>
      </c>
      <c r="R2483" s="4">
        <f>RANK(N2483,$N$2:N$2800,0)</f>
        <v>1</v>
      </c>
      <c r="S2483">
        <f t="shared" si="191"/>
        <v>2.5714285714285716</v>
      </c>
      <c r="T2483" t="str">
        <f t="shared" si="192"/>
        <v>Good</v>
      </c>
      <c r="U2483" t="str" cm="1">
        <f t="array" ref="U2483">_xlfn.LET(_xlpm.roles,_xlfn.UNIQUE(D2483:D5281),_xlpm.kills, SUMIF(D2483:D5281,_xlpm.roles,G2483:G5281),INDEX(_xlpm.roles,MATCH(MAX(_xlpm.kills),_xlpm.kills,0)))</f>
        <v>IGL</v>
      </c>
      <c r="V2483" t="str">
        <f t="shared" si="193"/>
        <v>Medium Accuracy</v>
      </c>
      <c r="W2483" t="str" cm="1">
        <f t="array" ref="W2483">_xlfn.LET(_xlpm.roles,_xlfn.UNIQUE(D2483:D5281), _xlpm.counts,COUNTIF(D2483:D5281,_xlpm.roles), INDEX(_xlpm.roles,MATCH(MAX(_xlpm.counts),_xlpm.counts,0)))</f>
        <v>Flex</v>
      </c>
      <c r="X2483" s="2">
        <f t="shared" si="194"/>
        <v>12.599585062240664</v>
      </c>
    </row>
    <row r="2484" spans="1:24" x14ac:dyDescent="0.3">
      <c r="A2484">
        <v>1490</v>
      </c>
      <c r="B2484">
        <v>443</v>
      </c>
      <c r="C2484" t="s">
        <v>35</v>
      </c>
      <c r="D2484" t="s">
        <v>36</v>
      </c>
      <c r="E2484" t="s">
        <v>32</v>
      </c>
      <c r="F2484" t="s">
        <v>37</v>
      </c>
      <c r="G2484">
        <v>12</v>
      </c>
      <c r="H2484">
        <v>9</v>
      </c>
      <c r="I2484">
        <v>10</v>
      </c>
      <c r="J2484">
        <v>61.2</v>
      </c>
      <c r="K2484">
        <v>227.12</v>
      </c>
      <c r="L2484">
        <v>0.51</v>
      </c>
      <c r="M2484">
        <v>48.5</v>
      </c>
      <c r="N2484">
        <v>0.88</v>
      </c>
      <c r="O2484" t="s">
        <v>20</v>
      </c>
      <c r="P2484" t="s">
        <v>21</v>
      </c>
      <c r="Q2484">
        <f t="shared" si="190"/>
        <v>11</v>
      </c>
      <c r="R2484" s="4">
        <f>RANK(N2484,$N$2:N$2800,0)</f>
        <v>1894</v>
      </c>
      <c r="S2484">
        <f t="shared" si="191"/>
        <v>1.2</v>
      </c>
      <c r="T2484" t="str">
        <f t="shared" si="192"/>
        <v>Low</v>
      </c>
      <c r="U2484" t="str" cm="1">
        <f t="array" ref="U2484">_xlfn.LET(_xlpm.roles,_xlfn.UNIQUE(D2484:D5282),_xlpm.kills, SUMIF(D2484:D5282,_xlpm.roles,G2484:G5282),INDEX(_xlpm.roles,MATCH(MAX(_xlpm.kills),_xlpm.kills,0)))</f>
        <v>IGL</v>
      </c>
      <c r="V2484" t="str">
        <f t="shared" si="193"/>
        <v>High Accuracy</v>
      </c>
      <c r="W2484" t="str" cm="1">
        <f t="array" ref="W2484">_xlfn.LET(_xlpm.roles,_xlfn.UNIQUE(D2484:D5282), _xlpm.counts,COUNTIF(D2484:D5282,_xlpm.roles), INDEX(_xlpm.roles,MATCH(MAX(_xlpm.counts),_xlpm.counts,0)))</f>
        <v>Flex</v>
      </c>
      <c r="X2484" s="2">
        <f t="shared" si="194"/>
        <v>12.599585062240664</v>
      </c>
    </row>
    <row r="2485" spans="1:24" x14ac:dyDescent="0.3">
      <c r="A2485">
        <v>1669</v>
      </c>
      <c r="B2485">
        <v>443</v>
      </c>
      <c r="C2485" t="s">
        <v>35</v>
      </c>
      <c r="D2485" t="s">
        <v>36</v>
      </c>
      <c r="E2485" t="s">
        <v>23</v>
      </c>
      <c r="F2485" t="s">
        <v>34</v>
      </c>
      <c r="G2485">
        <v>11</v>
      </c>
      <c r="H2485">
        <v>7</v>
      </c>
      <c r="I2485">
        <v>7</v>
      </c>
      <c r="J2485">
        <v>31.24</v>
      </c>
      <c r="K2485">
        <v>198.9</v>
      </c>
      <c r="L2485">
        <v>0.09</v>
      </c>
      <c r="M2485">
        <v>36.72</v>
      </c>
      <c r="N2485">
        <v>0.83</v>
      </c>
      <c r="O2485" t="s">
        <v>20</v>
      </c>
      <c r="P2485" t="s">
        <v>21</v>
      </c>
      <c r="Q2485">
        <f t="shared" si="190"/>
        <v>11</v>
      </c>
      <c r="R2485" s="4">
        <f>RANK(N2485,$N$2:N$2800,0)</f>
        <v>2218</v>
      </c>
      <c r="S2485">
        <f t="shared" si="191"/>
        <v>1.5714285714285714</v>
      </c>
      <c r="T2485" t="str">
        <f t="shared" si="192"/>
        <v>Low</v>
      </c>
      <c r="U2485" t="str" cm="1">
        <f t="array" ref="U2485">_xlfn.LET(_xlpm.roles,_xlfn.UNIQUE(D2485:D5283),_xlpm.kills, SUMIF(D2485:D5283,_xlpm.roles,G2485:G5283),INDEX(_xlpm.roles,MATCH(MAX(_xlpm.kills),_xlpm.kills,0)))</f>
        <v>IGL</v>
      </c>
      <c r="V2485" t="str">
        <f t="shared" si="193"/>
        <v>Medium Accuracy</v>
      </c>
      <c r="W2485" t="str" cm="1">
        <f t="array" ref="W2485">_xlfn.LET(_xlpm.roles,_xlfn.UNIQUE(D2485:D5283), _xlpm.counts,COUNTIF(D2485:D5283,_xlpm.roles), INDEX(_xlpm.roles,MATCH(MAX(_xlpm.counts),_xlpm.counts,0)))</f>
        <v>Flex</v>
      </c>
      <c r="X2485" s="2">
        <f t="shared" si="194"/>
        <v>12.599585062240664</v>
      </c>
    </row>
    <row r="2486" spans="1:24" x14ac:dyDescent="0.3">
      <c r="A2486">
        <v>2134</v>
      </c>
      <c r="B2486">
        <v>443</v>
      </c>
      <c r="C2486" t="s">
        <v>39</v>
      </c>
      <c r="D2486" t="s">
        <v>31</v>
      </c>
      <c r="E2486" t="s">
        <v>18</v>
      </c>
      <c r="F2486" t="s">
        <v>26</v>
      </c>
      <c r="G2486">
        <v>10</v>
      </c>
      <c r="H2486">
        <v>5</v>
      </c>
      <c r="I2486">
        <v>14</v>
      </c>
      <c r="J2486">
        <v>32.049999999999997</v>
      </c>
      <c r="K2486">
        <v>211.92</v>
      </c>
      <c r="L2486">
        <v>0.97</v>
      </c>
      <c r="M2486">
        <v>17.32</v>
      </c>
      <c r="N2486">
        <v>0.62</v>
      </c>
      <c r="O2486" t="s">
        <v>20</v>
      </c>
      <c r="P2486" t="s">
        <v>21</v>
      </c>
      <c r="Q2486">
        <f t="shared" si="190"/>
        <v>1</v>
      </c>
      <c r="R2486" s="4">
        <f>RANK(N2486,$N$2:N$2800,0)</f>
        <v>2776</v>
      </c>
      <c r="S2486">
        <f t="shared" si="191"/>
        <v>0.7142857142857143</v>
      </c>
      <c r="T2486" t="str">
        <f t="shared" si="192"/>
        <v>Low</v>
      </c>
      <c r="U2486" t="str" cm="1">
        <f t="array" ref="U2486">_xlfn.LET(_xlpm.roles,_xlfn.UNIQUE(D2486:D5284),_xlpm.kills, SUMIF(D2486:D5284,_xlpm.roles,G2486:G5284),INDEX(_xlpm.roles,MATCH(MAX(_xlpm.kills),_xlpm.kills,0)))</f>
        <v>IGL</v>
      </c>
      <c r="V2486" t="str">
        <f t="shared" si="193"/>
        <v>Medium Accuracy</v>
      </c>
      <c r="W2486" t="str" cm="1">
        <f t="array" ref="W2486">_xlfn.LET(_xlpm.roles,_xlfn.UNIQUE(D2486:D5284), _xlpm.counts,COUNTIF(D2486:D5284,_xlpm.roles), INDEX(_xlpm.roles,MATCH(MAX(_xlpm.counts),_xlpm.counts,0)))</f>
        <v>Flex</v>
      </c>
      <c r="X2486" s="2">
        <f t="shared" si="194"/>
        <v>13.103594080338267</v>
      </c>
    </row>
    <row r="2487" spans="1:24" x14ac:dyDescent="0.3">
      <c r="A2487">
        <v>2680</v>
      </c>
      <c r="B2487">
        <v>443</v>
      </c>
      <c r="C2487" t="s">
        <v>16</v>
      </c>
      <c r="D2487" t="s">
        <v>17</v>
      </c>
      <c r="E2487" t="s">
        <v>32</v>
      </c>
      <c r="F2487" t="s">
        <v>19</v>
      </c>
      <c r="G2487">
        <v>15</v>
      </c>
      <c r="H2487">
        <v>11</v>
      </c>
      <c r="I2487">
        <v>13</v>
      </c>
      <c r="J2487">
        <v>39.880000000000003</v>
      </c>
      <c r="K2487">
        <v>219.81</v>
      </c>
      <c r="L2487">
        <v>0.84</v>
      </c>
      <c r="M2487">
        <v>39.54</v>
      </c>
      <c r="N2487">
        <v>0.75</v>
      </c>
      <c r="O2487" t="s">
        <v>20</v>
      </c>
      <c r="P2487" t="s">
        <v>21</v>
      </c>
      <c r="Q2487">
        <f t="shared" si="190"/>
        <v>13</v>
      </c>
      <c r="R2487" s="4">
        <f>RANK(N2487,$N$2:N$2800,0)</f>
        <v>2586</v>
      </c>
      <c r="S2487">
        <f t="shared" si="191"/>
        <v>1.1538461538461537</v>
      </c>
      <c r="T2487" t="str">
        <f t="shared" si="192"/>
        <v>Low</v>
      </c>
      <c r="U2487" t="str" cm="1">
        <f t="array" ref="U2487">_xlfn.LET(_xlpm.roles,_xlfn.UNIQUE(D2487:D5285),_xlpm.kills, SUMIF(D2487:D5285,_xlpm.roles,G2487:G5285),INDEX(_xlpm.roles,MATCH(MAX(_xlpm.kills),_xlpm.kills,0)))</f>
        <v>IGL</v>
      </c>
      <c r="V2487" t="str">
        <f t="shared" si="193"/>
        <v>Medium Accuracy</v>
      </c>
      <c r="W2487" t="str" cm="1">
        <f t="array" ref="W2487">_xlfn.LET(_xlpm.roles,_xlfn.UNIQUE(D2487:D5285), _xlpm.counts,COUNTIF(D2487:D5285,_xlpm.roles), INDEX(_xlpm.roles,MATCH(MAX(_xlpm.counts),_xlpm.counts,0)))</f>
        <v>Flex</v>
      </c>
      <c r="X2487" s="2">
        <f t="shared" si="194"/>
        <v>12.520971302428256</v>
      </c>
    </row>
    <row r="2488" spans="1:24" x14ac:dyDescent="0.3">
      <c r="A2488">
        <v>20</v>
      </c>
      <c r="B2488">
        <v>444</v>
      </c>
      <c r="C2488" t="s">
        <v>16</v>
      </c>
      <c r="D2488" t="s">
        <v>17</v>
      </c>
      <c r="E2488" t="s">
        <v>23</v>
      </c>
      <c r="F2488" t="s">
        <v>37</v>
      </c>
      <c r="G2488">
        <v>16</v>
      </c>
      <c r="H2488">
        <v>9</v>
      </c>
      <c r="I2488">
        <v>12</v>
      </c>
      <c r="J2488">
        <v>45.49</v>
      </c>
      <c r="K2488">
        <v>246.55</v>
      </c>
      <c r="L2488">
        <v>0.02</v>
      </c>
      <c r="M2488">
        <v>51.55</v>
      </c>
      <c r="N2488">
        <v>0.97</v>
      </c>
      <c r="O2488" t="s">
        <v>20</v>
      </c>
      <c r="P2488" t="s">
        <v>21</v>
      </c>
      <c r="Q2488">
        <f t="shared" si="190"/>
        <v>13</v>
      </c>
      <c r="R2488" s="4">
        <f>RANK(N2488,$N$2:N$2800,0)</f>
        <v>1243</v>
      </c>
      <c r="S2488">
        <f t="shared" si="191"/>
        <v>1.3333333333333333</v>
      </c>
      <c r="T2488" t="str">
        <f t="shared" si="192"/>
        <v>Low</v>
      </c>
      <c r="U2488" t="str" cm="1">
        <f t="array" ref="U2488">_xlfn.LET(_xlpm.roles,_xlfn.UNIQUE(D2488:D5286),_xlpm.kills, SUMIF(D2488:D5286,_xlpm.roles,G2488:G5286),INDEX(_xlpm.roles,MATCH(MAX(_xlpm.kills),_xlpm.kills,0)))</f>
        <v>IGL</v>
      </c>
      <c r="V2488" t="str">
        <f t="shared" si="193"/>
        <v>Medium Accuracy</v>
      </c>
      <c r="W2488" t="str" cm="1">
        <f t="array" ref="W2488">_xlfn.LET(_xlpm.roles,_xlfn.UNIQUE(D2488:D5286), _xlpm.counts,COUNTIF(D2488:D5286,_xlpm.roles), INDEX(_xlpm.roles,MATCH(MAX(_xlpm.counts),_xlpm.counts,0)))</f>
        <v>Flex</v>
      </c>
      <c r="X2488" s="2">
        <f t="shared" si="194"/>
        <v>12.520971302428256</v>
      </c>
    </row>
    <row r="2489" spans="1:24" x14ac:dyDescent="0.3">
      <c r="A2489">
        <v>593</v>
      </c>
      <c r="B2489">
        <v>444</v>
      </c>
      <c r="C2489" t="s">
        <v>25</v>
      </c>
      <c r="D2489" t="s">
        <v>17</v>
      </c>
      <c r="E2489" t="s">
        <v>33</v>
      </c>
      <c r="F2489" t="s">
        <v>19</v>
      </c>
      <c r="G2489">
        <v>13</v>
      </c>
      <c r="H2489">
        <v>10</v>
      </c>
      <c r="I2489">
        <v>12</v>
      </c>
      <c r="J2489">
        <v>52.21</v>
      </c>
      <c r="K2489">
        <v>208.56</v>
      </c>
      <c r="L2489">
        <v>0.85</v>
      </c>
      <c r="M2489">
        <v>41.61</v>
      </c>
      <c r="N2489">
        <v>0.92</v>
      </c>
      <c r="O2489" t="s">
        <v>20</v>
      </c>
      <c r="P2489" t="s">
        <v>21</v>
      </c>
      <c r="Q2489">
        <f t="shared" si="190"/>
        <v>11</v>
      </c>
      <c r="R2489" s="4">
        <f>RANK(N2489,$N$2:N$2800,0)</f>
        <v>1585</v>
      </c>
      <c r="S2489">
        <f t="shared" si="191"/>
        <v>1.0833333333333333</v>
      </c>
      <c r="T2489" t="str">
        <f t="shared" si="192"/>
        <v>Low</v>
      </c>
      <c r="U2489" t="str" cm="1">
        <f t="array" ref="U2489">_xlfn.LET(_xlpm.roles,_xlfn.UNIQUE(D2489:D5287),_xlpm.kills, SUMIF(D2489:D5287,_xlpm.roles,G2489:G5287),INDEX(_xlpm.roles,MATCH(MAX(_xlpm.kills),_xlpm.kills,0)))</f>
        <v>IGL</v>
      </c>
      <c r="V2489" t="str">
        <f t="shared" si="193"/>
        <v>High Accuracy</v>
      </c>
      <c r="W2489" t="str" cm="1">
        <f t="array" ref="W2489">_xlfn.LET(_xlpm.roles,_xlfn.UNIQUE(D2489:D5287), _xlpm.counts,COUNTIF(D2489:D5287,_xlpm.roles), INDEX(_xlpm.roles,MATCH(MAX(_xlpm.counts),_xlpm.counts,0)))</f>
        <v>Flex</v>
      </c>
      <c r="X2489" s="2">
        <f t="shared" si="194"/>
        <v>12.809421841541756</v>
      </c>
    </row>
    <row r="2490" spans="1:24" x14ac:dyDescent="0.3">
      <c r="A2490">
        <v>2331</v>
      </c>
      <c r="B2490">
        <v>444</v>
      </c>
      <c r="C2490" t="s">
        <v>25</v>
      </c>
      <c r="D2490" t="s">
        <v>17</v>
      </c>
      <c r="E2490" t="s">
        <v>18</v>
      </c>
      <c r="F2490" t="s">
        <v>24</v>
      </c>
      <c r="G2490">
        <v>17</v>
      </c>
      <c r="H2490">
        <v>6</v>
      </c>
      <c r="I2490">
        <v>13</v>
      </c>
      <c r="J2490">
        <v>37.07</v>
      </c>
      <c r="K2490">
        <v>224.72</v>
      </c>
      <c r="L2490">
        <v>0.99</v>
      </c>
      <c r="M2490">
        <v>35.630000000000003</v>
      </c>
      <c r="N2490">
        <v>0.56000000000000005</v>
      </c>
      <c r="O2490" t="s">
        <v>20</v>
      </c>
      <c r="P2490" t="s">
        <v>21</v>
      </c>
      <c r="Q2490">
        <f t="shared" si="190"/>
        <v>10</v>
      </c>
      <c r="R2490" s="4">
        <f>RANK(N2490,$N$2:N$2800,0)</f>
        <v>2789</v>
      </c>
      <c r="S2490">
        <f t="shared" si="191"/>
        <v>1.3076923076923077</v>
      </c>
      <c r="T2490" t="str">
        <f t="shared" si="192"/>
        <v>Low</v>
      </c>
      <c r="U2490" t="str" cm="1">
        <f t="array" ref="U2490">_xlfn.LET(_xlpm.roles,_xlfn.UNIQUE(D2490:D5288),_xlpm.kills, SUMIF(D2490:D5288,_xlpm.roles,G2490:G5288),INDEX(_xlpm.roles,MATCH(MAX(_xlpm.kills),_xlpm.kills,0)))</f>
        <v>IGL</v>
      </c>
      <c r="V2490" t="str">
        <f t="shared" si="193"/>
        <v>Medium Accuracy</v>
      </c>
      <c r="W2490" t="str" cm="1">
        <f t="array" ref="W2490">_xlfn.LET(_xlpm.roles,_xlfn.UNIQUE(D2490:D5288), _xlpm.counts,COUNTIF(D2490:D5288,_xlpm.roles), INDEX(_xlpm.roles,MATCH(MAX(_xlpm.counts),_xlpm.counts,0)))</f>
        <v>IGL</v>
      </c>
      <c r="X2490" s="2">
        <f t="shared" si="194"/>
        <v>12.809421841541756</v>
      </c>
    </row>
    <row r="2491" spans="1:24" x14ac:dyDescent="0.3">
      <c r="A2491">
        <v>1060</v>
      </c>
      <c r="B2491">
        <v>445</v>
      </c>
      <c r="C2491" t="s">
        <v>30</v>
      </c>
      <c r="D2491" t="s">
        <v>28</v>
      </c>
      <c r="E2491" t="s">
        <v>33</v>
      </c>
      <c r="F2491" t="s">
        <v>24</v>
      </c>
      <c r="G2491">
        <v>18</v>
      </c>
      <c r="H2491">
        <v>8</v>
      </c>
      <c r="I2491">
        <v>8</v>
      </c>
      <c r="J2491">
        <v>51.89</v>
      </c>
      <c r="K2491">
        <v>234.32</v>
      </c>
      <c r="L2491">
        <v>0.46</v>
      </c>
      <c r="M2491">
        <v>57.34</v>
      </c>
      <c r="N2491">
        <v>1</v>
      </c>
      <c r="O2491" t="s">
        <v>20</v>
      </c>
      <c r="P2491" t="s">
        <v>21</v>
      </c>
      <c r="Q2491">
        <f t="shared" si="190"/>
        <v>18</v>
      </c>
      <c r="R2491" s="4">
        <f>RANK(N2491,$N$2:N$2800,0)</f>
        <v>1</v>
      </c>
      <c r="S2491">
        <f t="shared" si="191"/>
        <v>2.25</v>
      </c>
      <c r="T2491" t="str">
        <f t="shared" si="192"/>
        <v>Good</v>
      </c>
      <c r="U2491" t="str" cm="1">
        <f t="array" ref="U2491">_xlfn.LET(_xlpm.roles,_xlfn.UNIQUE(D2491:D5289),_xlpm.kills, SUMIF(D2491:D5289,_xlpm.roles,G2491:G5289),INDEX(_xlpm.roles,MATCH(MAX(_xlpm.kills),_xlpm.kills,0)))</f>
        <v>IGL</v>
      </c>
      <c r="V2491" t="str">
        <f t="shared" si="193"/>
        <v>High Accuracy</v>
      </c>
      <c r="W2491" t="str" cm="1">
        <f t="array" ref="W2491">_xlfn.LET(_xlpm.roles,_xlfn.UNIQUE(D2491:D5289), _xlpm.counts,COUNTIF(D2491:D5289,_xlpm.roles), INDEX(_xlpm.roles,MATCH(MAX(_xlpm.counts),_xlpm.counts,0)))</f>
        <v>IGL</v>
      </c>
      <c r="X2491" s="2">
        <f t="shared" si="194"/>
        <v>13.135802469135802</v>
      </c>
    </row>
    <row r="2492" spans="1:24" x14ac:dyDescent="0.3">
      <c r="A2492">
        <v>1080</v>
      </c>
      <c r="B2492">
        <v>445</v>
      </c>
      <c r="C2492" t="s">
        <v>16</v>
      </c>
      <c r="D2492" t="s">
        <v>31</v>
      </c>
      <c r="E2492" t="s">
        <v>23</v>
      </c>
      <c r="F2492" t="s">
        <v>37</v>
      </c>
      <c r="G2492">
        <v>11</v>
      </c>
      <c r="H2492">
        <v>9</v>
      </c>
      <c r="I2492">
        <v>14</v>
      </c>
      <c r="J2492">
        <v>42.83</v>
      </c>
      <c r="K2492">
        <v>256.25</v>
      </c>
      <c r="L2492">
        <v>0.78</v>
      </c>
      <c r="M2492">
        <v>30.61</v>
      </c>
      <c r="N2492">
        <v>0.73</v>
      </c>
      <c r="O2492" t="s">
        <v>20</v>
      </c>
      <c r="P2492" t="s">
        <v>21</v>
      </c>
      <c r="Q2492">
        <f t="shared" si="190"/>
        <v>6</v>
      </c>
      <c r="R2492" s="4">
        <f>RANK(N2492,$N$2:N$2800,0)</f>
        <v>2642</v>
      </c>
      <c r="S2492">
        <f t="shared" si="191"/>
        <v>0.7857142857142857</v>
      </c>
      <c r="T2492" t="str">
        <f t="shared" si="192"/>
        <v>Low</v>
      </c>
      <c r="U2492" t="str" cm="1">
        <f t="array" ref="U2492">_xlfn.LET(_xlpm.roles,_xlfn.UNIQUE(D2492:D5290),_xlpm.kills, SUMIF(D2492:D5290,_xlpm.roles,G2492:G5290),INDEX(_xlpm.roles,MATCH(MAX(_xlpm.kills),_xlpm.kills,0)))</f>
        <v>IGL</v>
      </c>
      <c r="V2492" t="str">
        <f t="shared" si="193"/>
        <v>Medium Accuracy</v>
      </c>
      <c r="W2492" t="str" cm="1">
        <f t="array" ref="W2492">_xlfn.LET(_xlpm.roles,_xlfn.UNIQUE(D2492:D5290), _xlpm.counts,COUNTIF(D2492:D5290,_xlpm.roles), INDEX(_xlpm.roles,MATCH(MAX(_xlpm.counts),_xlpm.counts,0)))</f>
        <v>IGL</v>
      </c>
      <c r="X2492" s="2">
        <f t="shared" si="194"/>
        <v>12.520971302428256</v>
      </c>
    </row>
    <row r="2493" spans="1:24" x14ac:dyDescent="0.3">
      <c r="A2493">
        <v>1266</v>
      </c>
      <c r="B2493">
        <v>445</v>
      </c>
      <c r="C2493" t="s">
        <v>35</v>
      </c>
      <c r="D2493" t="s">
        <v>22</v>
      </c>
      <c r="E2493" t="s">
        <v>23</v>
      </c>
      <c r="F2493" t="s">
        <v>24</v>
      </c>
      <c r="G2493">
        <v>18</v>
      </c>
      <c r="H2493">
        <v>8</v>
      </c>
      <c r="I2493">
        <v>10</v>
      </c>
      <c r="J2493">
        <v>44.4</v>
      </c>
      <c r="K2493">
        <v>199.68</v>
      </c>
      <c r="L2493">
        <v>0.18</v>
      </c>
      <c r="M2493">
        <v>54.4</v>
      </c>
      <c r="N2493">
        <v>1</v>
      </c>
      <c r="O2493" t="s">
        <v>20</v>
      </c>
      <c r="P2493" t="s">
        <v>21</v>
      </c>
      <c r="Q2493">
        <f t="shared" si="190"/>
        <v>16</v>
      </c>
      <c r="R2493" s="4">
        <f>RANK(N2493,$N$2:N$2800,0)</f>
        <v>1</v>
      </c>
      <c r="S2493">
        <f t="shared" si="191"/>
        <v>1.8</v>
      </c>
      <c r="T2493" t="str">
        <f t="shared" si="192"/>
        <v>Good</v>
      </c>
      <c r="U2493" t="str" cm="1">
        <f t="array" ref="U2493">_xlfn.LET(_xlpm.roles,_xlfn.UNIQUE(D2493:D5291),_xlpm.kills, SUMIF(D2493:D5291,_xlpm.roles,G2493:G5291),INDEX(_xlpm.roles,MATCH(MAX(_xlpm.kills),_xlpm.kills,0)))</f>
        <v>IGL</v>
      </c>
      <c r="V2493" t="str">
        <f t="shared" si="193"/>
        <v>Medium Accuracy</v>
      </c>
      <c r="W2493" t="str" cm="1">
        <f t="array" ref="W2493">_xlfn.LET(_xlpm.roles,_xlfn.UNIQUE(D2493:D5291), _xlpm.counts,COUNTIF(D2493:D5291,_xlpm.roles), INDEX(_xlpm.roles,MATCH(MAX(_xlpm.counts),_xlpm.counts,0)))</f>
        <v>IGL</v>
      </c>
      <c r="X2493" s="2">
        <f t="shared" si="194"/>
        <v>12.599585062240664</v>
      </c>
    </row>
    <row r="2494" spans="1:24" x14ac:dyDescent="0.3">
      <c r="A2494">
        <v>1379</v>
      </c>
      <c r="B2494">
        <v>445</v>
      </c>
      <c r="C2494" t="s">
        <v>27</v>
      </c>
      <c r="D2494" t="s">
        <v>31</v>
      </c>
      <c r="E2494" t="s">
        <v>32</v>
      </c>
      <c r="F2494" t="s">
        <v>37</v>
      </c>
      <c r="G2494">
        <v>20</v>
      </c>
      <c r="H2494">
        <v>11</v>
      </c>
      <c r="I2494">
        <v>9</v>
      </c>
      <c r="J2494">
        <v>35.840000000000003</v>
      </c>
      <c r="K2494">
        <v>178.56</v>
      </c>
      <c r="L2494">
        <v>0.34</v>
      </c>
      <c r="M2494">
        <v>56.52</v>
      </c>
      <c r="N2494">
        <v>1</v>
      </c>
      <c r="O2494" t="s">
        <v>20</v>
      </c>
      <c r="P2494" t="s">
        <v>21</v>
      </c>
      <c r="Q2494">
        <f t="shared" si="190"/>
        <v>22</v>
      </c>
      <c r="R2494" s="4">
        <f>RANK(N2494,$N$2:N$2800,0)</f>
        <v>1</v>
      </c>
      <c r="S2494">
        <f t="shared" si="191"/>
        <v>2.2222222222222223</v>
      </c>
      <c r="T2494" t="str">
        <f t="shared" si="192"/>
        <v>Good</v>
      </c>
      <c r="U2494" t="str" cm="1">
        <f t="array" ref="U2494">_xlfn.LET(_xlpm.roles,_xlfn.UNIQUE(D2494:D5292),_xlpm.kills, SUMIF(D2494:D5292,_xlpm.roles,G2494:G5292),INDEX(_xlpm.roles,MATCH(MAX(_xlpm.kills),_xlpm.kills,0)))</f>
        <v>IGL</v>
      </c>
      <c r="V2494" t="str">
        <f t="shared" si="193"/>
        <v>Medium Accuracy</v>
      </c>
      <c r="W2494" t="str" cm="1">
        <f t="array" ref="W2494">_xlfn.LET(_xlpm.roles,_xlfn.UNIQUE(D2494:D5292), _xlpm.counts,COUNTIF(D2494:D5292,_xlpm.roles), INDEX(_xlpm.roles,MATCH(MAX(_xlpm.counts),_xlpm.counts,0)))</f>
        <v>IGL</v>
      </c>
      <c r="X2494" s="2">
        <f t="shared" si="194"/>
        <v>13.057077625570777</v>
      </c>
    </row>
    <row r="2495" spans="1:24" x14ac:dyDescent="0.3">
      <c r="A2495">
        <v>2182</v>
      </c>
      <c r="B2495">
        <v>445</v>
      </c>
      <c r="C2495" t="s">
        <v>16</v>
      </c>
      <c r="D2495" t="s">
        <v>36</v>
      </c>
      <c r="E2495" t="s">
        <v>29</v>
      </c>
      <c r="F2495" t="s">
        <v>34</v>
      </c>
      <c r="G2495">
        <v>10</v>
      </c>
      <c r="H2495">
        <v>9</v>
      </c>
      <c r="I2495">
        <v>7</v>
      </c>
      <c r="J2495">
        <v>39.42</v>
      </c>
      <c r="K2495">
        <v>206.31</v>
      </c>
      <c r="L2495">
        <v>0.66</v>
      </c>
      <c r="M2495">
        <v>35.11</v>
      </c>
      <c r="N2495">
        <v>0.54</v>
      </c>
      <c r="O2495" t="s">
        <v>40</v>
      </c>
      <c r="P2495" t="s">
        <v>21</v>
      </c>
      <c r="Q2495">
        <f t="shared" si="190"/>
        <v>12</v>
      </c>
      <c r="R2495" s="4">
        <f>RANK(N2495,$N$2:N$2800,0)</f>
        <v>2793</v>
      </c>
      <c r="S2495">
        <f t="shared" si="191"/>
        <v>1.4285714285714286</v>
      </c>
      <c r="T2495" t="str">
        <f t="shared" si="192"/>
        <v>Low</v>
      </c>
      <c r="U2495" t="str" cm="1">
        <f t="array" ref="U2495">_xlfn.LET(_xlpm.roles,_xlfn.UNIQUE(D2495:D5293),_xlpm.kills, SUMIF(D2495:D5293,_xlpm.roles,G2495:G5293),INDEX(_xlpm.roles,MATCH(MAX(_xlpm.kills),_xlpm.kills,0)))</f>
        <v>IGL</v>
      </c>
      <c r="V2495" t="str">
        <f t="shared" si="193"/>
        <v>Medium Accuracy</v>
      </c>
      <c r="W2495" t="str" cm="1">
        <f t="array" ref="W2495">_xlfn.LET(_xlpm.roles,_xlfn.UNIQUE(D2495:D5293), _xlpm.counts,COUNTIF(D2495:D5293,_xlpm.roles), INDEX(_xlpm.roles,MATCH(MAX(_xlpm.counts),_xlpm.counts,0)))</f>
        <v>IGL</v>
      </c>
      <c r="X2495" s="2">
        <f t="shared" si="194"/>
        <v>12.520971302428256</v>
      </c>
    </row>
    <row r="2496" spans="1:24" x14ac:dyDescent="0.3">
      <c r="A2496">
        <v>1389</v>
      </c>
      <c r="B2496">
        <v>446</v>
      </c>
      <c r="C2496" t="s">
        <v>30</v>
      </c>
      <c r="D2496" t="s">
        <v>31</v>
      </c>
      <c r="E2496" t="s">
        <v>18</v>
      </c>
      <c r="F2496" t="s">
        <v>34</v>
      </c>
      <c r="G2496">
        <v>17</v>
      </c>
      <c r="H2496">
        <v>13</v>
      </c>
      <c r="I2496">
        <v>11</v>
      </c>
      <c r="J2496">
        <v>38.049999999999997</v>
      </c>
      <c r="K2496">
        <v>213.08</v>
      </c>
      <c r="L2496">
        <v>0.1</v>
      </c>
      <c r="M2496">
        <v>54.02</v>
      </c>
      <c r="N2496">
        <v>1</v>
      </c>
      <c r="O2496" t="s">
        <v>20</v>
      </c>
      <c r="P2496" t="s">
        <v>21</v>
      </c>
      <c r="Q2496">
        <f t="shared" si="190"/>
        <v>19</v>
      </c>
      <c r="R2496" s="4">
        <f>RANK(N2496,$N$2:N$2800,0)</f>
        <v>1</v>
      </c>
      <c r="S2496">
        <f t="shared" si="191"/>
        <v>1.5454545454545454</v>
      </c>
      <c r="T2496" t="str">
        <f t="shared" si="192"/>
        <v>Good</v>
      </c>
      <c r="U2496" t="str" cm="1">
        <f t="array" ref="U2496">_xlfn.LET(_xlpm.roles,_xlfn.UNIQUE(D2496:D5294),_xlpm.kills, SUMIF(D2496:D5294,_xlpm.roles,G2496:G5294),INDEX(_xlpm.roles,MATCH(MAX(_xlpm.kills),_xlpm.kills,0)))</f>
        <v>IGL</v>
      </c>
      <c r="V2496" t="str">
        <f t="shared" si="193"/>
        <v>Medium Accuracy</v>
      </c>
      <c r="W2496" t="str" cm="1">
        <f t="array" ref="W2496">_xlfn.LET(_xlpm.roles,_xlfn.UNIQUE(D2496:D5294), _xlpm.counts,COUNTIF(D2496:D5294,_xlpm.roles), INDEX(_xlpm.roles,MATCH(MAX(_xlpm.counts),_xlpm.counts,0)))</f>
        <v>IGL</v>
      </c>
      <c r="X2496" s="2">
        <f t="shared" si="194"/>
        <v>13.135802469135802</v>
      </c>
    </row>
    <row r="2497" spans="1:24" x14ac:dyDescent="0.3">
      <c r="A2497">
        <v>2180</v>
      </c>
      <c r="B2497">
        <v>446</v>
      </c>
      <c r="C2497" t="s">
        <v>30</v>
      </c>
      <c r="D2497" t="s">
        <v>17</v>
      </c>
      <c r="E2497" t="s">
        <v>33</v>
      </c>
      <c r="F2497" t="s">
        <v>37</v>
      </c>
      <c r="G2497">
        <v>16</v>
      </c>
      <c r="H2497">
        <v>14</v>
      </c>
      <c r="I2497">
        <v>14</v>
      </c>
      <c r="J2497">
        <v>33.67</v>
      </c>
      <c r="K2497">
        <v>206.06</v>
      </c>
      <c r="L2497">
        <v>0.59</v>
      </c>
      <c r="M2497">
        <v>42.94</v>
      </c>
      <c r="N2497">
        <v>1</v>
      </c>
      <c r="O2497" t="s">
        <v>20</v>
      </c>
      <c r="P2497" t="s">
        <v>21</v>
      </c>
      <c r="Q2497">
        <f t="shared" si="190"/>
        <v>16</v>
      </c>
      <c r="R2497" s="4">
        <f>RANK(N2497,$N$2:N$2800,0)</f>
        <v>1</v>
      </c>
      <c r="S2497">
        <f t="shared" si="191"/>
        <v>1.1428571428571428</v>
      </c>
      <c r="T2497" t="str">
        <f t="shared" si="192"/>
        <v>Good</v>
      </c>
      <c r="U2497" t="str" cm="1">
        <f t="array" ref="U2497">_xlfn.LET(_xlpm.roles,_xlfn.UNIQUE(D2497:D5295),_xlpm.kills, SUMIF(D2497:D5295,_xlpm.roles,G2497:G5295),INDEX(_xlpm.roles,MATCH(MAX(_xlpm.kills),_xlpm.kills,0)))</f>
        <v>IGL</v>
      </c>
      <c r="V2497" t="str">
        <f t="shared" si="193"/>
        <v>Medium Accuracy</v>
      </c>
      <c r="W2497" t="str" cm="1">
        <f t="array" ref="W2497">_xlfn.LET(_xlpm.roles,_xlfn.UNIQUE(D2497:D5295), _xlpm.counts,COUNTIF(D2497:D5295,_xlpm.roles), INDEX(_xlpm.roles,MATCH(MAX(_xlpm.counts),_xlpm.counts,0)))</f>
        <v>IGL</v>
      </c>
      <c r="X2497" s="2">
        <f t="shared" si="194"/>
        <v>13.135802469135802</v>
      </c>
    </row>
    <row r="2498" spans="1:24" x14ac:dyDescent="0.3">
      <c r="A2498">
        <v>4</v>
      </c>
      <c r="B2498">
        <v>447</v>
      </c>
      <c r="C2498" t="s">
        <v>27</v>
      </c>
      <c r="D2498" t="s">
        <v>28</v>
      </c>
      <c r="E2498" t="s">
        <v>29</v>
      </c>
      <c r="F2498" t="s">
        <v>24</v>
      </c>
      <c r="G2498">
        <v>12</v>
      </c>
      <c r="H2498">
        <v>6</v>
      </c>
      <c r="I2498">
        <v>13</v>
      </c>
      <c r="J2498">
        <v>53.46</v>
      </c>
      <c r="K2498">
        <v>246.83</v>
      </c>
      <c r="L2498">
        <v>7.0000000000000007E-2</v>
      </c>
      <c r="M2498">
        <v>43.03</v>
      </c>
      <c r="N2498">
        <v>1</v>
      </c>
      <c r="O2498" t="s">
        <v>20</v>
      </c>
      <c r="P2498" t="s">
        <v>21</v>
      </c>
      <c r="Q2498">
        <f t="shared" si="190"/>
        <v>5</v>
      </c>
      <c r="R2498" s="4">
        <f>RANK(N2498,$N$2:N$2800,0)</f>
        <v>1</v>
      </c>
      <c r="S2498">
        <f t="shared" si="191"/>
        <v>0.92307692307692313</v>
      </c>
      <c r="T2498" t="str">
        <f t="shared" si="192"/>
        <v>Low</v>
      </c>
      <c r="U2498" t="str" cm="1">
        <f t="array" ref="U2498">_xlfn.LET(_xlpm.roles,_xlfn.UNIQUE(D2498:D5296),_xlpm.kills, SUMIF(D2498:D5296,_xlpm.roles,G2498:G5296),INDEX(_xlpm.roles,MATCH(MAX(_xlpm.kills),_xlpm.kills,0)))</f>
        <v>IGL</v>
      </c>
      <c r="V2498" t="str">
        <f t="shared" si="193"/>
        <v>High Accuracy</v>
      </c>
      <c r="W2498" t="str" cm="1">
        <f t="array" ref="W2498">_xlfn.LET(_xlpm.roles,_xlfn.UNIQUE(D2498:D5296), _xlpm.counts,COUNTIF(D2498:D5296,_xlpm.roles), INDEX(_xlpm.roles,MATCH(MAX(_xlpm.counts),_xlpm.counts,0)))</f>
        <v>IGL</v>
      </c>
      <c r="X2498" s="2">
        <f t="shared" si="194"/>
        <v>13.057077625570777</v>
      </c>
    </row>
    <row r="2499" spans="1:24" x14ac:dyDescent="0.3">
      <c r="A2499">
        <v>264</v>
      </c>
      <c r="B2499">
        <v>447</v>
      </c>
      <c r="C2499" t="s">
        <v>27</v>
      </c>
      <c r="D2499" t="s">
        <v>17</v>
      </c>
      <c r="E2499" t="s">
        <v>23</v>
      </c>
      <c r="F2499" t="s">
        <v>37</v>
      </c>
      <c r="G2499">
        <v>13</v>
      </c>
      <c r="H2499">
        <v>9</v>
      </c>
      <c r="I2499">
        <v>17</v>
      </c>
      <c r="J2499">
        <v>42.42</v>
      </c>
      <c r="K2499">
        <v>248.49</v>
      </c>
      <c r="L2499">
        <v>0.53</v>
      </c>
      <c r="M2499">
        <v>33.909999999999997</v>
      </c>
      <c r="N2499">
        <v>0.83</v>
      </c>
      <c r="O2499" t="s">
        <v>20</v>
      </c>
      <c r="P2499" t="s">
        <v>21</v>
      </c>
      <c r="Q2499">
        <f t="shared" ref="Q2499:Q2562" si="195">G2499+H2499-I2499</f>
        <v>5</v>
      </c>
      <c r="R2499" s="4">
        <f>RANK(N2499,$N$2:N$2800,0)</f>
        <v>2218</v>
      </c>
      <c r="S2499">
        <f t="shared" ref="S2499:S2562" si="196">G2499/I2499</f>
        <v>0.76470588235294112</v>
      </c>
      <c r="T2499" t="str">
        <f t="shared" ref="T2499:T2562" si="197">IF(Q2499&lt;15,"Low",IF(Q2499&lt;25,"Good","Excellent"))</f>
        <v>Low</v>
      </c>
      <c r="U2499" t="str" cm="1">
        <f t="array" ref="U2499">_xlfn.LET(_xlpm.roles,_xlfn.UNIQUE(D2499:D5297),_xlpm.kills, SUMIF(D2499:D5297,_xlpm.roles,G2499:G5297),INDEX(_xlpm.roles,MATCH(MAX(_xlpm.kills),_xlpm.kills,0)))</f>
        <v>IGL</v>
      </c>
      <c r="V2499" t="str">
        <f t="shared" ref="V2499:V2562" si="198">IF(J2499&gt;=50,"High Accuracy",IF(J2499&gt;=30,"Medium Accuracy","Low Accuracy"))</f>
        <v>Medium Accuracy</v>
      </c>
      <c r="W2499" t="str" cm="1">
        <f t="array" ref="W2499">_xlfn.LET(_xlpm.roles,_xlfn.UNIQUE(D2499:D5297), _xlpm.counts,COUNTIF(D2499:D5297,_xlpm.roles), INDEX(_xlpm.roles,MATCH(MAX(_xlpm.counts),_xlpm.counts,0)))</f>
        <v>IGL</v>
      </c>
      <c r="X2499" s="2">
        <f t="shared" ref="X2499:X2562" si="199">AVERAGEIF($C$2:$C$2800,C2499,$Q$2:$Q$2800)</f>
        <v>13.057077625570777</v>
      </c>
    </row>
    <row r="2500" spans="1:24" x14ac:dyDescent="0.3">
      <c r="A2500">
        <v>457</v>
      </c>
      <c r="B2500">
        <v>447</v>
      </c>
      <c r="C2500" t="s">
        <v>35</v>
      </c>
      <c r="D2500" t="s">
        <v>22</v>
      </c>
      <c r="E2500" t="s">
        <v>29</v>
      </c>
      <c r="F2500" t="s">
        <v>24</v>
      </c>
      <c r="G2500">
        <v>17</v>
      </c>
      <c r="H2500">
        <v>14</v>
      </c>
      <c r="I2500">
        <v>8</v>
      </c>
      <c r="J2500">
        <v>37.36</v>
      </c>
      <c r="K2500">
        <v>235.55</v>
      </c>
      <c r="L2500">
        <v>0.34</v>
      </c>
      <c r="M2500">
        <v>55.28</v>
      </c>
      <c r="N2500">
        <v>1</v>
      </c>
      <c r="O2500" t="s">
        <v>20</v>
      </c>
      <c r="P2500" t="s">
        <v>21</v>
      </c>
      <c r="Q2500">
        <f t="shared" si="195"/>
        <v>23</v>
      </c>
      <c r="R2500" s="4">
        <f>RANK(N2500,$N$2:N$2800,0)</f>
        <v>1</v>
      </c>
      <c r="S2500">
        <f t="shared" si="196"/>
        <v>2.125</v>
      </c>
      <c r="T2500" t="str">
        <f t="shared" si="197"/>
        <v>Good</v>
      </c>
      <c r="U2500" t="str" cm="1">
        <f t="array" ref="U2500">_xlfn.LET(_xlpm.roles,_xlfn.UNIQUE(D2500:D5298),_xlpm.kills, SUMIF(D2500:D5298,_xlpm.roles,G2500:G5298),INDEX(_xlpm.roles,MATCH(MAX(_xlpm.kills),_xlpm.kills,0)))</f>
        <v>IGL</v>
      </c>
      <c r="V2500" t="str">
        <f t="shared" si="198"/>
        <v>Medium Accuracy</v>
      </c>
      <c r="W2500" t="str" cm="1">
        <f t="array" ref="W2500">_xlfn.LET(_xlpm.roles,_xlfn.UNIQUE(D2500:D5298), _xlpm.counts,COUNTIF(D2500:D5298,_xlpm.roles), INDEX(_xlpm.roles,MATCH(MAX(_xlpm.counts),_xlpm.counts,0)))</f>
        <v>IGL</v>
      </c>
      <c r="X2500" s="2">
        <f t="shared" si="199"/>
        <v>12.599585062240664</v>
      </c>
    </row>
    <row r="2501" spans="1:24" x14ac:dyDescent="0.3">
      <c r="A2501">
        <v>902</v>
      </c>
      <c r="B2501">
        <v>447</v>
      </c>
      <c r="C2501" t="s">
        <v>35</v>
      </c>
      <c r="D2501" t="s">
        <v>36</v>
      </c>
      <c r="E2501" t="s">
        <v>32</v>
      </c>
      <c r="F2501" t="s">
        <v>37</v>
      </c>
      <c r="G2501">
        <v>13</v>
      </c>
      <c r="H2501">
        <v>10</v>
      </c>
      <c r="I2501">
        <v>10</v>
      </c>
      <c r="J2501">
        <v>30.06</v>
      </c>
      <c r="K2501">
        <v>241.03</v>
      </c>
      <c r="L2501">
        <v>0.08</v>
      </c>
      <c r="M2501">
        <v>40.229999999999997</v>
      </c>
      <c r="N2501">
        <v>0.81</v>
      </c>
      <c r="O2501" t="s">
        <v>20</v>
      </c>
      <c r="P2501" t="s">
        <v>21</v>
      </c>
      <c r="Q2501">
        <f t="shared" si="195"/>
        <v>13</v>
      </c>
      <c r="R2501" s="4">
        <f>RANK(N2501,$N$2:N$2800,0)</f>
        <v>2341</v>
      </c>
      <c r="S2501">
        <f t="shared" si="196"/>
        <v>1.3</v>
      </c>
      <c r="T2501" t="str">
        <f t="shared" si="197"/>
        <v>Low</v>
      </c>
      <c r="U2501" t="str" cm="1">
        <f t="array" ref="U2501">_xlfn.LET(_xlpm.roles,_xlfn.UNIQUE(D2501:D5299),_xlpm.kills, SUMIF(D2501:D5299,_xlpm.roles,G2501:G5299),INDEX(_xlpm.roles,MATCH(MAX(_xlpm.kills),_xlpm.kills,0)))</f>
        <v>IGL</v>
      </c>
      <c r="V2501" t="str">
        <f t="shared" si="198"/>
        <v>Medium Accuracy</v>
      </c>
      <c r="W2501" t="str" cm="1">
        <f t="array" ref="W2501">_xlfn.LET(_xlpm.roles,_xlfn.UNIQUE(D2501:D5299), _xlpm.counts,COUNTIF(D2501:D5299,_xlpm.roles), INDEX(_xlpm.roles,MATCH(MAX(_xlpm.counts),_xlpm.counts,0)))</f>
        <v>IGL</v>
      </c>
      <c r="X2501" s="2">
        <f t="shared" si="199"/>
        <v>12.599585062240664</v>
      </c>
    </row>
    <row r="2502" spans="1:24" x14ac:dyDescent="0.3">
      <c r="A2502">
        <v>1499</v>
      </c>
      <c r="B2502">
        <v>447</v>
      </c>
      <c r="C2502" t="s">
        <v>35</v>
      </c>
      <c r="D2502" t="s">
        <v>17</v>
      </c>
      <c r="E2502" t="s">
        <v>29</v>
      </c>
      <c r="F2502" t="s">
        <v>24</v>
      </c>
      <c r="G2502">
        <v>11</v>
      </c>
      <c r="H2502">
        <v>8</v>
      </c>
      <c r="I2502">
        <v>11</v>
      </c>
      <c r="J2502">
        <v>45.45</v>
      </c>
      <c r="K2502">
        <v>191.39</v>
      </c>
      <c r="L2502">
        <v>0.68</v>
      </c>
      <c r="M2502">
        <v>34.92</v>
      </c>
      <c r="N2502">
        <v>0.81</v>
      </c>
      <c r="O2502" t="s">
        <v>20</v>
      </c>
      <c r="P2502" t="s">
        <v>21</v>
      </c>
      <c r="Q2502">
        <f t="shared" si="195"/>
        <v>8</v>
      </c>
      <c r="R2502" s="4">
        <f>RANK(N2502,$N$2:N$2800,0)</f>
        <v>2341</v>
      </c>
      <c r="S2502">
        <f t="shared" si="196"/>
        <v>1</v>
      </c>
      <c r="T2502" t="str">
        <f t="shared" si="197"/>
        <v>Low</v>
      </c>
      <c r="U2502" t="str" cm="1">
        <f t="array" ref="U2502">_xlfn.LET(_xlpm.roles,_xlfn.UNIQUE(D2502:D5300),_xlpm.kills, SUMIF(D2502:D5300,_xlpm.roles,G2502:G5300),INDEX(_xlpm.roles,MATCH(MAX(_xlpm.kills),_xlpm.kills,0)))</f>
        <v>IGL</v>
      </c>
      <c r="V2502" t="str">
        <f t="shared" si="198"/>
        <v>Medium Accuracy</v>
      </c>
      <c r="W2502" t="str" cm="1">
        <f t="array" ref="W2502">_xlfn.LET(_xlpm.roles,_xlfn.UNIQUE(D2502:D5300), _xlpm.counts,COUNTIF(D2502:D5300,_xlpm.roles), INDEX(_xlpm.roles,MATCH(MAX(_xlpm.counts),_xlpm.counts,0)))</f>
        <v>IGL</v>
      </c>
      <c r="X2502" s="2">
        <f t="shared" si="199"/>
        <v>12.599585062240664</v>
      </c>
    </row>
    <row r="2503" spans="1:24" x14ac:dyDescent="0.3">
      <c r="A2503">
        <v>1779</v>
      </c>
      <c r="B2503">
        <v>447</v>
      </c>
      <c r="C2503" t="s">
        <v>30</v>
      </c>
      <c r="D2503" t="s">
        <v>31</v>
      </c>
      <c r="E2503" t="s">
        <v>33</v>
      </c>
      <c r="F2503" t="s">
        <v>24</v>
      </c>
      <c r="G2503">
        <v>13</v>
      </c>
      <c r="H2503">
        <v>9</v>
      </c>
      <c r="I2503">
        <v>13</v>
      </c>
      <c r="J2503">
        <v>41.59</v>
      </c>
      <c r="K2503">
        <v>175.71</v>
      </c>
      <c r="L2503">
        <v>0.7</v>
      </c>
      <c r="M2503">
        <v>35.799999999999997</v>
      </c>
      <c r="N2503">
        <v>0.85</v>
      </c>
      <c r="O2503" t="s">
        <v>20</v>
      </c>
      <c r="P2503" t="s">
        <v>21</v>
      </c>
      <c r="Q2503">
        <f t="shared" si="195"/>
        <v>9</v>
      </c>
      <c r="R2503" s="4">
        <f>RANK(N2503,$N$2:N$2800,0)</f>
        <v>2105</v>
      </c>
      <c r="S2503">
        <f t="shared" si="196"/>
        <v>1</v>
      </c>
      <c r="T2503" t="str">
        <f t="shared" si="197"/>
        <v>Low</v>
      </c>
      <c r="U2503" t="str" cm="1">
        <f t="array" ref="U2503">_xlfn.LET(_xlpm.roles,_xlfn.UNIQUE(D2503:D5301),_xlpm.kills, SUMIF(D2503:D5301,_xlpm.roles,G2503:G5301),INDEX(_xlpm.roles,MATCH(MAX(_xlpm.kills),_xlpm.kills,0)))</f>
        <v>IGL</v>
      </c>
      <c r="V2503" t="str">
        <f t="shared" si="198"/>
        <v>Medium Accuracy</v>
      </c>
      <c r="W2503" t="str" cm="1">
        <f t="array" ref="W2503">_xlfn.LET(_xlpm.roles,_xlfn.UNIQUE(D2503:D5301), _xlpm.counts,COUNTIF(D2503:D5301,_xlpm.roles), INDEX(_xlpm.roles,MATCH(MAX(_xlpm.counts),_xlpm.counts,0)))</f>
        <v>IGL</v>
      </c>
      <c r="X2503" s="2">
        <f t="shared" si="199"/>
        <v>13.135802469135802</v>
      </c>
    </row>
    <row r="2504" spans="1:24" x14ac:dyDescent="0.3">
      <c r="A2504">
        <v>2149</v>
      </c>
      <c r="B2504">
        <v>447</v>
      </c>
      <c r="C2504" t="s">
        <v>16</v>
      </c>
      <c r="D2504" t="s">
        <v>17</v>
      </c>
      <c r="E2504" t="s">
        <v>29</v>
      </c>
      <c r="F2504" t="s">
        <v>26</v>
      </c>
      <c r="G2504">
        <v>18</v>
      </c>
      <c r="H2504">
        <v>6</v>
      </c>
      <c r="I2504">
        <v>10</v>
      </c>
      <c r="J2504">
        <v>53.59</v>
      </c>
      <c r="K2504">
        <v>163.28</v>
      </c>
      <c r="L2504">
        <v>0.46</v>
      </c>
      <c r="M2504">
        <v>54.2</v>
      </c>
      <c r="N2504">
        <v>0.99</v>
      </c>
      <c r="O2504" t="s">
        <v>20</v>
      </c>
      <c r="P2504" t="s">
        <v>21</v>
      </c>
      <c r="Q2504">
        <f t="shared" si="195"/>
        <v>14</v>
      </c>
      <c r="R2504" s="4">
        <f>RANK(N2504,$N$2:N$2800,0)</f>
        <v>1080</v>
      </c>
      <c r="S2504">
        <f t="shared" si="196"/>
        <v>1.8</v>
      </c>
      <c r="T2504" t="str">
        <f t="shared" si="197"/>
        <v>Low</v>
      </c>
      <c r="U2504" t="str" cm="1">
        <f t="array" ref="U2504">_xlfn.LET(_xlpm.roles,_xlfn.UNIQUE(D2504:D5302),_xlpm.kills, SUMIF(D2504:D5302,_xlpm.roles,G2504:G5302),INDEX(_xlpm.roles,MATCH(MAX(_xlpm.kills),_xlpm.kills,0)))</f>
        <v>IGL</v>
      </c>
      <c r="V2504" t="str">
        <f t="shared" si="198"/>
        <v>High Accuracy</v>
      </c>
      <c r="W2504" t="str" cm="1">
        <f t="array" ref="W2504">_xlfn.LET(_xlpm.roles,_xlfn.UNIQUE(D2504:D5302), _xlpm.counts,COUNTIF(D2504:D5302,_xlpm.roles), INDEX(_xlpm.roles,MATCH(MAX(_xlpm.counts),_xlpm.counts,0)))</f>
        <v>IGL</v>
      </c>
      <c r="X2504" s="2">
        <f t="shared" si="199"/>
        <v>12.520971302428256</v>
      </c>
    </row>
    <row r="2505" spans="1:24" x14ac:dyDescent="0.3">
      <c r="A2505">
        <v>2304</v>
      </c>
      <c r="B2505">
        <v>447</v>
      </c>
      <c r="C2505" t="s">
        <v>27</v>
      </c>
      <c r="D2505" t="s">
        <v>17</v>
      </c>
      <c r="E2505" t="s">
        <v>18</v>
      </c>
      <c r="F2505" t="s">
        <v>37</v>
      </c>
      <c r="G2505">
        <v>18</v>
      </c>
      <c r="H2505">
        <v>8</v>
      </c>
      <c r="I2505">
        <v>10</v>
      </c>
      <c r="J2505">
        <v>43.44</v>
      </c>
      <c r="K2505">
        <v>163.74</v>
      </c>
      <c r="L2505">
        <v>0.46</v>
      </c>
      <c r="M2505">
        <v>51.12</v>
      </c>
      <c r="N2505">
        <v>0.85</v>
      </c>
      <c r="O2505" t="s">
        <v>20</v>
      </c>
      <c r="P2505" t="s">
        <v>21</v>
      </c>
      <c r="Q2505">
        <f t="shared" si="195"/>
        <v>16</v>
      </c>
      <c r="R2505" s="4">
        <f>RANK(N2505,$N$2:N$2800,0)</f>
        <v>2105</v>
      </c>
      <c r="S2505">
        <f t="shared" si="196"/>
        <v>1.8</v>
      </c>
      <c r="T2505" t="str">
        <f t="shared" si="197"/>
        <v>Good</v>
      </c>
      <c r="U2505" t="str" cm="1">
        <f t="array" ref="U2505">_xlfn.LET(_xlpm.roles,_xlfn.UNIQUE(D2505:D5303),_xlpm.kills, SUMIF(D2505:D5303,_xlpm.roles,G2505:G5303),INDEX(_xlpm.roles,MATCH(MAX(_xlpm.kills),_xlpm.kills,0)))</f>
        <v>IGL</v>
      </c>
      <c r="V2505" t="str">
        <f t="shared" si="198"/>
        <v>Medium Accuracy</v>
      </c>
      <c r="W2505" t="str" cm="1">
        <f t="array" ref="W2505">_xlfn.LET(_xlpm.roles,_xlfn.UNIQUE(D2505:D5303), _xlpm.counts,COUNTIF(D2505:D5303,_xlpm.roles), INDEX(_xlpm.roles,MATCH(MAX(_xlpm.counts),_xlpm.counts,0)))</f>
        <v>IGL</v>
      </c>
      <c r="X2505" s="2">
        <f t="shared" si="199"/>
        <v>13.057077625570777</v>
      </c>
    </row>
    <row r="2506" spans="1:24" x14ac:dyDescent="0.3">
      <c r="A2506">
        <v>2414</v>
      </c>
      <c r="B2506">
        <v>447</v>
      </c>
      <c r="C2506" t="s">
        <v>25</v>
      </c>
      <c r="D2506" t="s">
        <v>17</v>
      </c>
      <c r="E2506" t="s">
        <v>32</v>
      </c>
      <c r="F2506" t="s">
        <v>37</v>
      </c>
      <c r="G2506">
        <v>15</v>
      </c>
      <c r="H2506">
        <v>7</v>
      </c>
      <c r="I2506">
        <v>11</v>
      </c>
      <c r="J2506">
        <v>57.27</v>
      </c>
      <c r="K2506">
        <v>208.15</v>
      </c>
      <c r="L2506">
        <v>0.09</v>
      </c>
      <c r="M2506">
        <v>53.74</v>
      </c>
      <c r="N2506">
        <v>1</v>
      </c>
      <c r="O2506" t="s">
        <v>20</v>
      </c>
      <c r="P2506" t="s">
        <v>21</v>
      </c>
      <c r="Q2506">
        <f t="shared" si="195"/>
        <v>11</v>
      </c>
      <c r="R2506" s="4">
        <f>RANK(N2506,$N$2:N$2800,0)</f>
        <v>1</v>
      </c>
      <c r="S2506">
        <f t="shared" si="196"/>
        <v>1.3636363636363635</v>
      </c>
      <c r="T2506" t="str">
        <f t="shared" si="197"/>
        <v>Low</v>
      </c>
      <c r="U2506" t="str" cm="1">
        <f t="array" ref="U2506">_xlfn.LET(_xlpm.roles,_xlfn.UNIQUE(D2506:D5304),_xlpm.kills, SUMIF(D2506:D5304,_xlpm.roles,G2506:G5304),INDEX(_xlpm.roles,MATCH(MAX(_xlpm.kills),_xlpm.kills,0)))</f>
        <v>IGL</v>
      </c>
      <c r="V2506" t="str">
        <f t="shared" si="198"/>
        <v>High Accuracy</v>
      </c>
      <c r="W2506" t="str" cm="1">
        <f t="array" ref="W2506">_xlfn.LET(_xlpm.roles,_xlfn.UNIQUE(D2506:D5304), _xlpm.counts,COUNTIF(D2506:D5304,_xlpm.roles), INDEX(_xlpm.roles,MATCH(MAX(_xlpm.counts),_xlpm.counts,0)))</f>
        <v>IGL</v>
      </c>
      <c r="X2506" s="2">
        <f t="shared" si="199"/>
        <v>12.809421841541756</v>
      </c>
    </row>
    <row r="2507" spans="1:24" x14ac:dyDescent="0.3">
      <c r="A2507">
        <v>2775</v>
      </c>
      <c r="B2507">
        <v>447</v>
      </c>
      <c r="C2507" t="s">
        <v>16</v>
      </c>
      <c r="D2507" t="s">
        <v>36</v>
      </c>
      <c r="E2507" t="s">
        <v>33</v>
      </c>
      <c r="F2507" t="s">
        <v>26</v>
      </c>
      <c r="G2507">
        <v>21</v>
      </c>
      <c r="H2507">
        <v>9</v>
      </c>
      <c r="I2507">
        <v>9</v>
      </c>
      <c r="J2507">
        <v>42.03</v>
      </c>
      <c r="K2507">
        <v>189.07</v>
      </c>
      <c r="L2507">
        <v>0.18</v>
      </c>
      <c r="M2507">
        <v>61.22</v>
      </c>
      <c r="N2507">
        <v>1</v>
      </c>
      <c r="O2507" t="s">
        <v>20</v>
      </c>
      <c r="P2507" t="s">
        <v>38</v>
      </c>
      <c r="Q2507">
        <f t="shared" si="195"/>
        <v>21</v>
      </c>
      <c r="R2507" s="4">
        <f>RANK(N2507,$N$2:N$2800,0)</f>
        <v>1</v>
      </c>
      <c r="S2507">
        <f t="shared" si="196"/>
        <v>2.3333333333333335</v>
      </c>
      <c r="T2507" t="str">
        <f t="shared" si="197"/>
        <v>Good</v>
      </c>
      <c r="U2507" t="str" cm="1">
        <f t="array" ref="U2507">_xlfn.LET(_xlpm.roles,_xlfn.UNIQUE(D2507:D5305),_xlpm.kills, SUMIF(D2507:D5305,_xlpm.roles,G2507:G5305),INDEX(_xlpm.roles,MATCH(MAX(_xlpm.kills),_xlpm.kills,0)))</f>
        <v>IGL</v>
      </c>
      <c r="V2507" t="str">
        <f t="shared" si="198"/>
        <v>Medium Accuracy</v>
      </c>
      <c r="W2507" t="str" cm="1">
        <f t="array" ref="W2507">_xlfn.LET(_xlpm.roles,_xlfn.UNIQUE(D2507:D5305), _xlpm.counts,COUNTIF(D2507:D5305,_xlpm.roles), INDEX(_xlpm.roles,MATCH(MAX(_xlpm.counts),_xlpm.counts,0)))</f>
        <v>IGL</v>
      </c>
      <c r="X2507" s="2">
        <f t="shared" si="199"/>
        <v>12.520971302428256</v>
      </c>
    </row>
    <row r="2508" spans="1:24" x14ac:dyDescent="0.3">
      <c r="A2508">
        <v>655</v>
      </c>
      <c r="B2508">
        <v>448</v>
      </c>
      <c r="C2508" t="s">
        <v>27</v>
      </c>
      <c r="D2508" t="s">
        <v>28</v>
      </c>
      <c r="E2508" t="s">
        <v>29</v>
      </c>
      <c r="F2508" t="s">
        <v>37</v>
      </c>
      <c r="G2508">
        <v>13</v>
      </c>
      <c r="H2508">
        <v>7</v>
      </c>
      <c r="I2508">
        <v>14</v>
      </c>
      <c r="J2508">
        <v>48.43</v>
      </c>
      <c r="K2508">
        <v>160.18</v>
      </c>
      <c r="L2508">
        <v>0.21</v>
      </c>
      <c r="M2508">
        <v>41.12</v>
      </c>
      <c r="N2508">
        <v>0.97</v>
      </c>
      <c r="O2508" t="s">
        <v>20</v>
      </c>
      <c r="P2508" t="s">
        <v>21</v>
      </c>
      <c r="Q2508">
        <f t="shared" si="195"/>
        <v>6</v>
      </c>
      <c r="R2508" s="4">
        <f>RANK(N2508,$N$2:N$2800,0)</f>
        <v>1243</v>
      </c>
      <c r="S2508">
        <f t="shared" si="196"/>
        <v>0.9285714285714286</v>
      </c>
      <c r="T2508" t="str">
        <f t="shared" si="197"/>
        <v>Low</v>
      </c>
      <c r="U2508" t="str" cm="1">
        <f t="array" ref="U2508">_xlfn.LET(_xlpm.roles,_xlfn.UNIQUE(D2508:D5306),_xlpm.kills, SUMIF(D2508:D5306,_xlpm.roles,G2508:G5306),INDEX(_xlpm.roles,MATCH(MAX(_xlpm.kills),_xlpm.kills,0)))</f>
        <v>IGL</v>
      </c>
      <c r="V2508" t="str">
        <f t="shared" si="198"/>
        <v>Medium Accuracy</v>
      </c>
      <c r="W2508" t="str" cm="1">
        <f t="array" ref="W2508">_xlfn.LET(_xlpm.roles,_xlfn.UNIQUE(D2508:D5306), _xlpm.counts,COUNTIF(D2508:D5306,_xlpm.roles), INDEX(_xlpm.roles,MATCH(MAX(_xlpm.counts),_xlpm.counts,0)))</f>
        <v>IGL</v>
      </c>
      <c r="X2508" s="2">
        <f t="shared" si="199"/>
        <v>13.057077625570777</v>
      </c>
    </row>
    <row r="2509" spans="1:24" x14ac:dyDescent="0.3">
      <c r="A2509">
        <v>728</v>
      </c>
      <c r="B2509">
        <v>448</v>
      </c>
      <c r="C2509" t="s">
        <v>35</v>
      </c>
      <c r="D2509" t="s">
        <v>22</v>
      </c>
      <c r="E2509" t="s">
        <v>23</v>
      </c>
      <c r="F2509" t="s">
        <v>34</v>
      </c>
      <c r="G2509">
        <v>18</v>
      </c>
      <c r="H2509">
        <v>8</v>
      </c>
      <c r="I2509">
        <v>6</v>
      </c>
      <c r="J2509">
        <v>46.62</v>
      </c>
      <c r="K2509">
        <v>228.46</v>
      </c>
      <c r="L2509">
        <v>0.79</v>
      </c>
      <c r="M2509">
        <v>53.41</v>
      </c>
      <c r="N2509">
        <v>0.89</v>
      </c>
      <c r="O2509" t="s">
        <v>20</v>
      </c>
      <c r="P2509" t="s">
        <v>21</v>
      </c>
      <c r="Q2509">
        <f t="shared" si="195"/>
        <v>20</v>
      </c>
      <c r="R2509" s="4">
        <f>RANK(N2509,$N$2:N$2800,0)</f>
        <v>1815</v>
      </c>
      <c r="S2509">
        <f t="shared" si="196"/>
        <v>3</v>
      </c>
      <c r="T2509" t="str">
        <f t="shared" si="197"/>
        <v>Good</v>
      </c>
      <c r="U2509" t="str" cm="1">
        <f t="array" ref="U2509">_xlfn.LET(_xlpm.roles,_xlfn.UNIQUE(D2509:D5307),_xlpm.kills, SUMIF(D2509:D5307,_xlpm.roles,G2509:G5307),INDEX(_xlpm.roles,MATCH(MAX(_xlpm.kills),_xlpm.kills,0)))</f>
        <v>IGL</v>
      </c>
      <c r="V2509" t="str">
        <f t="shared" si="198"/>
        <v>Medium Accuracy</v>
      </c>
      <c r="W2509" t="str" cm="1">
        <f t="array" ref="W2509">_xlfn.LET(_xlpm.roles,_xlfn.UNIQUE(D2509:D5307), _xlpm.counts,COUNTIF(D2509:D5307,_xlpm.roles), INDEX(_xlpm.roles,MATCH(MAX(_xlpm.counts),_xlpm.counts,0)))</f>
        <v>IGL</v>
      </c>
      <c r="X2509" s="2">
        <f t="shared" si="199"/>
        <v>12.599585062240664</v>
      </c>
    </row>
    <row r="2510" spans="1:24" x14ac:dyDescent="0.3">
      <c r="A2510">
        <v>794</v>
      </c>
      <c r="B2510">
        <v>448</v>
      </c>
      <c r="C2510" t="s">
        <v>25</v>
      </c>
      <c r="D2510" t="s">
        <v>36</v>
      </c>
      <c r="E2510" t="s">
        <v>23</v>
      </c>
      <c r="F2510" t="s">
        <v>24</v>
      </c>
      <c r="G2510">
        <v>16</v>
      </c>
      <c r="H2510">
        <v>11</v>
      </c>
      <c r="I2510">
        <v>9</v>
      </c>
      <c r="J2510">
        <v>53.89</v>
      </c>
      <c r="K2510">
        <v>219.99</v>
      </c>
      <c r="L2510">
        <v>0.21</v>
      </c>
      <c r="M2510">
        <v>58.84</v>
      </c>
      <c r="N2510">
        <v>1</v>
      </c>
      <c r="O2510" t="s">
        <v>20</v>
      </c>
      <c r="P2510" t="s">
        <v>21</v>
      </c>
      <c r="Q2510">
        <f t="shared" si="195"/>
        <v>18</v>
      </c>
      <c r="R2510" s="4">
        <f>RANK(N2510,$N$2:N$2800,0)</f>
        <v>1</v>
      </c>
      <c r="S2510">
        <f t="shared" si="196"/>
        <v>1.7777777777777777</v>
      </c>
      <c r="T2510" t="str">
        <f t="shared" si="197"/>
        <v>Good</v>
      </c>
      <c r="U2510" t="str" cm="1">
        <f t="array" ref="U2510">_xlfn.LET(_xlpm.roles,_xlfn.UNIQUE(D2510:D5308),_xlpm.kills, SUMIF(D2510:D5308,_xlpm.roles,G2510:G5308),INDEX(_xlpm.roles,MATCH(MAX(_xlpm.kills),_xlpm.kills,0)))</f>
        <v>IGL</v>
      </c>
      <c r="V2510" t="str">
        <f t="shared" si="198"/>
        <v>High Accuracy</v>
      </c>
      <c r="W2510" t="str" cm="1">
        <f t="array" ref="W2510">_xlfn.LET(_xlpm.roles,_xlfn.UNIQUE(D2510:D5308), _xlpm.counts,COUNTIF(D2510:D5308,_xlpm.roles), INDEX(_xlpm.roles,MATCH(MAX(_xlpm.counts),_xlpm.counts,0)))</f>
        <v>IGL</v>
      </c>
      <c r="X2510" s="2">
        <f t="shared" si="199"/>
        <v>12.809421841541756</v>
      </c>
    </row>
    <row r="2511" spans="1:24" x14ac:dyDescent="0.3">
      <c r="A2511">
        <v>1715</v>
      </c>
      <c r="B2511">
        <v>448</v>
      </c>
      <c r="C2511" t="s">
        <v>39</v>
      </c>
      <c r="D2511" t="s">
        <v>28</v>
      </c>
      <c r="E2511" t="s">
        <v>32</v>
      </c>
      <c r="F2511" t="s">
        <v>26</v>
      </c>
      <c r="G2511">
        <v>18</v>
      </c>
      <c r="H2511">
        <v>1</v>
      </c>
      <c r="I2511">
        <v>7</v>
      </c>
      <c r="J2511">
        <v>63.48</v>
      </c>
      <c r="K2511">
        <v>185.8</v>
      </c>
      <c r="L2511">
        <v>0.77</v>
      </c>
      <c r="M2511">
        <v>54.04</v>
      </c>
      <c r="N2511">
        <v>0.93</v>
      </c>
      <c r="O2511" t="s">
        <v>20</v>
      </c>
      <c r="P2511" t="s">
        <v>21</v>
      </c>
      <c r="Q2511">
        <f t="shared" si="195"/>
        <v>12</v>
      </c>
      <c r="R2511" s="4">
        <f>RANK(N2511,$N$2:N$2800,0)</f>
        <v>1505</v>
      </c>
      <c r="S2511">
        <f t="shared" si="196"/>
        <v>2.5714285714285716</v>
      </c>
      <c r="T2511" t="str">
        <f t="shared" si="197"/>
        <v>Low</v>
      </c>
      <c r="U2511" t="str" cm="1">
        <f t="array" ref="U2511">_xlfn.LET(_xlpm.roles,_xlfn.UNIQUE(D2511:D5309),_xlpm.kills, SUMIF(D2511:D5309,_xlpm.roles,G2511:G5309),INDEX(_xlpm.roles,MATCH(MAX(_xlpm.kills),_xlpm.kills,0)))</f>
        <v>IGL</v>
      </c>
      <c r="V2511" t="str">
        <f t="shared" si="198"/>
        <v>High Accuracy</v>
      </c>
      <c r="W2511" t="str" cm="1">
        <f t="array" ref="W2511">_xlfn.LET(_xlpm.roles,_xlfn.UNIQUE(D2511:D5309), _xlpm.counts,COUNTIF(D2511:D5309,_xlpm.roles), INDEX(_xlpm.roles,MATCH(MAX(_xlpm.counts),_xlpm.counts,0)))</f>
        <v>IGL</v>
      </c>
      <c r="X2511" s="2">
        <f t="shared" si="199"/>
        <v>13.103594080338267</v>
      </c>
    </row>
    <row r="2512" spans="1:24" x14ac:dyDescent="0.3">
      <c r="A2512">
        <v>2552</v>
      </c>
      <c r="B2512">
        <v>448</v>
      </c>
      <c r="C2512" t="s">
        <v>35</v>
      </c>
      <c r="D2512" t="s">
        <v>17</v>
      </c>
      <c r="E2512" t="s">
        <v>23</v>
      </c>
      <c r="F2512" t="s">
        <v>24</v>
      </c>
      <c r="G2512">
        <v>13</v>
      </c>
      <c r="H2512">
        <v>4</v>
      </c>
      <c r="I2512">
        <v>10</v>
      </c>
      <c r="J2512">
        <v>41.52</v>
      </c>
      <c r="K2512">
        <v>282.10000000000002</v>
      </c>
      <c r="L2512">
        <v>0.16</v>
      </c>
      <c r="M2512">
        <v>39.159999999999997</v>
      </c>
      <c r="N2512">
        <v>0.82</v>
      </c>
      <c r="O2512" t="s">
        <v>20</v>
      </c>
      <c r="P2512" t="s">
        <v>21</v>
      </c>
      <c r="Q2512">
        <f t="shared" si="195"/>
        <v>7</v>
      </c>
      <c r="R2512" s="4">
        <f>RANK(N2512,$N$2:N$2800,0)</f>
        <v>2275</v>
      </c>
      <c r="S2512">
        <f t="shared" si="196"/>
        <v>1.3</v>
      </c>
      <c r="T2512" t="str">
        <f t="shared" si="197"/>
        <v>Low</v>
      </c>
      <c r="U2512" t="str" cm="1">
        <f t="array" ref="U2512">_xlfn.LET(_xlpm.roles,_xlfn.UNIQUE(D2512:D5310),_xlpm.kills, SUMIF(D2512:D5310,_xlpm.roles,G2512:G5310),INDEX(_xlpm.roles,MATCH(MAX(_xlpm.kills),_xlpm.kills,0)))</f>
        <v>IGL</v>
      </c>
      <c r="V2512" t="str">
        <f t="shared" si="198"/>
        <v>Medium Accuracy</v>
      </c>
      <c r="W2512" t="str" cm="1">
        <f t="array" ref="W2512">_xlfn.LET(_xlpm.roles,_xlfn.UNIQUE(D2512:D5310), _xlpm.counts,COUNTIF(D2512:D5310,_xlpm.roles), INDEX(_xlpm.roles,MATCH(MAX(_xlpm.counts),_xlpm.counts,0)))</f>
        <v>IGL</v>
      </c>
      <c r="X2512" s="2">
        <f t="shared" si="199"/>
        <v>12.599585062240664</v>
      </c>
    </row>
    <row r="2513" spans="1:24" x14ac:dyDescent="0.3">
      <c r="A2513">
        <v>509</v>
      </c>
      <c r="B2513">
        <v>449</v>
      </c>
      <c r="C2513" t="s">
        <v>16</v>
      </c>
      <c r="D2513" t="s">
        <v>17</v>
      </c>
      <c r="E2513" t="s">
        <v>23</v>
      </c>
      <c r="F2513" t="s">
        <v>19</v>
      </c>
      <c r="G2513">
        <v>15</v>
      </c>
      <c r="H2513">
        <v>11</v>
      </c>
      <c r="I2513">
        <v>5</v>
      </c>
      <c r="J2513">
        <v>43.88</v>
      </c>
      <c r="K2513">
        <v>204.25</v>
      </c>
      <c r="L2513">
        <v>0.34</v>
      </c>
      <c r="M2513">
        <v>54.54</v>
      </c>
      <c r="N2513">
        <v>1</v>
      </c>
      <c r="O2513" t="s">
        <v>20</v>
      </c>
      <c r="P2513" t="s">
        <v>21</v>
      </c>
      <c r="Q2513">
        <f t="shared" si="195"/>
        <v>21</v>
      </c>
      <c r="R2513" s="4">
        <f>RANK(N2513,$N$2:N$2800,0)</f>
        <v>1</v>
      </c>
      <c r="S2513">
        <f t="shared" si="196"/>
        <v>3</v>
      </c>
      <c r="T2513" t="str">
        <f t="shared" si="197"/>
        <v>Good</v>
      </c>
      <c r="U2513" t="str" cm="1">
        <f t="array" ref="U2513">_xlfn.LET(_xlpm.roles,_xlfn.UNIQUE(D2513:D5311),_xlpm.kills, SUMIF(D2513:D5311,_xlpm.roles,G2513:G5311),INDEX(_xlpm.roles,MATCH(MAX(_xlpm.kills),_xlpm.kills,0)))</f>
        <v>IGL</v>
      </c>
      <c r="V2513" t="str">
        <f t="shared" si="198"/>
        <v>Medium Accuracy</v>
      </c>
      <c r="W2513" t="str" cm="1">
        <f t="array" ref="W2513">_xlfn.LET(_xlpm.roles,_xlfn.UNIQUE(D2513:D5311), _xlpm.counts,COUNTIF(D2513:D5311,_xlpm.roles), INDEX(_xlpm.roles,MATCH(MAX(_xlpm.counts),_xlpm.counts,0)))</f>
        <v>IGL</v>
      </c>
      <c r="X2513" s="2">
        <f t="shared" si="199"/>
        <v>12.520971302428256</v>
      </c>
    </row>
    <row r="2514" spans="1:24" x14ac:dyDescent="0.3">
      <c r="A2514">
        <v>1839</v>
      </c>
      <c r="B2514">
        <v>449</v>
      </c>
      <c r="C2514" t="s">
        <v>27</v>
      </c>
      <c r="D2514" t="s">
        <v>31</v>
      </c>
      <c r="E2514" t="s">
        <v>18</v>
      </c>
      <c r="F2514" t="s">
        <v>26</v>
      </c>
      <c r="G2514">
        <v>22</v>
      </c>
      <c r="H2514">
        <v>12</v>
      </c>
      <c r="I2514">
        <v>9</v>
      </c>
      <c r="J2514">
        <v>54.25</v>
      </c>
      <c r="K2514">
        <v>231.93</v>
      </c>
      <c r="L2514">
        <v>0.25</v>
      </c>
      <c r="M2514">
        <v>71.62</v>
      </c>
      <c r="N2514">
        <v>1</v>
      </c>
      <c r="O2514" t="s">
        <v>20</v>
      </c>
      <c r="P2514" t="s">
        <v>38</v>
      </c>
      <c r="Q2514">
        <f t="shared" si="195"/>
        <v>25</v>
      </c>
      <c r="R2514" s="4">
        <f>RANK(N2514,$N$2:N$2800,0)</f>
        <v>1</v>
      </c>
      <c r="S2514">
        <f t="shared" si="196"/>
        <v>2.4444444444444446</v>
      </c>
      <c r="T2514" t="str">
        <f t="shared" si="197"/>
        <v>Excellent</v>
      </c>
      <c r="U2514" t="str" cm="1">
        <f t="array" ref="U2514">_xlfn.LET(_xlpm.roles,_xlfn.UNIQUE(D2514:D5312),_xlpm.kills, SUMIF(D2514:D5312,_xlpm.roles,G2514:G5312),INDEX(_xlpm.roles,MATCH(MAX(_xlpm.kills),_xlpm.kills,0)))</f>
        <v>IGL</v>
      </c>
      <c r="V2514" t="str">
        <f t="shared" si="198"/>
        <v>High Accuracy</v>
      </c>
      <c r="W2514" t="str" cm="1">
        <f t="array" ref="W2514">_xlfn.LET(_xlpm.roles,_xlfn.UNIQUE(D2514:D5312), _xlpm.counts,COUNTIF(D2514:D5312,_xlpm.roles), INDEX(_xlpm.roles,MATCH(MAX(_xlpm.counts),_xlpm.counts,0)))</f>
        <v>IGL</v>
      </c>
      <c r="X2514" s="2">
        <f t="shared" si="199"/>
        <v>13.057077625570777</v>
      </c>
    </row>
    <row r="2515" spans="1:24" x14ac:dyDescent="0.3">
      <c r="A2515">
        <v>2075</v>
      </c>
      <c r="B2515">
        <v>449</v>
      </c>
      <c r="C2515" t="s">
        <v>30</v>
      </c>
      <c r="D2515" t="s">
        <v>17</v>
      </c>
      <c r="E2515" t="s">
        <v>32</v>
      </c>
      <c r="F2515" t="s">
        <v>19</v>
      </c>
      <c r="G2515">
        <v>10</v>
      </c>
      <c r="H2515">
        <v>4</v>
      </c>
      <c r="I2515">
        <v>10</v>
      </c>
      <c r="J2515">
        <v>53.65</v>
      </c>
      <c r="K2515">
        <v>238.11</v>
      </c>
      <c r="L2515">
        <v>0.61</v>
      </c>
      <c r="M2515">
        <v>34.729999999999997</v>
      </c>
      <c r="N2515">
        <v>0.82</v>
      </c>
      <c r="O2515" t="s">
        <v>20</v>
      </c>
      <c r="P2515" t="s">
        <v>21</v>
      </c>
      <c r="Q2515">
        <f t="shared" si="195"/>
        <v>4</v>
      </c>
      <c r="R2515" s="4">
        <f>RANK(N2515,$N$2:N$2800,0)</f>
        <v>2275</v>
      </c>
      <c r="S2515">
        <f t="shared" si="196"/>
        <v>1</v>
      </c>
      <c r="T2515" t="str">
        <f t="shared" si="197"/>
        <v>Low</v>
      </c>
      <c r="U2515" t="str" cm="1">
        <f t="array" ref="U2515">_xlfn.LET(_xlpm.roles,_xlfn.UNIQUE(D2515:D5313),_xlpm.kills, SUMIF(D2515:D5313,_xlpm.roles,G2515:G5313),INDEX(_xlpm.roles,MATCH(MAX(_xlpm.kills),_xlpm.kills,0)))</f>
        <v>IGL</v>
      </c>
      <c r="V2515" t="str">
        <f t="shared" si="198"/>
        <v>High Accuracy</v>
      </c>
      <c r="W2515" t="str" cm="1">
        <f t="array" ref="W2515">_xlfn.LET(_xlpm.roles,_xlfn.UNIQUE(D2515:D5313), _xlpm.counts,COUNTIF(D2515:D5313,_xlpm.roles), INDEX(_xlpm.roles,MATCH(MAX(_xlpm.counts),_xlpm.counts,0)))</f>
        <v>IGL</v>
      </c>
      <c r="X2515" s="2">
        <f t="shared" si="199"/>
        <v>13.135802469135802</v>
      </c>
    </row>
    <row r="2516" spans="1:24" x14ac:dyDescent="0.3">
      <c r="A2516">
        <v>294</v>
      </c>
      <c r="B2516">
        <v>450</v>
      </c>
      <c r="C2516" t="s">
        <v>35</v>
      </c>
      <c r="D2516" t="s">
        <v>22</v>
      </c>
      <c r="E2516" t="s">
        <v>29</v>
      </c>
      <c r="F2516" t="s">
        <v>34</v>
      </c>
      <c r="G2516">
        <v>8</v>
      </c>
      <c r="H2516">
        <v>6</v>
      </c>
      <c r="I2516">
        <v>10</v>
      </c>
      <c r="J2516">
        <v>42.41</v>
      </c>
      <c r="K2516">
        <v>228.86</v>
      </c>
      <c r="L2516">
        <v>0.87</v>
      </c>
      <c r="M2516">
        <v>24.5</v>
      </c>
      <c r="N2516">
        <v>0.67</v>
      </c>
      <c r="O2516" t="s">
        <v>20</v>
      </c>
      <c r="P2516" t="s">
        <v>21</v>
      </c>
      <c r="Q2516">
        <f t="shared" si="195"/>
        <v>4</v>
      </c>
      <c r="R2516" s="4">
        <f>RANK(N2516,$N$2:N$2800,0)</f>
        <v>2731</v>
      </c>
      <c r="S2516">
        <f t="shared" si="196"/>
        <v>0.8</v>
      </c>
      <c r="T2516" t="str">
        <f t="shared" si="197"/>
        <v>Low</v>
      </c>
      <c r="U2516" t="str" cm="1">
        <f t="array" ref="U2516">_xlfn.LET(_xlpm.roles,_xlfn.UNIQUE(D2516:D5314),_xlpm.kills, SUMIF(D2516:D5314,_xlpm.roles,G2516:G5314),INDEX(_xlpm.roles,MATCH(MAX(_xlpm.kills),_xlpm.kills,0)))</f>
        <v>IGL</v>
      </c>
      <c r="V2516" t="str">
        <f t="shared" si="198"/>
        <v>Medium Accuracy</v>
      </c>
      <c r="W2516" t="str" cm="1">
        <f t="array" ref="W2516">_xlfn.LET(_xlpm.roles,_xlfn.UNIQUE(D2516:D5314), _xlpm.counts,COUNTIF(D2516:D5314,_xlpm.roles), INDEX(_xlpm.roles,MATCH(MAX(_xlpm.counts),_xlpm.counts,0)))</f>
        <v>IGL</v>
      </c>
      <c r="X2516" s="2">
        <f t="shared" si="199"/>
        <v>12.599585062240664</v>
      </c>
    </row>
    <row r="2517" spans="1:24" x14ac:dyDescent="0.3">
      <c r="A2517">
        <v>641</v>
      </c>
      <c r="B2517">
        <v>450</v>
      </c>
      <c r="C2517" t="s">
        <v>39</v>
      </c>
      <c r="D2517" t="s">
        <v>22</v>
      </c>
      <c r="E2517" t="s">
        <v>18</v>
      </c>
      <c r="F2517" t="s">
        <v>34</v>
      </c>
      <c r="G2517">
        <v>24</v>
      </c>
      <c r="H2517">
        <v>7</v>
      </c>
      <c r="I2517">
        <v>7</v>
      </c>
      <c r="J2517">
        <v>51.95</v>
      </c>
      <c r="K2517">
        <v>176.81</v>
      </c>
      <c r="L2517">
        <v>0.56999999999999995</v>
      </c>
      <c r="M2517">
        <v>68.27</v>
      </c>
      <c r="N2517">
        <v>1</v>
      </c>
      <c r="O2517" t="s">
        <v>20</v>
      </c>
      <c r="P2517" t="s">
        <v>38</v>
      </c>
      <c r="Q2517">
        <f t="shared" si="195"/>
        <v>24</v>
      </c>
      <c r="R2517" s="4">
        <f>RANK(N2517,$N$2:N$2800,0)</f>
        <v>1</v>
      </c>
      <c r="S2517">
        <f t="shared" si="196"/>
        <v>3.4285714285714284</v>
      </c>
      <c r="T2517" t="str">
        <f t="shared" si="197"/>
        <v>Good</v>
      </c>
      <c r="U2517" t="str" cm="1">
        <f t="array" ref="U2517">_xlfn.LET(_xlpm.roles,_xlfn.UNIQUE(D2517:D5315),_xlpm.kills, SUMIF(D2517:D5315,_xlpm.roles,G2517:G5315),INDEX(_xlpm.roles,MATCH(MAX(_xlpm.kills),_xlpm.kills,0)))</f>
        <v>IGL</v>
      </c>
      <c r="V2517" t="str">
        <f t="shared" si="198"/>
        <v>High Accuracy</v>
      </c>
      <c r="W2517" t="str" cm="1">
        <f t="array" ref="W2517">_xlfn.LET(_xlpm.roles,_xlfn.UNIQUE(D2517:D5315), _xlpm.counts,COUNTIF(D2517:D5315,_xlpm.roles), INDEX(_xlpm.roles,MATCH(MAX(_xlpm.counts),_xlpm.counts,0)))</f>
        <v>IGL</v>
      </c>
      <c r="X2517" s="2">
        <f t="shared" si="199"/>
        <v>13.103594080338267</v>
      </c>
    </row>
    <row r="2518" spans="1:24" x14ac:dyDescent="0.3">
      <c r="A2518">
        <v>1405</v>
      </c>
      <c r="B2518">
        <v>450</v>
      </c>
      <c r="C2518" t="s">
        <v>30</v>
      </c>
      <c r="D2518" t="s">
        <v>28</v>
      </c>
      <c r="E2518" t="s">
        <v>29</v>
      </c>
      <c r="F2518" t="s">
        <v>34</v>
      </c>
      <c r="G2518">
        <v>23</v>
      </c>
      <c r="H2518">
        <v>15</v>
      </c>
      <c r="I2518">
        <v>12</v>
      </c>
      <c r="J2518">
        <v>44.83</v>
      </c>
      <c r="K2518">
        <v>210.38</v>
      </c>
      <c r="L2518">
        <v>0.74</v>
      </c>
      <c r="M2518">
        <v>64.010000000000005</v>
      </c>
      <c r="N2518">
        <v>1</v>
      </c>
      <c r="O2518" t="s">
        <v>20</v>
      </c>
      <c r="P2518" t="s">
        <v>38</v>
      </c>
      <c r="Q2518">
        <f t="shared" si="195"/>
        <v>26</v>
      </c>
      <c r="R2518" s="4">
        <f>RANK(N2518,$N$2:N$2800,0)</f>
        <v>1</v>
      </c>
      <c r="S2518">
        <f t="shared" si="196"/>
        <v>1.9166666666666667</v>
      </c>
      <c r="T2518" t="str">
        <f t="shared" si="197"/>
        <v>Excellent</v>
      </c>
      <c r="U2518" t="str" cm="1">
        <f t="array" ref="U2518">_xlfn.LET(_xlpm.roles,_xlfn.UNIQUE(D2518:D5316),_xlpm.kills, SUMIF(D2518:D5316,_xlpm.roles,G2518:G5316),INDEX(_xlpm.roles,MATCH(MAX(_xlpm.kills),_xlpm.kills,0)))</f>
        <v>IGL</v>
      </c>
      <c r="V2518" t="str">
        <f t="shared" si="198"/>
        <v>Medium Accuracy</v>
      </c>
      <c r="W2518" t="str" cm="1">
        <f t="array" ref="W2518">_xlfn.LET(_xlpm.roles,_xlfn.UNIQUE(D2518:D5316), _xlpm.counts,COUNTIF(D2518:D5316,_xlpm.roles), INDEX(_xlpm.roles,MATCH(MAX(_xlpm.counts),_xlpm.counts,0)))</f>
        <v>IGL</v>
      </c>
      <c r="X2518" s="2">
        <f t="shared" si="199"/>
        <v>13.135802469135802</v>
      </c>
    </row>
    <row r="2519" spans="1:24" x14ac:dyDescent="0.3">
      <c r="A2519">
        <v>1538</v>
      </c>
      <c r="B2519">
        <v>450</v>
      </c>
      <c r="C2519" t="s">
        <v>25</v>
      </c>
      <c r="D2519" t="s">
        <v>31</v>
      </c>
      <c r="E2519" t="s">
        <v>33</v>
      </c>
      <c r="F2519" t="s">
        <v>26</v>
      </c>
      <c r="G2519">
        <v>17</v>
      </c>
      <c r="H2519">
        <v>7</v>
      </c>
      <c r="I2519">
        <v>4</v>
      </c>
      <c r="J2519">
        <v>37.35</v>
      </c>
      <c r="K2519">
        <v>217.24</v>
      </c>
      <c r="L2519">
        <v>0.68</v>
      </c>
      <c r="M2519">
        <v>48.88</v>
      </c>
      <c r="N2519">
        <v>0.97</v>
      </c>
      <c r="O2519" t="s">
        <v>20</v>
      </c>
      <c r="P2519" t="s">
        <v>21</v>
      </c>
      <c r="Q2519">
        <f t="shared" si="195"/>
        <v>20</v>
      </c>
      <c r="R2519" s="4">
        <f>RANK(N2519,$N$2:N$2800,0)</f>
        <v>1243</v>
      </c>
      <c r="S2519">
        <f t="shared" si="196"/>
        <v>4.25</v>
      </c>
      <c r="T2519" t="str">
        <f t="shared" si="197"/>
        <v>Good</v>
      </c>
      <c r="U2519" t="str" cm="1">
        <f t="array" ref="U2519">_xlfn.LET(_xlpm.roles,_xlfn.UNIQUE(D2519:D5317),_xlpm.kills, SUMIF(D2519:D5317,_xlpm.roles,G2519:G5317),INDEX(_xlpm.roles,MATCH(MAX(_xlpm.kills),_xlpm.kills,0)))</f>
        <v>IGL</v>
      </c>
      <c r="V2519" t="str">
        <f t="shared" si="198"/>
        <v>Medium Accuracy</v>
      </c>
      <c r="W2519" t="str" cm="1">
        <f t="array" ref="W2519">_xlfn.LET(_xlpm.roles,_xlfn.UNIQUE(D2519:D5317), _xlpm.counts,COUNTIF(D2519:D5317,_xlpm.roles), INDEX(_xlpm.roles,MATCH(MAX(_xlpm.counts),_xlpm.counts,0)))</f>
        <v>IGL</v>
      </c>
      <c r="X2519" s="2">
        <f t="shared" si="199"/>
        <v>12.809421841541756</v>
      </c>
    </row>
    <row r="2520" spans="1:24" x14ac:dyDescent="0.3">
      <c r="A2520">
        <v>2062</v>
      </c>
      <c r="B2520">
        <v>450</v>
      </c>
      <c r="C2520" t="s">
        <v>30</v>
      </c>
      <c r="D2520" t="s">
        <v>22</v>
      </c>
      <c r="E2520" t="s">
        <v>32</v>
      </c>
      <c r="F2520" t="s">
        <v>19</v>
      </c>
      <c r="G2520">
        <v>7</v>
      </c>
      <c r="H2520">
        <v>12</v>
      </c>
      <c r="I2520">
        <v>9</v>
      </c>
      <c r="J2520">
        <v>44.97</v>
      </c>
      <c r="K2520">
        <v>230.06</v>
      </c>
      <c r="L2520">
        <v>0.17</v>
      </c>
      <c r="M2520">
        <v>37.78</v>
      </c>
      <c r="N2520">
        <v>0.99</v>
      </c>
      <c r="O2520" t="s">
        <v>20</v>
      </c>
      <c r="P2520" t="s">
        <v>21</v>
      </c>
      <c r="Q2520">
        <f t="shared" si="195"/>
        <v>10</v>
      </c>
      <c r="R2520" s="4">
        <f>RANK(N2520,$N$2:N$2800,0)</f>
        <v>1080</v>
      </c>
      <c r="S2520">
        <f t="shared" si="196"/>
        <v>0.77777777777777779</v>
      </c>
      <c r="T2520" t="str">
        <f t="shared" si="197"/>
        <v>Low</v>
      </c>
      <c r="U2520" t="str" cm="1">
        <f t="array" ref="U2520">_xlfn.LET(_xlpm.roles,_xlfn.UNIQUE(D2520:D5318),_xlpm.kills, SUMIF(D2520:D5318,_xlpm.roles,G2520:G5318),INDEX(_xlpm.roles,MATCH(MAX(_xlpm.kills),_xlpm.kills,0)))</f>
        <v>IGL</v>
      </c>
      <c r="V2520" t="str">
        <f t="shared" si="198"/>
        <v>Medium Accuracy</v>
      </c>
      <c r="W2520" t="str" cm="1">
        <f t="array" ref="W2520">_xlfn.LET(_xlpm.roles,_xlfn.UNIQUE(D2520:D5318), _xlpm.counts,COUNTIF(D2520:D5318,_xlpm.roles), INDEX(_xlpm.roles,MATCH(MAX(_xlpm.counts),_xlpm.counts,0)))</f>
        <v>IGL</v>
      </c>
      <c r="X2520" s="2">
        <f t="shared" si="199"/>
        <v>13.135802469135802</v>
      </c>
    </row>
    <row r="2521" spans="1:24" x14ac:dyDescent="0.3">
      <c r="A2521">
        <v>2405</v>
      </c>
      <c r="B2521">
        <v>450</v>
      </c>
      <c r="C2521" t="s">
        <v>16</v>
      </c>
      <c r="D2521" t="s">
        <v>36</v>
      </c>
      <c r="E2521" t="s">
        <v>29</v>
      </c>
      <c r="F2521" t="s">
        <v>19</v>
      </c>
      <c r="G2521">
        <v>21</v>
      </c>
      <c r="H2521">
        <v>7</v>
      </c>
      <c r="I2521">
        <v>9</v>
      </c>
      <c r="J2521">
        <v>39.71</v>
      </c>
      <c r="K2521">
        <v>253.73</v>
      </c>
      <c r="L2521">
        <v>0.67</v>
      </c>
      <c r="M2521">
        <v>53.16</v>
      </c>
      <c r="N2521">
        <v>1</v>
      </c>
      <c r="O2521" t="s">
        <v>20</v>
      </c>
      <c r="P2521" t="s">
        <v>21</v>
      </c>
      <c r="Q2521">
        <f t="shared" si="195"/>
        <v>19</v>
      </c>
      <c r="R2521" s="4">
        <f>RANK(N2521,$N$2:N$2800,0)</f>
        <v>1</v>
      </c>
      <c r="S2521">
        <f t="shared" si="196"/>
        <v>2.3333333333333335</v>
      </c>
      <c r="T2521" t="str">
        <f t="shared" si="197"/>
        <v>Good</v>
      </c>
      <c r="U2521" t="str" cm="1">
        <f t="array" ref="U2521">_xlfn.LET(_xlpm.roles,_xlfn.UNIQUE(D2521:D5319),_xlpm.kills, SUMIF(D2521:D5319,_xlpm.roles,G2521:G5319),INDEX(_xlpm.roles,MATCH(MAX(_xlpm.kills),_xlpm.kills,0)))</f>
        <v>IGL</v>
      </c>
      <c r="V2521" t="str">
        <f t="shared" si="198"/>
        <v>Medium Accuracy</v>
      </c>
      <c r="W2521" t="str" cm="1">
        <f t="array" ref="W2521">_xlfn.LET(_xlpm.roles,_xlfn.UNIQUE(D2521:D5319), _xlpm.counts,COUNTIF(D2521:D5319,_xlpm.roles), INDEX(_xlpm.roles,MATCH(MAX(_xlpm.counts),_xlpm.counts,0)))</f>
        <v>IGL</v>
      </c>
      <c r="X2521" s="2">
        <f t="shared" si="199"/>
        <v>12.520971302428256</v>
      </c>
    </row>
    <row r="2522" spans="1:24" x14ac:dyDescent="0.3">
      <c r="A2522">
        <v>2451</v>
      </c>
      <c r="B2522">
        <v>450</v>
      </c>
      <c r="C2522" t="s">
        <v>27</v>
      </c>
      <c r="D2522" t="s">
        <v>17</v>
      </c>
      <c r="E2522" t="s">
        <v>32</v>
      </c>
      <c r="F2522" t="s">
        <v>34</v>
      </c>
      <c r="G2522">
        <v>14</v>
      </c>
      <c r="H2522">
        <v>8</v>
      </c>
      <c r="I2522">
        <v>14</v>
      </c>
      <c r="J2522">
        <v>39.51</v>
      </c>
      <c r="K2522">
        <v>185.93</v>
      </c>
      <c r="L2522">
        <v>0.63</v>
      </c>
      <c r="M2522">
        <v>35.450000000000003</v>
      </c>
      <c r="N2522">
        <v>0.81</v>
      </c>
      <c r="O2522" t="s">
        <v>20</v>
      </c>
      <c r="P2522" t="s">
        <v>21</v>
      </c>
      <c r="Q2522">
        <f t="shared" si="195"/>
        <v>8</v>
      </c>
      <c r="R2522" s="4">
        <f>RANK(N2522,$N$2:N$2800,0)</f>
        <v>2341</v>
      </c>
      <c r="S2522">
        <f t="shared" si="196"/>
        <v>1</v>
      </c>
      <c r="T2522" t="str">
        <f t="shared" si="197"/>
        <v>Low</v>
      </c>
      <c r="U2522" t="str" cm="1">
        <f t="array" ref="U2522">_xlfn.LET(_xlpm.roles,_xlfn.UNIQUE(D2522:D5320),_xlpm.kills, SUMIF(D2522:D5320,_xlpm.roles,G2522:G5320),INDEX(_xlpm.roles,MATCH(MAX(_xlpm.kills),_xlpm.kills,0)))</f>
        <v>IGL</v>
      </c>
      <c r="V2522" t="str">
        <f t="shared" si="198"/>
        <v>Medium Accuracy</v>
      </c>
      <c r="W2522" t="str" cm="1">
        <f t="array" ref="W2522">_xlfn.LET(_xlpm.roles,_xlfn.UNIQUE(D2522:D5320), _xlpm.counts,COUNTIF(D2522:D5320,_xlpm.roles), INDEX(_xlpm.roles,MATCH(MAX(_xlpm.counts),_xlpm.counts,0)))</f>
        <v>IGL</v>
      </c>
      <c r="X2522" s="2">
        <f t="shared" si="199"/>
        <v>13.057077625570777</v>
      </c>
    </row>
    <row r="2523" spans="1:24" x14ac:dyDescent="0.3">
      <c r="A2523">
        <v>2629</v>
      </c>
      <c r="B2523">
        <v>450</v>
      </c>
      <c r="C2523" t="s">
        <v>30</v>
      </c>
      <c r="D2523" t="s">
        <v>28</v>
      </c>
      <c r="E2523" t="s">
        <v>32</v>
      </c>
      <c r="F2523" t="s">
        <v>24</v>
      </c>
      <c r="G2523">
        <v>14</v>
      </c>
      <c r="H2523">
        <v>8</v>
      </c>
      <c r="I2523">
        <v>14</v>
      </c>
      <c r="J2523">
        <v>61.54</v>
      </c>
      <c r="K2523">
        <v>174.62</v>
      </c>
      <c r="L2523">
        <v>0.47</v>
      </c>
      <c r="M2523">
        <v>48.07</v>
      </c>
      <c r="N2523">
        <v>1</v>
      </c>
      <c r="O2523" t="s">
        <v>20</v>
      </c>
      <c r="P2523" t="s">
        <v>21</v>
      </c>
      <c r="Q2523">
        <f t="shared" si="195"/>
        <v>8</v>
      </c>
      <c r="R2523" s="4">
        <f>RANK(N2523,$N$2:N$2800,0)</f>
        <v>1</v>
      </c>
      <c r="S2523">
        <f t="shared" si="196"/>
        <v>1</v>
      </c>
      <c r="T2523" t="str">
        <f t="shared" si="197"/>
        <v>Low</v>
      </c>
      <c r="U2523" t="str" cm="1">
        <f t="array" ref="U2523">_xlfn.LET(_xlpm.roles,_xlfn.UNIQUE(D2523:D5321),_xlpm.kills, SUMIF(D2523:D5321,_xlpm.roles,G2523:G5321),INDEX(_xlpm.roles,MATCH(MAX(_xlpm.kills),_xlpm.kills,0)))</f>
        <v>IGL</v>
      </c>
      <c r="V2523" t="str">
        <f t="shared" si="198"/>
        <v>High Accuracy</v>
      </c>
      <c r="W2523" t="str" cm="1">
        <f t="array" ref="W2523">_xlfn.LET(_xlpm.roles,_xlfn.UNIQUE(D2523:D5321), _xlpm.counts,COUNTIF(D2523:D5321,_xlpm.roles), INDEX(_xlpm.roles,MATCH(MAX(_xlpm.counts),_xlpm.counts,0)))</f>
        <v>IGL</v>
      </c>
      <c r="X2523" s="2">
        <f t="shared" si="199"/>
        <v>13.135802469135802</v>
      </c>
    </row>
    <row r="2524" spans="1:24" x14ac:dyDescent="0.3">
      <c r="A2524">
        <v>181</v>
      </c>
      <c r="B2524">
        <v>451</v>
      </c>
      <c r="C2524" t="s">
        <v>35</v>
      </c>
      <c r="D2524" t="s">
        <v>36</v>
      </c>
      <c r="E2524" t="s">
        <v>18</v>
      </c>
      <c r="F2524" t="s">
        <v>24</v>
      </c>
      <c r="G2524">
        <v>13</v>
      </c>
      <c r="H2524">
        <v>5</v>
      </c>
      <c r="I2524">
        <v>11</v>
      </c>
      <c r="J2524">
        <v>53.57</v>
      </c>
      <c r="K2524">
        <v>280.60000000000002</v>
      </c>
      <c r="L2524">
        <v>0.62</v>
      </c>
      <c r="M2524">
        <v>40.58</v>
      </c>
      <c r="N2524">
        <v>0.93</v>
      </c>
      <c r="O2524" t="s">
        <v>20</v>
      </c>
      <c r="P2524" t="s">
        <v>21</v>
      </c>
      <c r="Q2524">
        <f t="shared" si="195"/>
        <v>7</v>
      </c>
      <c r="R2524" s="4">
        <f>RANK(N2524,$N$2:N$2800,0)</f>
        <v>1505</v>
      </c>
      <c r="S2524">
        <f t="shared" si="196"/>
        <v>1.1818181818181819</v>
      </c>
      <c r="T2524" t="str">
        <f t="shared" si="197"/>
        <v>Low</v>
      </c>
      <c r="U2524" t="str" cm="1">
        <f t="array" ref="U2524">_xlfn.LET(_xlpm.roles,_xlfn.UNIQUE(D2524:D5322),_xlpm.kills, SUMIF(D2524:D5322,_xlpm.roles,G2524:G5322),INDEX(_xlpm.roles,MATCH(MAX(_xlpm.kills),_xlpm.kills,0)))</f>
        <v>IGL</v>
      </c>
      <c r="V2524" t="str">
        <f t="shared" si="198"/>
        <v>High Accuracy</v>
      </c>
      <c r="W2524" t="str" cm="1">
        <f t="array" ref="W2524">_xlfn.LET(_xlpm.roles,_xlfn.UNIQUE(D2524:D5322), _xlpm.counts,COUNTIF(D2524:D5322,_xlpm.roles), INDEX(_xlpm.roles,MATCH(MAX(_xlpm.counts),_xlpm.counts,0)))</f>
        <v>IGL</v>
      </c>
      <c r="X2524" s="2">
        <f t="shared" si="199"/>
        <v>12.599585062240664</v>
      </c>
    </row>
    <row r="2525" spans="1:24" x14ac:dyDescent="0.3">
      <c r="A2525">
        <v>210</v>
      </c>
      <c r="B2525">
        <v>451</v>
      </c>
      <c r="C2525" t="s">
        <v>30</v>
      </c>
      <c r="D2525" t="s">
        <v>22</v>
      </c>
      <c r="E2525" t="s">
        <v>32</v>
      </c>
      <c r="F2525" t="s">
        <v>26</v>
      </c>
      <c r="G2525">
        <v>14</v>
      </c>
      <c r="H2525">
        <v>3</v>
      </c>
      <c r="I2525">
        <v>11</v>
      </c>
      <c r="J2525">
        <v>40.94</v>
      </c>
      <c r="K2525">
        <v>199.7</v>
      </c>
      <c r="L2525">
        <v>0.04</v>
      </c>
      <c r="M2525">
        <v>40.07</v>
      </c>
      <c r="N2525">
        <v>1</v>
      </c>
      <c r="O2525" t="s">
        <v>20</v>
      </c>
      <c r="P2525" t="s">
        <v>21</v>
      </c>
      <c r="Q2525">
        <f t="shared" si="195"/>
        <v>6</v>
      </c>
      <c r="R2525" s="4">
        <f>RANK(N2525,$N$2:N$2800,0)</f>
        <v>1</v>
      </c>
      <c r="S2525">
        <f t="shared" si="196"/>
        <v>1.2727272727272727</v>
      </c>
      <c r="T2525" t="str">
        <f t="shared" si="197"/>
        <v>Low</v>
      </c>
      <c r="U2525" t="str" cm="1">
        <f t="array" ref="U2525">_xlfn.LET(_xlpm.roles,_xlfn.UNIQUE(D2525:D5323),_xlpm.kills, SUMIF(D2525:D5323,_xlpm.roles,G2525:G5323),INDEX(_xlpm.roles,MATCH(MAX(_xlpm.kills),_xlpm.kills,0)))</f>
        <v>IGL</v>
      </c>
      <c r="V2525" t="str">
        <f t="shared" si="198"/>
        <v>Medium Accuracy</v>
      </c>
      <c r="W2525" t="str" cm="1">
        <f t="array" ref="W2525">_xlfn.LET(_xlpm.roles,_xlfn.UNIQUE(D2525:D5323), _xlpm.counts,COUNTIF(D2525:D5323,_xlpm.roles), INDEX(_xlpm.roles,MATCH(MAX(_xlpm.counts),_xlpm.counts,0)))</f>
        <v>IGL</v>
      </c>
      <c r="X2525" s="2">
        <f t="shared" si="199"/>
        <v>13.135802469135802</v>
      </c>
    </row>
    <row r="2526" spans="1:24" x14ac:dyDescent="0.3">
      <c r="A2526">
        <v>517</v>
      </c>
      <c r="B2526">
        <v>451</v>
      </c>
      <c r="C2526" t="s">
        <v>25</v>
      </c>
      <c r="D2526" t="s">
        <v>31</v>
      </c>
      <c r="E2526" t="s">
        <v>18</v>
      </c>
      <c r="F2526" t="s">
        <v>34</v>
      </c>
      <c r="G2526">
        <v>14</v>
      </c>
      <c r="H2526">
        <v>12</v>
      </c>
      <c r="I2526">
        <v>8</v>
      </c>
      <c r="J2526">
        <v>47.67</v>
      </c>
      <c r="K2526">
        <v>211.3</v>
      </c>
      <c r="L2526">
        <v>0.26</v>
      </c>
      <c r="M2526">
        <v>53.23</v>
      </c>
      <c r="N2526">
        <v>1</v>
      </c>
      <c r="O2526" t="s">
        <v>20</v>
      </c>
      <c r="P2526" t="s">
        <v>21</v>
      </c>
      <c r="Q2526">
        <f t="shared" si="195"/>
        <v>18</v>
      </c>
      <c r="R2526" s="4">
        <f>RANK(N2526,$N$2:N$2800,0)</f>
        <v>1</v>
      </c>
      <c r="S2526">
        <f t="shared" si="196"/>
        <v>1.75</v>
      </c>
      <c r="T2526" t="str">
        <f t="shared" si="197"/>
        <v>Good</v>
      </c>
      <c r="U2526" t="str" cm="1">
        <f t="array" ref="U2526">_xlfn.LET(_xlpm.roles,_xlfn.UNIQUE(D2526:D5324),_xlpm.kills, SUMIF(D2526:D5324,_xlpm.roles,G2526:G5324),INDEX(_xlpm.roles,MATCH(MAX(_xlpm.kills),_xlpm.kills,0)))</f>
        <v>IGL</v>
      </c>
      <c r="V2526" t="str">
        <f t="shared" si="198"/>
        <v>Medium Accuracy</v>
      </c>
      <c r="W2526" t="str" cm="1">
        <f t="array" ref="W2526">_xlfn.LET(_xlpm.roles,_xlfn.UNIQUE(D2526:D5324), _xlpm.counts,COUNTIF(D2526:D5324,_xlpm.roles), INDEX(_xlpm.roles,MATCH(MAX(_xlpm.counts),_xlpm.counts,0)))</f>
        <v>IGL</v>
      </c>
      <c r="X2526" s="2">
        <f t="shared" si="199"/>
        <v>12.809421841541756</v>
      </c>
    </row>
    <row r="2527" spans="1:24" x14ac:dyDescent="0.3">
      <c r="A2527">
        <v>611</v>
      </c>
      <c r="B2527">
        <v>451</v>
      </c>
      <c r="C2527" t="s">
        <v>35</v>
      </c>
      <c r="D2527" t="s">
        <v>28</v>
      </c>
      <c r="E2527" t="s">
        <v>23</v>
      </c>
      <c r="F2527" t="s">
        <v>34</v>
      </c>
      <c r="G2527">
        <v>16</v>
      </c>
      <c r="H2527">
        <v>9</v>
      </c>
      <c r="I2527">
        <v>13</v>
      </c>
      <c r="J2527">
        <v>43.87</v>
      </c>
      <c r="K2527">
        <v>229.07</v>
      </c>
      <c r="L2527">
        <v>0.42</v>
      </c>
      <c r="M2527">
        <v>45.73</v>
      </c>
      <c r="N2527">
        <v>0.98</v>
      </c>
      <c r="O2527" t="s">
        <v>20</v>
      </c>
      <c r="P2527" t="s">
        <v>21</v>
      </c>
      <c r="Q2527">
        <f t="shared" si="195"/>
        <v>12</v>
      </c>
      <c r="R2527" s="4">
        <f>RANK(N2527,$N$2:N$2800,0)</f>
        <v>1157</v>
      </c>
      <c r="S2527">
        <f t="shared" si="196"/>
        <v>1.2307692307692308</v>
      </c>
      <c r="T2527" t="str">
        <f t="shared" si="197"/>
        <v>Low</v>
      </c>
      <c r="U2527" t="str" cm="1">
        <f t="array" ref="U2527">_xlfn.LET(_xlpm.roles,_xlfn.UNIQUE(D2527:D5325),_xlpm.kills, SUMIF(D2527:D5325,_xlpm.roles,G2527:G5325),INDEX(_xlpm.roles,MATCH(MAX(_xlpm.kills),_xlpm.kills,0)))</f>
        <v>IGL</v>
      </c>
      <c r="V2527" t="str">
        <f t="shared" si="198"/>
        <v>Medium Accuracy</v>
      </c>
      <c r="W2527" t="str" cm="1">
        <f t="array" ref="W2527">_xlfn.LET(_xlpm.roles,_xlfn.UNIQUE(D2527:D5325), _xlpm.counts,COUNTIF(D2527:D5325,_xlpm.roles), INDEX(_xlpm.roles,MATCH(MAX(_xlpm.counts),_xlpm.counts,0)))</f>
        <v>IGL</v>
      </c>
      <c r="X2527" s="2">
        <f t="shared" si="199"/>
        <v>12.599585062240664</v>
      </c>
    </row>
    <row r="2528" spans="1:24" x14ac:dyDescent="0.3">
      <c r="A2528">
        <v>1331</v>
      </c>
      <c r="B2528">
        <v>451</v>
      </c>
      <c r="C2528" t="s">
        <v>27</v>
      </c>
      <c r="D2528" t="s">
        <v>17</v>
      </c>
      <c r="E2528" t="s">
        <v>33</v>
      </c>
      <c r="F2528" t="s">
        <v>19</v>
      </c>
      <c r="G2528">
        <v>5</v>
      </c>
      <c r="H2528">
        <v>9</v>
      </c>
      <c r="I2528">
        <v>15</v>
      </c>
      <c r="J2528">
        <v>39.46</v>
      </c>
      <c r="K2528">
        <v>234.7</v>
      </c>
      <c r="L2528">
        <v>0.62</v>
      </c>
      <c r="M2528">
        <v>17.53</v>
      </c>
      <c r="N2528">
        <v>0.66</v>
      </c>
      <c r="O2528" t="s">
        <v>20</v>
      </c>
      <c r="P2528" t="s">
        <v>21</v>
      </c>
      <c r="Q2528">
        <f t="shared" si="195"/>
        <v>-1</v>
      </c>
      <c r="R2528" s="4">
        <f>RANK(N2528,$N$2:N$2800,0)</f>
        <v>2746</v>
      </c>
      <c r="S2528">
        <f t="shared" si="196"/>
        <v>0.33333333333333331</v>
      </c>
      <c r="T2528" t="str">
        <f t="shared" si="197"/>
        <v>Low</v>
      </c>
      <c r="U2528" t="str" cm="1">
        <f t="array" ref="U2528">_xlfn.LET(_xlpm.roles,_xlfn.UNIQUE(D2528:D5326),_xlpm.kills, SUMIF(D2528:D5326,_xlpm.roles,G2528:G5326),INDEX(_xlpm.roles,MATCH(MAX(_xlpm.kills),_xlpm.kills,0)))</f>
        <v>IGL</v>
      </c>
      <c r="V2528" t="str">
        <f t="shared" si="198"/>
        <v>Medium Accuracy</v>
      </c>
      <c r="W2528" t="str" cm="1">
        <f t="array" ref="W2528">_xlfn.LET(_xlpm.roles,_xlfn.UNIQUE(D2528:D5326), _xlpm.counts,COUNTIF(D2528:D5326,_xlpm.roles), INDEX(_xlpm.roles,MATCH(MAX(_xlpm.counts),_xlpm.counts,0)))</f>
        <v>IGL</v>
      </c>
      <c r="X2528" s="2">
        <f t="shared" si="199"/>
        <v>13.057077625570777</v>
      </c>
    </row>
    <row r="2529" spans="1:24" x14ac:dyDescent="0.3">
      <c r="A2529">
        <v>1997</v>
      </c>
      <c r="B2529">
        <v>451</v>
      </c>
      <c r="C2529" t="s">
        <v>16</v>
      </c>
      <c r="D2529" t="s">
        <v>36</v>
      </c>
      <c r="E2529" t="s">
        <v>33</v>
      </c>
      <c r="F2529" t="s">
        <v>34</v>
      </c>
      <c r="G2529">
        <v>18</v>
      </c>
      <c r="H2529">
        <v>8</v>
      </c>
      <c r="I2529">
        <v>15</v>
      </c>
      <c r="J2529">
        <v>42.94</v>
      </c>
      <c r="K2529">
        <v>261.75</v>
      </c>
      <c r="L2529">
        <v>0.56000000000000005</v>
      </c>
      <c r="M2529">
        <v>44.87</v>
      </c>
      <c r="N2529">
        <v>0.86</v>
      </c>
      <c r="O2529" t="s">
        <v>20</v>
      </c>
      <c r="P2529" t="s">
        <v>21</v>
      </c>
      <c r="Q2529">
        <f t="shared" si="195"/>
        <v>11</v>
      </c>
      <c r="R2529" s="4">
        <f>RANK(N2529,$N$2:N$2800,0)</f>
        <v>2040</v>
      </c>
      <c r="S2529">
        <f t="shared" si="196"/>
        <v>1.2</v>
      </c>
      <c r="T2529" t="str">
        <f t="shared" si="197"/>
        <v>Low</v>
      </c>
      <c r="U2529" t="str" cm="1">
        <f t="array" ref="U2529">_xlfn.LET(_xlpm.roles,_xlfn.UNIQUE(D2529:D5327),_xlpm.kills, SUMIF(D2529:D5327,_xlpm.roles,G2529:G5327),INDEX(_xlpm.roles,MATCH(MAX(_xlpm.kills),_xlpm.kills,0)))</f>
        <v>IGL</v>
      </c>
      <c r="V2529" t="str">
        <f t="shared" si="198"/>
        <v>Medium Accuracy</v>
      </c>
      <c r="W2529" t="str" cm="1">
        <f t="array" ref="W2529">_xlfn.LET(_xlpm.roles,_xlfn.UNIQUE(D2529:D5327), _xlpm.counts,COUNTIF(D2529:D5327,_xlpm.roles), INDEX(_xlpm.roles,MATCH(MAX(_xlpm.counts),_xlpm.counts,0)))</f>
        <v>IGL</v>
      </c>
      <c r="X2529" s="2">
        <f t="shared" si="199"/>
        <v>12.520971302428256</v>
      </c>
    </row>
    <row r="2530" spans="1:24" x14ac:dyDescent="0.3">
      <c r="A2530">
        <v>2059</v>
      </c>
      <c r="B2530">
        <v>451</v>
      </c>
      <c r="C2530" t="s">
        <v>30</v>
      </c>
      <c r="D2530" t="s">
        <v>17</v>
      </c>
      <c r="E2530" t="s">
        <v>29</v>
      </c>
      <c r="F2530" t="s">
        <v>34</v>
      </c>
      <c r="G2530">
        <v>13</v>
      </c>
      <c r="H2530">
        <v>5</v>
      </c>
      <c r="I2530">
        <v>10</v>
      </c>
      <c r="J2530">
        <v>50.37</v>
      </c>
      <c r="K2530">
        <v>267.41000000000003</v>
      </c>
      <c r="L2530">
        <v>0.72</v>
      </c>
      <c r="M2530">
        <v>38.979999999999997</v>
      </c>
      <c r="N2530">
        <v>0.96</v>
      </c>
      <c r="O2530" t="s">
        <v>20</v>
      </c>
      <c r="P2530" t="s">
        <v>21</v>
      </c>
      <c r="Q2530">
        <f t="shared" si="195"/>
        <v>8</v>
      </c>
      <c r="R2530" s="4">
        <f>RANK(N2530,$N$2:N$2800,0)</f>
        <v>1301</v>
      </c>
      <c r="S2530">
        <f t="shared" si="196"/>
        <v>1.3</v>
      </c>
      <c r="T2530" t="str">
        <f t="shared" si="197"/>
        <v>Low</v>
      </c>
      <c r="U2530" t="str" cm="1">
        <f t="array" ref="U2530">_xlfn.LET(_xlpm.roles,_xlfn.UNIQUE(D2530:D5328),_xlpm.kills, SUMIF(D2530:D5328,_xlpm.roles,G2530:G5328),INDEX(_xlpm.roles,MATCH(MAX(_xlpm.kills),_xlpm.kills,0)))</f>
        <v>IGL</v>
      </c>
      <c r="V2530" t="str">
        <f t="shared" si="198"/>
        <v>High Accuracy</v>
      </c>
      <c r="W2530" t="str" cm="1">
        <f t="array" ref="W2530">_xlfn.LET(_xlpm.roles,_xlfn.UNIQUE(D2530:D5328), _xlpm.counts,COUNTIF(D2530:D5328,_xlpm.roles), INDEX(_xlpm.roles,MATCH(MAX(_xlpm.counts),_xlpm.counts,0)))</f>
        <v>IGL</v>
      </c>
      <c r="X2530" s="2">
        <f t="shared" si="199"/>
        <v>13.135802469135802</v>
      </c>
    </row>
    <row r="2531" spans="1:24" x14ac:dyDescent="0.3">
      <c r="A2531">
        <v>2376</v>
      </c>
      <c r="B2531">
        <v>451</v>
      </c>
      <c r="C2531" t="s">
        <v>27</v>
      </c>
      <c r="D2531" t="s">
        <v>28</v>
      </c>
      <c r="E2531" t="s">
        <v>23</v>
      </c>
      <c r="F2531" t="s">
        <v>26</v>
      </c>
      <c r="G2531">
        <v>20</v>
      </c>
      <c r="H2531">
        <v>13</v>
      </c>
      <c r="I2531">
        <v>13</v>
      </c>
      <c r="J2531">
        <v>56.18</v>
      </c>
      <c r="K2531">
        <v>249.1</v>
      </c>
      <c r="L2531">
        <v>0.13</v>
      </c>
      <c r="M2531">
        <v>66.790000000000006</v>
      </c>
      <c r="N2531">
        <v>1</v>
      </c>
      <c r="O2531" t="s">
        <v>20</v>
      </c>
      <c r="P2531" t="s">
        <v>38</v>
      </c>
      <c r="Q2531">
        <f t="shared" si="195"/>
        <v>20</v>
      </c>
      <c r="R2531" s="4">
        <f>RANK(N2531,$N$2:N$2800,0)</f>
        <v>1</v>
      </c>
      <c r="S2531">
        <f t="shared" si="196"/>
        <v>1.5384615384615385</v>
      </c>
      <c r="T2531" t="str">
        <f t="shared" si="197"/>
        <v>Good</v>
      </c>
      <c r="U2531" t="str" cm="1">
        <f t="array" ref="U2531">_xlfn.LET(_xlpm.roles,_xlfn.UNIQUE(D2531:D5329),_xlpm.kills, SUMIF(D2531:D5329,_xlpm.roles,G2531:G5329),INDEX(_xlpm.roles,MATCH(MAX(_xlpm.kills),_xlpm.kills,0)))</f>
        <v>IGL</v>
      </c>
      <c r="V2531" t="str">
        <f t="shared" si="198"/>
        <v>High Accuracy</v>
      </c>
      <c r="W2531" t="str" cm="1">
        <f t="array" ref="W2531">_xlfn.LET(_xlpm.roles,_xlfn.UNIQUE(D2531:D5329), _xlpm.counts,COUNTIF(D2531:D5329,_xlpm.roles), INDEX(_xlpm.roles,MATCH(MAX(_xlpm.counts),_xlpm.counts,0)))</f>
        <v>IGL</v>
      </c>
      <c r="X2531" s="2">
        <f t="shared" si="199"/>
        <v>13.057077625570777</v>
      </c>
    </row>
    <row r="2532" spans="1:24" x14ac:dyDescent="0.3">
      <c r="A2532">
        <v>2672</v>
      </c>
      <c r="B2532">
        <v>451</v>
      </c>
      <c r="C2532" t="s">
        <v>35</v>
      </c>
      <c r="D2532" t="s">
        <v>31</v>
      </c>
      <c r="E2532" t="s">
        <v>33</v>
      </c>
      <c r="F2532" t="s">
        <v>19</v>
      </c>
      <c r="G2532">
        <v>16</v>
      </c>
      <c r="H2532">
        <v>5</v>
      </c>
      <c r="I2532">
        <v>10</v>
      </c>
      <c r="J2532">
        <v>49.25</v>
      </c>
      <c r="K2532">
        <v>258.95</v>
      </c>
      <c r="L2532">
        <v>0.37</v>
      </c>
      <c r="M2532">
        <v>47.92</v>
      </c>
      <c r="N2532">
        <v>0.84</v>
      </c>
      <c r="O2532" t="s">
        <v>20</v>
      </c>
      <c r="P2532" t="s">
        <v>21</v>
      </c>
      <c r="Q2532">
        <f t="shared" si="195"/>
        <v>11</v>
      </c>
      <c r="R2532" s="4">
        <f>RANK(N2532,$N$2:N$2800,0)</f>
        <v>2156</v>
      </c>
      <c r="S2532">
        <f t="shared" si="196"/>
        <v>1.6</v>
      </c>
      <c r="T2532" t="str">
        <f t="shared" si="197"/>
        <v>Low</v>
      </c>
      <c r="U2532" t="str" cm="1">
        <f t="array" ref="U2532">_xlfn.LET(_xlpm.roles,_xlfn.UNIQUE(D2532:D5330),_xlpm.kills, SUMIF(D2532:D5330,_xlpm.roles,G2532:G5330),INDEX(_xlpm.roles,MATCH(MAX(_xlpm.kills),_xlpm.kills,0)))</f>
        <v>IGL</v>
      </c>
      <c r="V2532" t="str">
        <f t="shared" si="198"/>
        <v>Medium Accuracy</v>
      </c>
      <c r="W2532" t="str" cm="1">
        <f t="array" ref="W2532">_xlfn.LET(_xlpm.roles,_xlfn.UNIQUE(D2532:D5330), _xlpm.counts,COUNTIF(D2532:D5330,_xlpm.roles), INDEX(_xlpm.roles,MATCH(MAX(_xlpm.counts),_xlpm.counts,0)))</f>
        <v>IGL</v>
      </c>
      <c r="X2532" s="2">
        <f t="shared" si="199"/>
        <v>12.599585062240664</v>
      </c>
    </row>
    <row r="2533" spans="1:24" x14ac:dyDescent="0.3">
      <c r="A2533">
        <v>277</v>
      </c>
      <c r="B2533">
        <v>452</v>
      </c>
      <c r="C2533" t="s">
        <v>25</v>
      </c>
      <c r="D2533" t="s">
        <v>17</v>
      </c>
      <c r="E2533" t="s">
        <v>32</v>
      </c>
      <c r="F2533" t="s">
        <v>24</v>
      </c>
      <c r="G2533">
        <v>14</v>
      </c>
      <c r="H2533">
        <v>12</v>
      </c>
      <c r="I2533">
        <v>13</v>
      </c>
      <c r="J2533">
        <v>36.33</v>
      </c>
      <c r="K2533">
        <v>283.5</v>
      </c>
      <c r="L2533">
        <v>0.74</v>
      </c>
      <c r="M2533">
        <v>37.770000000000003</v>
      </c>
      <c r="N2533">
        <v>0.85</v>
      </c>
      <c r="O2533" t="s">
        <v>20</v>
      </c>
      <c r="P2533" t="s">
        <v>21</v>
      </c>
      <c r="Q2533">
        <f t="shared" si="195"/>
        <v>13</v>
      </c>
      <c r="R2533" s="4">
        <f>RANK(N2533,$N$2:N$2800,0)</f>
        <v>2105</v>
      </c>
      <c r="S2533">
        <f t="shared" si="196"/>
        <v>1.0769230769230769</v>
      </c>
      <c r="T2533" t="str">
        <f t="shared" si="197"/>
        <v>Low</v>
      </c>
      <c r="U2533" t="str" cm="1">
        <f t="array" ref="U2533">_xlfn.LET(_xlpm.roles,_xlfn.UNIQUE(D2533:D5331),_xlpm.kills, SUMIF(D2533:D5331,_xlpm.roles,G2533:G5331),INDEX(_xlpm.roles,MATCH(MAX(_xlpm.kills),_xlpm.kills,0)))</f>
        <v>IGL</v>
      </c>
      <c r="V2533" t="str">
        <f t="shared" si="198"/>
        <v>Medium Accuracy</v>
      </c>
      <c r="W2533" t="str" cm="1">
        <f t="array" ref="W2533">_xlfn.LET(_xlpm.roles,_xlfn.UNIQUE(D2533:D5331), _xlpm.counts,COUNTIF(D2533:D5331,_xlpm.roles), INDEX(_xlpm.roles,MATCH(MAX(_xlpm.counts),_xlpm.counts,0)))</f>
        <v>IGL</v>
      </c>
      <c r="X2533" s="2">
        <f t="shared" si="199"/>
        <v>12.809421841541756</v>
      </c>
    </row>
    <row r="2534" spans="1:24" x14ac:dyDescent="0.3">
      <c r="A2534">
        <v>808</v>
      </c>
      <c r="B2534">
        <v>452</v>
      </c>
      <c r="C2534" t="s">
        <v>39</v>
      </c>
      <c r="D2534" t="s">
        <v>31</v>
      </c>
      <c r="E2534" t="s">
        <v>23</v>
      </c>
      <c r="F2534" t="s">
        <v>26</v>
      </c>
      <c r="G2534">
        <v>9</v>
      </c>
      <c r="H2534">
        <v>7</v>
      </c>
      <c r="I2534">
        <v>9</v>
      </c>
      <c r="J2534">
        <v>48</v>
      </c>
      <c r="K2534">
        <v>250.88</v>
      </c>
      <c r="L2534">
        <v>0.89</v>
      </c>
      <c r="M2534">
        <v>31.1</v>
      </c>
      <c r="N2534">
        <v>0.76</v>
      </c>
      <c r="O2534" t="s">
        <v>20</v>
      </c>
      <c r="P2534" t="s">
        <v>21</v>
      </c>
      <c r="Q2534">
        <f t="shared" si="195"/>
        <v>7</v>
      </c>
      <c r="R2534" s="4">
        <f>RANK(N2534,$N$2:N$2800,0)</f>
        <v>2547</v>
      </c>
      <c r="S2534">
        <f t="shared" si="196"/>
        <v>1</v>
      </c>
      <c r="T2534" t="str">
        <f t="shared" si="197"/>
        <v>Low</v>
      </c>
      <c r="U2534" t="str" cm="1">
        <f t="array" ref="U2534">_xlfn.LET(_xlpm.roles,_xlfn.UNIQUE(D2534:D5332),_xlpm.kills, SUMIF(D2534:D5332,_xlpm.roles,G2534:G5332),INDEX(_xlpm.roles,MATCH(MAX(_xlpm.kills),_xlpm.kills,0)))</f>
        <v>IGL</v>
      </c>
      <c r="V2534" t="str">
        <f t="shared" si="198"/>
        <v>Medium Accuracy</v>
      </c>
      <c r="W2534" t="str" cm="1">
        <f t="array" ref="W2534">_xlfn.LET(_xlpm.roles,_xlfn.UNIQUE(D2534:D5332), _xlpm.counts,COUNTIF(D2534:D5332,_xlpm.roles), INDEX(_xlpm.roles,MATCH(MAX(_xlpm.counts),_xlpm.counts,0)))</f>
        <v>IGL</v>
      </c>
      <c r="X2534" s="2">
        <f t="shared" si="199"/>
        <v>13.103594080338267</v>
      </c>
    </row>
    <row r="2535" spans="1:24" x14ac:dyDescent="0.3">
      <c r="A2535">
        <v>2044</v>
      </c>
      <c r="B2535">
        <v>452</v>
      </c>
      <c r="C2535" t="s">
        <v>25</v>
      </c>
      <c r="D2535" t="s">
        <v>28</v>
      </c>
      <c r="E2535" t="s">
        <v>33</v>
      </c>
      <c r="F2535" t="s">
        <v>26</v>
      </c>
      <c r="G2535">
        <v>15</v>
      </c>
      <c r="H2535">
        <v>9</v>
      </c>
      <c r="I2535">
        <v>10</v>
      </c>
      <c r="J2535">
        <v>56.32</v>
      </c>
      <c r="K2535">
        <v>190.05</v>
      </c>
      <c r="L2535">
        <v>0.56000000000000005</v>
      </c>
      <c r="M2535">
        <v>51.56</v>
      </c>
      <c r="N2535">
        <v>0.84</v>
      </c>
      <c r="O2535" t="s">
        <v>20</v>
      </c>
      <c r="P2535" t="s">
        <v>21</v>
      </c>
      <c r="Q2535">
        <f t="shared" si="195"/>
        <v>14</v>
      </c>
      <c r="R2535" s="4">
        <f>RANK(N2535,$N$2:N$2800,0)</f>
        <v>2156</v>
      </c>
      <c r="S2535">
        <f t="shared" si="196"/>
        <v>1.5</v>
      </c>
      <c r="T2535" t="str">
        <f t="shared" si="197"/>
        <v>Low</v>
      </c>
      <c r="U2535" t="str" cm="1">
        <f t="array" ref="U2535">_xlfn.LET(_xlpm.roles,_xlfn.UNIQUE(D2535:D5333),_xlpm.kills, SUMIF(D2535:D5333,_xlpm.roles,G2535:G5333),INDEX(_xlpm.roles,MATCH(MAX(_xlpm.kills),_xlpm.kills,0)))</f>
        <v>IGL</v>
      </c>
      <c r="V2535" t="str">
        <f t="shared" si="198"/>
        <v>High Accuracy</v>
      </c>
      <c r="W2535" t="str" cm="1">
        <f t="array" ref="W2535">_xlfn.LET(_xlpm.roles,_xlfn.UNIQUE(D2535:D5333), _xlpm.counts,COUNTIF(D2535:D5333,_xlpm.roles), INDEX(_xlpm.roles,MATCH(MAX(_xlpm.counts),_xlpm.counts,0)))</f>
        <v>IGL</v>
      </c>
      <c r="X2535" s="2">
        <f t="shared" si="199"/>
        <v>12.809421841541756</v>
      </c>
    </row>
    <row r="2536" spans="1:24" x14ac:dyDescent="0.3">
      <c r="A2536">
        <v>2093</v>
      </c>
      <c r="B2536">
        <v>452</v>
      </c>
      <c r="C2536" t="s">
        <v>30</v>
      </c>
      <c r="D2536" t="s">
        <v>17</v>
      </c>
      <c r="E2536" t="s">
        <v>33</v>
      </c>
      <c r="F2536" t="s">
        <v>19</v>
      </c>
      <c r="G2536">
        <v>13</v>
      </c>
      <c r="H2536">
        <v>9</v>
      </c>
      <c r="I2536">
        <v>8</v>
      </c>
      <c r="J2536">
        <v>55.59</v>
      </c>
      <c r="K2536">
        <v>217.81</v>
      </c>
      <c r="L2536">
        <v>0.28999999999999998</v>
      </c>
      <c r="M2536">
        <v>51.9</v>
      </c>
      <c r="N2536">
        <v>1</v>
      </c>
      <c r="O2536" t="s">
        <v>20</v>
      </c>
      <c r="P2536" t="s">
        <v>21</v>
      </c>
      <c r="Q2536">
        <f t="shared" si="195"/>
        <v>14</v>
      </c>
      <c r="R2536" s="4">
        <f>RANK(N2536,$N$2:N$2800,0)</f>
        <v>1</v>
      </c>
      <c r="S2536">
        <f t="shared" si="196"/>
        <v>1.625</v>
      </c>
      <c r="T2536" t="str">
        <f t="shared" si="197"/>
        <v>Low</v>
      </c>
      <c r="U2536" t="str" cm="1">
        <f t="array" ref="U2536">_xlfn.LET(_xlpm.roles,_xlfn.UNIQUE(D2536:D5334),_xlpm.kills, SUMIF(D2536:D5334,_xlpm.roles,G2536:G5334),INDEX(_xlpm.roles,MATCH(MAX(_xlpm.kills),_xlpm.kills,0)))</f>
        <v>IGL</v>
      </c>
      <c r="V2536" t="str">
        <f t="shared" si="198"/>
        <v>High Accuracy</v>
      </c>
      <c r="W2536" t="str" cm="1">
        <f t="array" ref="W2536">_xlfn.LET(_xlpm.roles,_xlfn.UNIQUE(D2536:D5334), _xlpm.counts,COUNTIF(D2536:D5334,_xlpm.roles), INDEX(_xlpm.roles,MATCH(MAX(_xlpm.counts),_xlpm.counts,0)))</f>
        <v>IGL</v>
      </c>
      <c r="X2536" s="2">
        <f t="shared" si="199"/>
        <v>13.135802469135802</v>
      </c>
    </row>
    <row r="2537" spans="1:24" x14ac:dyDescent="0.3">
      <c r="A2537">
        <v>519</v>
      </c>
      <c r="B2537">
        <v>453</v>
      </c>
      <c r="C2537" t="s">
        <v>27</v>
      </c>
      <c r="D2537" t="s">
        <v>31</v>
      </c>
      <c r="E2537" t="s">
        <v>18</v>
      </c>
      <c r="F2537" t="s">
        <v>34</v>
      </c>
      <c r="G2537">
        <v>16</v>
      </c>
      <c r="H2537">
        <v>3</v>
      </c>
      <c r="I2537">
        <v>12</v>
      </c>
      <c r="J2537">
        <v>53.11</v>
      </c>
      <c r="K2537">
        <v>239.56</v>
      </c>
      <c r="L2537">
        <v>0.31</v>
      </c>
      <c r="M2537">
        <v>46.45</v>
      </c>
      <c r="N2537">
        <v>0.89</v>
      </c>
      <c r="O2537" t="s">
        <v>20</v>
      </c>
      <c r="P2537" t="s">
        <v>21</v>
      </c>
      <c r="Q2537">
        <f t="shared" si="195"/>
        <v>7</v>
      </c>
      <c r="R2537" s="4">
        <f>RANK(N2537,$N$2:N$2800,0)</f>
        <v>1815</v>
      </c>
      <c r="S2537">
        <f t="shared" si="196"/>
        <v>1.3333333333333333</v>
      </c>
      <c r="T2537" t="str">
        <f t="shared" si="197"/>
        <v>Low</v>
      </c>
      <c r="U2537" t="str" cm="1">
        <f t="array" ref="U2537">_xlfn.LET(_xlpm.roles,_xlfn.UNIQUE(D2537:D5335),_xlpm.kills, SUMIF(D2537:D5335,_xlpm.roles,G2537:G5335),INDEX(_xlpm.roles,MATCH(MAX(_xlpm.kills),_xlpm.kills,0)))</f>
        <v>IGL</v>
      </c>
      <c r="V2537" t="str">
        <f t="shared" si="198"/>
        <v>High Accuracy</v>
      </c>
      <c r="W2537" t="str" cm="1">
        <f t="array" ref="W2537">_xlfn.LET(_xlpm.roles,_xlfn.UNIQUE(D2537:D5335), _xlpm.counts,COUNTIF(D2537:D5335,_xlpm.roles), INDEX(_xlpm.roles,MATCH(MAX(_xlpm.counts),_xlpm.counts,0)))</f>
        <v>IGL</v>
      </c>
      <c r="X2537" s="2">
        <f t="shared" si="199"/>
        <v>13.057077625570777</v>
      </c>
    </row>
    <row r="2538" spans="1:24" x14ac:dyDescent="0.3">
      <c r="A2538">
        <v>695</v>
      </c>
      <c r="B2538">
        <v>453</v>
      </c>
      <c r="C2538" t="s">
        <v>39</v>
      </c>
      <c r="D2538" t="s">
        <v>31</v>
      </c>
      <c r="E2538" t="s">
        <v>23</v>
      </c>
      <c r="F2538" t="s">
        <v>34</v>
      </c>
      <c r="G2538">
        <v>11</v>
      </c>
      <c r="H2538">
        <v>8</v>
      </c>
      <c r="I2538">
        <v>9</v>
      </c>
      <c r="J2538">
        <v>28.54</v>
      </c>
      <c r="K2538">
        <v>228.06</v>
      </c>
      <c r="L2538">
        <v>0.54</v>
      </c>
      <c r="M2538">
        <v>29.87</v>
      </c>
      <c r="N2538">
        <v>0.76</v>
      </c>
      <c r="O2538" t="s">
        <v>20</v>
      </c>
      <c r="P2538" t="s">
        <v>21</v>
      </c>
      <c r="Q2538">
        <f t="shared" si="195"/>
        <v>10</v>
      </c>
      <c r="R2538" s="4">
        <f>RANK(N2538,$N$2:N$2800,0)</f>
        <v>2547</v>
      </c>
      <c r="S2538">
        <f t="shared" si="196"/>
        <v>1.2222222222222223</v>
      </c>
      <c r="T2538" t="str">
        <f t="shared" si="197"/>
        <v>Low</v>
      </c>
      <c r="U2538" t="str" cm="1">
        <f t="array" ref="U2538">_xlfn.LET(_xlpm.roles,_xlfn.UNIQUE(D2538:D5336),_xlpm.kills, SUMIF(D2538:D5336,_xlpm.roles,G2538:G5336),INDEX(_xlpm.roles,MATCH(MAX(_xlpm.kills),_xlpm.kills,0)))</f>
        <v>IGL</v>
      </c>
      <c r="V2538" t="str">
        <f t="shared" si="198"/>
        <v>Low Accuracy</v>
      </c>
      <c r="W2538" t="str" cm="1">
        <f t="array" ref="W2538">_xlfn.LET(_xlpm.roles,_xlfn.UNIQUE(D2538:D5336), _xlpm.counts,COUNTIF(D2538:D5336,_xlpm.roles), INDEX(_xlpm.roles,MATCH(MAX(_xlpm.counts),_xlpm.counts,0)))</f>
        <v>IGL</v>
      </c>
      <c r="X2538" s="2">
        <f t="shared" si="199"/>
        <v>13.103594080338267</v>
      </c>
    </row>
    <row r="2539" spans="1:24" x14ac:dyDescent="0.3">
      <c r="A2539">
        <v>712</v>
      </c>
      <c r="B2539">
        <v>453</v>
      </c>
      <c r="C2539" t="s">
        <v>30</v>
      </c>
      <c r="D2539" t="s">
        <v>28</v>
      </c>
      <c r="E2539" t="s">
        <v>29</v>
      </c>
      <c r="F2539" t="s">
        <v>37</v>
      </c>
      <c r="G2539">
        <v>15</v>
      </c>
      <c r="H2539">
        <v>5</v>
      </c>
      <c r="I2539">
        <v>8</v>
      </c>
      <c r="J2539">
        <v>34.69</v>
      </c>
      <c r="K2539">
        <v>216.71</v>
      </c>
      <c r="L2539">
        <v>0.84</v>
      </c>
      <c r="M2539">
        <v>35.950000000000003</v>
      </c>
      <c r="N2539">
        <v>0.87</v>
      </c>
      <c r="O2539" t="s">
        <v>20</v>
      </c>
      <c r="P2539" t="s">
        <v>21</v>
      </c>
      <c r="Q2539">
        <f t="shared" si="195"/>
        <v>12</v>
      </c>
      <c r="R2539" s="4">
        <f>RANK(N2539,$N$2:N$2800,0)</f>
        <v>1965</v>
      </c>
      <c r="S2539">
        <f t="shared" si="196"/>
        <v>1.875</v>
      </c>
      <c r="T2539" t="str">
        <f t="shared" si="197"/>
        <v>Low</v>
      </c>
      <c r="U2539" t="str" cm="1">
        <f t="array" ref="U2539">_xlfn.LET(_xlpm.roles,_xlfn.UNIQUE(D2539:D5337),_xlpm.kills, SUMIF(D2539:D5337,_xlpm.roles,G2539:G5337),INDEX(_xlpm.roles,MATCH(MAX(_xlpm.kills),_xlpm.kills,0)))</f>
        <v>IGL</v>
      </c>
      <c r="V2539" t="str">
        <f t="shared" si="198"/>
        <v>Medium Accuracy</v>
      </c>
      <c r="W2539" t="str" cm="1">
        <f t="array" ref="W2539">_xlfn.LET(_xlpm.roles,_xlfn.UNIQUE(D2539:D5337), _xlpm.counts,COUNTIF(D2539:D5337,_xlpm.roles), INDEX(_xlpm.roles,MATCH(MAX(_xlpm.counts),_xlpm.counts,0)))</f>
        <v>IGL</v>
      </c>
      <c r="X2539" s="2">
        <f t="shared" si="199"/>
        <v>13.135802469135802</v>
      </c>
    </row>
    <row r="2540" spans="1:24" x14ac:dyDescent="0.3">
      <c r="A2540">
        <v>1340</v>
      </c>
      <c r="B2540">
        <v>453</v>
      </c>
      <c r="C2540" t="s">
        <v>35</v>
      </c>
      <c r="D2540" t="s">
        <v>17</v>
      </c>
      <c r="E2540" t="s">
        <v>32</v>
      </c>
      <c r="F2540" t="s">
        <v>26</v>
      </c>
      <c r="G2540">
        <v>14</v>
      </c>
      <c r="H2540">
        <v>3</v>
      </c>
      <c r="I2540">
        <v>7</v>
      </c>
      <c r="J2540">
        <v>51.7</v>
      </c>
      <c r="K2540">
        <v>228.25</v>
      </c>
      <c r="L2540">
        <v>0.21</v>
      </c>
      <c r="M2540">
        <v>47.75</v>
      </c>
      <c r="N2540">
        <v>0.92</v>
      </c>
      <c r="O2540" t="s">
        <v>20</v>
      </c>
      <c r="P2540" t="s">
        <v>21</v>
      </c>
      <c r="Q2540">
        <f t="shared" si="195"/>
        <v>10</v>
      </c>
      <c r="R2540" s="4">
        <f>RANK(N2540,$N$2:N$2800,0)</f>
        <v>1585</v>
      </c>
      <c r="S2540">
        <f t="shared" si="196"/>
        <v>2</v>
      </c>
      <c r="T2540" t="str">
        <f t="shared" si="197"/>
        <v>Low</v>
      </c>
      <c r="U2540" t="str" cm="1">
        <f t="array" ref="U2540">_xlfn.LET(_xlpm.roles,_xlfn.UNIQUE(D2540:D5338),_xlpm.kills, SUMIF(D2540:D5338,_xlpm.roles,G2540:G5338),INDEX(_xlpm.roles,MATCH(MAX(_xlpm.kills),_xlpm.kills,0)))</f>
        <v>IGL</v>
      </c>
      <c r="V2540" t="str">
        <f t="shared" si="198"/>
        <v>High Accuracy</v>
      </c>
      <c r="W2540" t="str" cm="1">
        <f t="array" ref="W2540">_xlfn.LET(_xlpm.roles,_xlfn.UNIQUE(D2540:D5338), _xlpm.counts,COUNTIF(D2540:D5338,_xlpm.roles), INDEX(_xlpm.roles,MATCH(MAX(_xlpm.counts),_xlpm.counts,0)))</f>
        <v>IGL</v>
      </c>
      <c r="X2540" s="2">
        <f t="shared" si="199"/>
        <v>12.599585062240664</v>
      </c>
    </row>
    <row r="2541" spans="1:24" x14ac:dyDescent="0.3">
      <c r="A2541">
        <v>1740</v>
      </c>
      <c r="B2541">
        <v>453</v>
      </c>
      <c r="C2541" t="s">
        <v>30</v>
      </c>
      <c r="D2541" t="s">
        <v>31</v>
      </c>
      <c r="E2541" t="s">
        <v>23</v>
      </c>
      <c r="F2541" t="s">
        <v>34</v>
      </c>
      <c r="G2541">
        <v>21</v>
      </c>
      <c r="H2541">
        <v>8</v>
      </c>
      <c r="I2541">
        <v>15</v>
      </c>
      <c r="J2541">
        <v>41.27</v>
      </c>
      <c r="K2541">
        <v>251.88</v>
      </c>
      <c r="L2541">
        <v>0.84</v>
      </c>
      <c r="M2541">
        <v>47.24</v>
      </c>
      <c r="N2541">
        <v>1</v>
      </c>
      <c r="O2541" t="s">
        <v>20</v>
      </c>
      <c r="P2541" t="s">
        <v>21</v>
      </c>
      <c r="Q2541">
        <f t="shared" si="195"/>
        <v>14</v>
      </c>
      <c r="R2541" s="4">
        <f>RANK(N2541,$N$2:N$2800,0)</f>
        <v>1</v>
      </c>
      <c r="S2541">
        <f t="shared" si="196"/>
        <v>1.4</v>
      </c>
      <c r="T2541" t="str">
        <f t="shared" si="197"/>
        <v>Low</v>
      </c>
      <c r="U2541" t="str" cm="1">
        <f t="array" ref="U2541">_xlfn.LET(_xlpm.roles,_xlfn.UNIQUE(D2541:D5339),_xlpm.kills, SUMIF(D2541:D5339,_xlpm.roles,G2541:G5339),INDEX(_xlpm.roles,MATCH(MAX(_xlpm.kills),_xlpm.kills,0)))</f>
        <v>IGL</v>
      </c>
      <c r="V2541" t="str">
        <f t="shared" si="198"/>
        <v>Medium Accuracy</v>
      </c>
      <c r="W2541" t="str" cm="1">
        <f t="array" ref="W2541">_xlfn.LET(_xlpm.roles,_xlfn.UNIQUE(D2541:D5339), _xlpm.counts,COUNTIF(D2541:D5339,_xlpm.roles), INDEX(_xlpm.roles,MATCH(MAX(_xlpm.counts),_xlpm.counts,0)))</f>
        <v>IGL</v>
      </c>
      <c r="X2541" s="2">
        <f t="shared" si="199"/>
        <v>13.135802469135802</v>
      </c>
    </row>
    <row r="2542" spans="1:24" x14ac:dyDescent="0.3">
      <c r="A2542">
        <v>1897</v>
      </c>
      <c r="B2542">
        <v>453</v>
      </c>
      <c r="C2542" t="s">
        <v>30</v>
      </c>
      <c r="D2542" t="s">
        <v>17</v>
      </c>
      <c r="E2542" t="s">
        <v>33</v>
      </c>
      <c r="F2542" t="s">
        <v>37</v>
      </c>
      <c r="G2542">
        <v>10</v>
      </c>
      <c r="H2542">
        <v>9</v>
      </c>
      <c r="I2542">
        <v>12</v>
      </c>
      <c r="J2542">
        <v>35.130000000000003</v>
      </c>
      <c r="K2542">
        <v>228.19</v>
      </c>
      <c r="L2542">
        <v>0.73</v>
      </c>
      <c r="M2542">
        <v>27.26</v>
      </c>
      <c r="N2542">
        <v>0.82</v>
      </c>
      <c r="O2542" t="s">
        <v>20</v>
      </c>
      <c r="P2542" t="s">
        <v>21</v>
      </c>
      <c r="Q2542">
        <f t="shared" si="195"/>
        <v>7</v>
      </c>
      <c r="R2542" s="4">
        <f>RANK(N2542,$N$2:N$2800,0)</f>
        <v>2275</v>
      </c>
      <c r="S2542">
        <f t="shared" si="196"/>
        <v>0.83333333333333337</v>
      </c>
      <c r="T2542" t="str">
        <f t="shared" si="197"/>
        <v>Low</v>
      </c>
      <c r="U2542" t="str" cm="1">
        <f t="array" ref="U2542">_xlfn.LET(_xlpm.roles,_xlfn.UNIQUE(D2542:D5340),_xlpm.kills, SUMIF(D2542:D5340,_xlpm.roles,G2542:G5340),INDEX(_xlpm.roles,MATCH(MAX(_xlpm.kills),_xlpm.kills,0)))</f>
        <v>IGL</v>
      </c>
      <c r="V2542" t="str">
        <f t="shared" si="198"/>
        <v>Medium Accuracy</v>
      </c>
      <c r="W2542" t="str" cm="1">
        <f t="array" ref="W2542">_xlfn.LET(_xlpm.roles,_xlfn.UNIQUE(D2542:D5340), _xlpm.counts,COUNTIF(D2542:D5340,_xlpm.roles), INDEX(_xlpm.roles,MATCH(MAX(_xlpm.counts),_xlpm.counts,0)))</f>
        <v>IGL</v>
      </c>
      <c r="X2542" s="2">
        <f t="shared" si="199"/>
        <v>13.135802469135802</v>
      </c>
    </row>
    <row r="2543" spans="1:24" x14ac:dyDescent="0.3">
      <c r="A2543">
        <v>253</v>
      </c>
      <c r="B2543">
        <v>454</v>
      </c>
      <c r="C2543" t="s">
        <v>16</v>
      </c>
      <c r="D2543" t="s">
        <v>36</v>
      </c>
      <c r="E2543" t="s">
        <v>23</v>
      </c>
      <c r="F2543" t="s">
        <v>24</v>
      </c>
      <c r="G2543">
        <v>14</v>
      </c>
      <c r="H2543">
        <v>10</v>
      </c>
      <c r="I2543">
        <v>14</v>
      </c>
      <c r="J2543">
        <v>37.200000000000003</v>
      </c>
      <c r="K2543">
        <v>259.11</v>
      </c>
      <c r="L2543">
        <v>0.01</v>
      </c>
      <c r="M2543">
        <v>42.5</v>
      </c>
      <c r="N2543">
        <v>0.78</v>
      </c>
      <c r="O2543" t="s">
        <v>20</v>
      </c>
      <c r="P2543" t="s">
        <v>21</v>
      </c>
      <c r="Q2543">
        <f t="shared" si="195"/>
        <v>10</v>
      </c>
      <c r="R2543" s="4">
        <f>RANK(N2543,$N$2:N$2800,0)</f>
        <v>2469</v>
      </c>
      <c r="S2543">
        <f t="shared" si="196"/>
        <v>1</v>
      </c>
      <c r="T2543" t="str">
        <f t="shared" si="197"/>
        <v>Low</v>
      </c>
      <c r="U2543" t="str" cm="1">
        <f t="array" ref="U2543">_xlfn.LET(_xlpm.roles,_xlfn.UNIQUE(D2543:D5341),_xlpm.kills, SUMIF(D2543:D5341,_xlpm.roles,G2543:G5341),INDEX(_xlpm.roles,MATCH(MAX(_xlpm.kills),_xlpm.kills,0)))</f>
        <v>IGL</v>
      </c>
      <c r="V2543" t="str">
        <f t="shared" si="198"/>
        <v>Medium Accuracy</v>
      </c>
      <c r="W2543" t="str" cm="1">
        <f t="array" ref="W2543">_xlfn.LET(_xlpm.roles,_xlfn.UNIQUE(D2543:D5341), _xlpm.counts,COUNTIF(D2543:D5341,_xlpm.roles), INDEX(_xlpm.roles,MATCH(MAX(_xlpm.counts),_xlpm.counts,0)))</f>
        <v>IGL</v>
      </c>
      <c r="X2543" s="2">
        <f t="shared" si="199"/>
        <v>12.520971302428256</v>
      </c>
    </row>
    <row r="2544" spans="1:24" x14ac:dyDescent="0.3">
      <c r="A2544">
        <v>271</v>
      </c>
      <c r="B2544">
        <v>454</v>
      </c>
      <c r="C2544" t="s">
        <v>25</v>
      </c>
      <c r="D2544" t="s">
        <v>31</v>
      </c>
      <c r="E2544" t="s">
        <v>29</v>
      </c>
      <c r="F2544" t="s">
        <v>26</v>
      </c>
      <c r="G2544">
        <v>10</v>
      </c>
      <c r="H2544">
        <v>3</v>
      </c>
      <c r="I2544">
        <v>9</v>
      </c>
      <c r="J2544">
        <v>40.83</v>
      </c>
      <c r="K2544">
        <v>172.58</v>
      </c>
      <c r="L2544">
        <v>0.04</v>
      </c>
      <c r="M2544">
        <v>34.020000000000003</v>
      </c>
      <c r="N2544">
        <v>1</v>
      </c>
      <c r="O2544" t="s">
        <v>20</v>
      </c>
      <c r="P2544" t="s">
        <v>21</v>
      </c>
      <c r="Q2544">
        <f t="shared" si="195"/>
        <v>4</v>
      </c>
      <c r="R2544" s="4">
        <f>RANK(N2544,$N$2:N$2800,0)</f>
        <v>1</v>
      </c>
      <c r="S2544">
        <f t="shared" si="196"/>
        <v>1.1111111111111112</v>
      </c>
      <c r="T2544" t="str">
        <f t="shared" si="197"/>
        <v>Low</v>
      </c>
      <c r="U2544" t="str" cm="1">
        <f t="array" ref="U2544">_xlfn.LET(_xlpm.roles,_xlfn.UNIQUE(D2544:D5342),_xlpm.kills, SUMIF(D2544:D5342,_xlpm.roles,G2544:G5342),INDEX(_xlpm.roles,MATCH(MAX(_xlpm.kills),_xlpm.kills,0)))</f>
        <v>IGL</v>
      </c>
      <c r="V2544" t="str">
        <f t="shared" si="198"/>
        <v>Medium Accuracy</v>
      </c>
      <c r="W2544" t="str" cm="1">
        <f t="array" ref="W2544">_xlfn.LET(_xlpm.roles,_xlfn.UNIQUE(D2544:D5342), _xlpm.counts,COUNTIF(D2544:D5342,_xlpm.roles), INDEX(_xlpm.roles,MATCH(MAX(_xlpm.counts),_xlpm.counts,0)))</f>
        <v>IGL</v>
      </c>
      <c r="X2544" s="2">
        <f t="shared" si="199"/>
        <v>12.809421841541756</v>
      </c>
    </row>
    <row r="2545" spans="1:24" x14ac:dyDescent="0.3">
      <c r="A2545">
        <v>304</v>
      </c>
      <c r="B2545">
        <v>454</v>
      </c>
      <c r="C2545" t="s">
        <v>39</v>
      </c>
      <c r="D2545" t="s">
        <v>22</v>
      </c>
      <c r="E2545" t="s">
        <v>33</v>
      </c>
      <c r="F2545" t="s">
        <v>26</v>
      </c>
      <c r="G2545">
        <v>9</v>
      </c>
      <c r="H2545">
        <v>9</v>
      </c>
      <c r="I2545">
        <v>6</v>
      </c>
      <c r="J2545">
        <v>42.65</v>
      </c>
      <c r="K2545">
        <v>260.76</v>
      </c>
      <c r="L2545">
        <v>0.14000000000000001</v>
      </c>
      <c r="M2545">
        <v>40.93</v>
      </c>
      <c r="N2545">
        <v>0.87</v>
      </c>
      <c r="O2545" t="s">
        <v>20</v>
      </c>
      <c r="P2545" t="s">
        <v>21</v>
      </c>
      <c r="Q2545">
        <f t="shared" si="195"/>
        <v>12</v>
      </c>
      <c r="R2545" s="4">
        <f>RANK(N2545,$N$2:N$2800,0)</f>
        <v>1965</v>
      </c>
      <c r="S2545">
        <f t="shared" si="196"/>
        <v>1.5</v>
      </c>
      <c r="T2545" t="str">
        <f t="shared" si="197"/>
        <v>Low</v>
      </c>
      <c r="U2545" t="str" cm="1">
        <f t="array" ref="U2545">_xlfn.LET(_xlpm.roles,_xlfn.UNIQUE(D2545:D5343),_xlpm.kills, SUMIF(D2545:D5343,_xlpm.roles,G2545:G5343),INDEX(_xlpm.roles,MATCH(MAX(_xlpm.kills),_xlpm.kills,0)))</f>
        <v>IGL</v>
      </c>
      <c r="V2545" t="str">
        <f t="shared" si="198"/>
        <v>Medium Accuracy</v>
      </c>
      <c r="W2545" t="str" cm="1">
        <f t="array" ref="W2545">_xlfn.LET(_xlpm.roles,_xlfn.UNIQUE(D2545:D5343), _xlpm.counts,COUNTIF(D2545:D5343,_xlpm.roles), INDEX(_xlpm.roles,MATCH(MAX(_xlpm.counts),_xlpm.counts,0)))</f>
        <v>IGL</v>
      </c>
      <c r="X2545" s="2">
        <f t="shared" si="199"/>
        <v>13.103594080338267</v>
      </c>
    </row>
    <row r="2546" spans="1:24" x14ac:dyDescent="0.3">
      <c r="A2546">
        <v>387</v>
      </c>
      <c r="B2546">
        <v>454</v>
      </c>
      <c r="C2546" t="s">
        <v>39</v>
      </c>
      <c r="D2546" t="s">
        <v>36</v>
      </c>
      <c r="E2546" t="s">
        <v>29</v>
      </c>
      <c r="F2546" t="s">
        <v>19</v>
      </c>
      <c r="G2546">
        <v>19</v>
      </c>
      <c r="H2546">
        <v>7</v>
      </c>
      <c r="I2546">
        <v>9</v>
      </c>
      <c r="J2546">
        <v>40.409999999999997</v>
      </c>
      <c r="K2546">
        <v>211.57</v>
      </c>
      <c r="L2546">
        <v>0.76</v>
      </c>
      <c r="M2546">
        <v>48.6</v>
      </c>
      <c r="N2546">
        <v>1</v>
      </c>
      <c r="O2546" t="s">
        <v>20</v>
      </c>
      <c r="P2546" t="s">
        <v>21</v>
      </c>
      <c r="Q2546">
        <f t="shared" si="195"/>
        <v>17</v>
      </c>
      <c r="R2546" s="4">
        <f>RANK(N2546,$N$2:N$2800,0)</f>
        <v>1</v>
      </c>
      <c r="S2546">
        <f t="shared" si="196"/>
        <v>2.1111111111111112</v>
      </c>
      <c r="T2546" t="str">
        <f t="shared" si="197"/>
        <v>Good</v>
      </c>
      <c r="U2546" t="str" cm="1">
        <f t="array" ref="U2546">_xlfn.LET(_xlpm.roles,_xlfn.UNIQUE(D2546:D5344),_xlpm.kills, SUMIF(D2546:D5344,_xlpm.roles,G2546:G5344),INDEX(_xlpm.roles,MATCH(MAX(_xlpm.kills),_xlpm.kills,0)))</f>
        <v>IGL</v>
      </c>
      <c r="V2546" t="str">
        <f t="shared" si="198"/>
        <v>Medium Accuracy</v>
      </c>
      <c r="W2546" t="str" cm="1">
        <f t="array" ref="W2546">_xlfn.LET(_xlpm.roles,_xlfn.UNIQUE(D2546:D5344), _xlpm.counts,COUNTIF(D2546:D5344,_xlpm.roles), INDEX(_xlpm.roles,MATCH(MAX(_xlpm.counts),_xlpm.counts,0)))</f>
        <v>IGL</v>
      </c>
      <c r="X2546" s="2">
        <f t="shared" si="199"/>
        <v>13.103594080338267</v>
      </c>
    </row>
    <row r="2547" spans="1:24" x14ac:dyDescent="0.3">
      <c r="A2547">
        <v>434</v>
      </c>
      <c r="B2547">
        <v>454</v>
      </c>
      <c r="C2547" t="s">
        <v>30</v>
      </c>
      <c r="D2547" t="s">
        <v>28</v>
      </c>
      <c r="E2547" t="s">
        <v>23</v>
      </c>
      <c r="F2547" t="s">
        <v>37</v>
      </c>
      <c r="G2547">
        <v>17</v>
      </c>
      <c r="H2547">
        <v>9</v>
      </c>
      <c r="I2547">
        <v>8</v>
      </c>
      <c r="J2547">
        <v>47.45</v>
      </c>
      <c r="K2547">
        <v>259.08</v>
      </c>
      <c r="L2547">
        <v>0.1</v>
      </c>
      <c r="M2547">
        <v>57.73</v>
      </c>
      <c r="N2547">
        <v>1</v>
      </c>
      <c r="O2547" t="s">
        <v>20</v>
      </c>
      <c r="P2547" t="s">
        <v>21</v>
      </c>
      <c r="Q2547">
        <f t="shared" si="195"/>
        <v>18</v>
      </c>
      <c r="R2547" s="4">
        <f>RANK(N2547,$N$2:N$2800,0)</f>
        <v>1</v>
      </c>
      <c r="S2547">
        <f t="shared" si="196"/>
        <v>2.125</v>
      </c>
      <c r="T2547" t="str">
        <f t="shared" si="197"/>
        <v>Good</v>
      </c>
      <c r="U2547" t="str" cm="1">
        <f t="array" ref="U2547">_xlfn.LET(_xlpm.roles,_xlfn.UNIQUE(D2547:D5345),_xlpm.kills, SUMIF(D2547:D5345,_xlpm.roles,G2547:G5345),INDEX(_xlpm.roles,MATCH(MAX(_xlpm.kills),_xlpm.kills,0)))</f>
        <v>IGL</v>
      </c>
      <c r="V2547" t="str">
        <f t="shared" si="198"/>
        <v>Medium Accuracy</v>
      </c>
      <c r="W2547" t="str" cm="1">
        <f t="array" ref="W2547">_xlfn.LET(_xlpm.roles,_xlfn.UNIQUE(D2547:D5345), _xlpm.counts,COUNTIF(D2547:D5345,_xlpm.roles), INDEX(_xlpm.roles,MATCH(MAX(_xlpm.counts),_xlpm.counts,0)))</f>
        <v>IGL</v>
      </c>
      <c r="X2547" s="2">
        <f t="shared" si="199"/>
        <v>13.135802469135802</v>
      </c>
    </row>
    <row r="2548" spans="1:24" x14ac:dyDescent="0.3">
      <c r="A2548">
        <v>1013</v>
      </c>
      <c r="B2548">
        <v>454</v>
      </c>
      <c r="C2548" t="s">
        <v>27</v>
      </c>
      <c r="D2548" t="s">
        <v>31</v>
      </c>
      <c r="E2548" t="s">
        <v>29</v>
      </c>
      <c r="F2548" t="s">
        <v>34</v>
      </c>
      <c r="G2548">
        <v>17</v>
      </c>
      <c r="H2548">
        <v>9</v>
      </c>
      <c r="I2548">
        <v>8</v>
      </c>
      <c r="J2548">
        <v>44.31</v>
      </c>
      <c r="K2548">
        <v>203.34</v>
      </c>
      <c r="L2548">
        <v>0.76</v>
      </c>
      <c r="M2548">
        <v>49.55</v>
      </c>
      <c r="N2548">
        <v>1</v>
      </c>
      <c r="O2548" t="s">
        <v>20</v>
      </c>
      <c r="P2548" t="s">
        <v>21</v>
      </c>
      <c r="Q2548">
        <f t="shared" si="195"/>
        <v>18</v>
      </c>
      <c r="R2548" s="4">
        <f>RANK(N2548,$N$2:N$2800,0)</f>
        <v>1</v>
      </c>
      <c r="S2548">
        <f t="shared" si="196"/>
        <v>2.125</v>
      </c>
      <c r="T2548" t="str">
        <f t="shared" si="197"/>
        <v>Good</v>
      </c>
      <c r="U2548" t="str" cm="1">
        <f t="array" ref="U2548">_xlfn.LET(_xlpm.roles,_xlfn.UNIQUE(D2548:D5346),_xlpm.kills, SUMIF(D2548:D5346,_xlpm.roles,G2548:G5346),INDEX(_xlpm.roles,MATCH(MAX(_xlpm.kills),_xlpm.kills,0)))</f>
        <v>IGL</v>
      </c>
      <c r="V2548" t="str">
        <f t="shared" si="198"/>
        <v>Medium Accuracy</v>
      </c>
      <c r="W2548" t="str" cm="1">
        <f t="array" ref="W2548">_xlfn.LET(_xlpm.roles,_xlfn.UNIQUE(D2548:D5346), _xlpm.counts,COUNTIF(D2548:D5346,_xlpm.roles), INDEX(_xlpm.roles,MATCH(MAX(_xlpm.counts),_xlpm.counts,0)))</f>
        <v>IGL</v>
      </c>
      <c r="X2548" s="2">
        <f t="shared" si="199"/>
        <v>13.057077625570777</v>
      </c>
    </row>
    <row r="2549" spans="1:24" x14ac:dyDescent="0.3">
      <c r="A2549">
        <v>1237</v>
      </c>
      <c r="B2549">
        <v>454</v>
      </c>
      <c r="C2549" t="s">
        <v>35</v>
      </c>
      <c r="D2549" t="s">
        <v>22</v>
      </c>
      <c r="E2549" t="s">
        <v>23</v>
      </c>
      <c r="F2549" t="s">
        <v>37</v>
      </c>
      <c r="G2549">
        <v>12</v>
      </c>
      <c r="H2549">
        <v>4</v>
      </c>
      <c r="I2549">
        <v>11</v>
      </c>
      <c r="J2549">
        <v>35.97</v>
      </c>
      <c r="K2549">
        <v>262.49</v>
      </c>
      <c r="L2549">
        <v>0.96</v>
      </c>
      <c r="M2549">
        <v>25.38</v>
      </c>
      <c r="N2549">
        <v>0.74</v>
      </c>
      <c r="O2549" t="s">
        <v>20</v>
      </c>
      <c r="P2549" t="s">
        <v>21</v>
      </c>
      <c r="Q2549">
        <f t="shared" si="195"/>
        <v>5</v>
      </c>
      <c r="R2549" s="4">
        <f>RANK(N2549,$N$2:N$2800,0)</f>
        <v>2613</v>
      </c>
      <c r="S2549">
        <f t="shared" si="196"/>
        <v>1.0909090909090908</v>
      </c>
      <c r="T2549" t="str">
        <f t="shared" si="197"/>
        <v>Low</v>
      </c>
      <c r="U2549" t="str" cm="1">
        <f t="array" ref="U2549">_xlfn.LET(_xlpm.roles,_xlfn.UNIQUE(D2549:D5347),_xlpm.kills, SUMIF(D2549:D5347,_xlpm.roles,G2549:G5347),INDEX(_xlpm.roles,MATCH(MAX(_xlpm.kills),_xlpm.kills,0)))</f>
        <v>IGL</v>
      </c>
      <c r="V2549" t="str">
        <f t="shared" si="198"/>
        <v>Medium Accuracy</v>
      </c>
      <c r="W2549" t="str" cm="1">
        <f t="array" ref="W2549">_xlfn.LET(_xlpm.roles,_xlfn.UNIQUE(D2549:D5347), _xlpm.counts,COUNTIF(D2549:D5347,_xlpm.roles), INDEX(_xlpm.roles,MATCH(MAX(_xlpm.counts),_xlpm.counts,0)))</f>
        <v>IGL</v>
      </c>
      <c r="X2549" s="2">
        <f t="shared" si="199"/>
        <v>12.599585062240664</v>
      </c>
    </row>
    <row r="2550" spans="1:24" x14ac:dyDescent="0.3">
      <c r="A2550">
        <v>1407</v>
      </c>
      <c r="B2550">
        <v>454</v>
      </c>
      <c r="C2550" t="s">
        <v>27</v>
      </c>
      <c r="D2550" t="s">
        <v>28</v>
      </c>
      <c r="E2550" t="s">
        <v>23</v>
      </c>
      <c r="F2550" t="s">
        <v>26</v>
      </c>
      <c r="G2550">
        <v>17</v>
      </c>
      <c r="H2550">
        <v>12</v>
      </c>
      <c r="I2550">
        <v>11</v>
      </c>
      <c r="J2550">
        <v>53.88</v>
      </c>
      <c r="K2550">
        <v>181.91</v>
      </c>
      <c r="L2550">
        <v>0.16</v>
      </c>
      <c r="M2550">
        <v>60.34</v>
      </c>
      <c r="N2550">
        <v>1</v>
      </c>
      <c r="O2550" t="s">
        <v>20</v>
      </c>
      <c r="P2550" t="s">
        <v>38</v>
      </c>
      <c r="Q2550">
        <f t="shared" si="195"/>
        <v>18</v>
      </c>
      <c r="R2550" s="4">
        <f>RANK(N2550,$N$2:N$2800,0)</f>
        <v>1</v>
      </c>
      <c r="S2550">
        <f t="shared" si="196"/>
        <v>1.5454545454545454</v>
      </c>
      <c r="T2550" t="str">
        <f t="shared" si="197"/>
        <v>Good</v>
      </c>
      <c r="U2550" t="str" cm="1">
        <f t="array" ref="U2550">_xlfn.LET(_xlpm.roles,_xlfn.UNIQUE(D2550:D5348),_xlpm.kills, SUMIF(D2550:D5348,_xlpm.roles,G2550:G5348),INDEX(_xlpm.roles,MATCH(MAX(_xlpm.kills),_xlpm.kills,0)))</f>
        <v>IGL</v>
      </c>
      <c r="V2550" t="str">
        <f t="shared" si="198"/>
        <v>High Accuracy</v>
      </c>
      <c r="W2550" t="str" cm="1">
        <f t="array" ref="W2550">_xlfn.LET(_xlpm.roles,_xlfn.UNIQUE(D2550:D5348), _xlpm.counts,COUNTIF(D2550:D5348,_xlpm.roles), INDEX(_xlpm.roles,MATCH(MAX(_xlpm.counts),_xlpm.counts,0)))</f>
        <v>IGL</v>
      </c>
      <c r="X2550" s="2">
        <f t="shared" si="199"/>
        <v>13.057077625570777</v>
      </c>
    </row>
    <row r="2551" spans="1:24" x14ac:dyDescent="0.3">
      <c r="A2551">
        <v>2776</v>
      </c>
      <c r="B2551">
        <v>454</v>
      </c>
      <c r="C2551" t="s">
        <v>25</v>
      </c>
      <c r="D2551" t="s">
        <v>28</v>
      </c>
      <c r="E2551" t="s">
        <v>18</v>
      </c>
      <c r="F2551" t="s">
        <v>34</v>
      </c>
      <c r="G2551">
        <v>9</v>
      </c>
      <c r="H2551">
        <v>11</v>
      </c>
      <c r="I2551">
        <v>10</v>
      </c>
      <c r="J2551">
        <v>50.33</v>
      </c>
      <c r="K2551">
        <v>172.73</v>
      </c>
      <c r="L2551">
        <v>0.56999999999999995</v>
      </c>
      <c r="M2551">
        <v>38.47</v>
      </c>
      <c r="N2551">
        <v>0.86</v>
      </c>
      <c r="O2551" t="s">
        <v>20</v>
      </c>
      <c r="P2551" t="s">
        <v>21</v>
      </c>
      <c r="Q2551">
        <f t="shared" si="195"/>
        <v>10</v>
      </c>
      <c r="R2551" s="4">
        <f>RANK(N2551,$N$2:N$2800,0)</f>
        <v>2040</v>
      </c>
      <c r="S2551">
        <f t="shared" si="196"/>
        <v>0.9</v>
      </c>
      <c r="T2551" t="str">
        <f t="shared" si="197"/>
        <v>Low</v>
      </c>
      <c r="U2551" t="str" cm="1">
        <f t="array" ref="U2551">_xlfn.LET(_xlpm.roles,_xlfn.UNIQUE(D2551:D5349),_xlpm.kills, SUMIF(D2551:D5349,_xlpm.roles,G2551:G5349),INDEX(_xlpm.roles,MATCH(MAX(_xlpm.kills),_xlpm.kills,0)))</f>
        <v>IGL</v>
      </c>
      <c r="V2551" t="str">
        <f t="shared" si="198"/>
        <v>High Accuracy</v>
      </c>
      <c r="W2551" t="str" cm="1">
        <f t="array" ref="W2551">_xlfn.LET(_xlpm.roles,_xlfn.UNIQUE(D2551:D5349), _xlpm.counts,COUNTIF(D2551:D5349,_xlpm.roles), INDEX(_xlpm.roles,MATCH(MAX(_xlpm.counts),_xlpm.counts,0)))</f>
        <v>IGL</v>
      </c>
      <c r="X2551" s="2">
        <f t="shared" si="199"/>
        <v>12.809421841541756</v>
      </c>
    </row>
    <row r="2552" spans="1:24" x14ac:dyDescent="0.3">
      <c r="A2552">
        <v>193</v>
      </c>
      <c r="B2552">
        <v>455</v>
      </c>
      <c r="C2552" t="s">
        <v>16</v>
      </c>
      <c r="D2552" t="s">
        <v>22</v>
      </c>
      <c r="E2552" t="s">
        <v>32</v>
      </c>
      <c r="F2552" t="s">
        <v>24</v>
      </c>
      <c r="G2552">
        <v>15</v>
      </c>
      <c r="H2552">
        <v>7</v>
      </c>
      <c r="I2552">
        <v>8</v>
      </c>
      <c r="J2552">
        <v>51.15</v>
      </c>
      <c r="K2552">
        <v>226.46</v>
      </c>
      <c r="L2552">
        <v>0.51</v>
      </c>
      <c r="M2552">
        <v>49.48</v>
      </c>
      <c r="N2552">
        <v>0.93</v>
      </c>
      <c r="O2552" t="s">
        <v>20</v>
      </c>
      <c r="P2552" t="s">
        <v>21</v>
      </c>
      <c r="Q2552">
        <f t="shared" si="195"/>
        <v>14</v>
      </c>
      <c r="R2552" s="4">
        <f>RANK(N2552,$N$2:N$2800,0)</f>
        <v>1505</v>
      </c>
      <c r="S2552">
        <f t="shared" si="196"/>
        <v>1.875</v>
      </c>
      <c r="T2552" t="str">
        <f t="shared" si="197"/>
        <v>Low</v>
      </c>
      <c r="U2552" t="str" cm="1">
        <f t="array" ref="U2552">_xlfn.LET(_xlpm.roles,_xlfn.UNIQUE(D2552:D5350),_xlpm.kills, SUMIF(D2552:D5350,_xlpm.roles,G2552:G5350),INDEX(_xlpm.roles,MATCH(MAX(_xlpm.kills),_xlpm.kills,0)))</f>
        <v>IGL</v>
      </c>
      <c r="V2552" t="str">
        <f t="shared" si="198"/>
        <v>High Accuracy</v>
      </c>
      <c r="W2552" t="str" cm="1">
        <f t="array" ref="W2552">_xlfn.LET(_xlpm.roles,_xlfn.UNIQUE(D2552:D5350), _xlpm.counts,COUNTIF(D2552:D5350,_xlpm.roles), INDEX(_xlpm.roles,MATCH(MAX(_xlpm.counts),_xlpm.counts,0)))</f>
        <v>IGL</v>
      </c>
      <c r="X2552" s="2">
        <f t="shared" si="199"/>
        <v>12.520971302428256</v>
      </c>
    </row>
    <row r="2553" spans="1:24" x14ac:dyDescent="0.3">
      <c r="A2553">
        <v>278</v>
      </c>
      <c r="B2553">
        <v>455</v>
      </c>
      <c r="C2553" t="s">
        <v>39</v>
      </c>
      <c r="D2553" t="s">
        <v>17</v>
      </c>
      <c r="E2553" t="s">
        <v>29</v>
      </c>
      <c r="F2553" t="s">
        <v>37</v>
      </c>
      <c r="G2553">
        <v>11</v>
      </c>
      <c r="H2553">
        <v>7</v>
      </c>
      <c r="I2553">
        <v>12</v>
      </c>
      <c r="J2553">
        <v>29.88</v>
      </c>
      <c r="K2553">
        <v>212.71</v>
      </c>
      <c r="L2553">
        <v>0.69</v>
      </c>
      <c r="M2553">
        <v>25.04</v>
      </c>
      <c r="N2553">
        <v>0.75</v>
      </c>
      <c r="O2553" t="s">
        <v>20</v>
      </c>
      <c r="P2553" t="s">
        <v>21</v>
      </c>
      <c r="Q2553">
        <f t="shared" si="195"/>
        <v>6</v>
      </c>
      <c r="R2553" s="4">
        <f>RANK(N2553,$N$2:N$2800,0)</f>
        <v>2586</v>
      </c>
      <c r="S2553">
        <f t="shared" si="196"/>
        <v>0.91666666666666663</v>
      </c>
      <c r="T2553" t="str">
        <f t="shared" si="197"/>
        <v>Low</v>
      </c>
      <c r="U2553" t="str" cm="1">
        <f t="array" ref="U2553">_xlfn.LET(_xlpm.roles,_xlfn.UNIQUE(D2553:D5351),_xlpm.kills, SUMIF(D2553:D5351,_xlpm.roles,G2553:G5351),INDEX(_xlpm.roles,MATCH(MAX(_xlpm.kills),_xlpm.kills,0)))</f>
        <v>IGL</v>
      </c>
      <c r="V2553" t="str">
        <f t="shared" si="198"/>
        <v>Low Accuracy</v>
      </c>
      <c r="W2553" t="str" cm="1">
        <f t="array" ref="W2553">_xlfn.LET(_xlpm.roles,_xlfn.UNIQUE(D2553:D5351), _xlpm.counts,COUNTIF(D2553:D5351,_xlpm.roles), INDEX(_xlpm.roles,MATCH(MAX(_xlpm.counts),_xlpm.counts,0)))</f>
        <v>IGL</v>
      </c>
      <c r="X2553" s="2">
        <f t="shared" si="199"/>
        <v>13.103594080338267</v>
      </c>
    </row>
    <row r="2554" spans="1:24" x14ac:dyDescent="0.3">
      <c r="A2554">
        <v>1153</v>
      </c>
      <c r="B2554">
        <v>455</v>
      </c>
      <c r="C2554" t="s">
        <v>16</v>
      </c>
      <c r="D2554" t="s">
        <v>22</v>
      </c>
      <c r="E2554" t="s">
        <v>23</v>
      </c>
      <c r="F2554" t="s">
        <v>19</v>
      </c>
      <c r="G2554">
        <v>15</v>
      </c>
      <c r="H2554">
        <v>10</v>
      </c>
      <c r="I2554">
        <v>9</v>
      </c>
      <c r="J2554">
        <v>51.06</v>
      </c>
      <c r="K2554">
        <v>232.54</v>
      </c>
      <c r="L2554">
        <v>0.18</v>
      </c>
      <c r="M2554">
        <v>54.73</v>
      </c>
      <c r="N2554">
        <v>1</v>
      </c>
      <c r="O2554" t="s">
        <v>20</v>
      </c>
      <c r="P2554" t="s">
        <v>21</v>
      </c>
      <c r="Q2554">
        <f t="shared" si="195"/>
        <v>16</v>
      </c>
      <c r="R2554" s="4">
        <f>RANK(N2554,$N$2:N$2800,0)</f>
        <v>1</v>
      </c>
      <c r="S2554">
        <f t="shared" si="196"/>
        <v>1.6666666666666667</v>
      </c>
      <c r="T2554" t="str">
        <f t="shared" si="197"/>
        <v>Good</v>
      </c>
      <c r="U2554" t="str" cm="1">
        <f t="array" ref="U2554">_xlfn.LET(_xlpm.roles,_xlfn.UNIQUE(D2554:D5352),_xlpm.kills, SUMIF(D2554:D5352,_xlpm.roles,G2554:G5352),INDEX(_xlpm.roles,MATCH(MAX(_xlpm.kills),_xlpm.kills,0)))</f>
        <v>IGL</v>
      </c>
      <c r="V2554" t="str">
        <f t="shared" si="198"/>
        <v>High Accuracy</v>
      </c>
      <c r="W2554" t="str" cm="1">
        <f t="array" ref="W2554">_xlfn.LET(_xlpm.roles,_xlfn.UNIQUE(D2554:D5352), _xlpm.counts,COUNTIF(D2554:D5352,_xlpm.roles), INDEX(_xlpm.roles,MATCH(MAX(_xlpm.counts),_xlpm.counts,0)))</f>
        <v>IGL</v>
      </c>
      <c r="X2554" s="2">
        <f t="shared" si="199"/>
        <v>12.520971302428256</v>
      </c>
    </row>
    <row r="2555" spans="1:24" x14ac:dyDescent="0.3">
      <c r="A2555">
        <v>1486</v>
      </c>
      <c r="B2555">
        <v>455</v>
      </c>
      <c r="C2555" t="s">
        <v>16</v>
      </c>
      <c r="D2555" t="s">
        <v>31</v>
      </c>
      <c r="E2555" t="s">
        <v>29</v>
      </c>
      <c r="F2555" t="s">
        <v>26</v>
      </c>
      <c r="G2555">
        <v>10</v>
      </c>
      <c r="H2555">
        <v>6</v>
      </c>
      <c r="I2555">
        <v>15</v>
      </c>
      <c r="J2555">
        <v>42.63</v>
      </c>
      <c r="K2555">
        <v>198.17</v>
      </c>
      <c r="L2555">
        <v>0.47</v>
      </c>
      <c r="M2555">
        <v>27.61</v>
      </c>
      <c r="N2555">
        <v>0.9</v>
      </c>
      <c r="O2555" t="s">
        <v>20</v>
      </c>
      <c r="P2555" t="s">
        <v>21</v>
      </c>
      <c r="Q2555">
        <f t="shared" si="195"/>
        <v>1</v>
      </c>
      <c r="R2555" s="4">
        <f>RANK(N2555,$N$2:N$2800,0)</f>
        <v>1738</v>
      </c>
      <c r="S2555">
        <f t="shared" si="196"/>
        <v>0.66666666666666663</v>
      </c>
      <c r="T2555" t="str">
        <f t="shared" si="197"/>
        <v>Low</v>
      </c>
      <c r="U2555" t="str" cm="1">
        <f t="array" ref="U2555">_xlfn.LET(_xlpm.roles,_xlfn.UNIQUE(D2555:D5353),_xlpm.kills, SUMIF(D2555:D5353,_xlpm.roles,G2555:G5353),INDEX(_xlpm.roles,MATCH(MAX(_xlpm.kills),_xlpm.kills,0)))</f>
        <v>IGL</v>
      </c>
      <c r="V2555" t="str">
        <f t="shared" si="198"/>
        <v>Medium Accuracy</v>
      </c>
      <c r="W2555" t="str" cm="1">
        <f t="array" ref="W2555">_xlfn.LET(_xlpm.roles,_xlfn.UNIQUE(D2555:D5353), _xlpm.counts,COUNTIF(D2555:D5353,_xlpm.roles), INDEX(_xlpm.roles,MATCH(MAX(_xlpm.counts),_xlpm.counts,0)))</f>
        <v>IGL</v>
      </c>
      <c r="X2555" s="2">
        <f t="shared" si="199"/>
        <v>12.520971302428256</v>
      </c>
    </row>
    <row r="2556" spans="1:24" x14ac:dyDescent="0.3">
      <c r="A2556">
        <v>1598</v>
      </c>
      <c r="B2556">
        <v>455</v>
      </c>
      <c r="C2556" t="s">
        <v>30</v>
      </c>
      <c r="D2556" t="s">
        <v>31</v>
      </c>
      <c r="E2556" t="s">
        <v>33</v>
      </c>
      <c r="F2556" t="s">
        <v>24</v>
      </c>
      <c r="G2556">
        <v>10</v>
      </c>
      <c r="H2556">
        <v>6</v>
      </c>
      <c r="I2556">
        <v>12</v>
      </c>
      <c r="J2556">
        <v>42.96</v>
      </c>
      <c r="K2556">
        <v>168.23</v>
      </c>
      <c r="L2556">
        <v>0.89</v>
      </c>
      <c r="M2556">
        <v>26.58</v>
      </c>
      <c r="N2556">
        <v>0.98</v>
      </c>
      <c r="O2556" t="s">
        <v>20</v>
      </c>
      <c r="P2556" t="s">
        <v>21</v>
      </c>
      <c r="Q2556">
        <f t="shared" si="195"/>
        <v>4</v>
      </c>
      <c r="R2556" s="4">
        <f>RANK(N2556,$N$2:N$2800,0)</f>
        <v>1157</v>
      </c>
      <c r="S2556">
        <f t="shared" si="196"/>
        <v>0.83333333333333337</v>
      </c>
      <c r="T2556" t="str">
        <f t="shared" si="197"/>
        <v>Low</v>
      </c>
      <c r="U2556" t="str" cm="1">
        <f t="array" ref="U2556">_xlfn.LET(_xlpm.roles,_xlfn.UNIQUE(D2556:D5354),_xlpm.kills, SUMIF(D2556:D5354,_xlpm.roles,G2556:G5354),INDEX(_xlpm.roles,MATCH(MAX(_xlpm.kills),_xlpm.kills,0)))</f>
        <v>IGL</v>
      </c>
      <c r="V2556" t="str">
        <f t="shared" si="198"/>
        <v>Medium Accuracy</v>
      </c>
      <c r="W2556" t="str" cm="1">
        <f t="array" ref="W2556">_xlfn.LET(_xlpm.roles,_xlfn.UNIQUE(D2556:D5354), _xlpm.counts,COUNTIF(D2556:D5354,_xlpm.roles), INDEX(_xlpm.roles,MATCH(MAX(_xlpm.counts),_xlpm.counts,0)))</f>
        <v>IGL</v>
      </c>
      <c r="X2556" s="2">
        <f t="shared" si="199"/>
        <v>13.135802469135802</v>
      </c>
    </row>
    <row r="2557" spans="1:24" x14ac:dyDescent="0.3">
      <c r="A2557">
        <v>2772</v>
      </c>
      <c r="B2557">
        <v>455</v>
      </c>
      <c r="C2557" t="s">
        <v>16</v>
      </c>
      <c r="D2557" t="s">
        <v>28</v>
      </c>
      <c r="E2557" t="s">
        <v>29</v>
      </c>
      <c r="F2557" t="s">
        <v>34</v>
      </c>
      <c r="G2557">
        <v>16</v>
      </c>
      <c r="H2557">
        <v>8</v>
      </c>
      <c r="I2557">
        <v>9</v>
      </c>
      <c r="J2557">
        <v>62.21</v>
      </c>
      <c r="K2557">
        <v>156.69999999999999</v>
      </c>
      <c r="L2557">
        <v>0.06</v>
      </c>
      <c r="M2557">
        <v>61.51</v>
      </c>
      <c r="N2557">
        <v>1</v>
      </c>
      <c r="O2557" t="s">
        <v>20</v>
      </c>
      <c r="P2557" t="s">
        <v>38</v>
      </c>
      <c r="Q2557">
        <f t="shared" si="195"/>
        <v>15</v>
      </c>
      <c r="R2557" s="4">
        <f>RANK(N2557,$N$2:N$2800,0)</f>
        <v>1</v>
      </c>
      <c r="S2557">
        <f t="shared" si="196"/>
        <v>1.7777777777777777</v>
      </c>
      <c r="T2557" t="str">
        <f t="shared" si="197"/>
        <v>Good</v>
      </c>
      <c r="U2557" t="str" cm="1">
        <f t="array" ref="U2557">_xlfn.LET(_xlpm.roles,_xlfn.UNIQUE(D2557:D5355),_xlpm.kills, SUMIF(D2557:D5355,_xlpm.roles,G2557:G5355),INDEX(_xlpm.roles,MATCH(MAX(_xlpm.kills),_xlpm.kills,0)))</f>
        <v>IGL</v>
      </c>
      <c r="V2557" t="str">
        <f t="shared" si="198"/>
        <v>High Accuracy</v>
      </c>
      <c r="W2557" t="str" cm="1">
        <f t="array" ref="W2557">_xlfn.LET(_xlpm.roles,_xlfn.UNIQUE(D2557:D5355), _xlpm.counts,COUNTIF(D2557:D5355,_xlpm.roles), INDEX(_xlpm.roles,MATCH(MAX(_xlpm.counts),_xlpm.counts,0)))</f>
        <v>IGL</v>
      </c>
      <c r="X2557" s="2">
        <f t="shared" si="199"/>
        <v>12.520971302428256</v>
      </c>
    </row>
    <row r="2558" spans="1:24" x14ac:dyDescent="0.3">
      <c r="A2558">
        <v>139</v>
      </c>
      <c r="B2558">
        <v>456</v>
      </c>
      <c r="C2558" t="s">
        <v>25</v>
      </c>
      <c r="D2558" t="s">
        <v>17</v>
      </c>
      <c r="E2558" t="s">
        <v>29</v>
      </c>
      <c r="F2558" t="s">
        <v>19</v>
      </c>
      <c r="G2558">
        <v>12</v>
      </c>
      <c r="H2558">
        <v>2</v>
      </c>
      <c r="I2558">
        <v>7</v>
      </c>
      <c r="J2558">
        <v>39.74</v>
      </c>
      <c r="K2558">
        <v>210.89</v>
      </c>
      <c r="L2558">
        <v>0.36</v>
      </c>
      <c r="M2558">
        <v>35.270000000000003</v>
      </c>
      <c r="N2558">
        <v>0.93</v>
      </c>
      <c r="O2558" t="s">
        <v>20</v>
      </c>
      <c r="P2558" t="s">
        <v>21</v>
      </c>
      <c r="Q2558">
        <f t="shared" si="195"/>
        <v>7</v>
      </c>
      <c r="R2558" s="4">
        <f>RANK(N2558,$N$2:N$2800,0)</f>
        <v>1505</v>
      </c>
      <c r="S2558">
        <f t="shared" si="196"/>
        <v>1.7142857142857142</v>
      </c>
      <c r="T2558" t="str">
        <f t="shared" si="197"/>
        <v>Low</v>
      </c>
      <c r="U2558" t="str" cm="1">
        <f t="array" ref="U2558">_xlfn.LET(_xlpm.roles,_xlfn.UNIQUE(D2558:D5356),_xlpm.kills, SUMIF(D2558:D5356,_xlpm.roles,G2558:G5356),INDEX(_xlpm.roles,MATCH(MAX(_xlpm.kills),_xlpm.kills,0)))</f>
        <v>IGL</v>
      </c>
      <c r="V2558" t="str">
        <f t="shared" si="198"/>
        <v>Medium Accuracy</v>
      </c>
      <c r="W2558" t="str" cm="1">
        <f t="array" ref="W2558">_xlfn.LET(_xlpm.roles,_xlfn.UNIQUE(D2558:D5356), _xlpm.counts,COUNTIF(D2558:D5356,_xlpm.roles), INDEX(_xlpm.roles,MATCH(MAX(_xlpm.counts),_xlpm.counts,0)))</f>
        <v>IGL</v>
      </c>
      <c r="X2558" s="2">
        <f t="shared" si="199"/>
        <v>12.809421841541756</v>
      </c>
    </row>
    <row r="2559" spans="1:24" x14ac:dyDescent="0.3">
      <c r="A2559">
        <v>749</v>
      </c>
      <c r="B2559">
        <v>456</v>
      </c>
      <c r="C2559" t="s">
        <v>35</v>
      </c>
      <c r="D2559" t="s">
        <v>28</v>
      </c>
      <c r="E2559" t="s">
        <v>23</v>
      </c>
      <c r="F2559" t="s">
        <v>19</v>
      </c>
      <c r="G2559">
        <v>18</v>
      </c>
      <c r="H2559">
        <v>12</v>
      </c>
      <c r="I2559">
        <v>7</v>
      </c>
      <c r="J2559">
        <v>37.33</v>
      </c>
      <c r="K2559">
        <v>184.54</v>
      </c>
      <c r="L2559">
        <v>0.35</v>
      </c>
      <c r="M2559">
        <v>56.16</v>
      </c>
      <c r="N2559">
        <v>1</v>
      </c>
      <c r="O2559" t="s">
        <v>20</v>
      </c>
      <c r="P2559" t="s">
        <v>21</v>
      </c>
      <c r="Q2559">
        <f t="shared" si="195"/>
        <v>23</v>
      </c>
      <c r="R2559" s="4">
        <f>RANK(N2559,$N$2:N$2800,0)</f>
        <v>1</v>
      </c>
      <c r="S2559">
        <f t="shared" si="196"/>
        <v>2.5714285714285716</v>
      </c>
      <c r="T2559" t="str">
        <f t="shared" si="197"/>
        <v>Good</v>
      </c>
      <c r="U2559" t="str" cm="1">
        <f t="array" ref="U2559">_xlfn.LET(_xlpm.roles,_xlfn.UNIQUE(D2559:D5357),_xlpm.kills, SUMIF(D2559:D5357,_xlpm.roles,G2559:G5357),INDEX(_xlpm.roles,MATCH(MAX(_xlpm.kills),_xlpm.kills,0)))</f>
        <v>IGL</v>
      </c>
      <c r="V2559" t="str">
        <f t="shared" si="198"/>
        <v>Medium Accuracy</v>
      </c>
      <c r="W2559" t="str" cm="1">
        <f t="array" ref="W2559">_xlfn.LET(_xlpm.roles,_xlfn.UNIQUE(D2559:D5357), _xlpm.counts,COUNTIF(D2559:D5357,_xlpm.roles), INDEX(_xlpm.roles,MATCH(MAX(_xlpm.counts),_xlpm.counts,0)))</f>
        <v>IGL</v>
      </c>
      <c r="X2559" s="2">
        <f t="shared" si="199"/>
        <v>12.599585062240664</v>
      </c>
    </row>
    <row r="2560" spans="1:24" x14ac:dyDescent="0.3">
      <c r="A2560">
        <v>804</v>
      </c>
      <c r="B2560">
        <v>456</v>
      </c>
      <c r="C2560" t="s">
        <v>30</v>
      </c>
      <c r="D2560" t="s">
        <v>22</v>
      </c>
      <c r="E2560" t="s">
        <v>32</v>
      </c>
      <c r="F2560" t="s">
        <v>19</v>
      </c>
      <c r="G2560">
        <v>19</v>
      </c>
      <c r="H2560">
        <v>15</v>
      </c>
      <c r="I2560">
        <v>11</v>
      </c>
      <c r="J2560">
        <v>37.6</v>
      </c>
      <c r="K2560">
        <v>199.72</v>
      </c>
      <c r="L2560">
        <v>0.53</v>
      </c>
      <c r="M2560">
        <v>55.5</v>
      </c>
      <c r="N2560">
        <v>0.86</v>
      </c>
      <c r="O2560" t="s">
        <v>20</v>
      </c>
      <c r="P2560" t="s">
        <v>21</v>
      </c>
      <c r="Q2560">
        <f t="shared" si="195"/>
        <v>23</v>
      </c>
      <c r="R2560" s="4">
        <f>RANK(N2560,$N$2:N$2800,0)</f>
        <v>2040</v>
      </c>
      <c r="S2560">
        <f t="shared" si="196"/>
        <v>1.7272727272727273</v>
      </c>
      <c r="T2560" t="str">
        <f t="shared" si="197"/>
        <v>Good</v>
      </c>
      <c r="U2560" t="str" cm="1">
        <f t="array" ref="U2560">_xlfn.LET(_xlpm.roles,_xlfn.UNIQUE(D2560:D5358),_xlpm.kills, SUMIF(D2560:D5358,_xlpm.roles,G2560:G5358),INDEX(_xlpm.roles,MATCH(MAX(_xlpm.kills),_xlpm.kills,0)))</f>
        <v>IGL</v>
      </c>
      <c r="V2560" t="str">
        <f t="shared" si="198"/>
        <v>Medium Accuracy</v>
      </c>
      <c r="W2560" t="str" cm="1">
        <f t="array" ref="W2560">_xlfn.LET(_xlpm.roles,_xlfn.UNIQUE(D2560:D5358), _xlpm.counts,COUNTIF(D2560:D5358,_xlpm.roles), INDEX(_xlpm.roles,MATCH(MAX(_xlpm.counts),_xlpm.counts,0)))</f>
        <v>IGL</v>
      </c>
      <c r="X2560" s="2">
        <f t="shared" si="199"/>
        <v>13.135802469135802</v>
      </c>
    </row>
    <row r="2561" spans="1:24" x14ac:dyDescent="0.3">
      <c r="A2561">
        <v>1025</v>
      </c>
      <c r="B2561">
        <v>456</v>
      </c>
      <c r="C2561" t="s">
        <v>16</v>
      </c>
      <c r="D2561" t="s">
        <v>36</v>
      </c>
      <c r="E2561" t="s">
        <v>18</v>
      </c>
      <c r="F2561" t="s">
        <v>19</v>
      </c>
      <c r="G2561">
        <v>13</v>
      </c>
      <c r="H2561">
        <v>8</v>
      </c>
      <c r="I2561">
        <v>7</v>
      </c>
      <c r="J2561">
        <v>50.96</v>
      </c>
      <c r="K2561">
        <v>216.39</v>
      </c>
      <c r="L2561">
        <v>0.52</v>
      </c>
      <c r="M2561">
        <v>47.28</v>
      </c>
      <c r="N2561">
        <v>0.91</v>
      </c>
      <c r="O2561" t="s">
        <v>20</v>
      </c>
      <c r="P2561" t="s">
        <v>21</v>
      </c>
      <c r="Q2561">
        <f t="shared" si="195"/>
        <v>14</v>
      </c>
      <c r="R2561" s="4">
        <f>RANK(N2561,$N$2:N$2800,0)</f>
        <v>1665</v>
      </c>
      <c r="S2561">
        <f t="shared" si="196"/>
        <v>1.8571428571428572</v>
      </c>
      <c r="T2561" t="str">
        <f t="shared" si="197"/>
        <v>Low</v>
      </c>
      <c r="U2561" t="str" cm="1">
        <f t="array" ref="U2561">_xlfn.LET(_xlpm.roles,_xlfn.UNIQUE(D2561:D5359),_xlpm.kills, SUMIF(D2561:D5359,_xlpm.roles,G2561:G5359),INDEX(_xlpm.roles,MATCH(MAX(_xlpm.kills),_xlpm.kills,0)))</f>
        <v>IGL</v>
      </c>
      <c r="V2561" t="str">
        <f t="shared" si="198"/>
        <v>High Accuracy</v>
      </c>
      <c r="W2561" t="str" cm="1">
        <f t="array" ref="W2561">_xlfn.LET(_xlpm.roles,_xlfn.UNIQUE(D2561:D5359), _xlpm.counts,COUNTIF(D2561:D5359,_xlpm.roles), INDEX(_xlpm.roles,MATCH(MAX(_xlpm.counts),_xlpm.counts,0)))</f>
        <v>IGL</v>
      </c>
      <c r="X2561" s="2">
        <f t="shared" si="199"/>
        <v>12.520971302428256</v>
      </c>
    </row>
    <row r="2562" spans="1:24" x14ac:dyDescent="0.3">
      <c r="A2562">
        <v>1406</v>
      </c>
      <c r="B2562">
        <v>456</v>
      </c>
      <c r="C2562" t="s">
        <v>39</v>
      </c>
      <c r="D2562" t="s">
        <v>22</v>
      </c>
      <c r="E2562" t="s">
        <v>23</v>
      </c>
      <c r="F2562" t="s">
        <v>37</v>
      </c>
      <c r="G2562">
        <v>12</v>
      </c>
      <c r="H2562">
        <v>11</v>
      </c>
      <c r="I2562">
        <v>8</v>
      </c>
      <c r="J2562">
        <v>44.96</v>
      </c>
      <c r="K2562">
        <v>207.12</v>
      </c>
      <c r="L2562">
        <v>0.56000000000000005</v>
      </c>
      <c r="M2562">
        <v>43.88</v>
      </c>
      <c r="N2562">
        <v>0.83</v>
      </c>
      <c r="O2562" t="s">
        <v>20</v>
      </c>
      <c r="P2562" t="s">
        <v>21</v>
      </c>
      <c r="Q2562">
        <f t="shared" si="195"/>
        <v>15</v>
      </c>
      <c r="R2562" s="4">
        <f>RANK(N2562,$N$2:N$2800,0)</f>
        <v>2218</v>
      </c>
      <c r="S2562">
        <f t="shared" si="196"/>
        <v>1.5</v>
      </c>
      <c r="T2562" t="str">
        <f t="shared" si="197"/>
        <v>Good</v>
      </c>
      <c r="U2562" t="str" cm="1">
        <f t="array" ref="U2562">_xlfn.LET(_xlpm.roles,_xlfn.UNIQUE(D2562:D5360),_xlpm.kills, SUMIF(D2562:D5360,_xlpm.roles,G2562:G5360),INDEX(_xlpm.roles,MATCH(MAX(_xlpm.kills),_xlpm.kills,0)))</f>
        <v>IGL</v>
      </c>
      <c r="V2562" t="str">
        <f t="shared" si="198"/>
        <v>Medium Accuracy</v>
      </c>
      <c r="W2562" t="str" cm="1">
        <f t="array" ref="W2562">_xlfn.LET(_xlpm.roles,_xlfn.UNIQUE(D2562:D5360), _xlpm.counts,COUNTIF(D2562:D5360,_xlpm.roles), INDEX(_xlpm.roles,MATCH(MAX(_xlpm.counts),_xlpm.counts,0)))</f>
        <v>IGL</v>
      </c>
      <c r="X2562" s="2">
        <f t="shared" si="199"/>
        <v>13.103594080338267</v>
      </c>
    </row>
    <row r="2563" spans="1:24" x14ac:dyDescent="0.3">
      <c r="A2563">
        <v>1458</v>
      </c>
      <c r="B2563">
        <v>456</v>
      </c>
      <c r="C2563" t="s">
        <v>16</v>
      </c>
      <c r="D2563" t="s">
        <v>36</v>
      </c>
      <c r="E2563" t="s">
        <v>32</v>
      </c>
      <c r="F2563" t="s">
        <v>34</v>
      </c>
      <c r="G2563">
        <v>13</v>
      </c>
      <c r="H2563">
        <v>8</v>
      </c>
      <c r="I2563">
        <v>10</v>
      </c>
      <c r="J2563">
        <v>53.73</v>
      </c>
      <c r="K2563">
        <v>227.76</v>
      </c>
      <c r="L2563">
        <v>0.93</v>
      </c>
      <c r="M2563">
        <v>41.56</v>
      </c>
      <c r="N2563">
        <v>0.89</v>
      </c>
      <c r="O2563" t="s">
        <v>20</v>
      </c>
      <c r="P2563" t="s">
        <v>21</v>
      </c>
      <c r="Q2563">
        <f t="shared" ref="Q2563:Q2626" si="200">G2563+H2563-I2563</f>
        <v>11</v>
      </c>
      <c r="R2563" s="4">
        <f>RANK(N2563,$N$2:N$2800,0)</f>
        <v>1815</v>
      </c>
      <c r="S2563">
        <f t="shared" ref="S2563:S2626" si="201">G2563/I2563</f>
        <v>1.3</v>
      </c>
      <c r="T2563" t="str">
        <f t="shared" ref="T2563:T2626" si="202">IF(Q2563&lt;15,"Low",IF(Q2563&lt;25,"Good","Excellent"))</f>
        <v>Low</v>
      </c>
      <c r="U2563" t="str" cm="1">
        <f t="array" ref="U2563">_xlfn.LET(_xlpm.roles,_xlfn.UNIQUE(D2563:D5361),_xlpm.kills, SUMIF(D2563:D5361,_xlpm.roles,G2563:G5361),INDEX(_xlpm.roles,MATCH(MAX(_xlpm.kills),_xlpm.kills,0)))</f>
        <v>IGL</v>
      </c>
      <c r="V2563" t="str">
        <f t="shared" ref="V2563:V2626" si="203">IF(J2563&gt;=50,"High Accuracy",IF(J2563&gt;=30,"Medium Accuracy","Low Accuracy"))</f>
        <v>High Accuracy</v>
      </c>
      <c r="W2563" t="str" cm="1">
        <f t="array" ref="W2563">_xlfn.LET(_xlpm.roles,_xlfn.UNIQUE(D2563:D5361), _xlpm.counts,COUNTIF(D2563:D5361,_xlpm.roles), INDEX(_xlpm.roles,MATCH(MAX(_xlpm.counts),_xlpm.counts,0)))</f>
        <v>IGL</v>
      </c>
      <c r="X2563" s="2">
        <f t="shared" ref="X2563:X2626" si="204">AVERAGEIF($C$2:$C$2800,C2563,$Q$2:$Q$2800)</f>
        <v>12.520971302428256</v>
      </c>
    </row>
    <row r="2564" spans="1:24" x14ac:dyDescent="0.3">
      <c r="A2564">
        <v>1618</v>
      </c>
      <c r="B2564">
        <v>456</v>
      </c>
      <c r="C2564" t="s">
        <v>35</v>
      </c>
      <c r="D2564" t="s">
        <v>17</v>
      </c>
      <c r="E2564" t="s">
        <v>29</v>
      </c>
      <c r="F2564" t="s">
        <v>34</v>
      </c>
      <c r="G2564">
        <v>18</v>
      </c>
      <c r="H2564">
        <v>7</v>
      </c>
      <c r="I2564">
        <v>10</v>
      </c>
      <c r="J2564">
        <v>43.98</v>
      </c>
      <c r="K2564">
        <v>225.85</v>
      </c>
      <c r="L2564">
        <v>0.5</v>
      </c>
      <c r="M2564">
        <v>49.99</v>
      </c>
      <c r="N2564">
        <v>0.96</v>
      </c>
      <c r="O2564" t="s">
        <v>20</v>
      </c>
      <c r="P2564" t="s">
        <v>21</v>
      </c>
      <c r="Q2564">
        <f t="shared" si="200"/>
        <v>15</v>
      </c>
      <c r="R2564" s="4">
        <f>RANK(N2564,$N$2:N$2800,0)</f>
        <v>1301</v>
      </c>
      <c r="S2564">
        <f t="shared" si="201"/>
        <v>1.8</v>
      </c>
      <c r="T2564" t="str">
        <f t="shared" si="202"/>
        <v>Good</v>
      </c>
      <c r="U2564" t="str" cm="1">
        <f t="array" ref="U2564">_xlfn.LET(_xlpm.roles,_xlfn.UNIQUE(D2564:D5362),_xlpm.kills, SUMIF(D2564:D5362,_xlpm.roles,G2564:G5362),INDEX(_xlpm.roles,MATCH(MAX(_xlpm.kills),_xlpm.kills,0)))</f>
        <v>IGL</v>
      </c>
      <c r="V2564" t="str">
        <f t="shared" si="203"/>
        <v>Medium Accuracy</v>
      </c>
      <c r="W2564" t="str" cm="1">
        <f t="array" ref="W2564">_xlfn.LET(_xlpm.roles,_xlfn.UNIQUE(D2564:D5362), _xlpm.counts,COUNTIF(D2564:D5362,_xlpm.roles), INDEX(_xlpm.roles,MATCH(MAX(_xlpm.counts),_xlpm.counts,0)))</f>
        <v>IGL</v>
      </c>
      <c r="X2564" s="2">
        <f t="shared" si="204"/>
        <v>12.599585062240664</v>
      </c>
    </row>
    <row r="2565" spans="1:24" x14ac:dyDescent="0.3">
      <c r="A2565">
        <v>1712</v>
      </c>
      <c r="B2565">
        <v>456</v>
      </c>
      <c r="C2565" t="s">
        <v>27</v>
      </c>
      <c r="D2565" t="s">
        <v>36</v>
      </c>
      <c r="E2565" t="s">
        <v>32</v>
      </c>
      <c r="F2565" t="s">
        <v>34</v>
      </c>
      <c r="G2565">
        <v>10</v>
      </c>
      <c r="H2565">
        <v>6</v>
      </c>
      <c r="I2565">
        <v>11</v>
      </c>
      <c r="J2565">
        <v>34.18</v>
      </c>
      <c r="K2565">
        <v>225.94</v>
      </c>
      <c r="L2565">
        <v>0.72</v>
      </c>
      <c r="M2565">
        <v>24.89</v>
      </c>
      <c r="N2565">
        <v>0.75</v>
      </c>
      <c r="O2565" t="s">
        <v>20</v>
      </c>
      <c r="P2565" t="s">
        <v>21</v>
      </c>
      <c r="Q2565">
        <f t="shared" si="200"/>
        <v>5</v>
      </c>
      <c r="R2565" s="4">
        <f>RANK(N2565,$N$2:N$2800,0)</f>
        <v>2586</v>
      </c>
      <c r="S2565">
        <f t="shared" si="201"/>
        <v>0.90909090909090906</v>
      </c>
      <c r="T2565" t="str">
        <f t="shared" si="202"/>
        <v>Low</v>
      </c>
      <c r="U2565" t="str" cm="1">
        <f t="array" ref="U2565">_xlfn.LET(_xlpm.roles,_xlfn.UNIQUE(D2565:D5363),_xlpm.kills, SUMIF(D2565:D5363,_xlpm.roles,G2565:G5363),INDEX(_xlpm.roles,MATCH(MAX(_xlpm.kills),_xlpm.kills,0)))</f>
        <v>IGL</v>
      </c>
      <c r="V2565" t="str">
        <f t="shared" si="203"/>
        <v>Medium Accuracy</v>
      </c>
      <c r="W2565" t="str" cm="1">
        <f t="array" ref="W2565">_xlfn.LET(_xlpm.roles,_xlfn.UNIQUE(D2565:D5363), _xlpm.counts,COUNTIF(D2565:D5363,_xlpm.roles), INDEX(_xlpm.roles,MATCH(MAX(_xlpm.counts),_xlpm.counts,0)))</f>
        <v>IGL</v>
      </c>
      <c r="X2565" s="2">
        <f t="shared" si="204"/>
        <v>13.057077625570777</v>
      </c>
    </row>
    <row r="2566" spans="1:24" x14ac:dyDescent="0.3">
      <c r="A2566">
        <v>1879</v>
      </c>
      <c r="B2566">
        <v>456</v>
      </c>
      <c r="C2566" t="s">
        <v>27</v>
      </c>
      <c r="D2566" t="s">
        <v>17</v>
      </c>
      <c r="E2566" t="s">
        <v>32</v>
      </c>
      <c r="F2566" t="s">
        <v>19</v>
      </c>
      <c r="G2566">
        <v>12</v>
      </c>
      <c r="H2566">
        <v>5</v>
      </c>
      <c r="I2566">
        <v>10</v>
      </c>
      <c r="J2566">
        <v>44.64</v>
      </c>
      <c r="K2566">
        <v>213.73</v>
      </c>
      <c r="L2566">
        <v>0.79</v>
      </c>
      <c r="M2566">
        <v>33.42</v>
      </c>
      <c r="N2566">
        <v>0.83</v>
      </c>
      <c r="O2566" t="s">
        <v>20</v>
      </c>
      <c r="P2566" t="s">
        <v>21</v>
      </c>
      <c r="Q2566">
        <f t="shared" si="200"/>
        <v>7</v>
      </c>
      <c r="R2566" s="4">
        <f>RANK(N2566,$N$2:N$2800,0)</f>
        <v>2218</v>
      </c>
      <c r="S2566">
        <f t="shared" si="201"/>
        <v>1.2</v>
      </c>
      <c r="T2566" t="str">
        <f t="shared" si="202"/>
        <v>Low</v>
      </c>
      <c r="U2566" t="str" cm="1">
        <f t="array" ref="U2566">_xlfn.LET(_xlpm.roles,_xlfn.UNIQUE(D2566:D5364),_xlpm.kills, SUMIF(D2566:D5364,_xlpm.roles,G2566:G5364),INDEX(_xlpm.roles,MATCH(MAX(_xlpm.kills),_xlpm.kills,0)))</f>
        <v>IGL</v>
      </c>
      <c r="V2566" t="str">
        <f t="shared" si="203"/>
        <v>Medium Accuracy</v>
      </c>
      <c r="W2566" t="str" cm="1">
        <f t="array" ref="W2566">_xlfn.LET(_xlpm.roles,_xlfn.UNIQUE(D2566:D5364), _xlpm.counts,COUNTIF(D2566:D5364,_xlpm.roles), INDEX(_xlpm.roles,MATCH(MAX(_xlpm.counts),_xlpm.counts,0)))</f>
        <v>IGL</v>
      </c>
      <c r="X2566" s="2">
        <f t="shared" si="204"/>
        <v>13.057077625570777</v>
      </c>
    </row>
    <row r="2567" spans="1:24" x14ac:dyDescent="0.3">
      <c r="A2567">
        <v>30</v>
      </c>
      <c r="B2567">
        <v>457</v>
      </c>
      <c r="C2567" t="s">
        <v>27</v>
      </c>
      <c r="D2567" t="s">
        <v>28</v>
      </c>
      <c r="E2567" t="s">
        <v>23</v>
      </c>
      <c r="F2567" t="s">
        <v>19</v>
      </c>
      <c r="G2567">
        <v>20</v>
      </c>
      <c r="H2567">
        <v>7</v>
      </c>
      <c r="I2567">
        <v>7</v>
      </c>
      <c r="J2567">
        <v>57.41</v>
      </c>
      <c r="K2567">
        <v>168.07</v>
      </c>
      <c r="L2567">
        <v>0.44</v>
      </c>
      <c r="M2567">
        <v>64.3</v>
      </c>
      <c r="N2567">
        <v>1</v>
      </c>
      <c r="O2567" t="s">
        <v>20</v>
      </c>
      <c r="P2567" t="s">
        <v>38</v>
      </c>
      <c r="Q2567">
        <f t="shared" si="200"/>
        <v>20</v>
      </c>
      <c r="R2567" s="4">
        <f>RANK(N2567,$N$2:N$2800,0)</f>
        <v>1</v>
      </c>
      <c r="S2567">
        <f t="shared" si="201"/>
        <v>2.8571428571428572</v>
      </c>
      <c r="T2567" t="str">
        <f t="shared" si="202"/>
        <v>Good</v>
      </c>
      <c r="U2567" t="str" cm="1">
        <f t="array" ref="U2567">_xlfn.LET(_xlpm.roles,_xlfn.UNIQUE(D2567:D5365),_xlpm.kills, SUMIF(D2567:D5365,_xlpm.roles,G2567:G5365),INDEX(_xlpm.roles,MATCH(MAX(_xlpm.kills),_xlpm.kills,0)))</f>
        <v>IGL</v>
      </c>
      <c r="V2567" t="str">
        <f t="shared" si="203"/>
        <v>High Accuracy</v>
      </c>
      <c r="W2567" t="str" cm="1">
        <f t="array" ref="W2567">_xlfn.LET(_xlpm.roles,_xlfn.UNIQUE(D2567:D5365), _xlpm.counts,COUNTIF(D2567:D5365,_xlpm.roles), INDEX(_xlpm.roles,MATCH(MAX(_xlpm.counts),_xlpm.counts,0)))</f>
        <v>IGL</v>
      </c>
      <c r="X2567" s="2">
        <f t="shared" si="204"/>
        <v>13.057077625570777</v>
      </c>
    </row>
    <row r="2568" spans="1:24" x14ac:dyDescent="0.3">
      <c r="A2568">
        <v>1210</v>
      </c>
      <c r="B2568">
        <v>457</v>
      </c>
      <c r="C2568" t="s">
        <v>27</v>
      </c>
      <c r="D2568" t="s">
        <v>36</v>
      </c>
      <c r="E2568" t="s">
        <v>32</v>
      </c>
      <c r="F2568" t="s">
        <v>34</v>
      </c>
      <c r="G2568">
        <v>19</v>
      </c>
      <c r="H2568">
        <v>6</v>
      </c>
      <c r="I2568">
        <v>12</v>
      </c>
      <c r="J2568">
        <v>39.65</v>
      </c>
      <c r="K2568">
        <v>208.39</v>
      </c>
      <c r="L2568">
        <v>0.27</v>
      </c>
      <c r="M2568">
        <v>49.12</v>
      </c>
      <c r="N2568">
        <v>0.94</v>
      </c>
      <c r="O2568" t="s">
        <v>20</v>
      </c>
      <c r="P2568" t="s">
        <v>21</v>
      </c>
      <c r="Q2568">
        <f t="shared" si="200"/>
        <v>13</v>
      </c>
      <c r="R2568" s="4">
        <f>RANK(N2568,$N$2:N$2800,0)</f>
        <v>1431</v>
      </c>
      <c r="S2568">
        <f t="shared" si="201"/>
        <v>1.5833333333333333</v>
      </c>
      <c r="T2568" t="str">
        <f t="shared" si="202"/>
        <v>Low</v>
      </c>
      <c r="U2568" t="str" cm="1">
        <f t="array" ref="U2568">_xlfn.LET(_xlpm.roles,_xlfn.UNIQUE(D2568:D5366),_xlpm.kills, SUMIF(D2568:D5366,_xlpm.roles,G2568:G5366),INDEX(_xlpm.roles,MATCH(MAX(_xlpm.kills),_xlpm.kills,0)))</f>
        <v>IGL</v>
      </c>
      <c r="V2568" t="str">
        <f t="shared" si="203"/>
        <v>Medium Accuracy</v>
      </c>
      <c r="W2568" t="str" cm="1">
        <f t="array" ref="W2568">_xlfn.LET(_xlpm.roles,_xlfn.UNIQUE(D2568:D5366), _xlpm.counts,COUNTIF(D2568:D5366,_xlpm.roles), INDEX(_xlpm.roles,MATCH(MAX(_xlpm.counts),_xlpm.counts,0)))</f>
        <v>IGL</v>
      </c>
      <c r="X2568" s="2">
        <f t="shared" si="204"/>
        <v>13.057077625570777</v>
      </c>
    </row>
    <row r="2569" spans="1:24" x14ac:dyDescent="0.3">
      <c r="A2569">
        <v>1249</v>
      </c>
      <c r="B2569">
        <v>457</v>
      </c>
      <c r="C2569" t="s">
        <v>39</v>
      </c>
      <c r="D2569" t="s">
        <v>17</v>
      </c>
      <c r="E2569" t="s">
        <v>33</v>
      </c>
      <c r="F2569" t="s">
        <v>24</v>
      </c>
      <c r="G2569">
        <v>21</v>
      </c>
      <c r="H2569">
        <v>3</v>
      </c>
      <c r="I2569">
        <v>8</v>
      </c>
      <c r="J2569">
        <v>38.729999999999997</v>
      </c>
      <c r="K2569">
        <v>193.52</v>
      </c>
      <c r="L2569">
        <v>0.99</v>
      </c>
      <c r="M2569">
        <v>46.46</v>
      </c>
      <c r="N2569">
        <v>0.89</v>
      </c>
      <c r="O2569" t="s">
        <v>20</v>
      </c>
      <c r="P2569" t="s">
        <v>21</v>
      </c>
      <c r="Q2569">
        <f t="shared" si="200"/>
        <v>16</v>
      </c>
      <c r="R2569" s="4">
        <f>RANK(N2569,$N$2:N$2800,0)</f>
        <v>1815</v>
      </c>
      <c r="S2569">
        <f t="shared" si="201"/>
        <v>2.625</v>
      </c>
      <c r="T2569" t="str">
        <f t="shared" si="202"/>
        <v>Good</v>
      </c>
      <c r="U2569" t="str" cm="1">
        <f t="array" ref="U2569">_xlfn.LET(_xlpm.roles,_xlfn.UNIQUE(D2569:D5367),_xlpm.kills, SUMIF(D2569:D5367,_xlpm.roles,G2569:G5367),INDEX(_xlpm.roles,MATCH(MAX(_xlpm.kills),_xlpm.kills,0)))</f>
        <v>IGL</v>
      </c>
      <c r="V2569" t="str">
        <f t="shared" si="203"/>
        <v>Medium Accuracy</v>
      </c>
      <c r="W2569" t="str" cm="1">
        <f t="array" ref="W2569">_xlfn.LET(_xlpm.roles,_xlfn.UNIQUE(D2569:D5367), _xlpm.counts,COUNTIF(D2569:D5367,_xlpm.roles), INDEX(_xlpm.roles,MATCH(MAX(_xlpm.counts),_xlpm.counts,0)))</f>
        <v>IGL</v>
      </c>
      <c r="X2569" s="2">
        <f t="shared" si="204"/>
        <v>13.103594080338267</v>
      </c>
    </row>
    <row r="2570" spans="1:24" x14ac:dyDescent="0.3">
      <c r="A2570">
        <v>1645</v>
      </c>
      <c r="B2570">
        <v>457</v>
      </c>
      <c r="C2570" t="s">
        <v>39</v>
      </c>
      <c r="D2570" t="s">
        <v>31</v>
      </c>
      <c r="E2570" t="s">
        <v>32</v>
      </c>
      <c r="F2570" t="s">
        <v>24</v>
      </c>
      <c r="G2570">
        <v>17</v>
      </c>
      <c r="H2570">
        <v>5</v>
      </c>
      <c r="I2570">
        <v>6</v>
      </c>
      <c r="J2570">
        <v>53.71</v>
      </c>
      <c r="K2570">
        <v>255.56</v>
      </c>
      <c r="L2570">
        <v>0.55000000000000004</v>
      </c>
      <c r="M2570">
        <v>54.36</v>
      </c>
      <c r="N2570">
        <v>1</v>
      </c>
      <c r="O2570" t="s">
        <v>20</v>
      </c>
      <c r="P2570" t="s">
        <v>21</v>
      </c>
      <c r="Q2570">
        <f t="shared" si="200"/>
        <v>16</v>
      </c>
      <c r="R2570" s="4">
        <f>RANK(N2570,$N$2:N$2800,0)</f>
        <v>1</v>
      </c>
      <c r="S2570">
        <f t="shared" si="201"/>
        <v>2.8333333333333335</v>
      </c>
      <c r="T2570" t="str">
        <f t="shared" si="202"/>
        <v>Good</v>
      </c>
      <c r="U2570" t="str" cm="1">
        <f t="array" ref="U2570">_xlfn.LET(_xlpm.roles,_xlfn.UNIQUE(D2570:D5368),_xlpm.kills, SUMIF(D2570:D5368,_xlpm.roles,G2570:G5368),INDEX(_xlpm.roles,MATCH(MAX(_xlpm.kills),_xlpm.kills,0)))</f>
        <v>IGL</v>
      </c>
      <c r="V2570" t="str">
        <f t="shared" si="203"/>
        <v>High Accuracy</v>
      </c>
      <c r="W2570" t="str" cm="1">
        <f t="array" ref="W2570">_xlfn.LET(_xlpm.roles,_xlfn.UNIQUE(D2570:D5368), _xlpm.counts,COUNTIF(D2570:D5368,_xlpm.roles), INDEX(_xlpm.roles,MATCH(MAX(_xlpm.counts),_xlpm.counts,0)))</f>
        <v>IGL</v>
      </c>
      <c r="X2570" s="2">
        <f t="shared" si="204"/>
        <v>13.103594080338267</v>
      </c>
    </row>
    <row r="2571" spans="1:24" x14ac:dyDescent="0.3">
      <c r="A2571">
        <v>1714</v>
      </c>
      <c r="B2571">
        <v>457</v>
      </c>
      <c r="C2571" t="s">
        <v>25</v>
      </c>
      <c r="D2571" t="s">
        <v>31</v>
      </c>
      <c r="E2571" t="s">
        <v>29</v>
      </c>
      <c r="F2571" t="s">
        <v>26</v>
      </c>
      <c r="G2571">
        <v>19</v>
      </c>
      <c r="H2571">
        <v>5</v>
      </c>
      <c r="I2571">
        <v>12</v>
      </c>
      <c r="J2571">
        <v>49.78</v>
      </c>
      <c r="K2571">
        <v>210.67</v>
      </c>
      <c r="L2571">
        <v>0.25</v>
      </c>
      <c r="M2571">
        <v>53.39</v>
      </c>
      <c r="N2571">
        <v>0.98</v>
      </c>
      <c r="O2571" t="s">
        <v>20</v>
      </c>
      <c r="P2571" t="s">
        <v>21</v>
      </c>
      <c r="Q2571">
        <f t="shared" si="200"/>
        <v>12</v>
      </c>
      <c r="R2571" s="4">
        <f>RANK(N2571,$N$2:N$2800,0)</f>
        <v>1157</v>
      </c>
      <c r="S2571">
        <f t="shared" si="201"/>
        <v>1.5833333333333333</v>
      </c>
      <c r="T2571" t="str">
        <f t="shared" si="202"/>
        <v>Low</v>
      </c>
      <c r="U2571" t="str" cm="1">
        <f t="array" ref="U2571">_xlfn.LET(_xlpm.roles,_xlfn.UNIQUE(D2571:D5369),_xlpm.kills, SUMIF(D2571:D5369,_xlpm.roles,G2571:G5369),INDEX(_xlpm.roles,MATCH(MAX(_xlpm.kills),_xlpm.kills,0)))</f>
        <v>IGL</v>
      </c>
      <c r="V2571" t="str">
        <f t="shared" si="203"/>
        <v>Medium Accuracy</v>
      </c>
      <c r="W2571" t="str" cm="1">
        <f t="array" ref="W2571">_xlfn.LET(_xlpm.roles,_xlfn.UNIQUE(D2571:D5369), _xlpm.counts,COUNTIF(D2571:D5369,_xlpm.roles), INDEX(_xlpm.roles,MATCH(MAX(_xlpm.counts),_xlpm.counts,0)))</f>
        <v>IGL</v>
      </c>
      <c r="X2571" s="2">
        <f t="shared" si="204"/>
        <v>12.809421841541756</v>
      </c>
    </row>
    <row r="2572" spans="1:24" x14ac:dyDescent="0.3">
      <c r="A2572">
        <v>2577</v>
      </c>
      <c r="B2572">
        <v>457</v>
      </c>
      <c r="C2572" t="s">
        <v>30</v>
      </c>
      <c r="D2572" t="s">
        <v>31</v>
      </c>
      <c r="E2572" t="s">
        <v>23</v>
      </c>
      <c r="F2572" t="s">
        <v>34</v>
      </c>
      <c r="G2572">
        <v>15</v>
      </c>
      <c r="H2572">
        <v>4</v>
      </c>
      <c r="I2572">
        <v>11</v>
      </c>
      <c r="J2572">
        <v>50.82</v>
      </c>
      <c r="K2572">
        <v>262.27</v>
      </c>
      <c r="L2572">
        <v>0.46</v>
      </c>
      <c r="M2572">
        <v>43.81</v>
      </c>
      <c r="N2572">
        <v>0.97</v>
      </c>
      <c r="O2572" t="s">
        <v>20</v>
      </c>
      <c r="P2572" t="s">
        <v>21</v>
      </c>
      <c r="Q2572">
        <f t="shared" si="200"/>
        <v>8</v>
      </c>
      <c r="R2572" s="4">
        <f>RANK(N2572,$N$2:N$2800,0)</f>
        <v>1243</v>
      </c>
      <c r="S2572">
        <f t="shared" si="201"/>
        <v>1.3636363636363635</v>
      </c>
      <c r="T2572" t="str">
        <f t="shared" si="202"/>
        <v>Low</v>
      </c>
      <c r="U2572" t="str" cm="1">
        <f t="array" ref="U2572">_xlfn.LET(_xlpm.roles,_xlfn.UNIQUE(D2572:D5370),_xlpm.kills, SUMIF(D2572:D5370,_xlpm.roles,G2572:G5370),INDEX(_xlpm.roles,MATCH(MAX(_xlpm.kills),_xlpm.kills,0)))</f>
        <v>IGL</v>
      </c>
      <c r="V2572" t="str">
        <f t="shared" si="203"/>
        <v>High Accuracy</v>
      </c>
      <c r="W2572" t="str" cm="1">
        <f t="array" ref="W2572">_xlfn.LET(_xlpm.roles,_xlfn.UNIQUE(D2572:D5370), _xlpm.counts,COUNTIF(D2572:D5370,_xlpm.roles), INDEX(_xlpm.roles,MATCH(MAX(_xlpm.counts),_xlpm.counts,0)))</f>
        <v>IGL</v>
      </c>
      <c r="X2572" s="2">
        <f t="shared" si="204"/>
        <v>13.135802469135802</v>
      </c>
    </row>
    <row r="2573" spans="1:24" x14ac:dyDescent="0.3">
      <c r="A2573">
        <v>961</v>
      </c>
      <c r="B2573">
        <v>458</v>
      </c>
      <c r="C2573" t="s">
        <v>30</v>
      </c>
      <c r="D2573" t="s">
        <v>28</v>
      </c>
      <c r="E2573" t="s">
        <v>33</v>
      </c>
      <c r="F2573" t="s">
        <v>19</v>
      </c>
      <c r="G2573">
        <v>18</v>
      </c>
      <c r="H2573">
        <v>14</v>
      </c>
      <c r="I2573">
        <v>3</v>
      </c>
      <c r="J2573">
        <v>58.3</v>
      </c>
      <c r="K2573">
        <v>236.19</v>
      </c>
      <c r="L2573">
        <v>0.55000000000000004</v>
      </c>
      <c r="M2573">
        <v>70.650000000000006</v>
      </c>
      <c r="N2573">
        <v>1</v>
      </c>
      <c r="O2573" t="s">
        <v>20</v>
      </c>
      <c r="P2573" t="s">
        <v>38</v>
      </c>
      <c r="Q2573">
        <f t="shared" si="200"/>
        <v>29</v>
      </c>
      <c r="R2573" s="4">
        <f>RANK(N2573,$N$2:N$2800,0)</f>
        <v>1</v>
      </c>
      <c r="S2573">
        <f t="shared" si="201"/>
        <v>6</v>
      </c>
      <c r="T2573" t="str">
        <f t="shared" si="202"/>
        <v>Excellent</v>
      </c>
      <c r="U2573" t="str" cm="1">
        <f t="array" ref="U2573">_xlfn.LET(_xlpm.roles,_xlfn.UNIQUE(D2573:D5371),_xlpm.kills, SUMIF(D2573:D5371,_xlpm.roles,G2573:G5371),INDEX(_xlpm.roles,MATCH(MAX(_xlpm.kills),_xlpm.kills,0)))</f>
        <v>IGL</v>
      </c>
      <c r="V2573" t="str">
        <f t="shared" si="203"/>
        <v>High Accuracy</v>
      </c>
      <c r="W2573" t="str" cm="1">
        <f t="array" ref="W2573">_xlfn.LET(_xlpm.roles,_xlfn.UNIQUE(D2573:D5371), _xlpm.counts,COUNTIF(D2573:D5371,_xlpm.roles), INDEX(_xlpm.roles,MATCH(MAX(_xlpm.counts),_xlpm.counts,0)))</f>
        <v>IGL</v>
      </c>
      <c r="X2573" s="2">
        <f t="shared" si="204"/>
        <v>13.135802469135802</v>
      </c>
    </row>
    <row r="2574" spans="1:24" x14ac:dyDescent="0.3">
      <c r="A2574">
        <v>2306</v>
      </c>
      <c r="B2574">
        <v>458</v>
      </c>
      <c r="C2574" t="s">
        <v>16</v>
      </c>
      <c r="D2574" t="s">
        <v>28</v>
      </c>
      <c r="E2574" t="s">
        <v>33</v>
      </c>
      <c r="F2574" t="s">
        <v>24</v>
      </c>
      <c r="G2574">
        <v>9</v>
      </c>
      <c r="H2574">
        <v>7</v>
      </c>
      <c r="I2574">
        <v>17</v>
      </c>
      <c r="J2574">
        <v>50.43</v>
      </c>
      <c r="K2574">
        <v>266.95999999999998</v>
      </c>
      <c r="L2574">
        <v>0.71</v>
      </c>
      <c r="M2574">
        <v>26.12</v>
      </c>
      <c r="N2574">
        <v>0.82</v>
      </c>
      <c r="O2574" t="s">
        <v>20</v>
      </c>
      <c r="P2574" t="s">
        <v>21</v>
      </c>
      <c r="Q2574">
        <f t="shared" si="200"/>
        <v>-1</v>
      </c>
      <c r="R2574" s="4">
        <f>RANK(N2574,$N$2:N$2800,0)</f>
        <v>2275</v>
      </c>
      <c r="S2574">
        <f t="shared" si="201"/>
        <v>0.52941176470588236</v>
      </c>
      <c r="T2574" t="str">
        <f t="shared" si="202"/>
        <v>Low</v>
      </c>
      <c r="U2574" t="str" cm="1">
        <f t="array" ref="U2574">_xlfn.LET(_xlpm.roles,_xlfn.UNIQUE(D2574:D5372),_xlpm.kills, SUMIF(D2574:D5372,_xlpm.roles,G2574:G5372),INDEX(_xlpm.roles,MATCH(MAX(_xlpm.kills),_xlpm.kills,0)))</f>
        <v>IGL</v>
      </c>
      <c r="V2574" t="str">
        <f t="shared" si="203"/>
        <v>High Accuracy</v>
      </c>
      <c r="W2574" t="str" cm="1">
        <f t="array" ref="W2574">_xlfn.LET(_xlpm.roles,_xlfn.UNIQUE(D2574:D5372), _xlpm.counts,COUNTIF(D2574:D5372,_xlpm.roles), INDEX(_xlpm.roles,MATCH(MAX(_xlpm.counts),_xlpm.counts,0)))</f>
        <v>IGL</v>
      </c>
      <c r="X2574" s="2">
        <f t="shared" si="204"/>
        <v>12.520971302428256</v>
      </c>
    </row>
    <row r="2575" spans="1:24" x14ac:dyDescent="0.3">
      <c r="A2575">
        <v>395</v>
      </c>
      <c r="B2575">
        <v>459</v>
      </c>
      <c r="C2575" t="s">
        <v>35</v>
      </c>
      <c r="D2575" t="s">
        <v>31</v>
      </c>
      <c r="E2575" t="s">
        <v>33</v>
      </c>
      <c r="F2575" t="s">
        <v>24</v>
      </c>
      <c r="G2575">
        <v>18</v>
      </c>
      <c r="H2575">
        <v>8</v>
      </c>
      <c r="I2575">
        <v>8</v>
      </c>
      <c r="J2575">
        <v>40.47</v>
      </c>
      <c r="K2575">
        <v>202.01</v>
      </c>
      <c r="L2575">
        <v>0.02</v>
      </c>
      <c r="M2575">
        <v>56.03</v>
      </c>
      <c r="N2575">
        <v>1</v>
      </c>
      <c r="O2575" t="s">
        <v>20</v>
      </c>
      <c r="P2575" t="s">
        <v>21</v>
      </c>
      <c r="Q2575">
        <f t="shared" si="200"/>
        <v>18</v>
      </c>
      <c r="R2575" s="4">
        <f>RANK(N2575,$N$2:N$2800,0)</f>
        <v>1</v>
      </c>
      <c r="S2575">
        <f t="shared" si="201"/>
        <v>2.25</v>
      </c>
      <c r="T2575" t="str">
        <f t="shared" si="202"/>
        <v>Good</v>
      </c>
      <c r="U2575" t="str" cm="1">
        <f t="array" ref="U2575">_xlfn.LET(_xlpm.roles,_xlfn.UNIQUE(D2575:D5373),_xlpm.kills, SUMIF(D2575:D5373,_xlpm.roles,G2575:G5373),INDEX(_xlpm.roles,MATCH(MAX(_xlpm.kills),_xlpm.kills,0)))</f>
        <v>IGL</v>
      </c>
      <c r="V2575" t="str">
        <f t="shared" si="203"/>
        <v>Medium Accuracy</v>
      </c>
      <c r="W2575" t="str" cm="1">
        <f t="array" ref="W2575">_xlfn.LET(_xlpm.roles,_xlfn.UNIQUE(D2575:D5373), _xlpm.counts,COUNTIF(D2575:D5373,_xlpm.roles), INDEX(_xlpm.roles,MATCH(MAX(_xlpm.counts),_xlpm.counts,0)))</f>
        <v>IGL</v>
      </c>
      <c r="X2575" s="2">
        <f t="shared" si="204"/>
        <v>12.599585062240664</v>
      </c>
    </row>
    <row r="2576" spans="1:24" x14ac:dyDescent="0.3">
      <c r="A2576">
        <v>714</v>
      </c>
      <c r="B2576">
        <v>459</v>
      </c>
      <c r="C2576" t="s">
        <v>39</v>
      </c>
      <c r="D2576" t="s">
        <v>28</v>
      </c>
      <c r="E2576" t="s">
        <v>32</v>
      </c>
      <c r="F2576" t="s">
        <v>26</v>
      </c>
      <c r="G2576">
        <v>14</v>
      </c>
      <c r="H2576">
        <v>13</v>
      </c>
      <c r="I2576">
        <v>13</v>
      </c>
      <c r="J2576">
        <v>30.17</v>
      </c>
      <c r="K2576">
        <v>255.95</v>
      </c>
      <c r="L2576">
        <v>0.02</v>
      </c>
      <c r="M2576">
        <v>42.88</v>
      </c>
      <c r="N2576">
        <v>0.9</v>
      </c>
      <c r="O2576" t="s">
        <v>20</v>
      </c>
      <c r="P2576" t="s">
        <v>21</v>
      </c>
      <c r="Q2576">
        <f t="shared" si="200"/>
        <v>14</v>
      </c>
      <c r="R2576" s="4">
        <f>RANK(N2576,$N$2:N$2800,0)</f>
        <v>1738</v>
      </c>
      <c r="S2576">
        <f t="shared" si="201"/>
        <v>1.0769230769230769</v>
      </c>
      <c r="T2576" t="str">
        <f t="shared" si="202"/>
        <v>Low</v>
      </c>
      <c r="U2576" t="str" cm="1">
        <f t="array" ref="U2576">_xlfn.LET(_xlpm.roles,_xlfn.UNIQUE(D2576:D5374),_xlpm.kills, SUMIF(D2576:D5374,_xlpm.roles,G2576:G5374),INDEX(_xlpm.roles,MATCH(MAX(_xlpm.kills),_xlpm.kills,0)))</f>
        <v>IGL</v>
      </c>
      <c r="V2576" t="str">
        <f t="shared" si="203"/>
        <v>Medium Accuracy</v>
      </c>
      <c r="W2576" t="str" cm="1">
        <f t="array" ref="W2576">_xlfn.LET(_xlpm.roles,_xlfn.UNIQUE(D2576:D5374), _xlpm.counts,COUNTIF(D2576:D5374,_xlpm.roles), INDEX(_xlpm.roles,MATCH(MAX(_xlpm.counts),_xlpm.counts,0)))</f>
        <v>IGL</v>
      </c>
      <c r="X2576" s="2">
        <f t="shared" si="204"/>
        <v>13.103594080338267</v>
      </c>
    </row>
    <row r="2577" spans="1:24" x14ac:dyDescent="0.3">
      <c r="A2577">
        <v>901</v>
      </c>
      <c r="B2577">
        <v>459</v>
      </c>
      <c r="C2577" t="s">
        <v>27</v>
      </c>
      <c r="D2577" t="s">
        <v>28</v>
      </c>
      <c r="E2577" t="s">
        <v>18</v>
      </c>
      <c r="F2577" t="s">
        <v>34</v>
      </c>
      <c r="G2577">
        <v>13</v>
      </c>
      <c r="H2577">
        <v>16</v>
      </c>
      <c r="I2577">
        <v>8</v>
      </c>
      <c r="J2577">
        <v>53.2</v>
      </c>
      <c r="K2577">
        <v>247.27</v>
      </c>
      <c r="L2577">
        <v>0.28999999999999998</v>
      </c>
      <c r="M2577">
        <v>57.7</v>
      </c>
      <c r="N2577">
        <v>1</v>
      </c>
      <c r="O2577" t="s">
        <v>20</v>
      </c>
      <c r="P2577" t="s">
        <v>21</v>
      </c>
      <c r="Q2577">
        <f t="shared" si="200"/>
        <v>21</v>
      </c>
      <c r="R2577" s="4">
        <f>RANK(N2577,$N$2:N$2800,0)</f>
        <v>1</v>
      </c>
      <c r="S2577">
        <f t="shared" si="201"/>
        <v>1.625</v>
      </c>
      <c r="T2577" t="str">
        <f t="shared" si="202"/>
        <v>Good</v>
      </c>
      <c r="U2577" t="str" cm="1">
        <f t="array" ref="U2577">_xlfn.LET(_xlpm.roles,_xlfn.UNIQUE(D2577:D5375),_xlpm.kills, SUMIF(D2577:D5375,_xlpm.roles,G2577:G5375),INDEX(_xlpm.roles,MATCH(MAX(_xlpm.kills),_xlpm.kills,0)))</f>
        <v>IGL</v>
      </c>
      <c r="V2577" t="str">
        <f t="shared" si="203"/>
        <v>High Accuracy</v>
      </c>
      <c r="W2577" t="str" cm="1">
        <f t="array" ref="W2577">_xlfn.LET(_xlpm.roles,_xlfn.UNIQUE(D2577:D5375), _xlpm.counts,COUNTIF(D2577:D5375,_xlpm.roles), INDEX(_xlpm.roles,MATCH(MAX(_xlpm.counts),_xlpm.counts,0)))</f>
        <v>IGL</v>
      </c>
      <c r="X2577" s="2">
        <f t="shared" si="204"/>
        <v>13.057077625570777</v>
      </c>
    </row>
    <row r="2578" spans="1:24" x14ac:dyDescent="0.3">
      <c r="A2578">
        <v>1004</v>
      </c>
      <c r="B2578">
        <v>459</v>
      </c>
      <c r="C2578" t="s">
        <v>16</v>
      </c>
      <c r="D2578" t="s">
        <v>17</v>
      </c>
      <c r="E2578" t="s">
        <v>18</v>
      </c>
      <c r="F2578" t="s">
        <v>26</v>
      </c>
      <c r="G2578">
        <v>16</v>
      </c>
      <c r="H2578">
        <v>4</v>
      </c>
      <c r="I2578">
        <v>8</v>
      </c>
      <c r="J2578">
        <v>50.03</v>
      </c>
      <c r="K2578">
        <v>236.71</v>
      </c>
      <c r="L2578">
        <v>0.93</v>
      </c>
      <c r="M2578">
        <v>43.72</v>
      </c>
      <c r="N2578">
        <v>1</v>
      </c>
      <c r="O2578" t="s">
        <v>20</v>
      </c>
      <c r="P2578" t="s">
        <v>21</v>
      </c>
      <c r="Q2578">
        <f t="shared" si="200"/>
        <v>12</v>
      </c>
      <c r="R2578" s="4">
        <f>RANK(N2578,$N$2:N$2800,0)</f>
        <v>1</v>
      </c>
      <c r="S2578">
        <f t="shared" si="201"/>
        <v>2</v>
      </c>
      <c r="T2578" t="str">
        <f t="shared" si="202"/>
        <v>Low</v>
      </c>
      <c r="U2578" t="str" cm="1">
        <f t="array" ref="U2578">_xlfn.LET(_xlpm.roles,_xlfn.UNIQUE(D2578:D5376),_xlpm.kills, SUMIF(D2578:D5376,_xlpm.roles,G2578:G5376),INDEX(_xlpm.roles,MATCH(MAX(_xlpm.kills),_xlpm.kills,0)))</f>
        <v>IGL</v>
      </c>
      <c r="V2578" t="str">
        <f t="shared" si="203"/>
        <v>High Accuracy</v>
      </c>
      <c r="W2578" t="str" cm="1">
        <f t="array" ref="W2578">_xlfn.LET(_xlpm.roles,_xlfn.UNIQUE(D2578:D5376), _xlpm.counts,COUNTIF(D2578:D5376,_xlpm.roles), INDEX(_xlpm.roles,MATCH(MAX(_xlpm.counts),_xlpm.counts,0)))</f>
        <v>IGL</v>
      </c>
      <c r="X2578" s="2">
        <f t="shared" si="204"/>
        <v>12.520971302428256</v>
      </c>
    </row>
    <row r="2579" spans="1:24" x14ac:dyDescent="0.3">
      <c r="A2579">
        <v>1214</v>
      </c>
      <c r="B2579">
        <v>459</v>
      </c>
      <c r="C2579" t="s">
        <v>39</v>
      </c>
      <c r="D2579" t="s">
        <v>28</v>
      </c>
      <c r="E2579" t="s">
        <v>18</v>
      </c>
      <c r="F2579" t="s">
        <v>34</v>
      </c>
      <c r="G2579">
        <v>23</v>
      </c>
      <c r="H2579">
        <v>7</v>
      </c>
      <c r="I2579">
        <v>10</v>
      </c>
      <c r="J2579">
        <v>49.09</v>
      </c>
      <c r="K2579">
        <v>272.41000000000003</v>
      </c>
      <c r="L2579">
        <v>0.45</v>
      </c>
      <c r="M2579">
        <v>63.05</v>
      </c>
      <c r="N2579">
        <v>1</v>
      </c>
      <c r="O2579" t="s">
        <v>20</v>
      </c>
      <c r="P2579" t="s">
        <v>38</v>
      </c>
      <c r="Q2579">
        <f t="shared" si="200"/>
        <v>20</v>
      </c>
      <c r="R2579" s="4">
        <f>RANK(N2579,$N$2:N$2800,0)</f>
        <v>1</v>
      </c>
      <c r="S2579">
        <f t="shared" si="201"/>
        <v>2.2999999999999998</v>
      </c>
      <c r="T2579" t="str">
        <f t="shared" si="202"/>
        <v>Good</v>
      </c>
      <c r="U2579" t="str" cm="1">
        <f t="array" ref="U2579">_xlfn.LET(_xlpm.roles,_xlfn.UNIQUE(D2579:D5377),_xlpm.kills, SUMIF(D2579:D5377,_xlpm.roles,G2579:G5377),INDEX(_xlpm.roles,MATCH(MAX(_xlpm.kills),_xlpm.kills,0)))</f>
        <v>IGL</v>
      </c>
      <c r="V2579" t="str">
        <f t="shared" si="203"/>
        <v>Medium Accuracy</v>
      </c>
      <c r="W2579" t="str" cm="1">
        <f t="array" ref="W2579">_xlfn.LET(_xlpm.roles,_xlfn.UNIQUE(D2579:D5377), _xlpm.counts,COUNTIF(D2579:D5377,_xlpm.roles), INDEX(_xlpm.roles,MATCH(MAX(_xlpm.counts),_xlpm.counts,0)))</f>
        <v>IGL</v>
      </c>
      <c r="X2579" s="2">
        <f t="shared" si="204"/>
        <v>13.103594080338267</v>
      </c>
    </row>
    <row r="2580" spans="1:24" x14ac:dyDescent="0.3">
      <c r="A2580">
        <v>1523</v>
      </c>
      <c r="B2580">
        <v>459</v>
      </c>
      <c r="C2580" t="s">
        <v>30</v>
      </c>
      <c r="D2580" t="s">
        <v>28</v>
      </c>
      <c r="E2580" t="s">
        <v>23</v>
      </c>
      <c r="F2580" t="s">
        <v>37</v>
      </c>
      <c r="G2580">
        <v>18</v>
      </c>
      <c r="H2580">
        <v>7</v>
      </c>
      <c r="I2580">
        <v>12</v>
      </c>
      <c r="J2580">
        <v>23.62</v>
      </c>
      <c r="K2580">
        <v>203.97</v>
      </c>
      <c r="L2580">
        <v>0.52</v>
      </c>
      <c r="M2580">
        <v>37.61</v>
      </c>
      <c r="N2580">
        <v>0.98</v>
      </c>
      <c r="O2580" t="s">
        <v>20</v>
      </c>
      <c r="P2580" t="s">
        <v>21</v>
      </c>
      <c r="Q2580">
        <f t="shared" si="200"/>
        <v>13</v>
      </c>
      <c r="R2580" s="4">
        <f>RANK(N2580,$N$2:N$2800,0)</f>
        <v>1157</v>
      </c>
      <c r="S2580">
        <f t="shared" si="201"/>
        <v>1.5</v>
      </c>
      <c r="T2580" t="str">
        <f t="shared" si="202"/>
        <v>Low</v>
      </c>
      <c r="U2580" t="str" cm="1">
        <f t="array" ref="U2580">_xlfn.LET(_xlpm.roles,_xlfn.UNIQUE(D2580:D5378),_xlpm.kills, SUMIF(D2580:D5378,_xlpm.roles,G2580:G5378),INDEX(_xlpm.roles,MATCH(MAX(_xlpm.kills),_xlpm.kills,0)))</f>
        <v>IGL</v>
      </c>
      <c r="V2580" t="str">
        <f t="shared" si="203"/>
        <v>Low Accuracy</v>
      </c>
      <c r="W2580" t="str" cm="1">
        <f t="array" ref="W2580">_xlfn.LET(_xlpm.roles,_xlfn.UNIQUE(D2580:D5378), _xlpm.counts,COUNTIF(D2580:D5378,_xlpm.roles), INDEX(_xlpm.roles,MATCH(MAX(_xlpm.counts),_xlpm.counts,0)))</f>
        <v>IGL</v>
      </c>
      <c r="X2580" s="2">
        <f t="shared" si="204"/>
        <v>13.135802469135802</v>
      </c>
    </row>
    <row r="2581" spans="1:24" x14ac:dyDescent="0.3">
      <c r="A2581">
        <v>2600</v>
      </c>
      <c r="B2581">
        <v>459</v>
      </c>
      <c r="C2581" t="s">
        <v>25</v>
      </c>
      <c r="D2581" t="s">
        <v>28</v>
      </c>
      <c r="E2581" t="s">
        <v>23</v>
      </c>
      <c r="F2581" t="s">
        <v>19</v>
      </c>
      <c r="G2581">
        <v>13</v>
      </c>
      <c r="H2581">
        <v>10</v>
      </c>
      <c r="I2581">
        <v>11</v>
      </c>
      <c r="J2581">
        <v>51.66</v>
      </c>
      <c r="K2581">
        <v>252.89</v>
      </c>
      <c r="L2581">
        <v>0.05</v>
      </c>
      <c r="M2581">
        <v>50.33</v>
      </c>
      <c r="N2581">
        <v>1</v>
      </c>
      <c r="O2581" t="s">
        <v>20</v>
      </c>
      <c r="P2581" t="s">
        <v>21</v>
      </c>
      <c r="Q2581">
        <f t="shared" si="200"/>
        <v>12</v>
      </c>
      <c r="R2581" s="4">
        <f>RANK(N2581,$N$2:N$2800,0)</f>
        <v>1</v>
      </c>
      <c r="S2581">
        <f t="shared" si="201"/>
        <v>1.1818181818181819</v>
      </c>
      <c r="T2581" t="str">
        <f t="shared" si="202"/>
        <v>Low</v>
      </c>
      <c r="U2581" t="str" cm="1">
        <f t="array" ref="U2581">_xlfn.LET(_xlpm.roles,_xlfn.UNIQUE(D2581:D5379),_xlpm.kills, SUMIF(D2581:D5379,_xlpm.roles,G2581:G5379),INDEX(_xlpm.roles,MATCH(MAX(_xlpm.kills),_xlpm.kills,0)))</f>
        <v>Entry Fragger</v>
      </c>
      <c r="V2581" t="str">
        <f t="shared" si="203"/>
        <v>High Accuracy</v>
      </c>
      <c r="W2581" t="str" cm="1">
        <f t="array" ref="W2581">_xlfn.LET(_xlpm.roles,_xlfn.UNIQUE(D2581:D5379), _xlpm.counts,COUNTIF(D2581:D5379,_xlpm.roles), INDEX(_xlpm.roles,MATCH(MAX(_xlpm.counts),_xlpm.counts,0)))</f>
        <v>IGL</v>
      </c>
      <c r="X2581" s="2">
        <f t="shared" si="204"/>
        <v>12.809421841541756</v>
      </c>
    </row>
    <row r="2582" spans="1:24" x14ac:dyDescent="0.3">
      <c r="A2582">
        <v>2757</v>
      </c>
      <c r="B2582">
        <v>459</v>
      </c>
      <c r="C2582" t="s">
        <v>30</v>
      </c>
      <c r="D2582" t="s">
        <v>17</v>
      </c>
      <c r="E2582" t="s">
        <v>18</v>
      </c>
      <c r="F2582" t="s">
        <v>37</v>
      </c>
      <c r="G2582">
        <v>18</v>
      </c>
      <c r="H2582">
        <v>4</v>
      </c>
      <c r="I2582">
        <v>13</v>
      </c>
      <c r="J2582">
        <v>57.8</v>
      </c>
      <c r="K2582">
        <v>274.33999999999997</v>
      </c>
      <c r="L2582">
        <v>0.98</v>
      </c>
      <c r="M2582">
        <v>46.1</v>
      </c>
      <c r="N2582">
        <v>0.86</v>
      </c>
      <c r="O2582" t="s">
        <v>20</v>
      </c>
      <c r="P2582" t="s">
        <v>21</v>
      </c>
      <c r="Q2582">
        <f t="shared" si="200"/>
        <v>9</v>
      </c>
      <c r="R2582" s="4">
        <f>RANK(N2582,$N$2:N$2800,0)</f>
        <v>2040</v>
      </c>
      <c r="S2582">
        <f t="shared" si="201"/>
        <v>1.3846153846153846</v>
      </c>
      <c r="T2582" t="str">
        <f t="shared" si="202"/>
        <v>Low</v>
      </c>
      <c r="U2582" t="str" cm="1">
        <f t="array" ref="U2582">_xlfn.LET(_xlpm.roles,_xlfn.UNIQUE(D2582:D5380),_xlpm.kills, SUMIF(D2582:D5380,_xlpm.roles,G2582:G5380),INDEX(_xlpm.roles,MATCH(MAX(_xlpm.kills),_xlpm.kills,0)))</f>
        <v>Entry Fragger</v>
      </c>
      <c r="V2582" t="str">
        <f t="shared" si="203"/>
        <v>High Accuracy</v>
      </c>
      <c r="W2582" t="str" cm="1">
        <f t="array" ref="W2582">_xlfn.LET(_xlpm.roles,_xlfn.UNIQUE(D2582:D5380), _xlpm.counts,COUNTIF(D2582:D5380,_xlpm.roles), INDEX(_xlpm.roles,MATCH(MAX(_xlpm.counts),_xlpm.counts,0)))</f>
        <v>Sniper</v>
      </c>
      <c r="X2582" s="2">
        <f t="shared" si="204"/>
        <v>13.135802469135802</v>
      </c>
    </row>
    <row r="2583" spans="1:24" x14ac:dyDescent="0.3">
      <c r="A2583">
        <v>650</v>
      </c>
      <c r="B2583">
        <v>460</v>
      </c>
      <c r="C2583" t="s">
        <v>16</v>
      </c>
      <c r="D2583" t="s">
        <v>17</v>
      </c>
      <c r="E2583" t="s">
        <v>29</v>
      </c>
      <c r="F2583" t="s">
        <v>37</v>
      </c>
      <c r="G2583">
        <v>12</v>
      </c>
      <c r="H2583">
        <v>9</v>
      </c>
      <c r="I2583">
        <v>16</v>
      </c>
      <c r="J2583">
        <v>38.4</v>
      </c>
      <c r="K2583">
        <v>215.15</v>
      </c>
      <c r="L2583">
        <v>0.97</v>
      </c>
      <c r="M2583">
        <v>26.5</v>
      </c>
      <c r="N2583">
        <v>0.74</v>
      </c>
      <c r="O2583" t="s">
        <v>20</v>
      </c>
      <c r="P2583" t="s">
        <v>21</v>
      </c>
      <c r="Q2583">
        <f t="shared" si="200"/>
        <v>5</v>
      </c>
      <c r="R2583" s="4">
        <f>RANK(N2583,$N$2:N$2800,0)</f>
        <v>2613</v>
      </c>
      <c r="S2583">
        <f t="shared" si="201"/>
        <v>0.75</v>
      </c>
      <c r="T2583" t="str">
        <f t="shared" si="202"/>
        <v>Low</v>
      </c>
      <c r="U2583" t="str" cm="1">
        <f t="array" ref="U2583">_xlfn.LET(_xlpm.roles,_xlfn.UNIQUE(D2583:D5381),_xlpm.kills, SUMIF(D2583:D5381,_xlpm.roles,G2583:G5381),INDEX(_xlpm.roles,MATCH(MAX(_xlpm.kills),_xlpm.kills,0)))</f>
        <v>Entry Fragger</v>
      </c>
      <c r="V2583" t="str">
        <f t="shared" si="203"/>
        <v>Medium Accuracy</v>
      </c>
      <c r="W2583" t="str" cm="1">
        <f t="array" ref="W2583">_xlfn.LET(_xlpm.roles,_xlfn.UNIQUE(D2583:D5381), _xlpm.counts,COUNTIF(D2583:D5381,_xlpm.roles), INDEX(_xlpm.roles,MATCH(MAX(_xlpm.counts),_xlpm.counts,0)))</f>
        <v>Sniper</v>
      </c>
      <c r="X2583" s="2">
        <f t="shared" si="204"/>
        <v>12.520971302428256</v>
      </c>
    </row>
    <row r="2584" spans="1:24" x14ac:dyDescent="0.3">
      <c r="A2584">
        <v>1275</v>
      </c>
      <c r="B2584">
        <v>460</v>
      </c>
      <c r="C2584" t="s">
        <v>39</v>
      </c>
      <c r="D2584" t="s">
        <v>17</v>
      </c>
      <c r="E2584" t="s">
        <v>18</v>
      </c>
      <c r="F2584" t="s">
        <v>19</v>
      </c>
      <c r="G2584">
        <v>18</v>
      </c>
      <c r="H2584">
        <v>11</v>
      </c>
      <c r="I2584">
        <v>9</v>
      </c>
      <c r="J2584">
        <v>48.79</v>
      </c>
      <c r="K2584">
        <v>253.07</v>
      </c>
      <c r="L2584">
        <v>0.65</v>
      </c>
      <c r="M2584">
        <v>55.89</v>
      </c>
      <c r="N2584">
        <v>1</v>
      </c>
      <c r="O2584" t="s">
        <v>20</v>
      </c>
      <c r="P2584" t="s">
        <v>21</v>
      </c>
      <c r="Q2584">
        <f t="shared" si="200"/>
        <v>20</v>
      </c>
      <c r="R2584" s="4">
        <f>RANK(N2584,$N$2:N$2800,0)</f>
        <v>1</v>
      </c>
      <c r="S2584">
        <f t="shared" si="201"/>
        <v>2</v>
      </c>
      <c r="T2584" t="str">
        <f t="shared" si="202"/>
        <v>Good</v>
      </c>
      <c r="U2584" t="str" cm="1">
        <f t="array" ref="U2584">_xlfn.LET(_xlpm.roles,_xlfn.UNIQUE(D2584:D5382),_xlpm.kills, SUMIF(D2584:D5382,_xlpm.roles,G2584:G5382),INDEX(_xlpm.roles,MATCH(MAX(_xlpm.kills),_xlpm.kills,0)))</f>
        <v>Entry Fragger</v>
      </c>
      <c r="V2584" t="str">
        <f t="shared" si="203"/>
        <v>Medium Accuracy</v>
      </c>
      <c r="W2584" t="str" cm="1">
        <f t="array" ref="W2584">_xlfn.LET(_xlpm.roles,_xlfn.UNIQUE(D2584:D5382), _xlpm.counts,COUNTIF(D2584:D5382,_xlpm.roles), INDEX(_xlpm.roles,MATCH(MAX(_xlpm.counts),_xlpm.counts,0)))</f>
        <v>Sniper</v>
      </c>
      <c r="X2584" s="2">
        <f t="shared" si="204"/>
        <v>13.103594080338267</v>
      </c>
    </row>
    <row r="2585" spans="1:24" x14ac:dyDescent="0.3">
      <c r="A2585">
        <v>1448</v>
      </c>
      <c r="B2585">
        <v>460</v>
      </c>
      <c r="C2585" t="s">
        <v>16</v>
      </c>
      <c r="D2585" t="s">
        <v>22</v>
      </c>
      <c r="E2585" t="s">
        <v>29</v>
      </c>
      <c r="F2585" t="s">
        <v>19</v>
      </c>
      <c r="G2585">
        <v>20</v>
      </c>
      <c r="H2585">
        <v>7</v>
      </c>
      <c r="I2585">
        <v>9</v>
      </c>
      <c r="J2585">
        <v>34.46</v>
      </c>
      <c r="K2585">
        <v>230.56</v>
      </c>
      <c r="L2585">
        <v>0.02</v>
      </c>
      <c r="M2585">
        <v>55.03</v>
      </c>
      <c r="N2585">
        <v>0.85</v>
      </c>
      <c r="O2585" t="s">
        <v>20</v>
      </c>
      <c r="P2585" t="s">
        <v>21</v>
      </c>
      <c r="Q2585">
        <f t="shared" si="200"/>
        <v>18</v>
      </c>
      <c r="R2585" s="4">
        <f>RANK(N2585,$N$2:N$2800,0)</f>
        <v>2105</v>
      </c>
      <c r="S2585">
        <f t="shared" si="201"/>
        <v>2.2222222222222223</v>
      </c>
      <c r="T2585" t="str">
        <f t="shared" si="202"/>
        <v>Good</v>
      </c>
      <c r="U2585" t="str" cm="1">
        <f t="array" ref="U2585">_xlfn.LET(_xlpm.roles,_xlfn.UNIQUE(D2585:D5383),_xlpm.kills, SUMIF(D2585:D5383,_xlpm.roles,G2585:G5383),INDEX(_xlpm.roles,MATCH(MAX(_xlpm.kills),_xlpm.kills,0)))</f>
        <v>Entry Fragger</v>
      </c>
      <c r="V2585" t="str">
        <f t="shared" si="203"/>
        <v>Medium Accuracy</v>
      </c>
      <c r="W2585" t="str" cm="1">
        <f t="array" ref="W2585">_xlfn.LET(_xlpm.roles,_xlfn.UNIQUE(D2585:D5383), _xlpm.counts,COUNTIF(D2585:D5383,_xlpm.roles), INDEX(_xlpm.roles,MATCH(MAX(_xlpm.counts),_xlpm.counts,0)))</f>
        <v>Sniper</v>
      </c>
      <c r="X2585" s="2">
        <f t="shared" si="204"/>
        <v>12.520971302428256</v>
      </c>
    </row>
    <row r="2586" spans="1:24" x14ac:dyDescent="0.3">
      <c r="A2586">
        <v>2234</v>
      </c>
      <c r="B2586">
        <v>460</v>
      </c>
      <c r="C2586" t="s">
        <v>35</v>
      </c>
      <c r="D2586" t="s">
        <v>17</v>
      </c>
      <c r="E2586" t="s">
        <v>33</v>
      </c>
      <c r="F2586" t="s">
        <v>24</v>
      </c>
      <c r="G2586">
        <v>25</v>
      </c>
      <c r="H2586">
        <v>9</v>
      </c>
      <c r="I2586">
        <v>9</v>
      </c>
      <c r="J2586">
        <v>59.45</v>
      </c>
      <c r="K2586">
        <v>226.87</v>
      </c>
      <c r="L2586">
        <v>0.38</v>
      </c>
      <c r="M2586">
        <v>75.92</v>
      </c>
      <c r="N2586">
        <v>1</v>
      </c>
      <c r="O2586" t="s">
        <v>20</v>
      </c>
      <c r="P2586" t="s">
        <v>38</v>
      </c>
      <c r="Q2586">
        <f t="shared" si="200"/>
        <v>25</v>
      </c>
      <c r="R2586" s="4">
        <f>RANK(N2586,$N$2:N$2800,0)</f>
        <v>1</v>
      </c>
      <c r="S2586">
        <f t="shared" si="201"/>
        <v>2.7777777777777777</v>
      </c>
      <c r="T2586" t="str">
        <f t="shared" si="202"/>
        <v>Excellent</v>
      </c>
      <c r="U2586" t="str" cm="1">
        <f t="array" ref="U2586">_xlfn.LET(_xlpm.roles,_xlfn.UNIQUE(D2586:D5384),_xlpm.kills, SUMIF(D2586:D5384,_xlpm.roles,G2586:G5384),INDEX(_xlpm.roles,MATCH(MAX(_xlpm.kills),_xlpm.kills,0)))</f>
        <v>Entry Fragger</v>
      </c>
      <c r="V2586" t="str">
        <f t="shared" si="203"/>
        <v>High Accuracy</v>
      </c>
      <c r="W2586" t="str" cm="1">
        <f t="array" ref="W2586">_xlfn.LET(_xlpm.roles,_xlfn.UNIQUE(D2586:D5384), _xlpm.counts,COUNTIF(D2586:D5384,_xlpm.roles), INDEX(_xlpm.roles,MATCH(MAX(_xlpm.counts),_xlpm.counts,0)))</f>
        <v>Sniper</v>
      </c>
      <c r="X2586" s="2">
        <f t="shared" si="204"/>
        <v>12.599585062240664</v>
      </c>
    </row>
    <row r="2587" spans="1:24" x14ac:dyDescent="0.3">
      <c r="A2587">
        <v>946</v>
      </c>
      <c r="B2587">
        <v>461</v>
      </c>
      <c r="C2587" t="s">
        <v>35</v>
      </c>
      <c r="D2587" t="s">
        <v>31</v>
      </c>
      <c r="E2587" t="s">
        <v>18</v>
      </c>
      <c r="F2587" t="s">
        <v>34</v>
      </c>
      <c r="G2587">
        <v>11</v>
      </c>
      <c r="H2587">
        <v>10</v>
      </c>
      <c r="I2587">
        <v>14</v>
      </c>
      <c r="J2587">
        <v>42.95</v>
      </c>
      <c r="K2587">
        <v>202.72</v>
      </c>
      <c r="L2587">
        <v>0.38</v>
      </c>
      <c r="M2587">
        <v>35.68</v>
      </c>
      <c r="N2587">
        <v>0.84</v>
      </c>
      <c r="O2587" t="s">
        <v>20</v>
      </c>
      <c r="P2587" t="s">
        <v>21</v>
      </c>
      <c r="Q2587">
        <f t="shared" si="200"/>
        <v>7</v>
      </c>
      <c r="R2587" s="4">
        <f>RANK(N2587,$N$2:N$2800,0)</f>
        <v>2156</v>
      </c>
      <c r="S2587">
        <f t="shared" si="201"/>
        <v>0.7857142857142857</v>
      </c>
      <c r="T2587" t="str">
        <f t="shared" si="202"/>
        <v>Low</v>
      </c>
      <c r="U2587" t="str" cm="1">
        <f t="array" ref="U2587">_xlfn.LET(_xlpm.roles,_xlfn.UNIQUE(D2587:D5385),_xlpm.kills, SUMIF(D2587:D5385,_xlpm.roles,G2587:G5385),INDEX(_xlpm.roles,MATCH(MAX(_xlpm.kills),_xlpm.kills,0)))</f>
        <v>Entry Fragger</v>
      </c>
      <c r="V2587" t="str">
        <f t="shared" si="203"/>
        <v>Medium Accuracy</v>
      </c>
      <c r="W2587" t="str" cm="1">
        <f t="array" ref="W2587">_xlfn.LET(_xlpm.roles,_xlfn.UNIQUE(D2587:D5385), _xlpm.counts,COUNTIF(D2587:D5385,_xlpm.roles), INDEX(_xlpm.roles,MATCH(MAX(_xlpm.counts),_xlpm.counts,0)))</f>
        <v>Sniper</v>
      </c>
      <c r="X2587" s="2">
        <f t="shared" si="204"/>
        <v>12.599585062240664</v>
      </c>
    </row>
    <row r="2588" spans="1:24" x14ac:dyDescent="0.3">
      <c r="A2588">
        <v>1755</v>
      </c>
      <c r="B2588">
        <v>461</v>
      </c>
      <c r="C2588" t="s">
        <v>25</v>
      </c>
      <c r="D2588" t="s">
        <v>28</v>
      </c>
      <c r="E2588" t="s">
        <v>29</v>
      </c>
      <c r="F2588" t="s">
        <v>37</v>
      </c>
      <c r="G2588">
        <v>15</v>
      </c>
      <c r="H2588">
        <v>7</v>
      </c>
      <c r="I2588">
        <v>5</v>
      </c>
      <c r="J2588">
        <v>45.14</v>
      </c>
      <c r="K2588">
        <v>224.42</v>
      </c>
      <c r="L2588">
        <v>0.55000000000000004</v>
      </c>
      <c r="M2588">
        <v>49.07</v>
      </c>
      <c r="N2588">
        <v>1</v>
      </c>
      <c r="O2588" t="s">
        <v>20</v>
      </c>
      <c r="P2588" t="s">
        <v>21</v>
      </c>
      <c r="Q2588">
        <f t="shared" si="200"/>
        <v>17</v>
      </c>
      <c r="R2588" s="4">
        <f>RANK(N2588,$N$2:N$2800,0)</f>
        <v>1</v>
      </c>
      <c r="S2588">
        <f t="shared" si="201"/>
        <v>3</v>
      </c>
      <c r="T2588" t="str">
        <f t="shared" si="202"/>
        <v>Good</v>
      </c>
      <c r="U2588" t="str" cm="1">
        <f t="array" ref="U2588">_xlfn.LET(_xlpm.roles,_xlfn.UNIQUE(D2588:D5386),_xlpm.kills, SUMIF(D2588:D5386,_xlpm.roles,G2588:G5386),INDEX(_xlpm.roles,MATCH(MAX(_xlpm.kills),_xlpm.kills,0)))</f>
        <v>Entry Fragger</v>
      </c>
      <c r="V2588" t="str">
        <f t="shared" si="203"/>
        <v>Medium Accuracy</v>
      </c>
      <c r="W2588" t="str" cm="1">
        <f t="array" ref="W2588">_xlfn.LET(_xlpm.roles,_xlfn.UNIQUE(D2588:D5386), _xlpm.counts,COUNTIF(D2588:D5386,_xlpm.roles), INDEX(_xlpm.roles,MATCH(MAX(_xlpm.counts),_xlpm.counts,0)))</f>
        <v>Entry Fragger</v>
      </c>
      <c r="X2588" s="2">
        <f t="shared" si="204"/>
        <v>12.809421841541756</v>
      </c>
    </row>
    <row r="2589" spans="1:24" x14ac:dyDescent="0.3">
      <c r="A2589">
        <v>2619</v>
      </c>
      <c r="B2589">
        <v>461</v>
      </c>
      <c r="C2589" t="s">
        <v>39</v>
      </c>
      <c r="D2589" t="s">
        <v>28</v>
      </c>
      <c r="E2589" t="s">
        <v>33</v>
      </c>
      <c r="F2589" t="s">
        <v>24</v>
      </c>
      <c r="G2589">
        <v>16</v>
      </c>
      <c r="H2589">
        <v>6</v>
      </c>
      <c r="I2589">
        <v>11</v>
      </c>
      <c r="J2589">
        <v>34.57</v>
      </c>
      <c r="K2589">
        <v>214.41</v>
      </c>
      <c r="L2589">
        <v>0.63</v>
      </c>
      <c r="M2589">
        <v>37.979999999999997</v>
      </c>
      <c r="N2589">
        <v>0.87</v>
      </c>
      <c r="O2589" t="s">
        <v>20</v>
      </c>
      <c r="P2589" t="s">
        <v>21</v>
      </c>
      <c r="Q2589">
        <f t="shared" si="200"/>
        <v>11</v>
      </c>
      <c r="R2589" s="4">
        <f>RANK(N2589,$N$2:N$2800,0)</f>
        <v>1965</v>
      </c>
      <c r="S2589">
        <f t="shared" si="201"/>
        <v>1.4545454545454546</v>
      </c>
      <c r="T2589" t="str">
        <f t="shared" si="202"/>
        <v>Low</v>
      </c>
      <c r="U2589" t="str" cm="1">
        <f t="array" ref="U2589">_xlfn.LET(_xlpm.roles,_xlfn.UNIQUE(D2589:D5387),_xlpm.kills, SUMIF(D2589:D5387,_xlpm.roles,G2589:G5387),INDEX(_xlpm.roles,MATCH(MAX(_xlpm.kills),_xlpm.kills,0)))</f>
        <v>Entry Fragger</v>
      </c>
      <c r="V2589" t="str">
        <f t="shared" si="203"/>
        <v>Medium Accuracy</v>
      </c>
      <c r="W2589" t="str" cm="1">
        <f t="array" ref="W2589">_xlfn.LET(_xlpm.roles,_xlfn.UNIQUE(D2589:D5387), _xlpm.counts,COUNTIF(D2589:D5387,_xlpm.roles), INDEX(_xlpm.roles,MATCH(MAX(_xlpm.counts),_xlpm.counts,0)))</f>
        <v>Entry Fragger</v>
      </c>
      <c r="X2589" s="2">
        <f t="shared" si="204"/>
        <v>13.103594080338267</v>
      </c>
    </row>
    <row r="2590" spans="1:24" x14ac:dyDescent="0.3">
      <c r="A2590">
        <v>204</v>
      </c>
      <c r="B2590">
        <v>462</v>
      </c>
      <c r="C2590" t="s">
        <v>35</v>
      </c>
      <c r="D2590" t="s">
        <v>36</v>
      </c>
      <c r="E2590" t="s">
        <v>33</v>
      </c>
      <c r="F2590" t="s">
        <v>37</v>
      </c>
      <c r="G2590">
        <v>8</v>
      </c>
      <c r="H2590">
        <v>7</v>
      </c>
      <c r="I2590">
        <v>11</v>
      </c>
      <c r="J2590">
        <v>48.99</v>
      </c>
      <c r="K2590">
        <v>206.04</v>
      </c>
      <c r="L2590">
        <v>0.35</v>
      </c>
      <c r="M2590">
        <v>33</v>
      </c>
      <c r="N2590">
        <v>0.8</v>
      </c>
      <c r="O2590" t="s">
        <v>20</v>
      </c>
      <c r="P2590" t="s">
        <v>21</v>
      </c>
      <c r="Q2590">
        <f t="shared" si="200"/>
        <v>4</v>
      </c>
      <c r="R2590" s="4">
        <f>RANK(N2590,$N$2:N$2800,0)</f>
        <v>2393</v>
      </c>
      <c r="S2590">
        <f t="shared" si="201"/>
        <v>0.72727272727272729</v>
      </c>
      <c r="T2590" t="str">
        <f t="shared" si="202"/>
        <v>Low</v>
      </c>
      <c r="U2590" t="str" cm="1">
        <f t="array" ref="U2590">_xlfn.LET(_xlpm.roles,_xlfn.UNIQUE(D2590:D5388),_xlpm.kills, SUMIF(D2590:D5388,_xlpm.roles,G2590:G5388),INDEX(_xlpm.roles,MATCH(MAX(_xlpm.kills),_xlpm.kills,0)))</f>
        <v>Entry Fragger</v>
      </c>
      <c r="V2590" t="str">
        <f t="shared" si="203"/>
        <v>Medium Accuracy</v>
      </c>
      <c r="W2590" t="str" cm="1">
        <f t="array" ref="W2590">_xlfn.LET(_xlpm.roles,_xlfn.UNIQUE(D2590:D5388), _xlpm.counts,COUNTIF(D2590:D5388,_xlpm.roles), INDEX(_xlpm.roles,MATCH(MAX(_xlpm.counts),_xlpm.counts,0)))</f>
        <v>Entry Fragger</v>
      </c>
      <c r="X2590" s="2">
        <f t="shared" si="204"/>
        <v>12.599585062240664</v>
      </c>
    </row>
    <row r="2591" spans="1:24" x14ac:dyDescent="0.3">
      <c r="A2591">
        <v>336</v>
      </c>
      <c r="B2591">
        <v>462</v>
      </c>
      <c r="C2591" t="s">
        <v>25</v>
      </c>
      <c r="D2591" t="s">
        <v>22</v>
      </c>
      <c r="E2591" t="s">
        <v>23</v>
      </c>
      <c r="F2591" t="s">
        <v>24</v>
      </c>
      <c r="G2591">
        <v>16</v>
      </c>
      <c r="H2591">
        <v>10</v>
      </c>
      <c r="I2591">
        <v>12</v>
      </c>
      <c r="J2591">
        <v>50.36</v>
      </c>
      <c r="K2591">
        <v>211.17</v>
      </c>
      <c r="L2591">
        <v>0.49</v>
      </c>
      <c r="M2591">
        <v>50.28</v>
      </c>
      <c r="N2591">
        <v>1</v>
      </c>
      <c r="O2591" t="s">
        <v>20</v>
      </c>
      <c r="P2591" t="s">
        <v>21</v>
      </c>
      <c r="Q2591">
        <f t="shared" si="200"/>
        <v>14</v>
      </c>
      <c r="R2591" s="4">
        <f>RANK(N2591,$N$2:N$2800,0)</f>
        <v>1</v>
      </c>
      <c r="S2591">
        <f t="shared" si="201"/>
        <v>1.3333333333333333</v>
      </c>
      <c r="T2591" t="str">
        <f t="shared" si="202"/>
        <v>Low</v>
      </c>
      <c r="U2591" t="str" cm="1">
        <f t="array" ref="U2591">_xlfn.LET(_xlpm.roles,_xlfn.UNIQUE(D2591:D5389),_xlpm.kills, SUMIF(D2591:D5389,_xlpm.roles,G2591:G5389),INDEX(_xlpm.roles,MATCH(MAX(_xlpm.kills),_xlpm.kills,0)))</f>
        <v>Entry Fragger</v>
      </c>
      <c r="V2591" t="str">
        <f t="shared" si="203"/>
        <v>High Accuracy</v>
      </c>
      <c r="W2591" t="str" cm="1">
        <f t="array" ref="W2591">_xlfn.LET(_xlpm.roles,_xlfn.UNIQUE(D2591:D5389), _xlpm.counts,COUNTIF(D2591:D5389,_xlpm.roles), INDEX(_xlpm.roles,MATCH(MAX(_xlpm.counts),_xlpm.counts,0)))</f>
        <v>Sniper</v>
      </c>
      <c r="X2591" s="2">
        <f t="shared" si="204"/>
        <v>12.809421841541756</v>
      </c>
    </row>
    <row r="2592" spans="1:24" x14ac:dyDescent="0.3">
      <c r="A2592">
        <v>634</v>
      </c>
      <c r="B2592">
        <v>462</v>
      </c>
      <c r="C2592" t="s">
        <v>30</v>
      </c>
      <c r="D2592" t="s">
        <v>28</v>
      </c>
      <c r="E2592" t="s">
        <v>32</v>
      </c>
      <c r="F2592" t="s">
        <v>34</v>
      </c>
      <c r="G2592">
        <v>8</v>
      </c>
      <c r="H2592">
        <v>6</v>
      </c>
      <c r="I2592">
        <v>6</v>
      </c>
      <c r="J2592">
        <v>59.44</v>
      </c>
      <c r="K2592">
        <v>204.81</v>
      </c>
      <c r="L2592">
        <v>0.27</v>
      </c>
      <c r="M2592">
        <v>43.02</v>
      </c>
      <c r="N2592">
        <v>1</v>
      </c>
      <c r="O2592" t="s">
        <v>20</v>
      </c>
      <c r="P2592" t="s">
        <v>21</v>
      </c>
      <c r="Q2592">
        <f t="shared" si="200"/>
        <v>8</v>
      </c>
      <c r="R2592" s="4">
        <f>RANK(N2592,$N$2:N$2800,0)</f>
        <v>1</v>
      </c>
      <c r="S2592">
        <f t="shared" si="201"/>
        <v>1.3333333333333333</v>
      </c>
      <c r="T2592" t="str">
        <f t="shared" si="202"/>
        <v>Low</v>
      </c>
      <c r="U2592" t="str" cm="1">
        <f t="array" ref="U2592">_xlfn.LET(_xlpm.roles,_xlfn.UNIQUE(D2592:D5390),_xlpm.kills, SUMIF(D2592:D5390,_xlpm.roles,G2592:G5390),INDEX(_xlpm.roles,MATCH(MAX(_xlpm.kills),_xlpm.kills,0)))</f>
        <v>Entry Fragger</v>
      </c>
      <c r="V2592" t="str">
        <f t="shared" si="203"/>
        <v>High Accuracy</v>
      </c>
      <c r="W2592" t="str" cm="1">
        <f t="array" ref="W2592">_xlfn.LET(_xlpm.roles,_xlfn.UNIQUE(D2592:D5390), _xlpm.counts,COUNTIF(D2592:D5390,_xlpm.roles), INDEX(_xlpm.roles,MATCH(MAX(_xlpm.counts),_xlpm.counts,0)))</f>
        <v>Sniper</v>
      </c>
      <c r="X2592" s="2">
        <f t="shared" si="204"/>
        <v>13.135802469135802</v>
      </c>
    </row>
    <row r="2593" spans="1:24" x14ac:dyDescent="0.3">
      <c r="A2593">
        <v>755</v>
      </c>
      <c r="B2593">
        <v>462</v>
      </c>
      <c r="C2593" t="s">
        <v>30</v>
      </c>
      <c r="D2593" t="s">
        <v>17</v>
      </c>
      <c r="E2593" t="s">
        <v>33</v>
      </c>
      <c r="F2593" t="s">
        <v>37</v>
      </c>
      <c r="G2593">
        <v>17</v>
      </c>
      <c r="H2593">
        <v>5</v>
      </c>
      <c r="I2593">
        <v>14</v>
      </c>
      <c r="J2593">
        <v>41.2</v>
      </c>
      <c r="K2593">
        <v>200.43</v>
      </c>
      <c r="L2593">
        <v>0.49</v>
      </c>
      <c r="M2593">
        <v>40.700000000000003</v>
      </c>
      <c r="N2593">
        <v>0.99</v>
      </c>
      <c r="O2593" t="s">
        <v>20</v>
      </c>
      <c r="P2593" t="s">
        <v>21</v>
      </c>
      <c r="Q2593">
        <f t="shared" si="200"/>
        <v>8</v>
      </c>
      <c r="R2593" s="4">
        <f>RANK(N2593,$N$2:N$2800,0)</f>
        <v>1080</v>
      </c>
      <c r="S2593">
        <f t="shared" si="201"/>
        <v>1.2142857142857142</v>
      </c>
      <c r="T2593" t="str">
        <f t="shared" si="202"/>
        <v>Low</v>
      </c>
      <c r="U2593" t="str" cm="1">
        <f t="array" ref="U2593">_xlfn.LET(_xlpm.roles,_xlfn.UNIQUE(D2593:D5391),_xlpm.kills, SUMIF(D2593:D5391,_xlpm.roles,G2593:G5391),INDEX(_xlpm.roles,MATCH(MAX(_xlpm.kills),_xlpm.kills,0)))</f>
        <v>Entry Fragger</v>
      </c>
      <c r="V2593" t="str">
        <f t="shared" si="203"/>
        <v>Medium Accuracy</v>
      </c>
      <c r="W2593" t="str" cm="1">
        <f t="array" ref="W2593">_xlfn.LET(_xlpm.roles,_xlfn.UNIQUE(D2593:D5391), _xlpm.counts,COUNTIF(D2593:D5391,_xlpm.roles), INDEX(_xlpm.roles,MATCH(MAX(_xlpm.counts),_xlpm.counts,0)))</f>
        <v>Sniper</v>
      </c>
      <c r="X2593" s="2">
        <f t="shared" si="204"/>
        <v>13.135802469135802</v>
      </c>
    </row>
    <row r="2594" spans="1:24" x14ac:dyDescent="0.3">
      <c r="A2594">
        <v>768</v>
      </c>
      <c r="B2594">
        <v>462</v>
      </c>
      <c r="C2594" t="s">
        <v>16</v>
      </c>
      <c r="D2594" t="s">
        <v>31</v>
      </c>
      <c r="E2594" t="s">
        <v>23</v>
      </c>
      <c r="F2594" t="s">
        <v>24</v>
      </c>
      <c r="G2594">
        <v>11</v>
      </c>
      <c r="H2594">
        <v>10</v>
      </c>
      <c r="I2594">
        <v>14</v>
      </c>
      <c r="J2594">
        <v>33.630000000000003</v>
      </c>
      <c r="K2594">
        <v>245.77</v>
      </c>
      <c r="L2594">
        <v>0.97</v>
      </c>
      <c r="M2594">
        <v>25.11</v>
      </c>
      <c r="N2594">
        <v>0.76</v>
      </c>
      <c r="O2594" t="s">
        <v>20</v>
      </c>
      <c r="P2594" t="s">
        <v>21</v>
      </c>
      <c r="Q2594">
        <f t="shared" si="200"/>
        <v>7</v>
      </c>
      <c r="R2594" s="4">
        <f>RANK(N2594,$N$2:N$2800,0)</f>
        <v>2547</v>
      </c>
      <c r="S2594">
        <f t="shared" si="201"/>
        <v>0.7857142857142857</v>
      </c>
      <c r="T2594" t="str">
        <f t="shared" si="202"/>
        <v>Low</v>
      </c>
      <c r="U2594" t="str" cm="1">
        <f t="array" ref="U2594">_xlfn.LET(_xlpm.roles,_xlfn.UNIQUE(D2594:D5392),_xlpm.kills, SUMIF(D2594:D5392,_xlpm.roles,G2594:G5392),INDEX(_xlpm.roles,MATCH(MAX(_xlpm.kills),_xlpm.kills,0)))</f>
        <v>Entry Fragger</v>
      </c>
      <c r="V2594" t="str">
        <f t="shared" si="203"/>
        <v>Medium Accuracy</v>
      </c>
      <c r="W2594" t="str" cm="1">
        <f t="array" ref="W2594">_xlfn.LET(_xlpm.roles,_xlfn.UNIQUE(D2594:D5392), _xlpm.counts,COUNTIF(D2594:D5392,_xlpm.roles), INDEX(_xlpm.roles,MATCH(MAX(_xlpm.counts),_xlpm.counts,0)))</f>
        <v>Sniper</v>
      </c>
      <c r="X2594" s="2">
        <f t="shared" si="204"/>
        <v>12.520971302428256</v>
      </c>
    </row>
    <row r="2595" spans="1:24" x14ac:dyDescent="0.3">
      <c r="A2595">
        <v>1600</v>
      </c>
      <c r="B2595">
        <v>462</v>
      </c>
      <c r="C2595" t="s">
        <v>16</v>
      </c>
      <c r="D2595" t="s">
        <v>28</v>
      </c>
      <c r="E2595" t="s">
        <v>32</v>
      </c>
      <c r="F2595" t="s">
        <v>19</v>
      </c>
      <c r="G2595">
        <v>9</v>
      </c>
      <c r="H2595">
        <v>12</v>
      </c>
      <c r="I2595">
        <v>5</v>
      </c>
      <c r="J2595">
        <v>36.44</v>
      </c>
      <c r="K2595">
        <v>179.12</v>
      </c>
      <c r="L2595">
        <v>0.22</v>
      </c>
      <c r="M2595">
        <v>41.02</v>
      </c>
      <c r="N2595">
        <v>0.82</v>
      </c>
      <c r="O2595" t="s">
        <v>20</v>
      </c>
      <c r="P2595" t="s">
        <v>21</v>
      </c>
      <c r="Q2595">
        <f t="shared" si="200"/>
        <v>16</v>
      </c>
      <c r="R2595" s="4">
        <f>RANK(N2595,$N$2:N$2800,0)</f>
        <v>2275</v>
      </c>
      <c r="S2595">
        <f t="shared" si="201"/>
        <v>1.8</v>
      </c>
      <c r="T2595" t="str">
        <f t="shared" si="202"/>
        <v>Good</v>
      </c>
      <c r="U2595" t="str" cm="1">
        <f t="array" ref="U2595">_xlfn.LET(_xlpm.roles,_xlfn.UNIQUE(D2595:D5393),_xlpm.kills, SUMIF(D2595:D5393,_xlpm.roles,G2595:G5393),INDEX(_xlpm.roles,MATCH(MAX(_xlpm.kills),_xlpm.kills,0)))</f>
        <v>Entry Fragger</v>
      </c>
      <c r="V2595" t="str">
        <f t="shared" si="203"/>
        <v>Medium Accuracy</v>
      </c>
      <c r="W2595" t="str" cm="1">
        <f t="array" ref="W2595">_xlfn.LET(_xlpm.roles,_xlfn.UNIQUE(D2595:D5393), _xlpm.counts,COUNTIF(D2595:D5393,_xlpm.roles), INDEX(_xlpm.roles,MATCH(MAX(_xlpm.counts),_xlpm.counts,0)))</f>
        <v>Entry Fragger</v>
      </c>
      <c r="X2595" s="2">
        <f t="shared" si="204"/>
        <v>12.520971302428256</v>
      </c>
    </row>
    <row r="2596" spans="1:24" x14ac:dyDescent="0.3">
      <c r="A2596">
        <v>2459</v>
      </c>
      <c r="B2596">
        <v>462</v>
      </c>
      <c r="C2596" t="s">
        <v>25</v>
      </c>
      <c r="D2596" t="s">
        <v>28</v>
      </c>
      <c r="E2596" t="s">
        <v>29</v>
      </c>
      <c r="F2596" t="s">
        <v>26</v>
      </c>
      <c r="G2596">
        <v>14</v>
      </c>
      <c r="H2596">
        <v>4</v>
      </c>
      <c r="I2596">
        <v>10</v>
      </c>
      <c r="J2596">
        <v>48.15</v>
      </c>
      <c r="K2596">
        <v>168.61</v>
      </c>
      <c r="L2596">
        <v>0.52</v>
      </c>
      <c r="M2596">
        <v>40.880000000000003</v>
      </c>
      <c r="N2596">
        <v>1</v>
      </c>
      <c r="O2596" t="s">
        <v>20</v>
      </c>
      <c r="P2596" t="s">
        <v>21</v>
      </c>
      <c r="Q2596">
        <f t="shared" si="200"/>
        <v>8</v>
      </c>
      <c r="R2596" s="4">
        <f>RANK(N2596,$N$2:N$2800,0)</f>
        <v>1</v>
      </c>
      <c r="S2596">
        <f t="shared" si="201"/>
        <v>1.4</v>
      </c>
      <c r="T2596" t="str">
        <f t="shared" si="202"/>
        <v>Low</v>
      </c>
      <c r="U2596" t="str" cm="1">
        <f t="array" ref="U2596">_xlfn.LET(_xlpm.roles,_xlfn.UNIQUE(D2596:D5394),_xlpm.kills, SUMIF(D2596:D5394,_xlpm.roles,G2596:G5394),INDEX(_xlpm.roles,MATCH(MAX(_xlpm.kills),_xlpm.kills,0)))</f>
        <v>Entry Fragger</v>
      </c>
      <c r="V2596" t="str">
        <f t="shared" si="203"/>
        <v>Medium Accuracy</v>
      </c>
      <c r="W2596" t="str" cm="1">
        <f t="array" ref="W2596">_xlfn.LET(_xlpm.roles,_xlfn.UNIQUE(D2596:D5394), _xlpm.counts,COUNTIF(D2596:D5394,_xlpm.roles), INDEX(_xlpm.roles,MATCH(MAX(_xlpm.counts),_xlpm.counts,0)))</f>
        <v>Entry Fragger</v>
      </c>
      <c r="X2596" s="2">
        <f t="shared" si="204"/>
        <v>12.809421841541756</v>
      </c>
    </row>
    <row r="2597" spans="1:24" x14ac:dyDescent="0.3">
      <c r="A2597">
        <v>312</v>
      </c>
      <c r="B2597">
        <v>463</v>
      </c>
      <c r="C2597" t="s">
        <v>27</v>
      </c>
      <c r="D2597" t="s">
        <v>22</v>
      </c>
      <c r="E2597" t="s">
        <v>18</v>
      </c>
      <c r="F2597" t="s">
        <v>34</v>
      </c>
      <c r="G2597">
        <v>18</v>
      </c>
      <c r="H2597">
        <v>8</v>
      </c>
      <c r="I2597">
        <v>9</v>
      </c>
      <c r="J2597">
        <v>39.64</v>
      </c>
      <c r="K2597">
        <v>219.5</v>
      </c>
      <c r="L2597">
        <v>0.72</v>
      </c>
      <c r="M2597">
        <v>47.62</v>
      </c>
      <c r="N2597">
        <v>0.97</v>
      </c>
      <c r="O2597" t="s">
        <v>20</v>
      </c>
      <c r="P2597" t="s">
        <v>21</v>
      </c>
      <c r="Q2597">
        <f t="shared" si="200"/>
        <v>17</v>
      </c>
      <c r="R2597" s="4">
        <f>RANK(N2597,$N$2:N$2800,0)</f>
        <v>1243</v>
      </c>
      <c r="S2597">
        <f t="shared" si="201"/>
        <v>2</v>
      </c>
      <c r="T2597" t="str">
        <f t="shared" si="202"/>
        <v>Good</v>
      </c>
      <c r="U2597" t="str" cm="1">
        <f t="array" ref="U2597">_xlfn.LET(_xlpm.roles,_xlfn.UNIQUE(D2597:D5395),_xlpm.kills, SUMIF(D2597:D5395,_xlpm.roles,G2597:G5395),INDEX(_xlpm.roles,MATCH(MAX(_xlpm.kills),_xlpm.kills,0)))</f>
        <v>Entry Fragger</v>
      </c>
      <c r="V2597" t="str">
        <f t="shared" si="203"/>
        <v>Medium Accuracy</v>
      </c>
      <c r="W2597" t="str" cm="1">
        <f t="array" ref="W2597">_xlfn.LET(_xlpm.roles,_xlfn.UNIQUE(D2597:D5395), _xlpm.counts,COUNTIF(D2597:D5395,_xlpm.roles), INDEX(_xlpm.roles,MATCH(MAX(_xlpm.counts),_xlpm.counts,0)))</f>
        <v>Entry Fragger</v>
      </c>
      <c r="X2597" s="2">
        <f t="shared" si="204"/>
        <v>13.057077625570777</v>
      </c>
    </row>
    <row r="2598" spans="1:24" x14ac:dyDescent="0.3">
      <c r="A2598">
        <v>1907</v>
      </c>
      <c r="B2598">
        <v>463</v>
      </c>
      <c r="C2598" t="s">
        <v>27</v>
      </c>
      <c r="D2598" t="s">
        <v>31</v>
      </c>
      <c r="E2598" t="s">
        <v>18</v>
      </c>
      <c r="F2598" t="s">
        <v>37</v>
      </c>
      <c r="G2598">
        <v>19</v>
      </c>
      <c r="H2598">
        <v>7</v>
      </c>
      <c r="I2598">
        <v>10</v>
      </c>
      <c r="J2598">
        <v>44.34</v>
      </c>
      <c r="K2598">
        <v>206.67</v>
      </c>
      <c r="L2598">
        <v>0.83</v>
      </c>
      <c r="M2598">
        <v>48.87</v>
      </c>
      <c r="N2598">
        <v>0.86</v>
      </c>
      <c r="O2598" t="s">
        <v>20</v>
      </c>
      <c r="P2598" t="s">
        <v>21</v>
      </c>
      <c r="Q2598">
        <f t="shared" si="200"/>
        <v>16</v>
      </c>
      <c r="R2598" s="4">
        <f>RANK(N2598,$N$2:N$2800,0)</f>
        <v>2040</v>
      </c>
      <c r="S2598">
        <f t="shared" si="201"/>
        <v>1.9</v>
      </c>
      <c r="T2598" t="str">
        <f t="shared" si="202"/>
        <v>Good</v>
      </c>
      <c r="U2598" t="str" cm="1">
        <f t="array" ref="U2598">_xlfn.LET(_xlpm.roles,_xlfn.UNIQUE(D2598:D5396),_xlpm.kills, SUMIF(D2598:D5396,_xlpm.roles,G2598:G5396),INDEX(_xlpm.roles,MATCH(MAX(_xlpm.kills),_xlpm.kills,0)))</f>
        <v>Entry Fragger</v>
      </c>
      <c r="V2598" t="str">
        <f t="shared" si="203"/>
        <v>Medium Accuracy</v>
      </c>
      <c r="W2598" t="str" cm="1">
        <f t="array" ref="W2598">_xlfn.LET(_xlpm.roles,_xlfn.UNIQUE(D2598:D5396), _xlpm.counts,COUNTIF(D2598:D5396,_xlpm.roles), INDEX(_xlpm.roles,MATCH(MAX(_xlpm.counts),_xlpm.counts,0)))</f>
        <v>Entry Fragger</v>
      </c>
      <c r="X2598" s="2">
        <f t="shared" si="204"/>
        <v>13.057077625570777</v>
      </c>
    </row>
    <row r="2599" spans="1:24" x14ac:dyDescent="0.3">
      <c r="A2599">
        <v>1982</v>
      </c>
      <c r="B2599">
        <v>463</v>
      </c>
      <c r="C2599" t="s">
        <v>27</v>
      </c>
      <c r="D2599" t="s">
        <v>36</v>
      </c>
      <c r="E2599" t="s">
        <v>23</v>
      </c>
      <c r="F2599" t="s">
        <v>19</v>
      </c>
      <c r="G2599">
        <v>15</v>
      </c>
      <c r="H2599">
        <v>3</v>
      </c>
      <c r="I2599">
        <v>8</v>
      </c>
      <c r="J2599">
        <v>44.36</v>
      </c>
      <c r="K2599">
        <v>263.27999999999997</v>
      </c>
      <c r="L2599">
        <v>0.99</v>
      </c>
      <c r="M2599">
        <v>37.28</v>
      </c>
      <c r="N2599">
        <v>0.97</v>
      </c>
      <c r="O2599" t="s">
        <v>20</v>
      </c>
      <c r="P2599" t="s">
        <v>21</v>
      </c>
      <c r="Q2599">
        <f t="shared" si="200"/>
        <v>10</v>
      </c>
      <c r="R2599" s="4">
        <f>RANK(N2599,$N$2:N$2800,0)</f>
        <v>1243</v>
      </c>
      <c r="S2599">
        <f t="shared" si="201"/>
        <v>1.875</v>
      </c>
      <c r="T2599" t="str">
        <f t="shared" si="202"/>
        <v>Low</v>
      </c>
      <c r="U2599" t="str" cm="1">
        <f t="array" ref="U2599">_xlfn.LET(_xlpm.roles,_xlfn.UNIQUE(D2599:D5397),_xlpm.kills, SUMIF(D2599:D5397,_xlpm.roles,G2599:G5397),INDEX(_xlpm.roles,MATCH(MAX(_xlpm.kills),_xlpm.kills,0)))</f>
        <v>Entry Fragger</v>
      </c>
      <c r="V2599" t="str">
        <f t="shared" si="203"/>
        <v>Medium Accuracy</v>
      </c>
      <c r="W2599" t="str" cm="1">
        <f t="array" ref="W2599">_xlfn.LET(_xlpm.roles,_xlfn.UNIQUE(D2599:D5397), _xlpm.counts,COUNTIF(D2599:D5397,_xlpm.roles), INDEX(_xlpm.roles,MATCH(MAX(_xlpm.counts),_xlpm.counts,0)))</f>
        <v>Entry Fragger</v>
      </c>
      <c r="X2599" s="2">
        <f t="shared" si="204"/>
        <v>13.057077625570777</v>
      </c>
    </row>
    <row r="2600" spans="1:24" x14ac:dyDescent="0.3">
      <c r="A2600">
        <v>2048</v>
      </c>
      <c r="B2600">
        <v>463</v>
      </c>
      <c r="C2600" t="s">
        <v>30</v>
      </c>
      <c r="D2600" t="s">
        <v>17</v>
      </c>
      <c r="E2600" t="s">
        <v>23</v>
      </c>
      <c r="F2600" t="s">
        <v>37</v>
      </c>
      <c r="G2600">
        <v>17</v>
      </c>
      <c r="H2600">
        <v>7</v>
      </c>
      <c r="I2600">
        <v>12</v>
      </c>
      <c r="J2600">
        <v>52.83</v>
      </c>
      <c r="K2600">
        <v>174.75</v>
      </c>
      <c r="L2600">
        <v>0.17</v>
      </c>
      <c r="M2600">
        <v>53.71</v>
      </c>
      <c r="N2600">
        <v>0.92</v>
      </c>
      <c r="O2600" t="s">
        <v>20</v>
      </c>
      <c r="P2600" t="s">
        <v>21</v>
      </c>
      <c r="Q2600">
        <f t="shared" si="200"/>
        <v>12</v>
      </c>
      <c r="R2600" s="4">
        <f>RANK(N2600,$N$2:N$2800,0)</f>
        <v>1585</v>
      </c>
      <c r="S2600">
        <f t="shared" si="201"/>
        <v>1.4166666666666667</v>
      </c>
      <c r="T2600" t="str">
        <f t="shared" si="202"/>
        <v>Low</v>
      </c>
      <c r="U2600" t="str" cm="1">
        <f t="array" ref="U2600">_xlfn.LET(_xlpm.roles,_xlfn.UNIQUE(D2600:D5398),_xlpm.kills, SUMIF(D2600:D5398,_xlpm.roles,G2600:G5398),INDEX(_xlpm.roles,MATCH(MAX(_xlpm.kills),_xlpm.kills,0)))</f>
        <v>Entry Fragger</v>
      </c>
      <c r="V2600" t="str">
        <f t="shared" si="203"/>
        <v>High Accuracy</v>
      </c>
      <c r="W2600" t="str" cm="1">
        <f t="array" ref="W2600">_xlfn.LET(_xlpm.roles,_xlfn.UNIQUE(D2600:D5398), _xlpm.counts,COUNTIF(D2600:D5398,_xlpm.roles), INDEX(_xlpm.roles,MATCH(MAX(_xlpm.counts),_xlpm.counts,0)))</f>
        <v>Entry Fragger</v>
      </c>
      <c r="X2600" s="2">
        <f t="shared" si="204"/>
        <v>13.135802469135802</v>
      </c>
    </row>
    <row r="2601" spans="1:24" x14ac:dyDescent="0.3">
      <c r="A2601">
        <v>2565</v>
      </c>
      <c r="B2601">
        <v>463</v>
      </c>
      <c r="C2601" t="s">
        <v>30</v>
      </c>
      <c r="D2601" t="s">
        <v>31</v>
      </c>
      <c r="E2601" t="s">
        <v>33</v>
      </c>
      <c r="F2601" t="s">
        <v>19</v>
      </c>
      <c r="G2601">
        <v>17</v>
      </c>
      <c r="H2601">
        <v>8</v>
      </c>
      <c r="I2601">
        <v>6</v>
      </c>
      <c r="J2601">
        <v>48.77</v>
      </c>
      <c r="K2601">
        <v>162.43</v>
      </c>
      <c r="L2601">
        <v>0.65</v>
      </c>
      <c r="M2601">
        <v>53.89</v>
      </c>
      <c r="N2601">
        <v>1</v>
      </c>
      <c r="O2601" t="s">
        <v>20</v>
      </c>
      <c r="P2601" t="s">
        <v>21</v>
      </c>
      <c r="Q2601">
        <f t="shared" si="200"/>
        <v>19</v>
      </c>
      <c r="R2601" s="4">
        <f>RANK(N2601,$N$2:N$2800,0)</f>
        <v>1</v>
      </c>
      <c r="S2601">
        <f t="shared" si="201"/>
        <v>2.8333333333333335</v>
      </c>
      <c r="T2601" t="str">
        <f t="shared" si="202"/>
        <v>Good</v>
      </c>
      <c r="U2601" t="str" cm="1">
        <f t="array" ref="U2601">_xlfn.LET(_xlpm.roles,_xlfn.UNIQUE(D2601:D5399),_xlpm.kills, SUMIF(D2601:D5399,_xlpm.roles,G2601:G5399),INDEX(_xlpm.roles,MATCH(MAX(_xlpm.kills),_xlpm.kills,0)))</f>
        <v>Entry Fragger</v>
      </c>
      <c r="V2601" t="str">
        <f t="shared" si="203"/>
        <v>Medium Accuracy</v>
      </c>
      <c r="W2601" t="str" cm="1">
        <f t="array" ref="W2601">_xlfn.LET(_xlpm.roles,_xlfn.UNIQUE(D2601:D5399), _xlpm.counts,COUNTIF(D2601:D5399,_xlpm.roles), INDEX(_xlpm.roles,MATCH(MAX(_xlpm.counts),_xlpm.counts,0)))</f>
        <v>Entry Fragger</v>
      </c>
      <c r="X2601" s="2">
        <f t="shared" si="204"/>
        <v>13.135802469135802</v>
      </c>
    </row>
    <row r="2602" spans="1:24" x14ac:dyDescent="0.3">
      <c r="A2602">
        <v>2678</v>
      </c>
      <c r="B2602">
        <v>463</v>
      </c>
      <c r="C2602" t="s">
        <v>39</v>
      </c>
      <c r="D2602" t="s">
        <v>22</v>
      </c>
      <c r="E2602" t="s">
        <v>23</v>
      </c>
      <c r="F2602" t="s">
        <v>24</v>
      </c>
      <c r="G2602">
        <v>9</v>
      </c>
      <c r="H2602">
        <v>9</v>
      </c>
      <c r="I2602">
        <v>3</v>
      </c>
      <c r="J2602">
        <v>52.71</v>
      </c>
      <c r="K2602">
        <v>188.71</v>
      </c>
      <c r="L2602">
        <v>0.13</v>
      </c>
      <c r="M2602">
        <v>49.06</v>
      </c>
      <c r="N2602">
        <v>0.97</v>
      </c>
      <c r="O2602" t="s">
        <v>20</v>
      </c>
      <c r="P2602" t="s">
        <v>21</v>
      </c>
      <c r="Q2602">
        <f t="shared" si="200"/>
        <v>15</v>
      </c>
      <c r="R2602" s="4">
        <f>RANK(N2602,$N$2:N$2800,0)</f>
        <v>1243</v>
      </c>
      <c r="S2602">
        <f t="shared" si="201"/>
        <v>3</v>
      </c>
      <c r="T2602" t="str">
        <f t="shared" si="202"/>
        <v>Good</v>
      </c>
      <c r="U2602" t="str" cm="1">
        <f t="array" ref="U2602">_xlfn.LET(_xlpm.roles,_xlfn.UNIQUE(D2602:D5400),_xlpm.kills, SUMIF(D2602:D5400,_xlpm.roles,G2602:G5400),INDEX(_xlpm.roles,MATCH(MAX(_xlpm.kills),_xlpm.kills,0)))</f>
        <v>Entry Fragger</v>
      </c>
      <c r="V2602" t="str">
        <f t="shared" si="203"/>
        <v>High Accuracy</v>
      </c>
      <c r="W2602" t="str" cm="1">
        <f t="array" ref="W2602">_xlfn.LET(_xlpm.roles,_xlfn.UNIQUE(D2602:D5400), _xlpm.counts,COUNTIF(D2602:D5400,_xlpm.roles), INDEX(_xlpm.roles,MATCH(MAX(_xlpm.counts),_xlpm.counts,0)))</f>
        <v>Entry Fragger</v>
      </c>
      <c r="X2602" s="2">
        <f t="shared" si="204"/>
        <v>13.103594080338267</v>
      </c>
    </row>
    <row r="2603" spans="1:24" x14ac:dyDescent="0.3">
      <c r="A2603">
        <v>2203</v>
      </c>
      <c r="B2603">
        <v>464</v>
      </c>
      <c r="C2603" t="s">
        <v>35</v>
      </c>
      <c r="D2603" t="s">
        <v>28</v>
      </c>
      <c r="E2603" t="s">
        <v>29</v>
      </c>
      <c r="F2603" t="s">
        <v>37</v>
      </c>
      <c r="G2603">
        <v>11</v>
      </c>
      <c r="H2603">
        <v>4</v>
      </c>
      <c r="I2603">
        <v>11</v>
      </c>
      <c r="J2603">
        <v>38.590000000000003</v>
      </c>
      <c r="K2603">
        <v>233.16</v>
      </c>
      <c r="L2603">
        <v>0.93</v>
      </c>
      <c r="M2603">
        <v>25</v>
      </c>
      <c r="N2603">
        <v>0.84</v>
      </c>
      <c r="O2603" t="s">
        <v>20</v>
      </c>
      <c r="P2603" t="s">
        <v>21</v>
      </c>
      <c r="Q2603">
        <f t="shared" si="200"/>
        <v>4</v>
      </c>
      <c r="R2603" s="4">
        <f>RANK(N2603,$N$2:N$2800,0)</f>
        <v>2156</v>
      </c>
      <c r="S2603">
        <f t="shared" si="201"/>
        <v>1</v>
      </c>
      <c r="T2603" t="str">
        <f t="shared" si="202"/>
        <v>Low</v>
      </c>
      <c r="U2603" t="str" cm="1">
        <f t="array" ref="U2603">_xlfn.LET(_xlpm.roles,_xlfn.UNIQUE(D2603:D5401),_xlpm.kills, SUMIF(D2603:D5401,_xlpm.roles,G2603:G5401),INDEX(_xlpm.roles,MATCH(MAX(_xlpm.kills),_xlpm.kills,0)))</f>
        <v>Entry Fragger</v>
      </c>
      <c r="V2603" t="str">
        <f t="shared" si="203"/>
        <v>Medium Accuracy</v>
      </c>
      <c r="W2603" t="str" cm="1">
        <f t="array" ref="W2603">_xlfn.LET(_xlpm.roles,_xlfn.UNIQUE(D2603:D5401), _xlpm.counts,COUNTIF(D2603:D5401,_xlpm.roles), INDEX(_xlpm.roles,MATCH(MAX(_xlpm.counts),_xlpm.counts,0)))</f>
        <v>Entry Fragger</v>
      </c>
      <c r="X2603" s="2">
        <f t="shared" si="204"/>
        <v>12.599585062240664</v>
      </c>
    </row>
    <row r="2604" spans="1:24" x14ac:dyDescent="0.3">
      <c r="A2604">
        <v>2739</v>
      </c>
      <c r="B2604">
        <v>464</v>
      </c>
      <c r="C2604" t="s">
        <v>16</v>
      </c>
      <c r="D2604" t="s">
        <v>31</v>
      </c>
      <c r="E2604" t="s">
        <v>23</v>
      </c>
      <c r="F2604" t="s">
        <v>19</v>
      </c>
      <c r="G2604">
        <v>13</v>
      </c>
      <c r="H2604">
        <v>4</v>
      </c>
      <c r="I2604">
        <v>4</v>
      </c>
      <c r="J2604">
        <v>47.57</v>
      </c>
      <c r="K2604">
        <v>256.14999999999998</v>
      </c>
      <c r="L2604">
        <v>0.59</v>
      </c>
      <c r="M2604">
        <v>43.88</v>
      </c>
      <c r="N2604">
        <v>0.85</v>
      </c>
      <c r="O2604" t="s">
        <v>20</v>
      </c>
      <c r="P2604" t="s">
        <v>21</v>
      </c>
      <c r="Q2604">
        <f t="shared" si="200"/>
        <v>13</v>
      </c>
      <c r="R2604" s="4">
        <f>RANK(N2604,$N$2:N$2800,0)</f>
        <v>2105</v>
      </c>
      <c r="S2604">
        <f t="shared" si="201"/>
        <v>3.25</v>
      </c>
      <c r="T2604" t="str">
        <f t="shared" si="202"/>
        <v>Low</v>
      </c>
      <c r="U2604" t="str" cm="1">
        <f t="array" ref="U2604">_xlfn.LET(_xlpm.roles,_xlfn.UNIQUE(D2604:D5402),_xlpm.kills, SUMIF(D2604:D5402,_xlpm.roles,G2604:G5402),INDEX(_xlpm.roles,MATCH(MAX(_xlpm.kills),_xlpm.kills,0)))</f>
        <v>Entry Fragger</v>
      </c>
      <c r="V2604" t="str">
        <f t="shared" si="203"/>
        <v>Medium Accuracy</v>
      </c>
      <c r="W2604" t="str" cm="1">
        <f t="array" ref="W2604">_xlfn.LET(_xlpm.roles,_xlfn.UNIQUE(D2604:D5402), _xlpm.counts,COUNTIF(D2604:D5402,_xlpm.roles), INDEX(_xlpm.roles,MATCH(MAX(_xlpm.counts),_xlpm.counts,0)))</f>
        <v>Entry Fragger</v>
      </c>
      <c r="X2604" s="2">
        <f t="shared" si="204"/>
        <v>12.520971302428256</v>
      </c>
    </row>
    <row r="2605" spans="1:24" x14ac:dyDescent="0.3">
      <c r="A2605">
        <v>502</v>
      </c>
      <c r="B2605">
        <v>465</v>
      </c>
      <c r="C2605" t="s">
        <v>30</v>
      </c>
      <c r="D2605" t="s">
        <v>17</v>
      </c>
      <c r="E2605" t="s">
        <v>33</v>
      </c>
      <c r="F2605" t="s">
        <v>24</v>
      </c>
      <c r="G2605">
        <v>16</v>
      </c>
      <c r="H2605">
        <v>11</v>
      </c>
      <c r="I2605">
        <v>8</v>
      </c>
      <c r="J2605">
        <v>45.27</v>
      </c>
      <c r="K2605">
        <v>195.37</v>
      </c>
      <c r="L2605">
        <v>0.1</v>
      </c>
      <c r="M2605">
        <v>56.64</v>
      </c>
      <c r="N2605">
        <v>1</v>
      </c>
      <c r="O2605" t="s">
        <v>20</v>
      </c>
      <c r="P2605" t="s">
        <v>21</v>
      </c>
      <c r="Q2605">
        <f t="shared" si="200"/>
        <v>19</v>
      </c>
      <c r="R2605" s="4">
        <f>RANK(N2605,$N$2:N$2800,0)</f>
        <v>1</v>
      </c>
      <c r="S2605">
        <f t="shared" si="201"/>
        <v>2</v>
      </c>
      <c r="T2605" t="str">
        <f t="shared" si="202"/>
        <v>Good</v>
      </c>
      <c r="U2605" t="str" cm="1">
        <f t="array" ref="U2605">_xlfn.LET(_xlpm.roles,_xlfn.UNIQUE(D2605:D5403),_xlpm.kills, SUMIF(D2605:D5403,_xlpm.roles,G2605:G5403),INDEX(_xlpm.roles,MATCH(MAX(_xlpm.kills),_xlpm.kills,0)))</f>
        <v>Entry Fragger</v>
      </c>
      <c r="V2605" t="str">
        <f t="shared" si="203"/>
        <v>Medium Accuracy</v>
      </c>
      <c r="W2605" t="str" cm="1">
        <f t="array" ref="W2605">_xlfn.LET(_xlpm.roles,_xlfn.UNIQUE(D2605:D5403), _xlpm.counts,COUNTIF(D2605:D5403,_xlpm.roles), INDEX(_xlpm.roles,MATCH(MAX(_xlpm.counts),_xlpm.counts,0)))</f>
        <v>Entry Fragger</v>
      </c>
      <c r="X2605" s="2">
        <f t="shared" si="204"/>
        <v>13.135802469135802</v>
      </c>
    </row>
    <row r="2606" spans="1:24" x14ac:dyDescent="0.3">
      <c r="A2606">
        <v>915</v>
      </c>
      <c r="B2606">
        <v>465</v>
      </c>
      <c r="C2606" t="s">
        <v>35</v>
      </c>
      <c r="D2606" t="s">
        <v>36</v>
      </c>
      <c r="E2606" t="s">
        <v>33</v>
      </c>
      <c r="F2606" t="s">
        <v>37</v>
      </c>
      <c r="G2606">
        <v>18</v>
      </c>
      <c r="H2606">
        <v>12</v>
      </c>
      <c r="I2606">
        <v>4</v>
      </c>
      <c r="J2606">
        <v>50.03</v>
      </c>
      <c r="K2606">
        <v>171.13</v>
      </c>
      <c r="L2606">
        <v>0.6</v>
      </c>
      <c r="M2606">
        <v>63.02</v>
      </c>
      <c r="N2606">
        <v>1</v>
      </c>
      <c r="O2606" t="s">
        <v>20</v>
      </c>
      <c r="P2606" t="s">
        <v>38</v>
      </c>
      <c r="Q2606">
        <f t="shared" si="200"/>
        <v>26</v>
      </c>
      <c r="R2606" s="4">
        <f>RANK(N2606,$N$2:N$2800,0)</f>
        <v>1</v>
      </c>
      <c r="S2606">
        <f t="shared" si="201"/>
        <v>4.5</v>
      </c>
      <c r="T2606" t="str">
        <f t="shared" si="202"/>
        <v>Excellent</v>
      </c>
      <c r="U2606" t="str" cm="1">
        <f t="array" ref="U2606">_xlfn.LET(_xlpm.roles,_xlfn.UNIQUE(D2606:D5404),_xlpm.kills, SUMIF(D2606:D5404,_xlpm.roles,G2606:G5404),INDEX(_xlpm.roles,MATCH(MAX(_xlpm.kills),_xlpm.kills,0)))</f>
        <v>Entry Fragger</v>
      </c>
      <c r="V2606" t="str">
        <f t="shared" si="203"/>
        <v>High Accuracy</v>
      </c>
      <c r="W2606" t="str" cm="1">
        <f t="array" ref="W2606">_xlfn.LET(_xlpm.roles,_xlfn.UNIQUE(D2606:D5404), _xlpm.counts,COUNTIF(D2606:D5404,_xlpm.roles), INDEX(_xlpm.roles,MATCH(MAX(_xlpm.counts),_xlpm.counts,0)))</f>
        <v>Entry Fragger</v>
      </c>
      <c r="X2606" s="2">
        <f t="shared" si="204"/>
        <v>12.599585062240664</v>
      </c>
    </row>
    <row r="2607" spans="1:24" x14ac:dyDescent="0.3">
      <c r="A2607">
        <v>1243</v>
      </c>
      <c r="B2607">
        <v>465</v>
      </c>
      <c r="C2607" t="s">
        <v>35</v>
      </c>
      <c r="D2607" t="s">
        <v>36</v>
      </c>
      <c r="E2607" t="s">
        <v>23</v>
      </c>
      <c r="F2607" t="s">
        <v>24</v>
      </c>
      <c r="G2607">
        <v>15</v>
      </c>
      <c r="H2607">
        <v>3</v>
      </c>
      <c r="I2607">
        <v>5</v>
      </c>
      <c r="J2607">
        <v>49.64</v>
      </c>
      <c r="K2607">
        <v>210.55</v>
      </c>
      <c r="L2607">
        <v>0.18</v>
      </c>
      <c r="M2607">
        <v>51.02</v>
      </c>
      <c r="N2607">
        <v>1</v>
      </c>
      <c r="O2607" t="s">
        <v>20</v>
      </c>
      <c r="P2607" t="s">
        <v>21</v>
      </c>
      <c r="Q2607">
        <f t="shared" si="200"/>
        <v>13</v>
      </c>
      <c r="R2607" s="4">
        <f>RANK(N2607,$N$2:N$2800,0)</f>
        <v>1</v>
      </c>
      <c r="S2607">
        <f t="shared" si="201"/>
        <v>3</v>
      </c>
      <c r="T2607" t="str">
        <f t="shared" si="202"/>
        <v>Low</v>
      </c>
      <c r="U2607" t="str" cm="1">
        <f t="array" ref="U2607">_xlfn.LET(_xlpm.roles,_xlfn.UNIQUE(D2607:D5405),_xlpm.kills, SUMIF(D2607:D5405,_xlpm.roles,G2607:G5405),INDEX(_xlpm.roles,MATCH(MAX(_xlpm.kills),_xlpm.kills,0)))</f>
        <v>Entry Fragger</v>
      </c>
      <c r="V2607" t="str">
        <f t="shared" si="203"/>
        <v>Medium Accuracy</v>
      </c>
      <c r="W2607" t="str" cm="1">
        <f t="array" ref="W2607">_xlfn.LET(_xlpm.roles,_xlfn.UNIQUE(D2607:D5405), _xlpm.counts,COUNTIF(D2607:D5405,_xlpm.roles), INDEX(_xlpm.roles,MATCH(MAX(_xlpm.counts),_xlpm.counts,0)))</f>
        <v>Entry Fragger</v>
      </c>
      <c r="X2607" s="2">
        <f t="shared" si="204"/>
        <v>12.599585062240664</v>
      </c>
    </row>
    <row r="2608" spans="1:24" x14ac:dyDescent="0.3">
      <c r="A2608">
        <v>1443</v>
      </c>
      <c r="B2608">
        <v>465</v>
      </c>
      <c r="C2608" t="s">
        <v>30</v>
      </c>
      <c r="D2608" t="s">
        <v>31</v>
      </c>
      <c r="E2608" t="s">
        <v>29</v>
      </c>
      <c r="F2608" t="s">
        <v>24</v>
      </c>
      <c r="G2608">
        <v>18</v>
      </c>
      <c r="H2608">
        <v>5</v>
      </c>
      <c r="I2608">
        <v>11</v>
      </c>
      <c r="J2608">
        <v>63.03</v>
      </c>
      <c r="K2608">
        <v>258.56</v>
      </c>
      <c r="L2608">
        <v>0.8</v>
      </c>
      <c r="M2608">
        <v>53.52</v>
      </c>
      <c r="N2608">
        <v>1</v>
      </c>
      <c r="O2608" t="s">
        <v>20</v>
      </c>
      <c r="P2608" t="s">
        <v>21</v>
      </c>
      <c r="Q2608">
        <f t="shared" si="200"/>
        <v>12</v>
      </c>
      <c r="R2608" s="4">
        <f>RANK(N2608,$N$2:N$2800,0)</f>
        <v>1</v>
      </c>
      <c r="S2608">
        <f t="shared" si="201"/>
        <v>1.6363636363636365</v>
      </c>
      <c r="T2608" t="str">
        <f t="shared" si="202"/>
        <v>Low</v>
      </c>
      <c r="U2608" t="str" cm="1">
        <f t="array" ref="U2608">_xlfn.LET(_xlpm.roles,_xlfn.UNIQUE(D2608:D5406),_xlpm.kills, SUMIF(D2608:D5406,_xlpm.roles,G2608:G5406),INDEX(_xlpm.roles,MATCH(MAX(_xlpm.kills),_xlpm.kills,0)))</f>
        <v>Entry Fragger</v>
      </c>
      <c r="V2608" t="str">
        <f t="shared" si="203"/>
        <v>High Accuracy</v>
      </c>
      <c r="W2608" t="str" cm="1">
        <f t="array" ref="W2608">_xlfn.LET(_xlpm.roles,_xlfn.UNIQUE(D2608:D5406), _xlpm.counts,COUNTIF(D2608:D5406,_xlpm.roles), INDEX(_xlpm.roles,MATCH(MAX(_xlpm.counts),_xlpm.counts,0)))</f>
        <v>Entry Fragger</v>
      </c>
      <c r="X2608" s="2">
        <f t="shared" si="204"/>
        <v>13.135802469135802</v>
      </c>
    </row>
    <row r="2609" spans="1:24" x14ac:dyDescent="0.3">
      <c r="A2609">
        <v>1483</v>
      </c>
      <c r="B2609">
        <v>465</v>
      </c>
      <c r="C2609" t="s">
        <v>39</v>
      </c>
      <c r="D2609" t="s">
        <v>28</v>
      </c>
      <c r="E2609" t="s">
        <v>23</v>
      </c>
      <c r="F2609" t="s">
        <v>24</v>
      </c>
      <c r="G2609">
        <v>15</v>
      </c>
      <c r="H2609">
        <v>5</v>
      </c>
      <c r="I2609">
        <v>5</v>
      </c>
      <c r="J2609">
        <v>44.66</v>
      </c>
      <c r="K2609">
        <v>219.48</v>
      </c>
      <c r="L2609">
        <v>0.51</v>
      </c>
      <c r="M2609">
        <v>47.23</v>
      </c>
      <c r="N2609">
        <v>0.98</v>
      </c>
      <c r="O2609" t="s">
        <v>20</v>
      </c>
      <c r="P2609" t="s">
        <v>21</v>
      </c>
      <c r="Q2609">
        <f t="shared" si="200"/>
        <v>15</v>
      </c>
      <c r="R2609" s="4">
        <f>RANK(N2609,$N$2:N$2800,0)</f>
        <v>1157</v>
      </c>
      <c r="S2609">
        <f t="shared" si="201"/>
        <v>3</v>
      </c>
      <c r="T2609" t="str">
        <f t="shared" si="202"/>
        <v>Good</v>
      </c>
      <c r="U2609" t="str" cm="1">
        <f t="array" ref="U2609">_xlfn.LET(_xlpm.roles,_xlfn.UNIQUE(D2609:D5407),_xlpm.kills, SUMIF(D2609:D5407,_xlpm.roles,G2609:G5407),INDEX(_xlpm.roles,MATCH(MAX(_xlpm.kills),_xlpm.kills,0)))</f>
        <v>Entry Fragger</v>
      </c>
      <c r="V2609" t="str">
        <f t="shared" si="203"/>
        <v>Medium Accuracy</v>
      </c>
      <c r="W2609" t="str" cm="1">
        <f t="array" ref="W2609">_xlfn.LET(_xlpm.roles,_xlfn.UNIQUE(D2609:D5407), _xlpm.counts,COUNTIF(D2609:D5407,_xlpm.roles), INDEX(_xlpm.roles,MATCH(MAX(_xlpm.counts),_xlpm.counts,0)))</f>
        <v>Entry Fragger</v>
      </c>
      <c r="X2609" s="2">
        <f t="shared" si="204"/>
        <v>13.103594080338267</v>
      </c>
    </row>
    <row r="2610" spans="1:24" x14ac:dyDescent="0.3">
      <c r="A2610">
        <v>1496</v>
      </c>
      <c r="B2610">
        <v>465</v>
      </c>
      <c r="C2610" t="s">
        <v>16</v>
      </c>
      <c r="D2610" t="s">
        <v>31</v>
      </c>
      <c r="E2610" t="s">
        <v>32</v>
      </c>
      <c r="F2610" t="s">
        <v>19</v>
      </c>
      <c r="G2610">
        <v>12</v>
      </c>
      <c r="H2610">
        <v>15</v>
      </c>
      <c r="I2610">
        <v>12</v>
      </c>
      <c r="J2610">
        <v>49.12</v>
      </c>
      <c r="K2610">
        <v>228.74</v>
      </c>
      <c r="L2610">
        <v>0.2</v>
      </c>
      <c r="M2610">
        <v>49.56</v>
      </c>
      <c r="N2610">
        <v>0.88</v>
      </c>
      <c r="O2610" t="s">
        <v>20</v>
      </c>
      <c r="P2610" t="s">
        <v>21</v>
      </c>
      <c r="Q2610">
        <f t="shared" si="200"/>
        <v>15</v>
      </c>
      <c r="R2610" s="4">
        <f>RANK(N2610,$N$2:N$2800,0)</f>
        <v>1894</v>
      </c>
      <c r="S2610">
        <f t="shared" si="201"/>
        <v>1</v>
      </c>
      <c r="T2610" t="str">
        <f t="shared" si="202"/>
        <v>Good</v>
      </c>
      <c r="U2610" t="str" cm="1">
        <f t="array" ref="U2610">_xlfn.LET(_xlpm.roles,_xlfn.UNIQUE(D2610:D5408),_xlpm.kills, SUMIF(D2610:D5408,_xlpm.roles,G2610:G5408),INDEX(_xlpm.roles,MATCH(MAX(_xlpm.kills),_xlpm.kills,0)))</f>
        <v>Entry Fragger</v>
      </c>
      <c r="V2610" t="str">
        <f t="shared" si="203"/>
        <v>Medium Accuracy</v>
      </c>
      <c r="W2610" t="str" cm="1">
        <f t="array" ref="W2610">_xlfn.LET(_xlpm.roles,_xlfn.UNIQUE(D2610:D5408), _xlpm.counts,COUNTIF(D2610:D5408,_xlpm.roles), INDEX(_xlpm.roles,MATCH(MAX(_xlpm.counts),_xlpm.counts,0)))</f>
        <v>Entry Fragger</v>
      </c>
      <c r="X2610" s="2">
        <f t="shared" si="204"/>
        <v>12.520971302428256</v>
      </c>
    </row>
    <row r="2611" spans="1:24" x14ac:dyDescent="0.3">
      <c r="A2611">
        <v>2711</v>
      </c>
      <c r="B2611">
        <v>465</v>
      </c>
      <c r="C2611" t="s">
        <v>16</v>
      </c>
      <c r="D2611" t="s">
        <v>28</v>
      </c>
      <c r="E2611" t="s">
        <v>18</v>
      </c>
      <c r="F2611" t="s">
        <v>26</v>
      </c>
      <c r="G2611">
        <v>13</v>
      </c>
      <c r="H2611">
        <v>7</v>
      </c>
      <c r="I2611">
        <v>11</v>
      </c>
      <c r="J2611">
        <v>55.97</v>
      </c>
      <c r="K2611">
        <v>140.02000000000001</v>
      </c>
      <c r="L2611">
        <v>0.27</v>
      </c>
      <c r="M2611">
        <v>47.28</v>
      </c>
      <c r="N2611">
        <v>0.89</v>
      </c>
      <c r="O2611" t="s">
        <v>20</v>
      </c>
      <c r="P2611" t="s">
        <v>21</v>
      </c>
      <c r="Q2611">
        <f t="shared" si="200"/>
        <v>9</v>
      </c>
      <c r="R2611" s="4">
        <f>RANK(N2611,$N$2:N$2800,0)</f>
        <v>1815</v>
      </c>
      <c r="S2611">
        <f t="shared" si="201"/>
        <v>1.1818181818181819</v>
      </c>
      <c r="T2611" t="str">
        <f t="shared" si="202"/>
        <v>Low</v>
      </c>
      <c r="U2611" t="str" cm="1">
        <f t="array" ref="U2611">_xlfn.LET(_xlpm.roles,_xlfn.UNIQUE(D2611:D5409),_xlpm.kills, SUMIF(D2611:D5409,_xlpm.roles,G2611:G5409),INDEX(_xlpm.roles,MATCH(MAX(_xlpm.kills),_xlpm.kills,0)))</f>
        <v>Entry Fragger</v>
      </c>
      <c r="V2611" t="str">
        <f t="shared" si="203"/>
        <v>High Accuracy</v>
      </c>
      <c r="W2611" t="str" cm="1">
        <f t="array" ref="W2611">_xlfn.LET(_xlpm.roles,_xlfn.UNIQUE(D2611:D5409), _xlpm.counts,COUNTIF(D2611:D5409,_xlpm.roles), INDEX(_xlpm.roles,MATCH(MAX(_xlpm.counts),_xlpm.counts,0)))</f>
        <v>Entry Fragger</v>
      </c>
      <c r="X2611" s="2">
        <f t="shared" si="204"/>
        <v>12.520971302428256</v>
      </c>
    </row>
    <row r="2612" spans="1:24" x14ac:dyDescent="0.3">
      <c r="A2612">
        <v>2764</v>
      </c>
      <c r="B2612">
        <v>465</v>
      </c>
      <c r="C2612" t="s">
        <v>39</v>
      </c>
      <c r="D2612" t="s">
        <v>22</v>
      </c>
      <c r="E2612" t="s">
        <v>29</v>
      </c>
      <c r="F2612" t="s">
        <v>34</v>
      </c>
      <c r="G2612">
        <v>18</v>
      </c>
      <c r="H2612">
        <v>4</v>
      </c>
      <c r="I2612">
        <v>7</v>
      </c>
      <c r="J2612">
        <v>38.270000000000003</v>
      </c>
      <c r="K2612">
        <v>208.41</v>
      </c>
      <c r="L2612">
        <v>0.91</v>
      </c>
      <c r="M2612">
        <v>43.04</v>
      </c>
      <c r="N2612">
        <v>0.87</v>
      </c>
      <c r="O2612" t="s">
        <v>20</v>
      </c>
      <c r="P2612" t="s">
        <v>21</v>
      </c>
      <c r="Q2612">
        <f t="shared" si="200"/>
        <v>15</v>
      </c>
      <c r="R2612" s="4">
        <f>RANK(N2612,$N$2:N$2800,0)</f>
        <v>1965</v>
      </c>
      <c r="S2612">
        <f t="shared" si="201"/>
        <v>2.5714285714285716</v>
      </c>
      <c r="T2612" t="str">
        <f t="shared" si="202"/>
        <v>Good</v>
      </c>
      <c r="U2612" t="str" cm="1">
        <f t="array" ref="U2612">_xlfn.LET(_xlpm.roles,_xlfn.UNIQUE(D2612:D5410),_xlpm.kills, SUMIF(D2612:D5410,_xlpm.roles,G2612:G5410),INDEX(_xlpm.roles,MATCH(MAX(_xlpm.kills),_xlpm.kills,0)))</f>
        <v>Entry Fragger</v>
      </c>
      <c r="V2612" t="str">
        <f t="shared" si="203"/>
        <v>Medium Accuracy</v>
      </c>
      <c r="W2612" t="str" cm="1">
        <f t="array" ref="W2612">_xlfn.LET(_xlpm.roles,_xlfn.UNIQUE(D2612:D5410), _xlpm.counts,COUNTIF(D2612:D5410,_xlpm.roles), INDEX(_xlpm.roles,MATCH(MAX(_xlpm.counts),_xlpm.counts,0)))</f>
        <v>Entry Fragger</v>
      </c>
      <c r="X2612" s="2">
        <f t="shared" si="204"/>
        <v>13.103594080338267</v>
      </c>
    </row>
    <row r="2613" spans="1:24" x14ac:dyDescent="0.3">
      <c r="A2613">
        <v>858</v>
      </c>
      <c r="B2613">
        <v>466</v>
      </c>
      <c r="C2613" t="s">
        <v>39</v>
      </c>
      <c r="D2613" t="s">
        <v>22</v>
      </c>
      <c r="E2613" t="s">
        <v>29</v>
      </c>
      <c r="F2613" t="s">
        <v>34</v>
      </c>
      <c r="G2613">
        <v>14</v>
      </c>
      <c r="H2613">
        <v>9</v>
      </c>
      <c r="I2613">
        <v>9</v>
      </c>
      <c r="J2613">
        <v>42.75</v>
      </c>
      <c r="K2613">
        <v>232.66</v>
      </c>
      <c r="L2613">
        <v>0.31</v>
      </c>
      <c r="M2613">
        <v>46.27</v>
      </c>
      <c r="N2613">
        <v>0.88</v>
      </c>
      <c r="O2613" t="s">
        <v>20</v>
      </c>
      <c r="P2613" t="s">
        <v>21</v>
      </c>
      <c r="Q2613">
        <f t="shared" si="200"/>
        <v>14</v>
      </c>
      <c r="R2613" s="4">
        <f>RANK(N2613,$N$2:N$2800,0)</f>
        <v>1894</v>
      </c>
      <c r="S2613">
        <f t="shared" si="201"/>
        <v>1.5555555555555556</v>
      </c>
      <c r="T2613" t="str">
        <f t="shared" si="202"/>
        <v>Low</v>
      </c>
      <c r="U2613" t="str" cm="1">
        <f t="array" ref="U2613">_xlfn.LET(_xlpm.roles,_xlfn.UNIQUE(D2613:D5411),_xlpm.kills, SUMIF(D2613:D5411,_xlpm.roles,G2613:G5411),INDEX(_xlpm.roles,MATCH(MAX(_xlpm.kills),_xlpm.kills,0)))</f>
        <v>Entry Fragger</v>
      </c>
      <c r="V2613" t="str">
        <f t="shared" si="203"/>
        <v>Medium Accuracy</v>
      </c>
      <c r="W2613" t="str" cm="1">
        <f t="array" ref="W2613">_xlfn.LET(_xlpm.roles,_xlfn.UNIQUE(D2613:D5411), _xlpm.counts,COUNTIF(D2613:D5411,_xlpm.roles), INDEX(_xlpm.roles,MATCH(MAX(_xlpm.counts),_xlpm.counts,0)))</f>
        <v>Entry Fragger</v>
      </c>
      <c r="X2613" s="2">
        <f t="shared" si="204"/>
        <v>13.103594080338267</v>
      </c>
    </row>
    <row r="2614" spans="1:24" x14ac:dyDescent="0.3">
      <c r="A2614">
        <v>893</v>
      </c>
      <c r="B2614">
        <v>466</v>
      </c>
      <c r="C2614" t="s">
        <v>25</v>
      </c>
      <c r="D2614" t="s">
        <v>31</v>
      </c>
      <c r="E2614" t="s">
        <v>18</v>
      </c>
      <c r="F2614" t="s">
        <v>19</v>
      </c>
      <c r="G2614">
        <v>17</v>
      </c>
      <c r="H2614">
        <v>12</v>
      </c>
      <c r="I2614">
        <v>12</v>
      </c>
      <c r="J2614">
        <v>40.65</v>
      </c>
      <c r="K2614">
        <v>244.78</v>
      </c>
      <c r="L2614">
        <v>0.45</v>
      </c>
      <c r="M2614">
        <v>49.83</v>
      </c>
      <c r="N2614">
        <v>0.89</v>
      </c>
      <c r="O2614" t="s">
        <v>20</v>
      </c>
      <c r="P2614" t="s">
        <v>21</v>
      </c>
      <c r="Q2614">
        <f t="shared" si="200"/>
        <v>17</v>
      </c>
      <c r="R2614" s="4">
        <f>RANK(N2614,$N$2:N$2800,0)</f>
        <v>1815</v>
      </c>
      <c r="S2614">
        <f t="shared" si="201"/>
        <v>1.4166666666666667</v>
      </c>
      <c r="T2614" t="str">
        <f t="shared" si="202"/>
        <v>Good</v>
      </c>
      <c r="U2614" t="str" cm="1">
        <f t="array" ref="U2614">_xlfn.LET(_xlpm.roles,_xlfn.UNIQUE(D2614:D5412),_xlpm.kills, SUMIF(D2614:D5412,_xlpm.roles,G2614:G5412),INDEX(_xlpm.roles,MATCH(MAX(_xlpm.kills),_xlpm.kills,0)))</f>
        <v>Entry Fragger</v>
      </c>
      <c r="V2614" t="str">
        <f t="shared" si="203"/>
        <v>Medium Accuracy</v>
      </c>
      <c r="W2614" t="str" cm="1">
        <f t="array" ref="W2614">_xlfn.LET(_xlpm.roles,_xlfn.UNIQUE(D2614:D5412), _xlpm.counts,COUNTIF(D2614:D5412,_xlpm.roles), INDEX(_xlpm.roles,MATCH(MAX(_xlpm.counts),_xlpm.counts,0)))</f>
        <v>Entry Fragger</v>
      </c>
      <c r="X2614" s="2">
        <f t="shared" si="204"/>
        <v>12.809421841541756</v>
      </c>
    </row>
    <row r="2615" spans="1:24" x14ac:dyDescent="0.3">
      <c r="A2615">
        <v>976</v>
      </c>
      <c r="B2615">
        <v>466</v>
      </c>
      <c r="C2615" t="s">
        <v>25</v>
      </c>
      <c r="D2615" t="s">
        <v>36</v>
      </c>
      <c r="E2615" t="s">
        <v>23</v>
      </c>
      <c r="F2615" t="s">
        <v>34</v>
      </c>
      <c r="G2615">
        <v>21</v>
      </c>
      <c r="H2615">
        <v>11</v>
      </c>
      <c r="I2615">
        <v>13</v>
      </c>
      <c r="J2615">
        <v>30.62</v>
      </c>
      <c r="K2615">
        <v>286.24</v>
      </c>
      <c r="L2615">
        <v>0.52</v>
      </c>
      <c r="M2615">
        <v>50.11</v>
      </c>
      <c r="N2615">
        <v>1</v>
      </c>
      <c r="O2615" t="s">
        <v>20</v>
      </c>
      <c r="P2615" t="s">
        <v>21</v>
      </c>
      <c r="Q2615">
        <f t="shared" si="200"/>
        <v>19</v>
      </c>
      <c r="R2615" s="4">
        <f>RANK(N2615,$N$2:N$2800,0)</f>
        <v>1</v>
      </c>
      <c r="S2615">
        <f t="shared" si="201"/>
        <v>1.6153846153846154</v>
      </c>
      <c r="T2615" t="str">
        <f t="shared" si="202"/>
        <v>Good</v>
      </c>
      <c r="U2615" t="str" cm="1">
        <f t="array" ref="U2615">_xlfn.LET(_xlpm.roles,_xlfn.UNIQUE(D2615:D5413),_xlpm.kills, SUMIF(D2615:D5413,_xlpm.roles,G2615:G5413),INDEX(_xlpm.roles,MATCH(MAX(_xlpm.kills),_xlpm.kills,0)))</f>
        <v>Entry Fragger</v>
      </c>
      <c r="V2615" t="str">
        <f t="shared" si="203"/>
        <v>Medium Accuracy</v>
      </c>
      <c r="W2615" t="str" cm="1">
        <f t="array" ref="W2615">_xlfn.LET(_xlpm.roles,_xlfn.UNIQUE(D2615:D5413), _xlpm.counts,COUNTIF(D2615:D5413,_xlpm.roles), INDEX(_xlpm.roles,MATCH(MAX(_xlpm.counts),_xlpm.counts,0)))</f>
        <v>Entry Fragger</v>
      </c>
      <c r="X2615" s="2">
        <f t="shared" si="204"/>
        <v>12.809421841541756</v>
      </c>
    </row>
    <row r="2616" spans="1:24" x14ac:dyDescent="0.3">
      <c r="A2616">
        <v>1069</v>
      </c>
      <c r="B2616">
        <v>466</v>
      </c>
      <c r="C2616" t="s">
        <v>27</v>
      </c>
      <c r="D2616" t="s">
        <v>36</v>
      </c>
      <c r="E2616" t="s">
        <v>33</v>
      </c>
      <c r="F2616" t="s">
        <v>26</v>
      </c>
      <c r="G2616">
        <v>15</v>
      </c>
      <c r="H2616">
        <v>5</v>
      </c>
      <c r="I2616">
        <v>9</v>
      </c>
      <c r="J2616">
        <v>39.450000000000003</v>
      </c>
      <c r="K2616">
        <v>246.38</v>
      </c>
      <c r="L2616">
        <v>0.26</v>
      </c>
      <c r="M2616">
        <v>43.12</v>
      </c>
      <c r="N2616">
        <v>1</v>
      </c>
      <c r="O2616" t="s">
        <v>20</v>
      </c>
      <c r="P2616" t="s">
        <v>21</v>
      </c>
      <c r="Q2616">
        <f t="shared" si="200"/>
        <v>11</v>
      </c>
      <c r="R2616" s="4">
        <f>RANK(N2616,$N$2:N$2800,0)</f>
        <v>1</v>
      </c>
      <c r="S2616">
        <f t="shared" si="201"/>
        <v>1.6666666666666667</v>
      </c>
      <c r="T2616" t="str">
        <f t="shared" si="202"/>
        <v>Low</v>
      </c>
      <c r="U2616" t="str" cm="1">
        <f t="array" ref="U2616">_xlfn.LET(_xlpm.roles,_xlfn.UNIQUE(D2616:D5414),_xlpm.kills, SUMIF(D2616:D5414,_xlpm.roles,G2616:G5414),INDEX(_xlpm.roles,MATCH(MAX(_xlpm.kills),_xlpm.kills,0)))</f>
        <v>Entry Fragger</v>
      </c>
      <c r="V2616" t="str">
        <f t="shared" si="203"/>
        <v>Medium Accuracy</v>
      </c>
      <c r="W2616" t="str" cm="1">
        <f t="array" ref="W2616">_xlfn.LET(_xlpm.roles,_xlfn.UNIQUE(D2616:D5414), _xlpm.counts,COUNTIF(D2616:D5414,_xlpm.roles), INDEX(_xlpm.roles,MATCH(MAX(_xlpm.counts),_xlpm.counts,0)))</f>
        <v>Entry Fragger</v>
      </c>
      <c r="X2616" s="2">
        <f t="shared" si="204"/>
        <v>13.057077625570777</v>
      </c>
    </row>
    <row r="2617" spans="1:24" x14ac:dyDescent="0.3">
      <c r="A2617">
        <v>1089</v>
      </c>
      <c r="B2617">
        <v>466</v>
      </c>
      <c r="C2617" t="s">
        <v>35</v>
      </c>
      <c r="D2617" t="s">
        <v>31</v>
      </c>
      <c r="E2617" t="s">
        <v>18</v>
      </c>
      <c r="F2617" t="s">
        <v>34</v>
      </c>
      <c r="G2617">
        <v>17</v>
      </c>
      <c r="H2617">
        <v>8</v>
      </c>
      <c r="I2617">
        <v>12</v>
      </c>
      <c r="J2617">
        <v>39.5</v>
      </c>
      <c r="K2617">
        <v>189.22</v>
      </c>
      <c r="L2617">
        <v>0.97</v>
      </c>
      <c r="M2617">
        <v>40.049999999999997</v>
      </c>
      <c r="N2617">
        <v>1</v>
      </c>
      <c r="O2617" t="s">
        <v>20</v>
      </c>
      <c r="P2617" t="s">
        <v>21</v>
      </c>
      <c r="Q2617">
        <f t="shared" si="200"/>
        <v>13</v>
      </c>
      <c r="R2617" s="4">
        <f>RANK(N2617,$N$2:N$2800,0)</f>
        <v>1</v>
      </c>
      <c r="S2617">
        <f t="shared" si="201"/>
        <v>1.4166666666666667</v>
      </c>
      <c r="T2617" t="str">
        <f t="shared" si="202"/>
        <v>Low</v>
      </c>
      <c r="U2617" t="str" cm="1">
        <f t="array" ref="U2617">_xlfn.LET(_xlpm.roles,_xlfn.UNIQUE(D2617:D5415),_xlpm.kills, SUMIF(D2617:D5415,_xlpm.roles,G2617:G5415),INDEX(_xlpm.roles,MATCH(MAX(_xlpm.kills),_xlpm.kills,0)))</f>
        <v>Entry Fragger</v>
      </c>
      <c r="V2617" t="str">
        <f t="shared" si="203"/>
        <v>Medium Accuracy</v>
      </c>
      <c r="W2617" t="str" cm="1">
        <f t="array" ref="W2617">_xlfn.LET(_xlpm.roles,_xlfn.UNIQUE(D2617:D5415), _xlpm.counts,COUNTIF(D2617:D5415,_xlpm.roles), INDEX(_xlpm.roles,MATCH(MAX(_xlpm.counts),_xlpm.counts,0)))</f>
        <v>Entry Fragger</v>
      </c>
      <c r="X2617" s="2">
        <f t="shared" si="204"/>
        <v>12.599585062240664</v>
      </c>
    </row>
    <row r="2618" spans="1:24" x14ac:dyDescent="0.3">
      <c r="A2618">
        <v>1105</v>
      </c>
      <c r="B2618">
        <v>466</v>
      </c>
      <c r="C2618" t="s">
        <v>27</v>
      </c>
      <c r="D2618" t="s">
        <v>31</v>
      </c>
      <c r="E2618" t="s">
        <v>33</v>
      </c>
      <c r="F2618" t="s">
        <v>26</v>
      </c>
      <c r="G2618">
        <v>12</v>
      </c>
      <c r="H2618">
        <v>11</v>
      </c>
      <c r="I2618">
        <v>13</v>
      </c>
      <c r="J2618">
        <v>35.590000000000003</v>
      </c>
      <c r="K2618">
        <v>215.48</v>
      </c>
      <c r="L2618">
        <v>0.82</v>
      </c>
      <c r="M2618">
        <v>31.6</v>
      </c>
      <c r="N2618">
        <v>0.77</v>
      </c>
      <c r="O2618" t="s">
        <v>20</v>
      </c>
      <c r="P2618" t="s">
        <v>21</v>
      </c>
      <c r="Q2618">
        <f t="shared" si="200"/>
        <v>10</v>
      </c>
      <c r="R2618" s="4">
        <f>RANK(N2618,$N$2:N$2800,0)</f>
        <v>2511</v>
      </c>
      <c r="S2618">
        <f t="shared" si="201"/>
        <v>0.92307692307692313</v>
      </c>
      <c r="T2618" t="str">
        <f t="shared" si="202"/>
        <v>Low</v>
      </c>
      <c r="U2618" t="str" cm="1">
        <f t="array" ref="U2618">_xlfn.LET(_xlpm.roles,_xlfn.UNIQUE(D2618:D5416),_xlpm.kills, SUMIF(D2618:D5416,_xlpm.roles,G2618:G5416),INDEX(_xlpm.roles,MATCH(MAX(_xlpm.kills),_xlpm.kills,0)))</f>
        <v>Entry Fragger</v>
      </c>
      <c r="V2618" t="str">
        <f t="shared" si="203"/>
        <v>Medium Accuracy</v>
      </c>
      <c r="W2618" t="str" cm="1">
        <f t="array" ref="W2618">_xlfn.LET(_xlpm.roles,_xlfn.UNIQUE(D2618:D5416), _xlpm.counts,COUNTIF(D2618:D5416,_xlpm.roles), INDEX(_xlpm.roles,MATCH(MAX(_xlpm.counts),_xlpm.counts,0)))</f>
        <v>Entry Fragger</v>
      </c>
      <c r="X2618" s="2">
        <f t="shared" si="204"/>
        <v>13.057077625570777</v>
      </c>
    </row>
    <row r="2619" spans="1:24" x14ac:dyDescent="0.3">
      <c r="A2619">
        <v>1488</v>
      </c>
      <c r="B2619">
        <v>466</v>
      </c>
      <c r="C2619" t="s">
        <v>25</v>
      </c>
      <c r="D2619" t="s">
        <v>17</v>
      </c>
      <c r="E2619" t="s">
        <v>18</v>
      </c>
      <c r="F2619" t="s">
        <v>26</v>
      </c>
      <c r="G2619">
        <v>17</v>
      </c>
      <c r="H2619">
        <v>9</v>
      </c>
      <c r="I2619">
        <v>6</v>
      </c>
      <c r="J2619">
        <v>27.31</v>
      </c>
      <c r="K2619">
        <v>247.62</v>
      </c>
      <c r="L2619">
        <v>0.33</v>
      </c>
      <c r="M2619">
        <v>47.36</v>
      </c>
      <c r="N2619">
        <v>1</v>
      </c>
      <c r="O2619" t="s">
        <v>20</v>
      </c>
      <c r="P2619" t="s">
        <v>21</v>
      </c>
      <c r="Q2619">
        <f t="shared" si="200"/>
        <v>20</v>
      </c>
      <c r="R2619" s="4">
        <f>RANK(N2619,$N$2:N$2800,0)</f>
        <v>1</v>
      </c>
      <c r="S2619">
        <f t="shared" si="201"/>
        <v>2.8333333333333335</v>
      </c>
      <c r="T2619" t="str">
        <f t="shared" si="202"/>
        <v>Good</v>
      </c>
      <c r="U2619" t="str" cm="1">
        <f t="array" ref="U2619">_xlfn.LET(_xlpm.roles,_xlfn.UNIQUE(D2619:D5417),_xlpm.kills, SUMIF(D2619:D5417,_xlpm.roles,G2619:G5417),INDEX(_xlpm.roles,MATCH(MAX(_xlpm.kills),_xlpm.kills,0)))</f>
        <v>Entry Fragger</v>
      </c>
      <c r="V2619" t="str">
        <f t="shared" si="203"/>
        <v>Low Accuracy</v>
      </c>
      <c r="W2619" t="str" cm="1">
        <f t="array" ref="W2619">_xlfn.LET(_xlpm.roles,_xlfn.UNIQUE(D2619:D5417), _xlpm.counts,COUNTIF(D2619:D5417,_xlpm.roles), INDEX(_xlpm.roles,MATCH(MAX(_xlpm.counts),_xlpm.counts,0)))</f>
        <v>Entry Fragger</v>
      </c>
      <c r="X2619" s="2">
        <f t="shared" si="204"/>
        <v>12.809421841541756</v>
      </c>
    </row>
    <row r="2620" spans="1:24" x14ac:dyDescent="0.3">
      <c r="A2620">
        <v>2520</v>
      </c>
      <c r="B2620">
        <v>466</v>
      </c>
      <c r="C2620" t="s">
        <v>39</v>
      </c>
      <c r="D2620" t="s">
        <v>28</v>
      </c>
      <c r="E2620" t="s">
        <v>32</v>
      </c>
      <c r="F2620" t="s">
        <v>24</v>
      </c>
      <c r="G2620">
        <v>12</v>
      </c>
      <c r="H2620">
        <v>8</v>
      </c>
      <c r="I2620">
        <v>9</v>
      </c>
      <c r="J2620">
        <v>50.51</v>
      </c>
      <c r="K2620">
        <v>201.31</v>
      </c>
      <c r="L2620">
        <v>0.74</v>
      </c>
      <c r="M2620">
        <v>40.85</v>
      </c>
      <c r="N2620">
        <v>0.85</v>
      </c>
      <c r="O2620" t="s">
        <v>20</v>
      </c>
      <c r="P2620" t="s">
        <v>21</v>
      </c>
      <c r="Q2620">
        <f t="shared" si="200"/>
        <v>11</v>
      </c>
      <c r="R2620" s="4">
        <f>RANK(N2620,$N$2:N$2800,0)</f>
        <v>2105</v>
      </c>
      <c r="S2620">
        <f t="shared" si="201"/>
        <v>1.3333333333333333</v>
      </c>
      <c r="T2620" t="str">
        <f t="shared" si="202"/>
        <v>Low</v>
      </c>
      <c r="U2620" t="str" cm="1">
        <f t="array" ref="U2620">_xlfn.LET(_xlpm.roles,_xlfn.UNIQUE(D2620:D5418),_xlpm.kills, SUMIF(D2620:D5418,_xlpm.roles,G2620:G5418),INDEX(_xlpm.roles,MATCH(MAX(_xlpm.kills),_xlpm.kills,0)))</f>
        <v>Entry Fragger</v>
      </c>
      <c r="V2620" t="str">
        <f t="shared" si="203"/>
        <v>High Accuracy</v>
      </c>
      <c r="W2620" t="str" cm="1">
        <f t="array" ref="W2620">_xlfn.LET(_xlpm.roles,_xlfn.UNIQUE(D2620:D5418), _xlpm.counts,COUNTIF(D2620:D5418,_xlpm.roles), INDEX(_xlpm.roles,MATCH(MAX(_xlpm.counts),_xlpm.counts,0)))</f>
        <v>Entry Fragger</v>
      </c>
      <c r="X2620" s="2">
        <f t="shared" si="204"/>
        <v>13.103594080338267</v>
      </c>
    </row>
    <row r="2621" spans="1:24" x14ac:dyDescent="0.3">
      <c r="A2621">
        <v>2653</v>
      </c>
      <c r="B2621">
        <v>466</v>
      </c>
      <c r="C2621" t="s">
        <v>39</v>
      </c>
      <c r="D2621" t="s">
        <v>17</v>
      </c>
      <c r="E2621" t="s">
        <v>23</v>
      </c>
      <c r="F2621" t="s">
        <v>37</v>
      </c>
      <c r="G2621">
        <v>10</v>
      </c>
      <c r="H2621">
        <v>7</v>
      </c>
      <c r="I2621">
        <v>11</v>
      </c>
      <c r="J2621">
        <v>32.85</v>
      </c>
      <c r="K2621">
        <v>184.18</v>
      </c>
      <c r="L2621">
        <v>0.61</v>
      </c>
      <c r="M2621">
        <v>26.32</v>
      </c>
      <c r="N2621">
        <v>0.92</v>
      </c>
      <c r="O2621" t="s">
        <v>20</v>
      </c>
      <c r="P2621" t="s">
        <v>21</v>
      </c>
      <c r="Q2621">
        <f t="shared" si="200"/>
        <v>6</v>
      </c>
      <c r="R2621" s="4">
        <f>RANK(N2621,$N$2:N$2800,0)</f>
        <v>1585</v>
      </c>
      <c r="S2621">
        <f t="shared" si="201"/>
        <v>0.90909090909090906</v>
      </c>
      <c r="T2621" t="str">
        <f t="shared" si="202"/>
        <v>Low</v>
      </c>
      <c r="U2621" t="str" cm="1">
        <f t="array" ref="U2621">_xlfn.LET(_xlpm.roles,_xlfn.UNIQUE(D2621:D5419),_xlpm.kills, SUMIF(D2621:D5419,_xlpm.roles,G2621:G5419),INDEX(_xlpm.roles,MATCH(MAX(_xlpm.kills),_xlpm.kills,0)))</f>
        <v>Entry Fragger</v>
      </c>
      <c r="V2621" t="str">
        <f t="shared" si="203"/>
        <v>Medium Accuracy</v>
      </c>
      <c r="W2621" t="str" cm="1">
        <f t="array" ref="W2621">_xlfn.LET(_xlpm.roles,_xlfn.UNIQUE(D2621:D5419), _xlpm.counts,COUNTIF(D2621:D5419,_xlpm.roles), INDEX(_xlpm.roles,MATCH(MAX(_xlpm.counts),_xlpm.counts,0)))</f>
        <v>Entry Fragger</v>
      </c>
      <c r="X2621" s="2">
        <f t="shared" si="204"/>
        <v>13.103594080338267</v>
      </c>
    </row>
    <row r="2622" spans="1:24" x14ac:dyDescent="0.3">
      <c r="A2622">
        <v>2691</v>
      </c>
      <c r="B2622">
        <v>466</v>
      </c>
      <c r="C2622" t="s">
        <v>35</v>
      </c>
      <c r="D2622" t="s">
        <v>31</v>
      </c>
      <c r="E2622" t="s">
        <v>32</v>
      </c>
      <c r="F2622" t="s">
        <v>24</v>
      </c>
      <c r="G2622">
        <v>15</v>
      </c>
      <c r="H2622">
        <v>6</v>
      </c>
      <c r="I2622">
        <v>10</v>
      </c>
      <c r="J2622">
        <v>27.49</v>
      </c>
      <c r="K2622">
        <v>236.44</v>
      </c>
      <c r="L2622">
        <v>0.28999999999999998</v>
      </c>
      <c r="M2622">
        <v>36.840000000000003</v>
      </c>
      <c r="N2622">
        <v>0.76</v>
      </c>
      <c r="O2622" t="s">
        <v>20</v>
      </c>
      <c r="P2622" t="s">
        <v>21</v>
      </c>
      <c r="Q2622">
        <f t="shared" si="200"/>
        <v>11</v>
      </c>
      <c r="R2622" s="4">
        <f>RANK(N2622,$N$2:N$2800,0)</f>
        <v>2547</v>
      </c>
      <c r="S2622">
        <f t="shared" si="201"/>
        <v>1.5</v>
      </c>
      <c r="T2622" t="str">
        <f t="shared" si="202"/>
        <v>Low</v>
      </c>
      <c r="U2622" t="str" cm="1">
        <f t="array" ref="U2622">_xlfn.LET(_xlpm.roles,_xlfn.UNIQUE(D2622:D5420),_xlpm.kills, SUMIF(D2622:D5420,_xlpm.roles,G2622:G5420),INDEX(_xlpm.roles,MATCH(MAX(_xlpm.kills),_xlpm.kills,0)))</f>
        <v>Entry Fragger</v>
      </c>
      <c r="V2622" t="str">
        <f t="shared" si="203"/>
        <v>Low Accuracy</v>
      </c>
      <c r="W2622" t="str" cm="1">
        <f t="array" ref="W2622">_xlfn.LET(_xlpm.roles,_xlfn.UNIQUE(D2622:D5420), _xlpm.counts,COUNTIF(D2622:D5420,_xlpm.roles), INDEX(_xlpm.roles,MATCH(MAX(_xlpm.counts),_xlpm.counts,0)))</f>
        <v>Entry Fragger</v>
      </c>
      <c r="X2622" s="2">
        <f t="shared" si="204"/>
        <v>12.599585062240664</v>
      </c>
    </row>
    <row r="2623" spans="1:24" x14ac:dyDescent="0.3">
      <c r="A2623">
        <v>83</v>
      </c>
      <c r="B2623">
        <v>467</v>
      </c>
      <c r="C2623" t="s">
        <v>27</v>
      </c>
      <c r="D2623" t="s">
        <v>17</v>
      </c>
      <c r="E2623" t="s">
        <v>23</v>
      </c>
      <c r="F2623" t="s">
        <v>26</v>
      </c>
      <c r="G2623">
        <v>12</v>
      </c>
      <c r="H2623">
        <v>9</v>
      </c>
      <c r="I2623">
        <v>5</v>
      </c>
      <c r="J2623">
        <v>54.8</v>
      </c>
      <c r="K2623">
        <v>268.7</v>
      </c>
      <c r="L2623">
        <v>0.55000000000000004</v>
      </c>
      <c r="M2623">
        <v>49.9</v>
      </c>
      <c r="N2623">
        <v>0.94</v>
      </c>
      <c r="O2623" t="s">
        <v>20</v>
      </c>
      <c r="P2623" t="s">
        <v>21</v>
      </c>
      <c r="Q2623">
        <f t="shared" si="200"/>
        <v>16</v>
      </c>
      <c r="R2623" s="4">
        <f>RANK(N2623,$N$2:N$2800,0)</f>
        <v>1431</v>
      </c>
      <c r="S2623">
        <f t="shared" si="201"/>
        <v>2.4</v>
      </c>
      <c r="T2623" t="str">
        <f t="shared" si="202"/>
        <v>Good</v>
      </c>
      <c r="U2623" t="str" cm="1">
        <f t="array" ref="U2623">_xlfn.LET(_xlpm.roles,_xlfn.UNIQUE(D2623:D5421),_xlpm.kills, SUMIF(D2623:D5421,_xlpm.roles,G2623:G5421),INDEX(_xlpm.roles,MATCH(MAX(_xlpm.kills),_xlpm.kills,0)))</f>
        <v>Entry Fragger</v>
      </c>
      <c r="V2623" t="str">
        <f t="shared" si="203"/>
        <v>High Accuracy</v>
      </c>
      <c r="W2623" t="str" cm="1">
        <f t="array" ref="W2623">_xlfn.LET(_xlpm.roles,_xlfn.UNIQUE(D2623:D5421), _xlpm.counts,COUNTIF(D2623:D5421,_xlpm.roles), INDEX(_xlpm.roles,MATCH(MAX(_xlpm.counts),_xlpm.counts,0)))</f>
        <v>Entry Fragger</v>
      </c>
      <c r="X2623" s="2">
        <f t="shared" si="204"/>
        <v>13.057077625570777</v>
      </c>
    </row>
    <row r="2624" spans="1:24" x14ac:dyDescent="0.3">
      <c r="A2624">
        <v>536</v>
      </c>
      <c r="B2624">
        <v>467</v>
      </c>
      <c r="C2624" t="s">
        <v>27</v>
      </c>
      <c r="D2624" t="s">
        <v>31</v>
      </c>
      <c r="E2624" t="s">
        <v>33</v>
      </c>
      <c r="F2624" t="s">
        <v>26</v>
      </c>
      <c r="G2624">
        <v>15</v>
      </c>
      <c r="H2624">
        <v>6</v>
      </c>
      <c r="I2624">
        <v>6</v>
      </c>
      <c r="J2624">
        <v>25.03</v>
      </c>
      <c r="K2624">
        <v>253.63</v>
      </c>
      <c r="L2624">
        <v>0.5</v>
      </c>
      <c r="M2624">
        <v>37.520000000000003</v>
      </c>
      <c r="N2624">
        <v>0.96</v>
      </c>
      <c r="O2624" t="s">
        <v>20</v>
      </c>
      <c r="P2624" t="s">
        <v>21</v>
      </c>
      <c r="Q2624">
        <f t="shared" si="200"/>
        <v>15</v>
      </c>
      <c r="R2624" s="4">
        <f>RANK(N2624,$N$2:N$2800,0)</f>
        <v>1301</v>
      </c>
      <c r="S2624">
        <f t="shared" si="201"/>
        <v>2.5</v>
      </c>
      <c r="T2624" t="str">
        <f t="shared" si="202"/>
        <v>Good</v>
      </c>
      <c r="U2624" t="str" cm="1">
        <f t="array" ref="U2624">_xlfn.LET(_xlpm.roles,_xlfn.UNIQUE(D2624:D5422),_xlpm.kills, SUMIF(D2624:D5422,_xlpm.roles,G2624:G5422),INDEX(_xlpm.roles,MATCH(MAX(_xlpm.kills),_xlpm.kills,0)))</f>
        <v>Entry Fragger</v>
      </c>
      <c r="V2624" t="str">
        <f t="shared" si="203"/>
        <v>Low Accuracy</v>
      </c>
      <c r="W2624" t="str" cm="1">
        <f t="array" ref="W2624">_xlfn.LET(_xlpm.roles,_xlfn.UNIQUE(D2624:D5422), _xlpm.counts,COUNTIF(D2624:D5422,_xlpm.roles), INDEX(_xlpm.roles,MATCH(MAX(_xlpm.counts),_xlpm.counts,0)))</f>
        <v>Entry Fragger</v>
      </c>
      <c r="X2624" s="2">
        <f t="shared" si="204"/>
        <v>13.057077625570777</v>
      </c>
    </row>
    <row r="2625" spans="1:24" x14ac:dyDescent="0.3">
      <c r="A2625">
        <v>1685</v>
      </c>
      <c r="B2625">
        <v>467</v>
      </c>
      <c r="C2625" t="s">
        <v>25</v>
      </c>
      <c r="D2625" t="s">
        <v>31</v>
      </c>
      <c r="E2625" t="s">
        <v>23</v>
      </c>
      <c r="F2625" t="s">
        <v>26</v>
      </c>
      <c r="G2625">
        <v>21</v>
      </c>
      <c r="H2625">
        <v>8</v>
      </c>
      <c r="I2625">
        <v>5</v>
      </c>
      <c r="J2625">
        <v>48.37</v>
      </c>
      <c r="K2625">
        <v>217.7</v>
      </c>
      <c r="L2625">
        <v>0.63</v>
      </c>
      <c r="M2625">
        <v>62.89</v>
      </c>
      <c r="N2625">
        <v>1</v>
      </c>
      <c r="O2625" t="s">
        <v>20</v>
      </c>
      <c r="P2625" t="s">
        <v>38</v>
      </c>
      <c r="Q2625">
        <f t="shared" si="200"/>
        <v>24</v>
      </c>
      <c r="R2625" s="4">
        <f>RANK(N2625,$N$2:N$2800,0)</f>
        <v>1</v>
      </c>
      <c r="S2625">
        <f t="shared" si="201"/>
        <v>4.2</v>
      </c>
      <c r="T2625" t="str">
        <f t="shared" si="202"/>
        <v>Good</v>
      </c>
      <c r="U2625" t="str" cm="1">
        <f t="array" ref="U2625">_xlfn.LET(_xlpm.roles,_xlfn.UNIQUE(D2625:D5423),_xlpm.kills, SUMIF(D2625:D5423,_xlpm.roles,G2625:G5423),INDEX(_xlpm.roles,MATCH(MAX(_xlpm.kills),_xlpm.kills,0)))</f>
        <v>Entry Fragger</v>
      </c>
      <c r="V2625" t="str">
        <f t="shared" si="203"/>
        <v>Medium Accuracy</v>
      </c>
      <c r="W2625" t="str" cm="1">
        <f t="array" ref="W2625">_xlfn.LET(_xlpm.roles,_xlfn.UNIQUE(D2625:D5423), _xlpm.counts,COUNTIF(D2625:D5423,_xlpm.roles), INDEX(_xlpm.roles,MATCH(MAX(_xlpm.counts),_xlpm.counts,0)))</f>
        <v>Entry Fragger</v>
      </c>
      <c r="X2625" s="2">
        <f t="shared" si="204"/>
        <v>12.809421841541756</v>
      </c>
    </row>
    <row r="2626" spans="1:24" x14ac:dyDescent="0.3">
      <c r="A2626">
        <v>2079</v>
      </c>
      <c r="B2626">
        <v>467</v>
      </c>
      <c r="C2626" t="s">
        <v>35</v>
      </c>
      <c r="D2626" t="s">
        <v>36</v>
      </c>
      <c r="E2626" t="s">
        <v>23</v>
      </c>
      <c r="F2626" t="s">
        <v>24</v>
      </c>
      <c r="G2626">
        <v>11</v>
      </c>
      <c r="H2626">
        <v>2</v>
      </c>
      <c r="I2626">
        <v>11</v>
      </c>
      <c r="J2626">
        <v>38.32</v>
      </c>
      <c r="K2626">
        <v>296.54000000000002</v>
      </c>
      <c r="L2626">
        <v>0.85</v>
      </c>
      <c r="M2626">
        <v>23.66</v>
      </c>
      <c r="N2626">
        <v>0.85</v>
      </c>
      <c r="O2626" t="s">
        <v>20</v>
      </c>
      <c r="P2626" t="s">
        <v>21</v>
      </c>
      <c r="Q2626">
        <f t="shared" si="200"/>
        <v>2</v>
      </c>
      <c r="R2626" s="4">
        <f>RANK(N2626,$N$2:N$2800,0)</f>
        <v>2105</v>
      </c>
      <c r="S2626">
        <f t="shared" si="201"/>
        <v>1</v>
      </c>
      <c r="T2626" t="str">
        <f t="shared" si="202"/>
        <v>Low</v>
      </c>
      <c r="U2626" t="str" cm="1">
        <f t="array" ref="U2626">_xlfn.LET(_xlpm.roles,_xlfn.UNIQUE(D2626:D5424),_xlpm.kills, SUMIF(D2626:D5424,_xlpm.roles,G2626:G5424),INDEX(_xlpm.roles,MATCH(MAX(_xlpm.kills),_xlpm.kills,0)))</f>
        <v>Entry Fragger</v>
      </c>
      <c r="V2626" t="str">
        <f t="shared" si="203"/>
        <v>Medium Accuracy</v>
      </c>
      <c r="W2626" t="str" cm="1">
        <f t="array" ref="W2626">_xlfn.LET(_xlpm.roles,_xlfn.UNIQUE(D2626:D5424), _xlpm.counts,COUNTIF(D2626:D5424,_xlpm.roles), INDEX(_xlpm.roles,MATCH(MAX(_xlpm.counts),_xlpm.counts,0)))</f>
        <v>Entry Fragger</v>
      </c>
      <c r="X2626" s="2">
        <f t="shared" si="204"/>
        <v>12.599585062240664</v>
      </c>
    </row>
    <row r="2627" spans="1:24" x14ac:dyDescent="0.3">
      <c r="A2627">
        <v>2751</v>
      </c>
      <c r="B2627">
        <v>467</v>
      </c>
      <c r="C2627" t="s">
        <v>35</v>
      </c>
      <c r="D2627" t="s">
        <v>36</v>
      </c>
      <c r="E2627" t="s">
        <v>32</v>
      </c>
      <c r="F2627" t="s">
        <v>19</v>
      </c>
      <c r="G2627">
        <v>16</v>
      </c>
      <c r="H2627">
        <v>9</v>
      </c>
      <c r="I2627">
        <v>18</v>
      </c>
      <c r="J2627">
        <v>51.69</v>
      </c>
      <c r="K2627">
        <v>175.06</v>
      </c>
      <c r="L2627">
        <v>0.06</v>
      </c>
      <c r="M2627">
        <v>48.24</v>
      </c>
      <c r="N2627">
        <v>0.95</v>
      </c>
      <c r="O2627" t="s">
        <v>20</v>
      </c>
      <c r="P2627" t="s">
        <v>21</v>
      </c>
      <c r="Q2627">
        <f t="shared" ref="Q2627:Q2690" si="205">G2627+H2627-I2627</f>
        <v>7</v>
      </c>
      <c r="R2627" s="4">
        <f>RANK(N2627,$N$2:N$2800,0)</f>
        <v>1367</v>
      </c>
      <c r="S2627">
        <f t="shared" ref="S2627:S2690" si="206">G2627/I2627</f>
        <v>0.88888888888888884</v>
      </c>
      <c r="T2627" t="str">
        <f t="shared" ref="T2627:T2690" si="207">IF(Q2627&lt;15,"Low",IF(Q2627&lt;25,"Good","Excellent"))</f>
        <v>Low</v>
      </c>
      <c r="U2627" t="str" cm="1">
        <f t="array" ref="U2627">_xlfn.LET(_xlpm.roles,_xlfn.UNIQUE(D2627:D5425),_xlpm.kills, SUMIF(D2627:D5425,_xlpm.roles,G2627:G5425),INDEX(_xlpm.roles,MATCH(MAX(_xlpm.kills),_xlpm.kills,0)))</f>
        <v>Entry Fragger</v>
      </c>
      <c r="V2627" t="str">
        <f t="shared" ref="V2627:V2690" si="208">IF(J2627&gt;=50,"High Accuracy",IF(J2627&gt;=30,"Medium Accuracy","Low Accuracy"))</f>
        <v>High Accuracy</v>
      </c>
      <c r="W2627" t="str" cm="1">
        <f t="array" ref="W2627">_xlfn.LET(_xlpm.roles,_xlfn.UNIQUE(D2627:D5425), _xlpm.counts,COUNTIF(D2627:D5425,_xlpm.roles), INDEX(_xlpm.roles,MATCH(MAX(_xlpm.counts),_xlpm.counts,0)))</f>
        <v>Entry Fragger</v>
      </c>
      <c r="X2627" s="2">
        <f t="shared" ref="X2627:X2690" si="209">AVERAGEIF($C$2:$C$2800,C2627,$Q$2:$Q$2800)</f>
        <v>12.599585062240664</v>
      </c>
    </row>
    <row r="2628" spans="1:24" x14ac:dyDescent="0.3">
      <c r="A2628">
        <v>3</v>
      </c>
      <c r="B2628">
        <v>468</v>
      </c>
      <c r="C2628" t="s">
        <v>25</v>
      </c>
      <c r="D2628" t="s">
        <v>22</v>
      </c>
      <c r="E2628" t="s">
        <v>23</v>
      </c>
      <c r="F2628" t="s">
        <v>26</v>
      </c>
      <c r="G2628">
        <v>14</v>
      </c>
      <c r="H2628">
        <v>7</v>
      </c>
      <c r="I2628">
        <v>15</v>
      </c>
      <c r="J2628">
        <v>36.93</v>
      </c>
      <c r="K2628">
        <v>172.5</v>
      </c>
      <c r="L2628">
        <v>0.27</v>
      </c>
      <c r="M2628">
        <v>35.770000000000003</v>
      </c>
      <c r="N2628">
        <v>0.81</v>
      </c>
      <c r="O2628" t="s">
        <v>20</v>
      </c>
      <c r="P2628" t="s">
        <v>21</v>
      </c>
      <c r="Q2628">
        <f t="shared" si="205"/>
        <v>6</v>
      </c>
      <c r="R2628" s="4">
        <f>RANK(N2628,$N$2:N$2800,0)</f>
        <v>2341</v>
      </c>
      <c r="S2628">
        <f t="shared" si="206"/>
        <v>0.93333333333333335</v>
      </c>
      <c r="T2628" t="str">
        <f t="shared" si="207"/>
        <v>Low</v>
      </c>
      <c r="U2628" t="str" cm="1">
        <f t="array" ref="U2628">_xlfn.LET(_xlpm.roles,_xlfn.UNIQUE(D2628:D5426),_xlpm.kills, SUMIF(D2628:D5426,_xlpm.roles,G2628:G5426),INDEX(_xlpm.roles,MATCH(MAX(_xlpm.kills),_xlpm.kills,0)))</f>
        <v>Entry Fragger</v>
      </c>
      <c r="V2628" t="str">
        <f t="shared" si="208"/>
        <v>Medium Accuracy</v>
      </c>
      <c r="W2628" t="str" cm="1">
        <f t="array" ref="W2628">_xlfn.LET(_xlpm.roles,_xlfn.UNIQUE(D2628:D5426), _xlpm.counts,COUNTIF(D2628:D5426,_xlpm.roles), INDEX(_xlpm.roles,MATCH(MAX(_xlpm.counts),_xlpm.counts,0)))</f>
        <v>Entry Fragger</v>
      </c>
      <c r="X2628" s="2">
        <f t="shared" si="209"/>
        <v>12.809421841541756</v>
      </c>
    </row>
    <row r="2629" spans="1:24" x14ac:dyDescent="0.3">
      <c r="A2629">
        <v>37</v>
      </c>
      <c r="B2629">
        <v>468</v>
      </c>
      <c r="C2629" t="s">
        <v>35</v>
      </c>
      <c r="D2629" t="s">
        <v>36</v>
      </c>
      <c r="E2629" t="s">
        <v>29</v>
      </c>
      <c r="F2629" t="s">
        <v>26</v>
      </c>
      <c r="G2629">
        <v>16</v>
      </c>
      <c r="H2629">
        <v>7</v>
      </c>
      <c r="I2629">
        <v>11</v>
      </c>
      <c r="J2629">
        <v>35.89</v>
      </c>
      <c r="K2629">
        <v>228.03</v>
      </c>
      <c r="L2629">
        <v>0.48</v>
      </c>
      <c r="M2629">
        <v>41.15</v>
      </c>
      <c r="N2629">
        <v>0.85</v>
      </c>
      <c r="O2629" t="s">
        <v>20</v>
      </c>
      <c r="P2629" t="s">
        <v>21</v>
      </c>
      <c r="Q2629">
        <f t="shared" si="205"/>
        <v>12</v>
      </c>
      <c r="R2629" s="4">
        <f>RANK(N2629,$N$2:N$2800,0)</f>
        <v>2105</v>
      </c>
      <c r="S2629">
        <f t="shared" si="206"/>
        <v>1.4545454545454546</v>
      </c>
      <c r="T2629" t="str">
        <f t="shared" si="207"/>
        <v>Low</v>
      </c>
      <c r="U2629" t="str" cm="1">
        <f t="array" ref="U2629">_xlfn.LET(_xlpm.roles,_xlfn.UNIQUE(D2629:D5427),_xlpm.kills, SUMIF(D2629:D5427,_xlpm.roles,G2629:G5427),INDEX(_xlpm.roles,MATCH(MAX(_xlpm.kills),_xlpm.kills,0)))</f>
        <v>Entry Fragger</v>
      </c>
      <c r="V2629" t="str">
        <f t="shared" si="208"/>
        <v>Medium Accuracy</v>
      </c>
      <c r="W2629" t="str" cm="1">
        <f t="array" ref="W2629">_xlfn.LET(_xlpm.roles,_xlfn.UNIQUE(D2629:D5427), _xlpm.counts,COUNTIF(D2629:D5427,_xlpm.roles), INDEX(_xlpm.roles,MATCH(MAX(_xlpm.counts),_xlpm.counts,0)))</f>
        <v>Entry Fragger</v>
      </c>
      <c r="X2629" s="2">
        <f t="shared" si="209"/>
        <v>12.599585062240664</v>
      </c>
    </row>
    <row r="2630" spans="1:24" x14ac:dyDescent="0.3">
      <c r="A2630">
        <v>65</v>
      </c>
      <c r="B2630">
        <v>468</v>
      </c>
      <c r="C2630" t="s">
        <v>27</v>
      </c>
      <c r="D2630" t="s">
        <v>17</v>
      </c>
      <c r="E2630" t="s">
        <v>18</v>
      </c>
      <c r="F2630" t="s">
        <v>37</v>
      </c>
      <c r="G2630">
        <v>11</v>
      </c>
      <c r="H2630">
        <v>10</v>
      </c>
      <c r="I2630">
        <v>5</v>
      </c>
      <c r="J2630">
        <v>39.590000000000003</v>
      </c>
      <c r="K2630">
        <v>274.02999999999997</v>
      </c>
      <c r="L2630">
        <v>0.2</v>
      </c>
      <c r="M2630">
        <v>44.8</v>
      </c>
      <c r="N2630">
        <v>0.87</v>
      </c>
      <c r="O2630" t="s">
        <v>20</v>
      </c>
      <c r="P2630" t="s">
        <v>21</v>
      </c>
      <c r="Q2630">
        <f t="shared" si="205"/>
        <v>16</v>
      </c>
      <c r="R2630" s="4">
        <f>RANK(N2630,$N$2:N$2800,0)</f>
        <v>1965</v>
      </c>
      <c r="S2630">
        <f t="shared" si="206"/>
        <v>2.2000000000000002</v>
      </c>
      <c r="T2630" t="str">
        <f t="shared" si="207"/>
        <v>Good</v>
      </c>
      <c r="U2630" t="str" cm="1">
        <f t="array" ref="U2630">_xlfn.LET(_xlpm.roles,_xlfn.UNIQUE(D2630:D5428),_xlpm.kills, SUMIF(D2630:D5428,_xlpm.roles,G2630:G5428),INDEX(_xlpm.roles,MATCH(MAX(_xlpm.kills),_xlpm.kills,0)))</f>
        <v>Entry Fragger</v>
      </c>
      <c r="V2630" t="str">
        <f t="shared" si="208"/>
        <v>Medium Accuracy</v>
      </c>
      <c r="W2630" t="str" cm="1">
        <f t="array" ref="W2630">_xlfn.LET(_xlpm.roles,_xlfn.UNIQUE(D2630:D5428), _xlpm.counts,COUNTIF(D2630:D5428,_xlpm.roles), INDEX(_xlpm.roles,MATCH(MAX(_xlpm.counts),_xlpm.counts,0)))</f>
        <v>Entry Fragger</v>
      </c>
      <c r="X2630" s="2">
        <f t="shared" si="209"/>
        <v>13.057077625570777</v>
      </c>
    </row>
    <row r="2631" spans="1:24" x14ac:dyDescent="0.3">
      <c r="A2631">
        <v>337</v>
      </c>
      <c r="B2631">
        <v>468</v>
      </c>
      <c r="C2631" t="s">
        <v>25</v>
      </c>
      <c r="D2631" t="s">
        <v>22</v>
      </c>
      <c r="E2631" t="s">
        <v>33</v>
      </c>
      <c r="F2631" t="s">
        <v>26</v>
      </c>
      <c r="G2631">
        <v>18</v>
      </c>
      <c r="H2631">
        <v>9</v>
      </c>
      <c r="I2631">
        <v>16</v>
      </c>
      <c r="J2631">
        <v>59.86</v>
      </c>
      <c r="K2631">
        <v>249.12</v>
      </c>
      <c r="L2631">
        <v>0.03</v>
      </c>
      <c r="M2631">
        <v>58.63</v>
      </c>
      <c r="N2631">
        <v>1</v>
      </c>
      <c r="O2631" t="s">
        <v>20</v>
      </c>
      <c r="P2631" t="s">
        <v>21</v>
      </c>
      <c r="Q2631">
        <f t="shared" si="205"/>
        <v>11</v>
      </c>
      <c r="R2631" s="4">
        <f>RANK(N2631,$N$2:N$2800,0)</f>
        <v>1</v>
      </c>
      <c r="S2631">
        <f t="shared" si="206"/>
        <v>1.125</v>
      </c>
      <c r="T2631" t="str">
        <f t="shared" si="207"/>
        <v>Low</v>
      </c>
      <c r="U2631" t="str" cm="1">
        <f t="array" ref="U2631">_xlfn.LET(_xlpm.roles,_xlfn.UNIQUE(D2631:D5429),_xlpm.kills, SUMIF(D2631:D5429,_xlpm.roles,G2631:G5429),INDEX(_xlpm.roles,MATCH(MAX(_xlpm.kills),_xlpm.kills,0)))</f>
        <v>Entry Fragger</v>
      </c>
      <c r="V2631" t="str">
        <f t="shared" si="208"/>
        <v>High Accuracy</v>
      </c>
      <c r="W2631" t="str" cm="1">
        <f t="array" ref="W2631">_xlfn.LET(_xlpm.roles,_xlfn.UNIQUE(D2631:D5429), _xlpm.counts,COUNTIF(D2631:D5429,_xlpm.roles), INDEX(_xlpm.roles,MATCH(MAX(_xlpm.counts),_xlpm.counts,0)))</f>
        <v>Entry Fragger</v>
      </c>
      <c r="X2631" s="2">
        <f t="shared" si="209"/>
        <v>12.809421841541756</v>
      </c>
    </row>
    <row r="2632" spans="1:24" x14ac:dyDescent="0.3">
      <c r="A2632">
        <v>438</v>
      </c>
      <c r="B2632">
        <v>468</v>
      </c>
      <c r="C2632" t="s">
        <v>27</v>
      </c>
      <c r="D2632" t="s">
        <v>22</v>
      </c>
      <c r="E2632" t="s">
        <v>33</v>
      </c>
      <c r="F2632" t="s">
        <v>26</v>
      </c>
      <c r="G2632">
        <v>10</v>
      </c>
      <c r="H2632">
        <v>4</v>
      </c>
      <c r="I2632">
        <v>10</v>
      </c>
      <c r="J2632">
        <v>51.47</v>
      </c>
      <c r="K2632">
        <v>305.83</v>
      </c>
      <c r="L2632">
        <v>0.31</v>
      </c>
      <c r="M2632">
        <v>36.630000000000003</v>
      </c>
      <c r="N2632">
        <v>0.9</v>
      </c>
      <c r="O2632" t="s">
        <v>20</v>
      </c>
      <c r="P2632" t="s">
        <v>21</v>
      </c>
      <c r="Q2632">
        <f t="shared" si="205"/>
        <v>4</v>
      </c>
      <c r="R2632" s="4">
        <f>RANK(N2632,$N$2:N$2800,0)</f>
        <v>1738</v>
      </c>
      <c r="S2632">
        <f t="shared" si="206"/>
        <v>1</v>
      </c>
      <c r="T2632" t="str">
        <f t="shared" si="207"/>
        <v>Low</v>
      </c>
      <c r="U2632" t="str" cm="1">
        <f t="array" ref="U2632">_xlfn.LET(_xlpm.roles,_xlfn.UNIQUE(D2632:D5430),_xlpm.kills, SUMIF(D2632:D5430,_xlpm.roles,G2632:G5430),INDEX(_xlpm.roles,MATCH(MAX(_xlpm.kills),_xlpm.kills,0)))</f>
        <v>Entry Fragger</v>
      </c>
      <c r="V2632" t="str">
        <f t="shared" si="208"/>
        <v>High Accuracy</v>
      </c>
      <c r="W2632" t="str" cm="1">
        <f t="array" ref="W2632">_xlfn.LET(_xlpm.roles,_xlfn.UNIQUE(D2632:D5430), _xlpm.counts,COUNTIF(D2632:D5430,_xlpm.roles), INDEX(_xlpm.roles,MATCH(MAX(_xlpm.counts),_xlpm.counts,0)))</f>
        <v>Entry Fragger</v>
      </c>
      <c r="X2632" s="2">
        <f t="shared" si="209"/>
        <v>13.057077625570777</v>
      </c>
    </row>
    <row r="2633" spans="1:24" x14ac:dyDescent="0.3">
      <c r="A2633">
        <v>628</v>
      </c>
      <c r="B2633">
        <v>468</v>
      </c>
      <c r="C2633" t="s">
        <v>30</v>
      </c>
      <c r="D2633" t="s">
        <v>17</v>
      </c>
      <c r="E2633" t="s">
        <v>32</v>
      </c>
      <c r="F2633" t="s">
        <v>34</v>
      </c>
      <c r="G2633">
        <v>18</v>
      </c>
      <c r="H2633">
        <v>9</v>
      </c>
      <c r="I2633">
        <v>9</v>
      </c>
      <c r="J2633">
        <v>47.9</v>
      </c>
      <c r="K2633">
        <v>220.98</v>
      </c>
      <c r="L2633">
        <v>0.53</v>
      </c>
      <c r="M2633">
        <v>54.65</v>
      </c>
      <c r="N2633">
        <v>1</v>
      </c>
      <c r="O2633" t="s">
        <v>20</v>
      </c>
      <c r="P2633" t="s">
        <v>21</v>
      </c>
      <c r="Q2633">
        <f t="shared" si="205"/>
        <v>18</v>
      </c>
      <c r="R2633" s="4">
        <f>RANK(N2633,$N$2:N$2800,0)</f>
        <v>1</v>
      </c>
      <c r="S2633">
        <f t="shared" si="206"/>
        <v>2</v>
      </c>
      <c r="T2633" t="str">
        <f t="shared" si="207"/>
        <v>Good</v>
      </c>
      <c r="U2633" t="str" cm="1">
        <f t="array" ref="U2633">_xlfn.LET(_xlpm.roles,_xlfn.UNIQUE(D2633:D5431),_xlpm.kills, SUMIF(D2633:D5431,_xlpm.roles,G2633:G5431),INDEX(_xlpm.roles,MATCH(MAX(_xlpm.kills),_xlpm.kills,0)))</f>
        <v>Entry Fragger</v>
      </c>
      <c r="V2633" t="str">
        <f t="shared" si="208"/>
        <v>Medium Accuracy</v>
      </c>
      <c r="W2633" t="str" cm="1">
        <f t="array" ref="W2633">_xlfn.LET(_xlpm.roles,_xlfn.UNIQUE(D2633:D5431), _xlpm.counts,COUNTIF(D2633:D5431,_xlpm.roles), INDEX(_xlpm.roles,MATCH(MAX(_xlpm.counts),_xlpm.counts,0)))</f>
        <v>Entry Fragger</v>
      </c>
      <c r="X2633" s="2">
        <f t="shared" si="209"/>
        <v>13.135802469135802</v>
      </c>
    </row>
    <row r="2634" spans="1:24" x14ac:dyDescent="0.3">
      <c r="A2634">
        <v>1752</v>
      </c>
      <c r="B2634">
        <v>468</v>
      </c>
      <c r="C2634" t="s">
        <v>27</v>
      </c>
      <c r="D2634" t="s">
        <v>28</v>
      </c>
      <c r="E2634" t="s">
        <v>32</v>
      </c>
      <c r="F2634" t="s">
        <v>24</v>
      </c>
      <c r="G2634">
        <v>12</v>
      </c>
      <c r="H2634">
        <v>8</v>
      </c>
      <c r="I2634">
        <v>8</v>
      </c>
      <c r="J2634">
        <v>42.71</v>
      </c>
      <c r="K2634">
        <v>187.35</v>
      </c>
      <c r="L2634">
        <v>0.92</v>
      </c>
      <c r="M2634">
        <v>36.159999999999997</v>
      </c>
      <c r="N2634">
        <v>0.92</v>
      </c>
      <c r="O2634" t="s">
        <v>20</v>
      </c>
      <c r="P2634" t="s">
        <v>21</v>
      </c>
      <c r="Q2634">
        <f t="shared" si="205"/>
        <v>12</v>
      </c>
      <c r="R2634" s="4">
        <f>RANK(N2634,$N$2:N$2800,0)</f>
        <v>1585</v>
      </c>
      <c r="S2634">
        <f t="shared" si="206"/>
        <v>1.5</v>
      </c>
      <c r="T2634" t="str">
        <f t="shared" si="207"/>
        <v>Low</v>
      </c>
      <c r="U2634" t="str" cm="1">
        <f t="array" ref="U2634">_xlfn.LET(_xlpm.roles,_xlfn.UNIQUE(D2634:D5432),_xlpm.kills, SUMIF(D2634:D5432,_xlpm.roles,G2634:G5432),INDEX(_xlpm.roles,MATCH(MAX(_xlpm.kills),_xlpm.kills,0)))</f>
        <v>Entry Fragger</v>
      </c>
      <c r="V2634" t="str">
        <f t="shared" si="208"/>
        <v>Medium Accuracy</v>
      </c>
      <c r="W2634" t="str" cm="1">
        <f t="array" ref="W2634">_xlfn.LET(_xlpm.roles,_xlfn.UNIQUE(D2634:D5432), _xlpm.counts,COUNTIF(D2634:D5432,_xlpm.roles), INDEX(_xlpm.roles,MATCH(MAX(_xlpm.counts),_xlpm.counts,0)))</f>
        <v>Entry Fragger</v>
      </c>
      <c r="X2634" s="2">
        <f t="shared" si="209"/>
        <v>13.057077625570777</v>
      </c>
    </row>
    <row r="2635" spans="1:24" x14ac:dyDescent="0.3">
      <c r="A2635">
        <v>2051</v>
      </c>
      <c r="B2635">
        <v>468</v>
      </c>
      <c r="C2635" t="s">
        <v>27</v>
      </c>
      <c r="D2635" t="s">
        <v>31</v>
      </c>
      <c r="E2635" t="s">
        <v>18</v>
      </c>
      <c r="F2635" t="s">
        <v>24</v>
      </c>
      <c r="G2635">
        <v>20</v>
      </c>
      <c r="H2635">
        <v>9</v>
      </c>
      <c r="I2635">
        <v>14</v>
      </c>
      <c r="J2635">
        <v>53.04</v>
      </c>
      <c r="K2635">
        <v>201.46</v>
      </c>
      <c r="L2635">
        <v>0.95</v>
      </c>
      <c r="M2635">
        <v>52.02</v>
      </c>
      <c r="N2635">
        <v>0.95</v>
      </c>
      <c r="O2635" t="s">
        <v>20</v>
      </c>
      <c r="P2635" t="s">
        <v>21</v>
      </c>
      <c r="Q2635">
        <f t="shared" si="205"/>
        <v>15</v>
      </c>
      <c r="R2635" s="4">
        <f>RANK(N2635,$N$2:N$2800,0)</f>
        <v>1367</v>
      </c>
      <c r="S2635">
        <f t="shared" si="206"/>
        <v>1.4285714285714286</v>
      </c>
      <c r="T2635" t="str">
        <f t="shared" si="207"/>
        <v>Good</v>
      </c>
      <c r="U2635" t="str" cm="1">
        <f t="array" ref="U2635">_xlfn.LET(_xlpm.roles,_xlfn.UNIQUE(D2635:D5433),_xlpm.kills, SUMIF(D2635:D5433,_xlpm.roles,G2635:G5433),INDEX(_xlpm.roles,MATCH(MAX(_xlpm.kills),_xlpm.kills,0)))</f>
        <v>Entry Fragger</v>
      </c>
      <c r="V2635" t="str">
        <f t="shared" si="208"/>
        <v>High Accuracy</v>
      </c>
      <c r="W2635" t="str" cm="1">
        <f t="array" ref="W2635">_xlfn.LET(_xlpm.roles,_xlfn.UNIQUE(D2635:D5433), _xlpm.counts,COUNTIF(D2635:D5433,_xlpm.roles), INDEX(_xlpm.roles,MATCH(MAX(_xlpm.counts),_xlpm.counts,0)))</f>
        <v>Entry Fragger</v>
      </c>
      <c r="X2635" s="2">
        <f t="shared" si="209"/>
        <v>13.057077625570777</v>
      </c>
    </row>
    <row r="2636" spans="1:24" x14ac:dyDescent="0.3">
      <c r="A2636">
        <v>58</v>
      </c>
      <c r="B2636">
        <v>469</v>
      </c>
      <c r="C2636" t="s">
        <v>27</v>
      </c>
      <c r="D2636" t="s">
        <v>28</v>
      </c>
      <c r="E2636" t="s">
        <v>29</v>
      </c>
      <c r="F2636" t="s">
        <v>19</v>
      </c>
      <c r="G2636">
        <v>11</v>
      </c>
      <c r="H2636">
        <v>10</v>
      </c>
      <c r="I2636">
        <v>13</v>
      </c>
      <c r="J2636">
        <v>40.21</v>
      </c>
      <c r="K2636">
        <v>226.09</v>
      </c>
      <c r="L2636">
        <v>0.59</v>
      </c>
      <c r="M2636">
        <v>33.21</v>
      </c>
      <c r="N2636">
        <v>0.68</v>
      </c>
      <c r="O2636" t="s">
        <v>20</v>
      </c>
      <c r="P2636" t="s">
        <v>21</v>
      </c>
      <c r="Q2636">
        <f t="shared" si="205"/>
        <v>8</v>
      </c>
      <c r="R2636" s="4">
        <f>RANK(N2636,$N$2:N$2800,0)</f>
        <v>2719</v>
      </c>
      <c r="S2636">
        <f t="shared" si="206"/>
        <v>0.84615384615384615</v>
      </c>
      <c r="T2636" t="str">
        <f t="shared" si="207"/>
        <v>Low</v>
      </c>
      <c r="U2636" t="str" cm="1">
        <f t="array" ref="U2636">_xlfn.LET(_xlpm.roles,_xlfn.UNIQUE(D2636:D5434),_xlpm.kills, SUMIF(D2636:D5434,_xlpm.roles,G2636:G5434),INDEX(_xlpm.roles,MATCH(MAX(_xlpm.kills),_xlpm.kills,0)))</f>
        <v>Entry Fragger</v>
      </c>
      <c r="V2636" t="str">
        <f t="shared" si="208"/>
        <v>Medium Accuracy</v>
      </c>
      <c r="W2636" t="str" cm="1">
        <f t="array" ref="W2636">_xlfn.LET(_xlpm.roles,_xlfn.UNIQUE(D2636:D5434), _xlpm.counts,COUNTIF(D2636:D5434,_xlpm.roles), INDEX(_xlpm.roles,MATCH(MAX(_xlpm.counts),_xlpm.counts,0)))</f>
        <v>Entry Fragger</v>
      </c>
      <c r="X2636" s="2">
        <f t="shared" si="209"/>
        <v>13.057077625570777</v>
      </c>
    </row>
    <row r="2637" spans="1:24" x14ac:dyDescent="0.3">
      <c r="A2637">
        <v>231</v>
      </c>
      <c r="B2637">
        <v>469</v>
      </c>
      <c r="C2637" t="s">
        <v>16</v>
      </c>
      <c r="D2637" t="s">
        <v>28</v>
      </c>
      <c r="E2637" t="s">
        <v>23</v>
      </c>
      <c r="F2637" t="s">
        <v>24</v>
      </c>
      <c r="G2637">
        <v>16</v>
      </c>
      <c r="H2637">
        <v>7</v>
      </c>
      <c r="I2637">
        <v>11</v>
      </c>
      <c r="J2637">
        <v>32.64</v>
      </c>
      <c r="K2637">
        <v>223.97</v>
      </c>
      <c r="L2637">
        <v>0.67</v>
      </c>
      <c r="M2637">
        <v>37.619999999999997</v>
      </c>
      <c r="N2637">
        <v>0.87</v>
      </c>
      <c r="O2637" t="s">
        <v>20</v>
      </c>
      <c r="P2637" t="s">
        <v>21</v>
      </c>
      <c r="Q2637">
        <f t="shared" si="205"/>
        <v>12</v>
      </c>
      <c r="R2637" s="4">
        <f>RANK(N2637,$N$2:N$2800,0)</f>
        <v>1965</v>
      </c>
      <c r="S2637">
        <f t="shared" si="206"/>
        <v>1.4545454545454546</v>
      </c>
      <c r="T2637" t="str">
        <f t="shared" si="207"/>
        <v>Low</v>
      </c>
      <c r="U2637" t="str" cm="1">
        <f t="array" ref="U2637">_xlfn.LET(_xlpm.roles,_xlfn.UNIQUE(D2637:D5435),_xlpm.kills, SUMIF(D2637:D5435,_xlpm.roles,G2637:G5435),INDEX(_xlpm.roles,MATCH(MAX(_xlpm.kills),_xlpm.kills,0)))</f>
        <v>Entry Fragger</v>
      </c>
      <c r="V2637" t="str">
        <f t="shared" si="208"/>
        <v>Medium Accuracy</v>
      </c>
      <c r="W2637" t="str" cm="1">
        <f t="array" ref="W2637">_xlfn.LET(_xlpm.roles,_xlfn.UNIQUE(D2637:D5435), _xlpm.counts,COUNTIF(D2637:D5435,_xlpm.roles), INDEX(_xlpm.roles,MATCH(MAX(_xlpm.counts),_xlpm.counts,0)))</f>
        <v>Entry Fragger</v>
      </c>
      <c r="X2637" s="2">
        <f t="shared" si="209"/>
        <v>12.520971302428256</v>
      </c>
    </row>
    <row r="2638" spans="1:24" x14ac:dyDescent="0.3">
      <c r="A2638">
        <v>459</v>
      </c>
      <c r="B2638">
        <v>469</v>
      </c>
      <c r="C2638" t="s">
        <v>39</v>
      </c>
      <c r="D2638" t="s">
        <v>17</v>
      </c>
      <c r="E2638" t="s">
        <v>23</v>
      </c>
      <c r="F2638" t="s">
        <v>24</v>
      </c>
      <c r="G2638">
        <v>17</v>
      </c>
      <c r="H2638">
        <v>12</v>
      </c>
      <c r="I2638">
        <v>18</v>
      </c>
      <c r="J2638">
        <v>54.62</v>
      </c>
      <c r="K2638">
        <v>220.26</v>
      </c>
      <c r="L2638">
        <v>0.02</v>
      </c>
      <c r="M2638">
        <v>55.11</v>
      </c>
      <c r="N2638">
        <v>0.9</v>
      </c>
      <c r="O2638" t="s">
        <v>20</v>
      </c>
      <c r="P2638" t="s">
        <v>21</v>
      </c>
      <c r="Q2638">
        <f t="shared" si="205"/>
        <v>11</v>
      </c>
      <c r="R2638" s="4">
        <f>RANK(N2638,$N$2:N$2800,0)</f>
        <v>1738</v>
      </c>
      <c r="S2638">
        <f t="shared" si="206"/>
        <v>0.94444444444444442</v>
      </c>
      <c r="T2638" t="str">
        <f t="shared" si="207"/>
        <v>Low</v>
      </c>
      <c r="U2638" t="str" cm="1">
        <f t="array" ref="U2638">_xlfn.LET(_xlpm.roles,_xlfn.UNIQUE(D2638:D5436),_xlpm.kills, SUMIF(D2638:D5436,_xlpm.roles,G2638:G5436),INDEX(_xlpm.roles,MATCH(MAX(_xlpm.kills),_xlpm.kills,0)))</f>
        <v>Entry Fragger</v>
      </c>
      <c r="V2638" t="str">
        <f t="shared" si="208"/>
        <v>High Accuracy</v>
      </c>
      <c r="W2638" t="str" cm="1">
        <f t="array" ref="W2638">_xlfn.LET(_xlpm.roles,_xlfn.UNIQUE(D2638:D5436), _xlpm.counts,COUNTIF(D2638:D5436,_xlpm.roles), INDEX(_xlpm.roles,MATCH(MAX(_xlpm.counts),_xlpm.counts,0)))</f>
        <v>Entry Fragger</v>
      </c>
      <c r="X2638" s="2">
        <f t="shared" si="209"/>
        <v>13.103594080338267</v>
      </c>
    </row>
    <row r="2639" spans="1:24" x14ac:dyDescent="0.3">
      <c r="A2639">
        <v>1077</v>
      </c>
      <c r="B2639">
        <v>469</v>
      </c>
      <c r="C2639" t="s">
        <v>39</v>
      </c>
      <c r="D2639" t="s">
        <v>22</v>
      </c>
      <c r="E2639" t="s">
        <v>18</v>
      </c>
      <c r="F2639" t="s">
        <v>24</v>
      </c>
      <c r="G2639">
        <v>21</v>
      </c>
      <c r="H2639">
        <v>8</v>
      </c>
      <c r="I2639">
        <v>9</v>
      </c>
      <c r="J2639">
        <v>47.74</v>
      </c>
      <c r="K2639">
        <v>252.48</v>
      </c>
      <c r="L2639">
        <v>0.61</v>
      </c>
      <c r="M2639">
        <v>58.77</v>
      </c>
      <c r="N2639">
        <v>1</v>
      </c>
      <c r="O2639" t="s">
        <v>20</v>
      </c>
      <c r="P2639" t="s">
        <v>21</v>
      </c>
      <c r="Q2639">
        <f t="shared" si="205"/>
        <v>20</v>
      </c>
      <c r="R2639" s="4">
        <f>RANK(N2639,$N$2:N$2800,0)</f>
        <v>1</v>
      </c>
      <c r="S2639">
        <f t="shared" si="206"/>
        <v>2.3333333333333335</v>
      </c>
      <c r="T2639" t="str">
        <f t="shared" si="207"/>
        <v>Good</v>
      </c>
      <c r="U2639" t="str" cm="1">
        <f t="array" ref="U2639">_xlfn.LET(_xlpm.roles,_xlfn.UNIQUE(D2639:D5437),_xlpm.kills, SUMIF(D2639:D5437,_xlpm.roles,G2639:G5437),INDEX(_xlpm.roles,MATCH(MAX(_xlpm.kills),_xlpm.kills,0)))</f>
        <v>Entry Fragger</v>
      </c>
      <c r="V2639" t="str">
        <f t="shared" si="208"/>
        <v>Medium Accuracy</v>
      </c>
      <c r="W2639" t="str" cm="1">
        <f t="array" ref="W2639">_xlfn.LET(_xlpm.roles,_xlfn.UNIQUE(D2639:D5437), _xlpm.counts,COUNTIF(D2639:D5437,_xlpm.roles), INDEX(_xlpm.roles,MATCH(MAX(_xlpm.counts),_xlpm.counts,0)))</f>
        <v>Entry Fragger</v>
      </c>
      <c r="X2639" s="2">
        <f t="shared" si="209"/>
        <v>13.103594080338267</v>
      </c>
    </row>
    <row r="2640" spans="1:24" x14ac:dyDescent="0.3">
      <c r="A2640">
        <v>1131</v>
      </c>
      <c r="B2640">
        <v>469</v>
      </c>
      <c r="C2640" t="s">
        <v>35</v>
      </c>
      <c r="D2640" t="s">
        <v>22</v>
      </c>
      <c r="E2640" t="s">
        <v>29</v>
      </c>
      <c r="F2640" t="s">
        <v>37</v>
      </c>
      <c r="G2640">
        <v>18</v>
      </c>
      <c r="H2640">
        <v>6</v>
      </c>
      <c r="I2640">
        <v>4</v>
      </c>
      <c r="J2640">
        <v>45.46</v>
      </c>
      <c r="K2640">
        <v>235.4</v>
      </c>
      <c r="L2640">
        <v>0.51</v>
      </c>
      <c r="M2640">
        <v>55.63</v>
      </c>
      <c r="N2640">
        <v>0.94</v>
      </c>
      <c r="O2640" t="s">
        <v>20</v>
      </c>
      <c r="P2640" t="s">
        <v>21</v>
      </c>
      <c r="Q2640">
        <f t="shared" si="205"/>
        <v>20</v>
      </c>
      <c r="R2640" s="4">
        <f>RANK(N2640,$N$2:N$2800,0)</f>
        <v>1431</v>
      </c>
      <c r="S2640">
        <f t="shared" si="206"/>
        <v>4.5</v>
      </c>
      <c r="T2640" t="str">
        <f t="shared" si="207"/>
        <v>Good</v>
      </c>
      <c r="U2640" t="str" cm="1">
        <f t="array" ref="U2640">_xlfn.LET(_xlpm.roles,_xlfn.UNIQUE(D2640:D5438),_xlpm.kills, SUMIF(D2640:D5438,_xlpm.roles,G2640:G5438),INDEX(_xlpm.roles,MATCH(MAX(_xlpm.kills),_xlpm.kills,0)))</f>
        <v>Entry Fragger</v>
      </c>
      <c r="V2640" t="str">
        <f t="shared" si="208"/>
        <v>Medium Accuracy</v>
      </c>
      <c r="W2640" t="str" cm="1">
        <f t="array" ref="W2640">_xlfn.LET(_xlpm.roles,_xlfn.UNIQUE(D2640:D5438), _xlpm.counts,COUNTIF(D2640:D5438,_xlpm.roles), INDEX(_xlpm.roles,MATCH(MAX(_xlpm.counts),_xlpm.counts,0)))</f>
        <v>Entry Fragger</v>
      </c>
      <c r="X2640" s="2">
        <f t="shared" si="209"/>
        <v>12.599585062240664</v>
      </c>
    </row>
    <row r="2641" spans="1:24" x14ac:dyDescent="0.3">
      <c r="A2641">
        <v>665</v>
      </c>
      <c r="B2641">
        <v>470</v>
      </c>
      <c r="C2641" t="s">
        <v>39</v>
      </c>
      <c r="D2641" t="s">
        <v>36</v>
      </c>
      <c r="E2641" t="s">
        <v>23</v>
      </c>
      <c r="F2641" t="s">
        <v>19</v>
      </c>
      <c r="G2641">
        <v>7</v>
      </c>
      <c r="H2641">
        <v>6</v>
      </c>
      <c r="I2641">
        <v>7</v>
      </c>
      <c r="J2641">
        <v>46.79</v>
      </c>
      <c r="K2641">
        <v>194.61</v>
      </c>
      <c r="L2641">
        <v>0.68</v>
      </c>
      <c r="M2641">
        <v>29.59</v>
      </c>
      <c r="N2641">
        <v>0.89</v>
      </c>
      <c r="O2641" t="s">
        <v>20</v>
      </c>
      <c r="P2641" t="s">
        <v>21</v>
      </c>
      <c r="Q2641">
        <f t="shared" si="205"/>
        <v>6</v>
      </c>
      <c r="R2641" s="4">
        <f>RANK(N2641,$N$2:N$2800,0)</f>
        <v>1815</v>
      </c>
      <c r="S2641">
        <f t="shared" si="206"/>
        <v>1</v>
      </c>
      <c r="T2641" t="str">
        <f t="shared" si="207"/>
        <v>Low</v>
      </c>
      <c r="U2641" t="str" cm="1">
        <f t="array" ref="U2641">_xlfn.LET(_xlpm.roles,_xlfn.UNIQUE(D2641:D5439),_xlpm.kills, SUMIF(D2641:D5439,_xlpm.roles,G2641:G5439),INDEX(_xlpm.roles,MATCH(MAX(_xlpm.kills),_xlpm.kills,0)))</f>
        <v>Entry Fragger</v>
      </c>
      <c r="V2641" t="str">
        <f t="shared" si="208"/>
        <v>Medium Accuracy</v>
      </c>
      <c r="W2641" t="str" cm="1">
        <f t="array" ref="W2641">_xlfn.LET(_xlpm.roles,_xlfn.UNIQUE(D2641:D5439), _xlpm.counts,COUNTIF(D2641:D5439,_xlpm.roles), INDEX(_xlpm.roles,MATCH(MAX(_xlpm.counts),_xlpm.counts,0)))</f>
        <v>Entry Fragger</v>
      </c>
      <c r="X2641" s="2">
        <f t="shared" si="209"/>
        <v>13.103594080338267</v>
      </c>
    </row>
    <row r="2642" spans="1:24" x14ac:dyDescent="0.3">
      <c r="A2642">
        <v>1296</v>
      </c>
      <c r="B2642">
        <v>470</v>
      </c>
      <c r="C2642" t="s">
        <v>35</v>
      </c>
      <c r="D2642" t="s">
        <v>31</v>
      </c>
      <c r="E2642" t="s">
        <v>29</v>
      </c>
      <c r="F2642" t="s">
        <v>37</v>
      </c>
      <c r="G2642">
        <v>21</v>
      </c>
      <c r="H2642">
        <v>4</v>
      </c>
      <c r="I2642">
        <v>9</v>
      </c>
      <c r="J2642">
        <v>53.51</v>
      </c>
      <c r="K2642">
        <v>196.4</v>
      </c>
      <c r="L2642">
        <v>0.3</v>
      </c>
      <c r="M2642">
        <v>60.75</v>
      </c>
      <c r="N2642">
        <v>1</v>
      </c>
      <c r="O2642" t="s">
        <v>20</v>
      </c>
      <c r="P2642" t="s">
        <v>38</v>
      </c>
      <c r="Q2642">
        <f t="shared" si="205"/>
        <v>16</v>
      </c>
      <c r="R2642" s="4">
        <f>RANK(N2642,$N$2:N$2800,0)</f>
        <v>1</v>
      </c>
      <c r="S2642">
        <f t="shared" si="206"/>
        <v>2.3333333333333335</v>
      </c>
      <c r="T2642" t="str">
        <f t="shared" si="207"/>
        <v>Good</v>
      </c>
      <c r="U2642" t="str" cm="1">
        <f t="array" ref="U2642">_xlfn.LET(_xlpm.roles,_xlfn.UNIQUE(D2642:D5440),_xlpm.kills, SUMIF(D2642:D5440,_xlpm.roles,G2642:G5440),INDEX(_xlpm.roles,MATCH(MAX(_xlpm.kills),_xlpm.kills,0)))</f>
        <v>Entry Fragger</v>
      </c>
      <c r="V2642" t="str">
        <f t="shared" si="208"/>
        <v>High Accuracy</v>
      </c>
      <c r="W2642" t="str" cm="1">
        <f t="array" ref="W2642">_xlfn.LET(_xlpm.roles,_xlfn.UNIQUE(D2642:D5440), _xlpm.counts,COUNTIF(D2642:D5440,_xlpm.roles), INDEX(_xlpm.roles,MATCH(MAX(_xlpm.counts),_xlpm.counts,0)))</f>
        <v>Entry Fragger</v>
      </c>
      <c r="X2642" s="2">
        <f t="shared" si="209"/>
        <v>12.599585062240664</v>
      </c>
    </row>
    <row r="2643" spans="1:24" x14ac:dyDescent="0.3">
      <c r="A2643">
        <v>1558</v>
      </c>
      <c r="B2643">
        <v>470</v>
      </c>
      <c r="C2643" t="s">
        <v>39</v>
      </c>
      <c r="D2643" t="s">
        <v>28</v>
      </c>
      <c r="E2643" t="s">
        <v>29</v>
      </c>
      <c r="F2643" t="s">
        <v>19</v>
      </c>
      <c r="G2643">
        <v>15</v>
      </c>
      <c r="H2643">
        <v>8</v>
      </c>
      <c r="I2643">
        <v>14</v>
      </c>
      <c r="J2643">
        <v>53.89</v>
      </c>
      <c r="K2643">
        <v>193.1</v>
      </c>
      <c r="L2643">
        <v>0.97</v>
      </c>
      <c r="M2643">
        <v>41.25</v>
      </c>
      <c r="N2643">
        <v>0.76</v>
      </c>
      <c r="O2643" t="s">
        <v>20</v>
      </c>
      <c r="P2643" t="s">
        <v>21</v>
      </c>
      <c r="Q2643">
        <f t="shared" si="205"/>
        <v>9</v>
      </c>
      <c r="R2643" s="4">
        <f>RANK(N2643,$N$2:N$2800,0)</f>
        <v>2547</v>
      </c>
      <c r="S2643">
        <f t="shared" si="206"/>
        <v>1.0714285714285714</v>
      </c>
      <c r="T2643" t="str">
        <f t="shared" si="207"/>
        <v>Low</v>
      </c>
      <c r="U2643" t="str" cm="1">
        <f t="array" ref="U2643">_xlfn.LET(_xlpm.roles,_xlfn.UNIQUE(D2643:D5441),_xlpm.kills, SUMIF(D2643:D5441,_xlpm.roles,G2643:G5441),INDEX(_xlpm.roles,MATCH(MAX(_xlpm.kills),_xlpm.kills,0)))</f>
        <v>Entry Fragger</v>
      </c>
      <c r="V2643" t="str">
        <f t="shared" si="208"/>
        <v>High Accuracy</v>
      </c>
      <c r="W2643" t="str" cm="1">
        <f t="array" ref="W2643">_xlfn.LET(_xlpm.roles,_xlfn.UNIQUE(D2643:D5441), _xlpm.counts,COUNTIF(D2643:D5441,_xlpm.roles), INDEX(_xlpm.roles,MATCH(MAX(_xlpm.counts),_xlpm.counts,0)))</f>
        <v>Entry Fragger</v>
      </c>
      <c r="X2643" s="2">
        <f t="shared" si="209"/>
        <v>13.103594080338267</v>
      </c>
    </row>
    <row r="2644" spans="1:24" x14ac:dyDescent="0.3">
      <c r="A2644">
        <v>1708</v>
      </c>
      <c r="B2644">
        <v>470</v>
      </c>
      <c r="C2644" t="s">
        <v>30</v>
      </c>
      <c r="D2644" t="s">
        <v>28</v>
      </c>
      <c r="E2644" t="s">
        <v>33</v>
      </c>
      <c r="F2644" t="s">
        <v>26</v>
      </c>
      <c r="G2644">
        <v>19</v>
      </c>
      <c r="H2644">
        <v>4</v>
      </c>
      <c r="I2644">
        <v>13</v>
      </c>
      <c r="J2644">
        <v>35.479999999999997</v>
      </c>
      <c r="K2644">
        <v>215.74</v>
      </c>
      <c r="L2644">
        <v>0.48</v>
      </c>
      <c r="M2644">
        <v>41.94</v>
      </c>
      <c r="N2644">
        <v>0.83</v>
      </c>
      <c r="O2644" t="s">
        <v>20</v>
      </c>
      <c r="P2644" t="s">
        <v>21</v>
      </c>
      <c r="Q2644">
        <f t="shared" si="205"/>
        <v>10</v>
      </c>
      <c r="R2644" s="4">
        <f>RANK(N2644,$N$2:N$2800,0)</f>
        <v>2218</v>
      </c>
      <c r="S2644">
        <f t="shared" si="206"/>
        <v>1.4615384615384615</v>
      </c>
      <c r="T2644" t="str">
        <f t="shared" si="207"/>
        <v>Low</v>
      </c>
      <c r="U2644" t="str" cm="1">
        <f t="array" ref="U2644">_xlfn.LET(_xlpm.roles,_xlfn.UNIQUE(D2644:D5442),_xlpm.kills, SUMIF(D2644:D5442,_xlpm.roles,G2644:G5442),INDEX(_xlpm.roles,MATCH(MAX(_xlpm.kills),_xlpm.kills,0)))</f>
        <v>Entry Fragger</v>
      </c>
      <c r="V2644" t="str">
        <f t="shared" si="208"/>
        <v>Medium Accuracy</v>
      </c>
      <c r="W2644" t="str" cm="1">
        <f t="array" ref="W2644">_xlfn.LET(_xlpm.roles,_xlfn.UNIQUE(D2644:D5442), _xlpm.counts,COUNTIF(D2644:D5442,_xlpm.roles), INDEX(_xlpm.roles,MATCH(MAX(_xlpm.counts),_xlpm.counts,0)))</f>
        <v>Entry Fragger</v>
      </c>
      <c r="X2644" s="2">
        <f t="shared" si="209"/>
        <v>13.135802469135802</v>
      </c>
    </row>
    <row r="2645" spans="1:24" x14ac:dyDescent="0.3">
      <c r="A2645">
        <v>1778</v>
      </c>
      <c r="B2645">
        <v>470</v>
      </c>
      <c r="C2645" t="s">
        <v>35</v>
      </c>
      <c r="D2645" t="s">
        <v>22</v>
      </c>
      <c r="E2645" t="s">
        <v>18</v>
      </c>
      <c r="F2645" t="s">
        <v>37</v>
      </c>
      <c r="G2645">
        <v>6</v>
      </c>
      <c r="H2645">
        <v>6</v>
      </c>
      <c r="I2645">
        <v>6</v>
      </c>
      <c r="J2645">
        <v>35.729999999999997</v>
      </c>
      <c r="K2645">
        <v>215.59</v>
      </c>
      <c r="L2645">
        <v>0.73</v>
      </c>
      <c r="M2645">
        <v>22.56</v>
      </c>
      <c r="N2645">
        <v>0.77</v>
      </c>
      <c r="O2645" t="s">
        <v>20</v>
      </c>
      <c r="P2645" t="s">
        <v>21</v>
      </c>
      <c r="Q2645">
        <f t="shared" si="205"/>
        <v>6</v>
      </c>
      <c r="R2645" s="4">
        <f>RANK(N2645,$N$2:N$2800,0)</f>
        <v>2511</v>
      </c>
      <c r="S2645">
        <f t="shared" si="206"/>
        <v>1</v>
      </c>
      <c r="T2645" t="str">
        <f t="shared" si="207"/>
        <v>Low</v>
      </c>
      <c r="U2645" t="str" cm="1">
        <f t="array" ref="U2645">_xlfn.LET(_xlpm.roles,_xlfn.UNIQUE(D2645:D5443),_xlpm.kills, SUMIF(D2645:D5443,_xlpm.roles,G2645:G5443),INDEX(_xlpm.roles,MATCH(MAX(_xlpm.kills),_xlpm.kills,0)))</f>
        <v>Entry Fragger</v>
      </c>
      <c r="V2645" t="str">
        <f t="shared" si="208"/>
        <v>Medium Accuracy</v>
      </c>
      <c r="W2645" t="str" cm="1">
        <f t="array" ref="W2645">_xlfn.LET(_xlpm.roles,_xlfn.UNIQUE(D2645:D5443), _xlpm.counts,COUNTIF(D2645:D5443,_xlpm.roles), INDEX(_xlpm.roles,MATCH(MAX(_xlpm.counts),_xlpm.counts,0)))</f>
        <v>Entry Fragger</v>
      </c>
      <c r="X2645" s="2">
        <f t="shared" si="209"/>
        <v>12.599585062240664</v>
      </c>
    </row>
    <row r="2646" spans="1:24" x14ac:dyDescent="0.3">
      <c r="A2646">
        <v>2431</v>
      </c>
      <c r="B2646">
        <v>470</v>
      </c>
      <c r="C2646" t="s">
        <v>25</v>
      </c>
      <c r="D2646" t="s">
        <v>28</v>
      </c>
      <c r="E2646" t="s">
        <v>32</v>
      </c>
      <c r="F2646" t="s">
        <v>26</v>
      </c>
      <c r="G2646">
        <v>19</v>
      </c>
      <c r="H2646">
        <v>6</v>
      </c>
      <c r="I2646">
        <v>10</v>
      </c>
      <c r="J2646">
        <v>52.9</v>
      </c>
      <c r="K2646">
        <v>200.21</v>
      </c>
      <c r="L2646">
        <v>0.52</v>
      </c>
      <c r="M2646">
        <v>55.25</v>
      </c>
      <c r="N2646">
        <v>0.92</v>
      </c>
      <c r="O2646" t="s">
        <v>20</v>
      </c>
      <c r="P2646" t="s">
        <v>21</v>
      </c>
      <c r="Q2646">
        <f t="shared" si="205"/>
        <v>15</v>
      </c>
      <c r="R2646" s="4">
        <f>RANK(N2646,$N$2:N$2800,0)</f>
        <v>1585</v>
      </c>
      <c r="S2646">
        <f t="shared" si="206"/>
        <v>1.9</v>
      </c>
      <c r="T2646" t="str">
        <f t="shared" si="207"/>
        <v>Good</v>
      </c>
      <c r="U2646" t="str" cm="1">
        <f t="array" ref="U2646">_xlfn.LET(_xlpm.roles,_xlfn.UNIQUE(D2646:D5444),_xlpm.kills, SUMIF(D2646:D5444,_xlpm.roles,G2646:G5444),INDEX(_xlpm.roles,MATCH(MAX(_xlpm.kills),_xlpm.kills,0)))</f>
        <v>Entry Fragger</v>
      </c>
      <c r="V2646" t="str">
        <f t="shared" si="208"/>
        <v>High Accuracy</v>
      </c>
      <c r="W2646" t="str" cm="1">
        <f t="array" ref="W2646">_xlfn.LET(_xlpm.roles,_xlfn.UNIQUE(D2646:D5444), _xlpm.counts,COUNTIF(D2646:D5444,_xlpm.roles), INDEX(_xlpm.roles,MATCH(MAX(_xlpm.counts),_xlpm.counts,0)))</f>
        <v>Entry Fragger</v>
      </c>
      <c r="X2646" s="2">
        <f t="shared" si="209"/>
        <v>12.809421841541756</v>
      </c>
    </row>
    <row r="2647" spans="1:24" x14ac:dyDescent="0.3">
      <c r="A2647">
        <v>638</v>
      </c>
      <c r="B2647">
        <v>471</v>
      </c>
      <c r="C2647" t="s">
        <v>27</v>
      </c>
      <c r="D2647" t="s">
        <v>28</v>
      </c>
      <c r="E2647" t="s">
        <v>18</v>
      </c>
      <c r="F2647" t="s">
        <v>24</v>
      </c>
      <c r="G2647">
        <v>18</v>
      </c>
      <c r="H2647">
        <v>12</v>
      </c>
      <c r="I2647">
        <v>6</v>
      </c>
      <c r="J2647">
        <v>43.35</v>
      </c>
      <c r="K2647">
        <v>263.01</v>
      </c>
      <c r="L2647">
        <v>0.85</v>
      </c>
      <c r="M2647">
        <v>55.17</v>
      </c>
      <c r="N2647">
        <v>0.87</v>
      </c>
      <c r="O2647" t="s">
        <v>20</v>
      </c>
      <c r="P2647" t="s">
        <v>21</v>
      </c>
      <c r="Q2647">
        <f t="shared" si="205"/>
        <v>24</v>
      </c>
      <c r="R2647" s="4">
        <f>RANK(N2647,$N$2:N$2800,0)</f>
        <v>1965</v>
      </c>
      <c r="S2647">
        <f t="shared" si="206"/>
        <v>3</v>
      </c>
      <c r="T2647" t="str">
        <f t="shared" si="207"/>
        <v>Good</v>
      </c>
      <c r="U2647" t="str" cm="1">
        <f t="array" ref="U2647">_xlfn.LET(_xlpm.roles,_xlfn.UNIQUE(D2647:D5445),_xlpm.kills, SUMIF(D2647:D5445,_xlpm.roles,G2647:G5445),INDEX(_xlpm.roles,MATCH(MAX(_xlpm.kills),_xlpm.kills,0)))</f>
        <v>Entry Fragger</v>
      </c>
      <c r="V2647" t="str">
        <f t="shared" si="208"/>
        <v>Medium Accuracy</v>
      </c>
      <c r="W2647" t="str" cm="1">
        <f t="array" ref="W2647">_xlfn.LET(_xlpm.roles,_xlfn.UNIQUE(D2647:D5445), _xlpm.counts,COUNTIF(D2647:D5445,_xlpm.roles), INDEX(_xlpm.roles,MATCH(MAX(_xlpm.counts),_xlpm.counts,0)))</f>
        <v>Entry Fragger</v>
      </c>
      <c r="X2647" s="2">
        <f t="shared" si="209"/>
        <v>13.057077625570777</v>
      </c>
    </row>
    <row r="2648" spans="1:24" x14ac:dyDescent="0.3">
      <c r="A2648">
        <v>1066</v>
      </c>
      <c r="B2648">
        <v>471</v>
      </c>
      <c r="C2648" t="s">
        <v>25</v>
      </c>
      <c r="D2648" t="s">
        <v>36</v>
      </c>
      <c r="E2648" t="s">
        <v>18</v>
      </c>
      <c r="F2648" t="s">
        <v>34</v>
      </c>
      <c r="G2648">
        <v>7</v>
      </c>
      <c r="H2648">
        <v>8</v>
      </c>
      <c r="I2648">
        <v>3</v>
      </c>
      <c r="J2648">
        <v>45.66</v>
      </c>
      <c r="K2648">
        <v>250.23</v>
      </c>
      <c r="L2648">
        <v>0.37</v>
      </c>
      <c r="M2648">
        <v>38.130000000000003</v>
      </c>
      <c r="N2648">
        <v>0.83</v>
      </c>
      <c r="O2648" t="s">
        <v>20</v>
      </c>
      <c r="P2648" t="s">
        <v>21</v>
      </c>
      <c r="Q2648">
        <f t="shared" si="205"/>
        <v>12</v>
      </c>
      <c r="R2648" s="4">
        <f>RANK(N2648,$N$2:N$2800,0)</f>
        <v>2218</v>
      </c>
      <c r="S2648">
        <f t="shared" si="206"/>
        <v>2.3333333333333335</v>
      </c>
      <c r="T2648" t="str">
        <f t="shared" si="207"/>
        <v>Low</v>
      </c>
      <c r="U2648" t="str" cm="1">
        <f t="array" ref="U2648">_xlfn.LET(_xlpm.roles,_xlfn.UNIQUE(D2648:D5446),_xlpm.kills, SUMIF(D2648:D5446,_xlpm.roles,G2648:G5446),INDEX(_xlpm.roles,MATCH(MAX(_xlpm.kills),_xlpm.kills,0)))</f>
        <v>Entry Fragger</v>
      </c>
      <c r="V2648" t="str">
        <f t="shared" si="208"/>
        <v>Medium Accuracy</v>
      </c>
      <c r="W2648" t="str" cm="1">
        <f t="array" ref="W2648">_xlfn.LET(_xlpm.roles,_xlfn.UNIQUE(D2648:D5446), _xlpm.counts,COUNTIF(D2648:D5446,_xlpm.roles), INDEX(_xlpm.roles,MATCH(MAX(_xlpm.counts),_xlpm.counts,0)))</f>
        <v>Entry Fragger</v>
      </c>
      <c r="X2648" s="2">
        <f t="shared" si="209"/>
        <v>12.809421841541756</v>
      </c>
    </row>
    <row r="2649" spans="1:24" x14ac:dyDescent="0.3">
      <c r="A2649">
        <v>1205</v>
      </c>
      <c r="B2649">
        <v>471</v>
      </c>
      <c r="C2649" t="s">
        <v>30</v>
      </c>
      <c r="D2649" t="s">
        <v>36</v>
      </c>
      <c r="E2649" t="s">
        <v>29</v>
      </c>
      <c r="F2649" t="s">
        <v>19</v>
      </c>
      <c r="G2649">
        <v>14</v>
      </c>
      <c r="H2649">
        <v>11</v>
      </c>
      <c r="I2649">
        <v>9</v>
      </c>
      <c r="J2649">
        <v>31.55</v>
      </c>
      <c r="K2649">
        <v>241.76</v>
      </c>
      <c r="L2649">
        <v>0.64</v>
      </c>
      <c r="M2649">
        <v>39.380000000000003</v>
      </c>
      <c r="N2649">
        <v>0.99</v>
      </c>
      <c r="O2649" t="s">
        <v>20</v>
      </c>
      <c r="P2649" t="s">
        <v>21</v>
      </c>
      <c r="Q2649">
        <f t="shared" si="205"/>
        <v>16</v>
      </c>
      <c r="R2649" s="4">
        <f>RANK(N2649,$N$2:N$2800,0)</f>
        <v>1080</v>
      </c>
      <c r="S2649">
        <f t="shared" si="206"/>
        <v>1.5555555555555556</v>
      </c>
      <c r="T2649" t="str">
        <f t="shared" si="207"/>
        <v>Good</v>
      </c>
      <c r="U2649" t="str" cm="1">
        <f t="array" ref="U2649">_xlfn.LET(_xlpm.roles,_xlfn.UNIQUE(D2649:D5447),_xlpm.kills, SUMIF(D2649:D5447,_xlpm.roles,G2649:G5447),INDEX(_xlpm.roles,MATCH(MAX(_xlpm.kills),_xlpm.kills,0)))</f>
        <v>Entry Fragger</v>
      </c>
      <c r="V2649" t="str">
        <f t="shared" si="208"/>
        <v>Medium Accuracy</v>
      </c>
      <c r="W2649" t="str" cm="1">
        <f t="array" ref="W2649">_xlfn.LET(_xlpm.roles,_xlfn.UNIQUE(D2649:D5447), _xlpm.counts,COUNTIF(D2649:D5447,_xlpm.roles), INDEX(_xlpm.roles,MATCH(MAX(_xlpm.counts),_xlpm.counts,0)))</f>
        <v>Entry Fragger</v>
      </c>
      <c r="X2649" s="2">
        <f t="shared" si="209"/>
        <v>13.135802469135802</v>
      </c>
    </row>
    <row r="2650" spans="1:24" x14ac:dyDescent="0.3">
      <c r="A2650">
        <v>1335</v>
      </c>
      <c r="B2650">
        <v>471</v>
      </c>
      <c r="C2650" t="s">
        <v>39</v>
      </c>
      <c r="D2650" t="s">
        <v>17</v>
      </c>
      <c r="E2650" t="s">
        <v>32</v>
      </c>
      <c r="F2650" t="s">
        <v>26</v>
      </c>
      <c r="G2650">
        <v>11</v>
      </c>
      <c r="H2650">
        <v>13</v>
      </c>
      <c r="I2650">
        <v>14</v>
      </c>
      <c r="J2650">
        <v>42.7</v>
      </c>
      <c r="K2650">
        <v>250.36</v>
      </c>
      <c r="L2650">
        <v>0.26</v>
      </c>
      <c r="M2650">
        <v>39.75</v>
      </c>
      <c r="N2650">
        <v>0.7</v>
      </c>
      <c r="O2650" t="s">
        <v>20</v>
      </c>
      <c r="P2650" t="s">
        <v>21</v>
      </c>
      <c r="Q2650">
        <f t="shared" si="205"/>
        <v>10</v>
      </c>
      <c r="R2650" s="4">
        <f>RANK(N2650,$N$2:N$2800,0)</f>
        <v>2702</v>
      </c>
      <c r="S2650">
        <f t="shared" si="206"/>
        <v>0.7857142857142857</v>
      </c>
      <c r="T2650" t="str">
        <f t="shared" si="207"/>
        <v>Low</v>
      </c>
      <c r="U2650" t="str" cm="1">
        <f t="array" ref="U2650">_xlfn.LET(_xlpm.roles,_xlfn.UNIQUE(D2650:D5448),_xlpm.kills, SUMIF(D2650:D5448,_xlpm.roles,G2650:G5448),INDEX(_xlpm.roles,MATCH(MAX(_xlpm.kills),_xlpm.kills,0)))</f>
        <v>Entry Fragger</v>
      </c>
      <c r="V2650" t="str">
        <f t="shared" si="208"/>
        <v>Medium Accuracy</v>
      </c>
      <c r="W2650" t="str" cm="1">
        <f t="array" ref="W2650">_xlfn.LET(_xlpm.roles,_xlfn.UNIQUE(D2650:D5448), _xlpm.counts,COUNTIF(D2650:D5448,_xlpm.roles), INDEX(_xlpm.roles,MATCH(MAX(_xlpm.counts),_xlpm.counts,0)))</f>
        <v>Entry Fragger</v>
      </c>
      <c r="X2650" s="2">
        <f t="shared" si="209"/>
        <v>13.103594080338267</v>
      </c>
    </row>
    <row r="2651" spans="1:24" x14ac:dyDescent="0.3">
      <c r="A2651">
        <v>1466</v>
      </c>
      <c r="B2651">
        <v>471</v>
      </c>
      <c r="C2651" t="s">
        <v>35</v>
      </c>
      <c r="D2651" t="s">
        <v>17</v>
      </c>
      <c r="E2651" t="s">
        <v>18</v>
      </c>
      <c r="F2651" t="s">
        <v>34</v>
      </c>
      <c r="G2651">
        <v>9</v>
      </c>
      <c r="H2651">
        <v>8</v>
      </c>
      <c r="I2651">
        <v>5</v>
      </c>
      <c r="J2651">
        <v>37.33</v>
      </c>
      <c r="K2651">
        <v>228.13</v>
      </c>
      <c r="L2651">
        <v>0.79</v>
      </c>
      <c r="M2651">
        <v>31.77</v>
      </c>
      <c r="N2651">
        <v>0.82</v>
      </c>
      <c r="O2651" t="s">
        <v>20</v>
      </c>
      <c r="P2651" t="s">
        <v>21</v>
      </c>
      <c r="Q2651">
        <f t="shared" si="205"/>
        <v>12</v>
      </c>
      <c r="R2651" s="4">
        <f>RANK(N2651,$N$2:N$2800,0)</f>
        <v>2275</v>
      </c>
      <c r="S2651">
        <f t="shared" si="206"/>
        <v>1.8</v>
      </c>
      <c r="T2651" t="str">
        <f t="shared" si="207"/>
        <v>Low</v>
      </c>
      <c r="U2651" t="str" cm="1">
        <f t="array" ref="U2651">_xlfn.LET(_xlpm.roles,_xlfn.UNIQUE(D2651:D5449),_xlpm.kills, SUMIF(D2651:D5449,_xlpm.roles,G2651:G5449),INDEX(_xlpm.roles,MATCH(MAX(_xlpm.kills),_xlpm.kills,0)))</f>
        <v>Entry Fragger</v>
      </c>
      <c r="V2651" t="str">
        <f t="shared" si="208"/>
        <v>Medium Accuracy</v>
      </c>
      <c r="W2651" t="str" cm="1">
        <f t="array" ref="W2651">_xlfn.LET(_xlpm.roles,_xlfn.UNIQUE(D2651:D5449), _xlpm.counts,COUNTIF(D2651:D5449,_xlpm.roles), INDEX(_xlpm.roles,MATCH(MAX(_xlpm.counts),_xlpm.counts,0)))</f>
        <v>Entry Fragger</v>
      </c>
      <c r="X2651" s="2">
        <f t="shared" si="209"/>
        <v>12.599585062240664</v>
      </c>
    </row>
    <row r="2652" spans="1:24" x14ac:dyDescent="0.3">
      <c r="A2652">
        <v>1818</v>
      </c>
      <c r="B2652">
        <v>471</v>
      </c>
      <c r="C2652" t="s">
        <v>30</v>
      </c>
      <c r="D2652" t="s">
        <v>36</v>
      </c>
      <c r="E2652" t="s">
        <v>23</v>
      </c>
      <c r="F2652" t="s">
        <v>26</v>
      </c>
      <c r="G2652">
        <v>12</v>
      </c>
      <c r="H2652">
        <v>7</v>
      </c>
      <c r="I2652">
        <v>8</v>
      </c>
      <c r="J2652">
        <v>50.24</v>
      </c>
      <c r="K2652">
        <v>207.57</v>
      </c>
      <c r="L2652">
        <v>0.88</v>
      </c>
      <c r="M2652">
        <v>39.32</v>
      </c>
      <c r="N2652">
        <v>0.84</v>
      </c>
      <c r="O2652" t="s">
        <v>20</v>
      </c>
      <c r="P2652" t="s">
        <v>21</v>
      </c>
      <c r="Q2652">
        <f t="shared" si="205"/>
        <v>11</v>
      </c>
      <c r="R2652" s="4">
        <f>RANK(N2652,$N$2:N$2800,0)</f>
        <v>2156</v>
      </c>
      <c r="S2652">
        <f t="shared" si="206"/>
        <v>1.5</v>
      </c>
      <c r="T2652" t="str">
        <f t="shared" si="207"/>
        <v>Low</v>
      </c>
      <c r="U2652" t="str" cm="1">
        <f t="array" ref="U2652">_xlfn.LET(_xlpm.roles,_xlfn.UNIQUE(D2652:D5450),_xlpm.kills, SUMIF(D2652:D5450,_xlpm.roles,G2652:G5450),INDEX(_xlpm.roles,MATCH(MAX(_xlpm.kills),_xlpm.kills,0)))</f>
        <v>Entry Fragger</v>
      </c>
      <c r="V2652" t="str">
        <f t="shared" si="208"/>
        <v>High Accuracy</v>
      </c>
      <c r="W2652" t="str" cm="1">
        <f t="array" ref="W2652">_xlfn.LET(_xlpm.roles,_xlfn.UNIQUE(D2652:D5450), _xlpm.counts,COUNTIF(D2652:D5450,_xlpm.roles), INDEX(_xlpm.roles,MATCH(MAX(_xlpm.counts),_xlpm.counts,0)))</f>
        <v>Entry Fragger</v>
      </c>
      <c r="X2652" s="2">
        <f t="shared" si="209"/>
        <v>13.135802469135802</v>
      </c>
    </row>
    <row r="2653" spans="1:24" x14ac:dyDescent="0.3">
      <c r="A2653">
        <v>160</v>
      </c>
      <c r="B2653">
        <v>472</v>
      </c>
      <c r="C2653" t="s">
        <v>25</v>
      </c>
      <c r="D2653" t="s">
        <v>17</v>
      </c>
      <c r="E2653" t="s">
        <v>32</v>
      </c>
      <c r="F2653" t="s">
        <v>34</v>
      </c>
      <c r="G2653">
        <v>14</v>
      </c>
      <c r="H2653">
        <v>8</v>
      </c>
      <c r="I2653">
        <v>12</v>
      </c>
      <c r="J2653">
        <v>38.049999999999997</v>
      </c>
      <c r="K2653">
        <v>209.21</v>
      </c>
      <c r="L2653">
        <v>0.75</v>
      </c>
      <c r="M2653">
        <v>35.520000000000003</v>
      </c>
      <c r="N2653">
        <v>0.72</v>
      </c>
      <c r="O2653" t="s">
        <v>20</v>
      </c>
      <c r="P2653" t="s">
        <v>21</v>
      </c>
      <c r="Q2653">
        <f t="shared" si="205"/>
        <v>10</v>
      </c>
      <c r="R2653" s="4">
        <f>RANK(N2653,$N$2:N$2800,0)</f>
        <v>2663</v>
      </c>
      <c r="S2653">
        <f t="shared" si="206"/>
        <v>1.1666666666666667</v>
      </c>
      <c r="T2653" t="str">
        <f t="shared" si="207"/>
        <v>Low</v>
      </c>
      <c r="U2653" t="str" cm="1">
        <f t="array" ref="U2653">_xlfn.LET(_xlpm.roles,_xlfn.UNIQUE(D2653:D5451),_xlpm.kills, SUMIF(D2653:D5451,_xlpm.roles,G2653:G5451),INDEX(_xlpm.roles,MATCH(MAX(_xlpm.kills),_xlpm.kills,0)))</f>
        <v>Entry Fragger</v>
      </c>
      <c r="V2653" t="str">
        <f t="shared" si="208"/>
        <v>Medium Accuracy</v>
      </c>
      <c r="W2653" t="str" cm="1">
        <f t="array" ref="W2653">_xlfn.LET(_xlpm.roles,_xlfn.UNIQUE(D2653:D5451), _xlpm.counts,COUNTIF(D2653:D5451,_xlpm.roles), INDEX(_xlpm.roles,MATCH(MAX(_xlpm.counts),_xlpm.counts,0)))</f>
        <v>Entry Fragger</v>
      </c>
      <c r="X2653" s="2">
        <f t="shared" si="209"/>
        <v>12.809421841541756</v>
      </c>
    </row>
    <row r="2654" spans="1:24" x14ac:dyDescent="0.3">
      <c r="A2654">
        <v>176</v>
      </c>
      <c r="B2654">
        <v>472</v>
      </c>
      <c r="C2654" t="s">
        <v>16</v>
      </c>
      <c r="D2654" t="s">
        <v>28</v>
      </c>
      <c r="E2654" t="s">
        <v>18</v>
      </c>
      <c r="F2654" t="s">
        <v>34</v>
      </c>
      <c r="G2654">
        <v>15</v>
      </c>
      <c r="H2654">
        <v>11</v>
      </c>
      <c r="I2654">
        <v>11</v>
      </c>
      <c r="J2654">
        <v>35.9</v>
      </c>
      <c r="K2654">
        <v>206.71</v>
      </c>
      <c r="L2654">
        <v>0.89</v>
      </c>
      <c r="M2654">
        <v>39.049999999999997</v>
      </c>
      <c r="N2654">
        <v>0.84</v>
      </c>
      <c r="O2654" t="s">
        <v>20</v>
      </c>
      <c r="P2654" t="s">
        <v>21</v>
      </c>
      <c r="Q2654">
        <f t="shared" si="205"/>
        <v>15</v>
      </c>
      <c r="R2654" s="4">
        <f>RANK(N2654,$N$2:N$2800,0)</f>
        <v>2156</v>
      </c>
      <c r="S2654">
        <f t="shared" si="206"/>
        <v>1.3636363636363635</v>
      </c>
      <c r="T2654" t="str">
        <f t="shared" si="207"/>
        <v>Good</v>
      </c>
      <c r="U2654" t="str" cm="1">
        <f t="array" ref="U2654">_xlfn.LET(_xlpm.roles,_xlfn.UNIQUE(D2654:D5452),_xlpm.kills, SUMIF(D2654:D5452,_xlpm.roles,G2654:G5452),INDEX(_xlpm.roles,MATCH(MAX(_xlpm.kills),_xlpm.kills,0)))</f>
        <v>Entry Fragger</v>
      </c>
      <c r="V2654" t="str">
        <f t="shared" si="208"/>
        <v>Medium Accuracy</v>
      </c>
      <c r="W2654" t="str" cm="1">
        <f t="array" ref="W2654">_xlfn.LET(_xlpm.roles,_xlfn.UNIQUE(D2654:D5452), _xlpm.counts,COUNTIF(D2654:D5452,_xlpm.roles), INDEX(_xlpm.roles,MATCH(MAX(_xlpm.counts),_xlpm.counts,0)))</f>
        <v>Entry Fragger</v>
      </c>
      <c r="X2654" s="2">
        <f t="shared" si="209"/>
        <v>12.520971302428256</v>
      </c>
    </row>
    <row r="2655" spans="1:24" x14ac:dyDescent="0.3">
      <c r="A2655">
        <v>1211</v>
      </c>
      <c r="B2655">
        <v>472</v>
      </c>
      <c r="C2655" t="s">
        <v>27</v>
      </c>
      <c r="D2655" t="s">
        <v>22</v>
      </c>
      <c r="E2655" t="s">
        <v>33</v>
      </c>
      <c r="F2655" t="s">
        <v>19</v>
      </c>
      <c r="G2655">
        <v>10</v>
      </c>
      <c r="H2655">
        <v>8</v>
      </c>
      <c r="I2655">
        <v>14</v>
      </c>
      <c r="J2655">
        <v>43.04</v>
      </c>
      <c r="K2655">
        <v>159.46</v>
      </c>
      <c r="L2655">
        <v>0.51</v>
      </c>
      <c r="M2655">
        <v>30.42</v>
      </c>
      <c r="N2655">
        <v>0.87</v>
      </c>
      <c r="O2655" t="s">
        <v>20</v>
      </c>
      <c r="P2655" t="s">
        <v>21</v>
      </c>
      <c r="Q2655">
        <f t="shared" si="205"/>
        <v>4</v>
      </c>
      <c r="R2655" s="4">
        <f>RANK(N2655,$N$2:N$2800,0)</f>
        <v>1965</v>
      </c>
      <c r="S2655">
        <f t="shared" si="206"/>
        <v>0.7142857142857143</v>
      </c>
      <c r="T2655" t="str">
        <f t="shared" si="207"/>
        <v>Low</v>
      </c>
      <c r="U2655" t="str" cm="1">
        <f t="array" ref="U2655">_xlfn.LET(_xlpm.roles,_xlfn.UNIQUE(D2655:D5453),_xlpm.kills, SUMIF(D2655:D5453,_xlpm.roles,G2655:G5453),INDEX(_xlpm.roles,MATCH(MAX(_xlpm.kills),_xlpm.kills,0)))</f>
        <v>Entry Fragger</v>
      </c>
      <c r="V2655" t="str">
        <f t="shared" si="208"/>
        <v>Medium Accuracy</v>
      </c>
      <c r="W2655" t="str" cm="1">
        <f t="array" ref="W2655">_xlfn.LET(_xlpm.roles,_xlfn.UNIQUE(D2655:D5453), _xlpm.counts,COUNTIF(D2655:D5453,_xlpm.roles), INDEX(_xlpm.roles,MATCH(MAX(_xlpm.counts),_xlpm.counts,0)))</f>
        <v>Entry Fragger</v>
      </c>
      <c r="X2655" s="2">
        <f t="shared" si="209"/>
        <v>13.057077625570777</v>
      </c>
    </row>
    <row r="2656" spans="1:24" x14ac:dyDescent="0.3">
      <c r="A2656">
        <v>2479</v>
      </c>
      <c r="B2656">
        <v>472</v>
      </c>
      <c r="C2656" t="s">
        <v>16</v>
      </c>
      <c r="D2656" t="s">
        <v>17</v>
      </c>
      <c r="E2656" t="s">
        <v>18</v>
      </c>
      <c r="F2656" t="s">
        <v>34</v>
      </c>
      <c r="G2656">
        <v>11</v>
      </c>
      <c r="H2656">
        <v>3</v>
      </c>
      <c r="I2656">
        <v>7</v>
      </c>
      <c r="J2656">
        <v>52.28</v>
      </c>
      <c r="K2656">
        <v>238.47</v>
      </c>
      <c r="L2656">
        <v>0.62</v>
      </c>
      <c r="M2656">
        <v>37.94</v>
      </c>
      <c r="N2656">
        <v>0.71</v>
      </c>
      <c r="O2656" t="s">
        <v>20</v>
      </c>
      <c r="P2656" t="s">
        <v>21</v>
      </c>
      <c r="Q2656">
        <f t="shared" si="205"/>
        <v>7</v>
      </c>
      <c r="R2656" s="4">
        <f>RANK(N2656,$N$2:N$2800,0)</f>
        <v>2688</v>
      </c>
      <c r="S2656">
        <f t="shared" si="206"/>
        <v>1.5714285714285714</v>
      </c>
      <c r="T2656" t="str">
        <f t="shared" si="207"/>
        <v>Low</v>
      </c>
      <c r="U2656" t="str" cm="1">
        <f t="array" ref="U2656">_xlfn.LET(_xlpm.roles,_xlfn.UNIQUE(D2656:D5454),_xlpm.kills, SUMIF(D2656:D5454,_xlpm.roles,G2656:G5454),INDEX(_xlpm.roles,MATCH(MAX(_xlpm.kills),_xlpm.kills,0)))</f>
        <v>Entry Fragger</v>
      </c>
      <c r="V2656" t="str">
        <f t="shared" si="208"/>
        <v>High Accuracy</v>
      </c>
      <c r="W2656" t="str" cm="1">
        <f t="array" ref="W2656">_xlfn.LET(_xlpm.roles,_xlfn.UNIQUE(D2656:D5454), _xlpm.counts,COUNTIF(D2656:D5454,_xlpm.roles), INDEX(_xlpm.roles,MATCH(MAX(_xlpm.counts),_xlpm.counts,0)))</f>
        <v>Entry Fragger</v>
      </c>
      <c r="X2656" s="2">
        <f t="shared" si="209"/>
        <v>12.520971302428256</v>
      </c>
    </row>
    <row r="2657" spans="1:24" x14ac:dyDescent="0.3">
      <c r="A2657">
        <v>2769</v>
      </c>
      <c r="B2657">
        <v>472</v>
      </c>
      <c r="C2657" t="s">
        <v>30</v>
      </c>
      <c r="D2657" t="s">
        <v>36</v>
      </c>
      <c r="E2657" t="s">
        <v>32</v>
      </c>
      <c r="F2657" t="s">
        <v>34</v>
      </c>
      <c r="G2657">
        <v>16</v>
      </c>
      <c r="H2657">
        <v>12</v>
      </c>
      <c r="I2657">
        <v>7</v>
      </c>
      <c r="J2657">
        <v>36.409999999999997</v>
      </c>
      <c r="K2657">
        <v>224.62</v>
      </c>
      <c r="L2657">
        <v>0.87</v>
      </c>
      <c r="M2657">
        <v>46.5</v>
      </c>
      <c r="N2657">
        <v>0.96</v>
      </c>
      <c r="O2657" t="s">
        <v>20</v>
      </c>
      <c r="P2657" t="s">
        <v>21</v>
      </c>
      <c r="Q2657">
        <f t="shared" si="205"/>
        <v>21</v>
      </c>
      <c r="R2657" s="4">
        <f>RANK(N2657,$N$2:N$2800,0)</f>
        <v>1301</v>
      </c>
      <c r="S2657">
        <f t="shared" si="206"/>
        <v>2.2857142857142856</v>
      </c>
      <c r="T2657" t="str">
        <f t="shared" si="207"/>
        <v>Good</v>
      </c>
      <c r="U2657" t="str" cm="1">
        <f t="array" ref="U2657">_xlfn.LET(_xlpm.roles,_xlfn.UNIQUE(D2657:D5455),_xlpm.kills, SUMIF(D2657:D5455,_xlpm.roles,G2657:G5455),INDEX(_xlpm.roles,MATCH(MAX(_xlpm.kills),_xlpm.kills,0)))</f>
        <v>Entry Fragger</v>
      </c>
      <c r="V2657" t="str">
        <f t="shared" si="208"/>
        <v>Medium Accuracy</v>
      </c>
      <c r="W2657" t="str" cm="1">
        <f t="array" ref="W2657">_xlfn.LET(_xlpm.roles,_xlfn.UNIQUE(D2657:D5455), _xlpm.counts,COUNTIF(D2657:D5455,_xlpm.roles), INDEX(_xlpm.roles,MATCH(MAX(_xlpm.counts),_xlpm.counts,0)))</f>
        <v>Entry Fragger</v>
      </c>
      <c r="X2657" s="2">
        <f t="shared" si="209"/>
        <v>13.135802469135802</v>
      </c>
    </row>
    <row r="2658" spans="1:24" x14ac:dyDescent="0.3">
      <c r="A2658">
        <v>130</v>
      </c>
      <c r="B2658">
        <v>473</v>
      </c>
      <c r="C2658" t="s">
        <v>30</v>
      </c>
      <c r="D2658" t="s">
        <v>36</v>
      </c>
      <c r="E2658" t="s">
        <v>29</v>
      </c>
      <c r="F2658" t="s">
        <v>19</v>
      </c>
      <c r="G2658">
        <v>13</v>
      </c>
      <c r="H2658">
        <v>6</v>
      </c>
      <c r="I2658">
        <v>11</v>
      </c>
      <c r="J2658">
        <v>54.82</v>
      </c>
      <c r="K2658">
        <v>282.22000000000003</v>
      </c>
      <c r="L2658">
        <v>0.49</v>
      </c>
      <c r="M2658">
        <v>43.51</v>
      </c>
      <c r="N2658">
        <v>0.84</v>
      </c>
      <c r="O2658" t="s">
        <v>20</v>
      </c>
      <c r="P2658" t="s">
        <v>21</v>
      </c>
      <c r="Q2658">
        <f t="shared" si="205"/>
        <v>8</v>
      </c>
      <c r="R2658" s="4">
        <f>RANK(N2658,$N$2:N$2800,0)</f>
        <v>2156</v>
      </c>
      <c r="S2658">
        <f t="shared" si="206"/>
        <v>1.1818181818181819</v>
      </c>
      <c r="T2658" t="str">
        <f t="shared" si="207"/>
        <v>Low</v>
      </c>
      <c r="U2658" t="str" cm="1">
        <f t="array" ref="U2658">_xlfn.LET(_xlpm.roles,_xlfn.UNIQUE(D2658:D5456),_xlpm.kills, SUMIF(D2658:D5456,_xlpm.roles,G2658:G5456),INDEX(_xlpm.roles,MATCH(MAX(_xlpm.kills),_xlpm.kills,0)))</f>
        <v>Entry Fragger</v>
      </c>
      <c r="V2658" t="str">
        <f t="shared" si="208"/>
        <v>High Accuracy</v>
      </c>
      <c r="W2658" t="str" cm="1">
        <f t="array" ref="W2658">_xlfn.LET(_xlpm.roles,_xlfn.UNIQUE(D2658:D5456), _xlpm.counts,COUNTIF(D2658:D5456,_xlpm.roles), INDEX(_xlpm.roles,MATCH(MAX(_xlpm.counts),_xlpm.counts,0)))</f>
        <v>Entry Fragger</v>
      </c>
      <c r="X2658" s="2">
        <f t="shared" si="209"/>
        <v>13.135802469135802</v>
      </c>
    </row>
    <row r="2659" spans="1:24" x14ac:dyDescent="0.3">
      <c r="A2659">
        <v>626</v>
      </c>
      <c r="B2659">
        <v>473</v>
      </c>
      <c r="C2659" t="s">
        <v>16</v>
      </c>
      <c r="D2659" t="s">
        <v>31</v>
      </c>
      <c r="E2659" t="s">
        <v>32</v>
      </c>
      <c r="F2659" t="s">
        <v>34</v>
      </c>
      <c r="G2659">
        <v>20</v>
      </c>
      <c r="H2659">
        <v>11</v>
      </c>
      <c r="I2659">
        <v>10</v>
      </c>
      <c r="J2659">
        <v>36.5</v>
      </c>
      <c r="K2659">
        <v>216.11</v>
      </c>
      <c r="L2659">
        <v>0.13</v>
      </c>
      <c r="M2659">
        <v>57.95</v>
      </c>
      <c r="N2659">
        <v>0.93</v>
      </c>
      <c r="O2659" t="s">
        <v>20</v>
      </c>
      <c r="P2659" t="s">
        <v>21</v>
      </c>
      <c r="Q2659">
        <f t="shared" si="205"/>
        <v>21</v>
      </c>
      <c r="R2659" s="4">
        <f>RANK(N2659,$N$2:N$2800,0)</f>
        <v>1505</v>
      </c>
      <c r="S2659">
        <f t="shared" si="206"/>
        <v>2</v>
      </c>
      <c r="T2659" t="str">
        <f t="shared" si="207"/>
        <v>Good</v>
      </c>
      <c r="U2659" t="str" cm="1">
        <f t="array" ref="U2659">_xlfn.LET(_xlpm.roles,_xlfn.UNIQUE(D2659:D5457),_xlpm.kills, SUMIF(D2659:D5457,_xlpm.roles,G2659:G5457),INDEX(_xlpm.roles,MATCH(MAX(_xlpm.kills),_xlpm.kills,0)))</f>
        <v>Entry Fragger</v>
      </c>
      <c r="V2659" t="str">
        <f t="shared" si="208"/>
        <v>Medium Accuracy</v>
      </c>
      <c r="W2659" t="str" cm="1">
        <f t="array" ref="W2659">_xlfn.LET(_xlpm.roles,_xlfn.UNIQUE(D2659:D5457), _xlpm.counts,COUNTIF(D2659:D5457,_xlpm.roles), INDEX(_xlpm.roles,MATCH(MAX(_xlpm.counts),_xlpm.counts,0)))</f>
        <v>Sniper</v>
      </c>
      <c r="X2659" s="2">
        <f t="shared" si="209"/>
        <v>12.520971302428256</v>
      </c>
    </row>
    <row r="2660" spans="1:24" x14ac:dyDescent="0.3">
      <c r="A2660">
        <v>810</v>
      </c>
      <c r="B2660">
        <v>473</v>
      </c>
      <c r="C2660" t="s">
        <v>27</v>
      </c>
      <c r="D2660" t="s">
        <v>28</v>
      </c>
      <c r="E2660" t="s">
        <v>18</v>
      </c>
      <c r="F2660" t="s">
        <v>24</v>
      </c>
      <c r="G2660">
        <v>18</v>
      </c>
      <c r="H2660">
        <v>12</v>
      </c>
      <c r="I2660">
        <v>7</v>
      </c>
      <c r="J2660">
        <v>45.63</v>
      </c>
      <c r="K2660">
        <v>259.17</v>
      </c>
      <c r="L2660">
        <v>0.38</v>
      </c>
      <c r="M2660">
        <v>60.02</v>
      </c>
      <c r="N2660">
        <v>1</v>
      </c>
      <c r="O2660" t="s">
        <v>20</v>
      </c>
      <c r="P2660" t="s">
        <v>38</v>
      </c>
      <c r="Q2660">
        <f t="shared" si="205"/>
        <v>23</v>
      </c>
      <c r="R2660" s="4">
        <f>RANK(N2660,$N$2:N$2800,0)</f>
        <v>1</v>
      </c>
      <c r="S2660">
        <f t="shared" si="206"/>
        <v>2.5714285714285716</v>
      </c>
      <c r="T2660" t="str">
        <f t="shared" si="207"/>
        <v>Good</v>
      </c>
      <c r="U2660" t="str" cm="1">
        <f t="array" ref="U2660">_xlfn.LET(_xlpm.roles,_xlfn.UNIQUE(D2660:D5458),_xlpm.kills, SUMIF(D2660:D5458,_xlpm.roles,G2660:G5458),INDEX(_xlpm.roles,MATCH(MAX(_xlpm.kills),_xlpm.kills,0)))</f>
        <v>Entry Fragger</v>
      </c>
      <c r="V2660" t="str">
        <f t="shared" si="208"/>
        <v>Medium Accuracy</v>
      </c>
      <c r="W2660" t="str" cm="1">
        <f t="array" ref="W2660">_xlfn.LET(_xlpm.roles,_xlfn.UNIQUE(D2660:D5458), _xlpm.counts,COUNTIF(D2660:D5458,_xlpm.roles), INDEX(_xlpm.roles,MATCH(MAX(_xlpm.counts),_xlpm.counts,0)))</f>
        <v>Entry Fragger</v>
      </c>
      <c r="X2660" s="2">
        <f t="shared" si="209"/>
        <v>13.057077625570777</v>
      </c>
    </row>
    <row r="2661" spans="1:24" x14ac:dyDescent="0.3">
      <c r="A2661">
        <v>1336</v>
      </c>
      <c r="B2661">
        <v>473</v>
      </c>
      <c r="C2661" t="s">
        <v>35</v>
      </c>
      <c r="D2661" t="s">
        <v>28</v>
      </c>
      <c r="E2661" t="s">
        <v>29</v>
      </c>
      <c r="F2661" t="s">
        <v>37</v>
      </c>
      <c r="G2661">
        <v>17</v>
      </c>
      <c r="H2661">
        <v>12</v>
      </c>
      <c r="I2661">
        <v>11</v>
      </c>
      <c r="J2661">
        <v>57.47</v>
      </c>
      <c r="K2661">
        <v>252.7</v>
      </c>
      <c r="L2661">
        <v>0.36</v>
      </c>
      <c r="M2661">
        <v>60.13</v>
      </c>
      <c r="N2661">
        <v>1</v>
      </c>
      <c r="O2661" t="s">
        <v>20</v>
      </c>
      <c r="P2661" t="s">
        <v>38</v>
      </c>
      <c r="Q2661">
        <f t="shared" si="205"/>
        <v>18</v>
      </c>
      <c r="R2661" s="4">
        <f>RANK(N2661,$N$2:N$2800,0)</f>
        <v>1</v>
      </c>
      <c r="S2661">
        <f t="shared" si="206"/>
        <v>1.5454545454545454</v>
      </c>
      <c r="T2661" t="str">
        <f t="shared" si="207"/>
        <v>Good</v>
      </c>
      <c r="U2661" t="str" cm="1">
        <f t="array" ref="U2661">_xlfn.LET(_xlpm.roles,_xlfn.UNIQUE(D2661:D5459),_xlpm.kills, SUMIF(D2661:D5459,_xlpm.roles,G2661:G5459),INDEX(_xlpm.roles,MATCH(MAX(_xlpm.kills),_xlpm.kills,0)))</f>
        <v>Entry Fragger</v>
      </c>
      <c r="V2661" t="str">
        <f t="shared" si="208"/>
        <v>High Accuracy</v>
      </c>
      <c r="W2661" t="str" cm="1">
        <f t="array" ref="W2661">_xlfn.LET(_xlpm.roles,_xlfn.UNIQUE(D2661:D5459), _xlpm.counts,COUNTIF(D2661:D5459,_xlpm.roles), INDEX(_xlpm.roles,MATCH(MAX(_xlpm.counts),_xlpm.counts,0)))</f>
        <v>Entry Fragger</v>
      </c>
      <c r="X2661" s="2">
        <f t="shared" si="209"/>
        <v>12.599585062240664</v>
      </c>
    </row>
    <row r="2662" spans="1:24" x14ac:dyDescent="0.3">
      <c r="A2662">
        <v>2686</v>
      </c>
      <c r="B2662">
        <v>473</v>
      </c>
      <c r="C2662" t="s">
        <v>35</v>
      </c>
      <c r="D2662" t="s">
        <v>31</v>
      </c>
      <c r="E2662" t="s">
        <v>23</v>
      </c>
      <c r="F2662" t="s">
        <v>19</v>
      </c>
      <c r="G2662">
        <v>11</v>
      </c>
      <c r="H2662">
        <v>7</v>
      </c>
      <c r="I2662">
        <v>8</v>
      </c>
      <c r="J2662">
        <v>42.11</v>
      </c>
      <c r="K2662">
        <v>236.36</v>
      </c>
      <c r="L2662">
        <v>0.46</v>
      </c>
      <c r="M2662">
        <v>37.450000000000003</v>
      </c>
      <c r="N2662">
        <v>0.68</v>
      </c>
      <c r="O2662" t="s">
        <v>20</v>
      </c>
      <c r="P2662" t="s">
        <v>21</v>
      </c>
      <c r="Q2662">
        <f t="shared" si="205"/>
        <v>10</v>
      </c>
      <c r="R2662" s="4">
        <f>RANK(N2662,$N$2:N$2800,0)</f>
        <v>2719</v>
      </c>
      <c r="S2662">
        <f t="shared" si="206"/>
        <v>1.375</v>
      </c>
      <c r="T2662" t="str">
        <f t="shared" si="207"/>
        <v>Low</v>
      </c>
      <c r="U2662" t="str" cm="1">
        <f t="array" ref="U2662">_xlfn.LET(_xlpm.roles,_xlfn.UNIQUE(D2662:D5460),_xlpm.kills, SUMIF(D2662:D5460,_xlpm.roles,G2662:G5460),INDEX(_xlpm.roles,MATCH(MAX(_xlpm.kills),_xlpm.kills,0)))</f>
        <v>Entry Fragger</v>
      </c>
      <c r="V2662" t="str">
        <f t="shared" si="208"/>
        <v>Medium Accuracy</v>
      </c>
      <c r="W2662" t="str" cm="1">
        <f t="array" ref="W2662">_xlfn.LET(_xlpm.roles,_xlfn.UNIQUE(D2662:D5460), _xlpm.counts,COUNTIF(D2662:D5460,_xlpm.roles), INDEX(_xlpm.roles,MATCH(MAX(_xlpm.counts),_xlpm.counts,0)))</f>
        <v>Entry Fragger</v>
      </c>
      <c r="X2662" s="2">
        <f t="shared" si="209"/>
        <v>12.599585062240664</v>
      </c>
    </row>
    <row r="2663" spans="1:24" x14ac:dyDescent="0.3">
      <c r="A2663">
        <v>273</v>
      </c>
      <c r="B2663">
        <v>474</v>
      </c>
      <c r="C2663" t="s">
        <v>35</v>
      </c>
      <c r="D2663" t="s">
        <v>17</v>
      </c>
      <c r="E2663" t="s">
        <v>23</v>
      </c>
      <c r="F2663" t="s">
        <v>37</v>
      </c>
      <c r="G2663">
        <v>12</v>
      </c>
      <c r="H2663">
        <v>9</v>
      </c>
      <c r="I2663">
        <v>10</v>
      </c>
      <c r="J2663">
        <v>55.96</v>
      </c>
      <c r="K2663">
        <v>171.01</v>
      </c>
      <c r="L2663">
        <v>0.08</v>
      </c>
      <c r="M2663">
        <v>50.18</v>
      </c>
      <c r="N2663">
        <v>1</v>
      </c>
      <c r="O2663" t="s">
        <v>20</v>
      </c>
      <c r="P2663" t="s">
        <v>21</v>
      </c>
      <c r="Q2663">
        <f t="shared" si="205"/>
        <v>11</v>
      </c>
      <c r="R2663" s="4">
        <f>RANK(N2663,$N$2:N$2800,0)</f>
        <v>1</v>
      </c>
      <c r="S2663">
        <f t="shared" si="206"/>
        <v>1.2</v>
      </c>
      <c r="T2663" t="str">
        <f t="shared" si="207"/>
        <v>Low</v>
      </c>
      <c r="U2663" t="str" cm="1">
        <f t="array" ref="U2663">_xlfn.LET(_xlpm.roles,_xlfn.UNIQUE(D2663:D5461),_xlpm.kills, SUMIF(D2663:D5461,_xlpm.roles,G2663:G5461),INDEX(_xlpm.roles,MATCH(MAX(_xlpm.kills),_xlpm.kills,0)))</f>
        <v>Entry Fragger</v>
      </c>
      <c r="V2663" t="str">
        <f t="shared" si="208"/>
        <v>High Accuracy</v>
      </c>
      <c r="W2663" t="str" cm="1">
        <f t="array" ref="W2663">_xlfn.LET(_xlpm.roles,_xlfn.UNIQUE(D2663:D5461), _xlpm.counts,COUNTIF(D2663:D5461,_xlpm.roles), INDEX(_xlpm.roles,MATCH(MAX(_xlpm.counts),_xlpm.counts,0)))</f>
        <v>Entry Fragger</v>
      </c>
      <c r="X2663" s="2">
        <f t="shared" si="209"/>
        <v>12.599585062240664</v>
      </c>
    </row>
    <row r="2664" spans="1:24" x14ac:dyDescent="0.3">
      <c r="A2664">
        <v>447</v>
      </c>
      <c r="B2664">
        <v>474</v>
      </c>
      <c r="C2664" t="s">
        <v>27</v>
      </c>
      <c r="D2664" t="s">
        <v>17</v>
      </c>
      <c r="E2664" t="s">
        <v>29</v>
      </c>
      <c r="F2664" t="s">
        <v>19</v>
      </c>
      <c r="G2664">
        <v>14</v>
      </c>
      <c r="H2664">
        <v>7</v>
      </c>
      <c r="I2664">
        <v>6</v>
      </c>
      <c r="J2664">
        <v>30.88</v>
      </c>
      <c r="K2664">
        <v>272.23</v>
      </c>
      <c r="L2664">
        <v>0.51</v>
      </c>
      <c r="M2664">
        <v>39.340000000000003</v>
      </c>
      <c r="N2664">
        <v>0.94</v>
      </c>
      <c r="O2664" t="s">
        <v>20</v>
      </c>
      <c r="P2664" t="s">
        <v>21</v>
      </c>
      <c r="Q2664">
        <f t="shared" si="205"/>
        <v>15</v>
      </c>
      <c r="R2664" s="4">
        <f>RANK(N2664,$N$2:N$2800,0)</f>
        <v>1431</v>
      </c>
      <c r="S2664">
        <f t="shared" si="206"/>
        <v>2.3333333333333335</v>
      </c>
      <c r="T2664" t="str">
        <f t="shared" si="207"/>
        <v>Good</v>
      </c>
      <c r="U2664" t="str" cm="1">
        <f t="array" ref="U2664">_xlfn.LET(_xlpm.roles,_xlfn.UNIQUE(D2664:D5462),_xlpm.kills, SUMIF(D2664:D5462,_xlpm.roles,G2664:G5462),INDEX(_xlpm.roles,MATCH(MAX(_xlpm.kills),_xlpm.kills,0)))</f>
        <v>Entry Fragger</v>
      </c>
      <c r="V2664" t="str">
        <f t="shared" si="208"/>
        <v>Medium Accuracy</v>
      </c>
      <c r="W2664" t="str" cm="1">
        <f t="array" ref="W2664">_xlfn.LET(_xlpm.roles,_xlfn.UNIQUE(D2664:D5462), _xlpm.counts,COUNTIF(D2664:D5462,_xlpm.roles), INDEX(_xlpm.roles,MATCH(MAX(_xlpm.counts),_xlpm.counts,0)))</f>
        <v>Entry Fragger</v>
      </c>
      <c r="X2664" s="2">
        <f t="shared" si="209"/>
        <v>13.057077625570777</v>
      </c>
    </row>
    <row r="2665" spans="1:24" x14ac:dyDescent="0.3">
      <c r="A2665">
        <v>465</v>
      </c>
      <c r="B2665">
        <v>474</v>
      </c>
      <c r="C2665" t="s">
        <v>27</v>
      </c>
      <c r="D2665" t="s">
        <v>36</v>
      </c>
      <c r="E2665" t="s">
        <v>29</v>
      </c>
      <c r="F2665" t="s">
        <v>24</v>
      </c>
      <c r="G2665">
        <v>17</v>
      </c>
      <c r="H2665">
        <v>13</v>
      </c>
      <c r="I2665">
        <v>9</v>
      </c>
      <c r="J2665">
        <v>49.41</v>
      </c>
      <c r="K2665">
        <v>198</v>
      </c>
      <c r="L2665">
        <v>0.25</v>
      </c>
      <c r="M2665">
        <v>60.2</v>
      </c>
      <c r="N2665">
        <v>0.88</v>
      </c>
      <c r="O2665" t="s">
        <v>20</v>
      </c>
      <c r="P2665" t="s">
        <v>38</v>
      </c>
      <c r="Q2665">
        <f t="shared" si="205"/>
        <v>21</v>
      </c>
      <c r="R2665" s="4">
        <f>RANK(N2665,$N$2:N$2800,0)</f>
        <v>1894</v>
      </c>
      <c r="S2665">
        <f t="shared" si="206"/>
        <v>1.8888888888888888</v>
      </c>
      <c r="T2665" t="str">
        <f t="shared" si="207"/>
        <v>Good</v>
      </c>
      <c r="U2665" t="str" cm="1">
        <f t="array" ref="U2665">_xlfn.LET(_xlpm.roles,_xlfn.UNIQUE(D2665:D5463),_xlpm.kills, SUMIF(D2665:D5463,_xlpm.roles,G2665:G5463),INDEX(_xlpm.roles,MATCH(MAX(_xlpm.kills),_xlpm.kills,0)))</f>
        <v>Entry Fragger</v>
      </c>
      <c r="V2665" t="str">
        <f t="shared" si="208"/>
        <v>Medium Accuracy</v>
      </c>
      <c r="W2665" t="str" cm="1">
        <f t="array" ref="W2665">_xlfn.LET(_xlpm.roles,_xlfn.UNIQUE(D2665:D5463), _xlpm.counts,COUNTIF(D2665:D5463,_xlpm.roles), INDEX(_xlpm.roles,MATCH(MAX(_xlpm.counts),_xlpm.counts,0)))</f>
        <v>Entry Fragger</v>
      </c>
      <c r="X2665" s="2">
        <f t="shared" si="209"/>
        <v>13.057077625570777</v>
      </c>
    </row>
    <row r="2666" spans="1:24" x14ac:dyDescent="0.3">
      <c r="A2666">
        <v>721</v>
      </c>
      <c r="B2666">
        <v>474</v>
      </c>
      <c r="C2666" t="s">
        <v>30</v>
      </c>
      <c r="D2666" t="s">
        <v>17</v>
      </c>
      <c r="E2666" t="s">
        <v>29</v>
      </c>
      <c r="F2666" t="s">
        <v>26</v>
      </c>
      <c r="G2666">
        <v>17</v>
      </c>
      <c r="H2666">
        <v>4</v>
      </c>
      <c r="I2666">
        <v>16</v>
      </c>
      <c r="J2666">
        <v>41.52</v>
      </c>
      <c r="K2666">
        <v>175.66</v>
      </c>
      <c r="L2666">
        <v>0.92</v>
      </c>
      <c r="M2666">
        <v>33.56</v>
      </c>
      <c r="N2666">
        <v>0.82</v>
      </c>
      <c r="O2666" t="s">
        <v>20</v>
      </c>
      <c r="P2666" t="s">
        <v>21</v>
      </c>
      <c r="Q2666">
        <f t="shared" si="205"/>
        <v>5</v>
      </c>
      <c r="R2666" s="4">
        <f>RANK(N2666,$N$2:N$2800,0)</f>
        <v>2275</v>
      </c>
      <c r="S2666">
        <f t="shared" si="206"/>
        <v>1.0625</v>
      </c>
      <c r="T2666" t="str">
        <f t="shared" si="207"/>
        <v>Low</v>
      </c>
      <c r="U2666" t="str" cm="1">
        <f t="array" ref="U2666">_xlfn.LET(_xlpm.roles,_xlfn.UNIQUE(D2666:D5464),_xlpm.kills, SUMIF(D2666:D5464,_xlpm.roles,G2666:G5464),INDEX(_xlpm.roles,MATCH(MAX(_xlpm.kills),_xlpm.kills,0)))</f>
        <v>Entry Fragger</v>
      </c>
      <c r="V2666" t="str">
        <f t="shared" si="208"/>
        <v>Medium Accuracy</v>
      </c>
      <c r="W2666" t="str" cm="1">
        <f t="array" ref="W2666">_xlfn.LET(_xlpm.roles,_xlfn.UNIQUE(D2666:D5464), _xlpm.counts,COUNTIF(D2666:D5464,_xlpm.roles), INDEX(_xlpm.roles,MATCH(MAX(_xlpm.counts),_xlpm.counts,0)))</f>
        <v>Entry Fragger</v>
      </c>
      <c r="X2666" s="2">
        <f t="shared" si="209"/>
        <v>13.135802469135802</v>
      </c>
    </row>
    <row r="2667" spans="1:24" x14ac:dyDescent="0.3">
      <c r="A2667">
        <v>1253</v>
      </c>
      <c r="B2667">
        <v>474</v>
      </c>
      <c r="C2667" t="s">
        <v>25</v>
      </c>
      <c r="D2667" t="s">
        <v>36</v>
      </c>
      <c r="E2667" t="s">
        <v>33</v>
      </c>
      <c r="F2667" t="s">
        <v>19</v>
      </c>
      <c r="G2667">
        <v>19</v>
      </c>
      <c r="H2667">
        <v>10</v>
      </c>
      <c r="I2667">
        <v>10</v>
      </c>
      <c r="J2667">
        <v>50.59</v>
      </c>
      <c r="K2667">
        <v>170.38</v>
      </c>
      <c r="L2667">
        <v>0.31</v>
      </c>
      <c r="M2667">
        <v>60.2</v>
      </c>
      <c r="N2667">
        <v>1</v>
      </c>
      <c r="O2667" t="s">
        <v>20</v>
      </c>
      <c r="P2667" t="s">
        <v>38</v>
      </c>
      <c r="Q2667">
        <f t="shared" si="205"/>
        <v>19</v>
      </c>
      <c r="R2667" s="4">
        <f>RANK(N2667,$N$2:N$2800,0)</f>
        <v>1</v>
      </c>
      <c r="S2667">
        <f t="shared" si="206"/>
        <v>1.9</v>
      </c>
      <c r="T2667" t="str">
        <f t="shared" si="207"/>
        <v>Good</v>
      </c>
      <c r="U2667" t="str" cm="1">
        <f t="array" ref="U2667">_xlfn.LET(_xlpm.roles,_xlfn.UNIQUE(D2667:D5465),_xlpm.kills, SUMIF(D2667:D5465,_xlpm.roles,G2667:G5465),INDEX(_xlpm.roles,MATCH(MAX(_xlpm.kills),_xlpm.kills,0)))</f>
        <v>Entry Fragger</v>
      </c>
      <c r="V2667" t="str">
        <f t="shared" si="208"/>
        <v>High Accuracy</v>
      </c>
      <c r="W2667" t="str" cm="1">
        <f t="array" ref="W2667">_xlfn.LET(_xlpm.roles,_xlfn.UNIQUE(D2667:D5465), _xlpm.counts,COUNTIF(D2667:D5465,_xlpm.roles), INDEX(_xlpm.roles,MATCH(MAX(_xlpm.counts),_xlpm.counts,0)))</f>
        <v>Entry Fragger</v>
      </c>
      <c r="X2667" s="2">
        <f t="shared" si="209"/>
        <v>12.809421841541756</v>
      </c>
    </row>
    <row r="2668" spans="1:24" x14ac:dyDescent="0.3">
      <c r="A2668">
        <v>1416</v>
      </c>
      <c r="B2668">
        <v>474</v>
      </c>
      <c r="C2668" t="s">
        <v>16</v>
      </c>
      <c r="D2668" t="s">
        <v>17</v>
      </c>
      <c r="E2668" t="s">
        <v>32</v>
      </c>
      <c r="F2668" t="s">
        <v>34</v>
      </c>
      <c r="G2668">
        <v>12</v>
      </c>
      <c r="H2668">
        <v>5</v>
      </c>
      <c r="I2668">
        <v>5</v>
      </c>
      <c r="J2668">
        <v>46.64</v>
      </c>
      <c r="K2668">
        <v>236.99</v>
      </c>
      <c r="L2668">
        <v>0.21</v>
      </c>
      <c r="M2668">
        <v>45.22</v>
      </c>
      <c r="N2668">
        <v>1</v>
      </c>
      <c r="O2668" t="s">
        <v>20</v>
      </c>
      <c r="P2668" t="s">
        <v>21</v>
      </c>
      <c r="Q2668">
        <f t="shared" si="205"/>
        <v>12</v>
      </c>
      <c r="R2668" s="4">
        <f>RANK(N2668,$N$2:N$2800,0)</f>
        <v>1</v>
      </c>
      <c r="S2668">
        <f t="shared" si="206"/>
        <v>2.4</v>
      </c>
      <c r="T2668" t="str">
        <f t="shared" si="207"/>
        <v>Low</v>
      </c>
      <c r="U2668" t="str" cm="1">
        <f t="array" ref="U2668">_xlfn.LET(_xlpm.roles,_xlfn.UNIQUE(D2668:D5466),_xlpm.kills, SUMIF(D2668:D5466,_xlpm.roles,G2668:G5466),INDEX(_xlpm.roles,MATCH(MAX(_xlpm.kills),_xlpm.kills,0)))</f>
        <v>Entry Fragger</v>
      </c>
      <c r="V2668" t="str">
        <f t="shared" si="208"/>
        <v>Medium Accuracy</v>
      </c>
      <c r="W2668" t="str" cm="1">
        <f t="array" ref="W2668">_xlfn.LET(_xlpm.roles,_xlfn.UNIQUE(D2668:D5466), _xlpm.counts,COUNTIF(D2668:D5466,_xlpm.roles), INDEX(_xlpm.roles,MATCH(MAX(_xlpm.counts),_xlpm.counts,0)))</f>
        <v>Support</v>
      </c>
      <c r="X2668" s="2">
        <f t="shared" si="209"/>
        <v>12.520971302428256</v>
      </c>
    </row>
    <row r="2669" spans="1:24" x14ac:dyDescent="0.3">
      <c r="A2669">
        <v>1734</v>
      </c>
      <c r="B2669">
        <v>474</v>
      </c>
      <c r="C2669" t="s">
        <v>25</v>
      </c>
      <c r="D2669" t="s">
        <v>31</v>
      </c>
      <c r="E2669" t="s">
        <v>18</v>
      </c>
      <c r="F2669" t="s">
        <v>26</v>
      </c>
      <c r="G2669">
        <v>17</v>
      </c>
      <c r="H2669">
        <v>3</v>
      </c>
      <c r="I2669">
        <v>12</v>
      </c>
      <c r="J2669">
        <v>61.69</v>
      </c>
      <c r="K2669">
        <v>205.13</v>
      </c>
      <c r="L2669">
        <v>0.25</v>
      </c>
      <c r="M2669">
        <v>53.34</v>
      </c>
      <c r="N2669">
        <v>1</v>
      </c>
      <c r="O2669" t="s">
        <v>20</v>
      </c>
      <c r="P2669" t="s">
        <v>21</v>
      </c>
      <c r="Q2669">
        <f t="shared" si="205"/>
        <v>8</v>
      </c>
      <c r="R2669" s="4">
        <f>RANK(N2669,$N$2:N$2800,0)</f>
        <v>1</v>
      </c>
      <c r="S2669">
        <f t="shared" si="206"/>
        <v>1.4166666666666667</v>
      </c>
      <c r="T2669" t="str">
        <f t="shared" si="207"/>
        <v>Low</v>
      </c>
      <c r="U2669" t="str" cm="1">
        <f t="array" ref="U2669">_xlfn.LET(_xlpm.roles,_xlfn.UNIQUE(D2669:D5467),_xlpm.kills, SUMIF(D2669:D5467,_xlpm.roles,G2669:G5467),INDEX(_xlpm.roles,MATCH(MAX(_xlpm.kills),_xlpm.kills,0)))</f>
        <v>Entry Fragger</v>
      </c>
      <c r="V2669" t="str">
        <f t="shared" si="208"/>
        <v>High Accuracy</v>
      </c>
      <c r="W2669" t="str" cm="1">
        <f t="array" ref="W2669">_xlfn.LET(_xlpm.roles,_xlfn.UNIQUE(D2669:D5467), _xlpm.counts,COUNTIF(D2669:D5467,_xlpm.roles), INDEX(_xlpm.roles,MATCH(MAX(_xlpm.counts),_xlpm.counts,0)))</f>
        <v>Support</v>
      </c>
      <c r="X2669" s="2">
        <f t="shared" si="209"/>
        <v>12.809421841541756</v>
      </c>
    </row>
    <row r="2670" spans="1:24" x14ac:dyDescent="0.3">
      <c r="A2670">
        <v>2356</v>
      </c>
      <c r="B2670">
        <v>474</v>
      </c>
      <c r="C2670" t="s">
        <v>35</v>
      </c>
      <c r="D2670" t="s">
        <v>17</v>
      </c>
      <c r="E2670" t="s">
        <v>18</v>
      </c>
      <c r="F2670" t="s">
        <v>34</v>
      </c>
      <c r="G2670">
        <v>24</v>
      </c>
      <c r="H2670">
        <v>9</v>
      </c>
      <c r="I2670">
        <v>11</v>
      </c>
      <c r="J2670">
        <v>57.74</v>
      </c>
      <c r="K2670">
        <v>224.46</v>
      </c>
      <c r="L2670">
        <v>0.7</v>
      </c>
      <c r="M2670">
        <v>67.87</v>
      </c>
      <c r="N2670">
        <v>1</v>
      </c>
      <c r="O2670" t="s">
        <v>20</v>
      </c>
      <c r="P2670" t="s">
        <v>38</v>
      </c>
      <c r="Q2670">
        <f t="shared" si="205"/>
        <v>22</v>
      </c>
      <c r="R2670" s="4">
        <f>RANK(N2670,$N$2:N$2800,0)</f>
        <v>1</v>
      </c>
      <c r="S2670">
        <f t="shared" si="206"/>
        <v>2.1818181818181817</v>
      </c>
      <c r="T2670" t="str">
        <f t="shared" si="207"/>
        <v>Good</v>
      </c>
      <c r="U2670" t="str" cm="1">
        <f t="array" ref="U2670">_xlfn.LET(_xlpm.roles,_xlfn.UNIQUE(D2670:D5468),_xlpm.kills, SUMIF(D2670:D5468,_xlpm.roles,G2670:G5468),INDEX(_xlpm.roles,MATCH(MAX(_xlpm.kills),_xlpm.kills,0)))</f>
        <v>Entry Fragger</v>
      </c>
      <c r="V2670" t="str">
        <f t="shared" si="208"/>
        <v>High Accuracy</v>
      </c>
      <c r="W2670" t="str" cm="1">
        <f t="array" ref="W2670">_xlfn.LET(_xlpm.roles,_xlfn.UNIQUE(D2670:D5468), _xlpm.counts,COUNTIF(D2670:D5468,_xlpm.roles), INDEX(_xlpm.roles,MATCH(MAX(_xlpm.counts),_xlpm.counts,0)))</f>
        <v>Support</v>
      </c>
      <c r="X2670" s="2">
        <f t="shared" si="209"/>
        <v>12.599585062240664</v>
      </c>
    </row>
    <row r="2671" spans="1:24" x14ac:dyDescent="0.3">
      <c r="A2671">
        <v>2454</v>
      </c>
      <c r="B2671">
        <v>474</v>
      </c>
      <c r="C2671" t="s">
        <v>16</v>
      </c>
      <c r="D2671" t="s">
        <v>17</v>
      </c>
      <c r="E2671" t="s">
        <v>29</v>
      </c>
      <c r="F2671" t="s">
        <v>19</v>
      </c>
      <c r="G2671">
        <v>7</v>
      </c>
      <c r="H2671">
        <v>5</v>
      </c>
      <c r="I2671">
        <v>14</v>
      </c>
      <c r="J2671">
        <v>39.24</v>
      </c>
      <c r="K2671">
        <v>226.47</v>
      </c>
      <c r="L2671">
        <v>0.15</v>
      </c>
      <c r="M2671">
        <v>23.12</v>
      </c>
      <c r="N2671">
        <v>0.73</v>
      </c>
      <c r="O2671" t="s">
        <v>20</v>
      </c>
      <c r="P2671" t="s">
        <v>21</v>
      </c>
      <c r="Q2671">
        <f t="shared" si="205"/>
        <v>-2</v>
      </c>
      <c r="R2671" s="4">
        <f>RANK(N2671,$N$2:N$2800,0)</f>
        <v>2642</v>
      </c>
      <c r="S2671">
        <f t="shared" si="206"/>
        <v>0.5</v>
      </c>
      <c r="T2671" t="str">
        <f t="shared" si="207"/>
        <v>Low</v>
      </c>
      <c r="U2671" t="str" cm="1">
        <f t="array" ref="U2671">_xlfn.LET(_xlpm.roles,_xlfn.UNIQUE(D2671:D5469),_xlpm.kills, SUMIF(D2671:D5469,_xlpm.roles,G2671:G5469),INDEX(_xlpm.roles,MATCH(MAX(_xlpm.kills),_xlpm.kills,0)))</f>
        <v>Entry Fragger</v>
      </c>
      <c r="V2671" t="str">
        <f t="shared" si="208"/>
        <v>Medium Accuracy</v>
      </c>
      <c r="W2671" t="str" cm="1">
        <f t="array" ref="W2671">_xlfn.LET(_xlpm.roles,_xlfn.UNIQUE(D2671:D5469), _xlpm.counts,COUNTIF(D2671:D5469,_xlpm.roles), INDEX(_xlpm.roles,MATCH(MAX(_xlpm.counts),_xlpm.counts,0)))</f>
        <v>Support</v>
      </c>
      <c r="X2671" s="2">
        <f t="shared" si="209"/>
        <v>12.520971302428256</v>
      </c>
    </row>
    <row r="2672" spans="1:24" x14ac:dyDescent="0.3">
      <c r="A2672">
        <v>2567</v>
      </c>
      <c r="B2672">
        <v>474</v>
      </c>
      <c r="C2672" t="s">
        <v>30</v>
      </c>
      <c r="D2672" t="s">
        <v>17</v>
      </c>
      <c r="E2672" t="s">
        <v>32</v>
      </c>
      <c r="F2672" t="s">
        <v>19</v>
      </c>
      <c r="G2672">
        <v>17</v>
      </c>
      <c r="H2672">
        <v>4</v>
      </c>
      <c r="I2672">
        <v>7</v>
      </c>
      <c r="J2672">
        <v>37.69</v>
      </c>
      <c r="K2672">
        <v>182.09</v>
      </c>
      <c r="L2672">
        <v>0.92</v>
      </c>
      <c r="M2672">
        <v>40.64</v>
      </c>
      <c r="N2672">
        <v>0.91</v>
      </c>
      <c r="O2672" t="s">
        <v>20</v>
      </c>
      <c r="P2672" t="s">
        <v>21</v>
      </c>
      <c r="Q2672">
        <f t="shared" si="205"/>
        <v>14</v>
      </c>
      <c r="R2672" s="4">
        <f>RANK(N2672,$N$2:N$2800,0)</f>
        <v>1665</v>
      </c>
      <c r="S2672">
        <f t="shared" si="206"/>
        <v>2.4285714285714284</v>
      </c>
      <c r="T2672" t="str">
        <f t="shared" si="207"/>
        <v>Low</v>
      </c>
      <c r="U2672" t="str" cm="1">
        <f t="array" ref="U2672">_xlfn.LET(_xlpm.roles,_xlfn.UNIQUE(D2672:D5470),_xlpm.kills, SUMIF(D2672:D5470,_xlpm.roles,G2672:G5470),INDEX(_xlpm.roles,MATCH(MAX(_xlpm.kills),_xlpm.kills,0)))</f>
        <v>Entry Fragger</v>
      </c>
      <c r="V2672" t="str">
        <f t="shared" si="208"/>
        <v>Medium Accuracy</v>
      </c>
      <c r="W2672" t="str" cm="1">
        <f t="array" ref="W2672">_xlfn.LET(_xlpm.roles,_xlfn.UNIQUE(D2672:D5470), _xlpm.counts,COUNTIF(D2672:D5470,_xlpm.roles), INDEX(_xlpm.roles,MATCH(MAX(_xlpm.counts),_xlpm.counts,0)))</f>
        <v>Support</v>
      </c>
      <c r="X2672" s="2">
        <f t="shared" si="209"/>
        <v>13.135802469135802</v>
      </c>
    </row>
    <row r="2673" spans="1:24" x14ac:dyDescent="0.3">
      <c r="A2673">
        <v>2622</v>
      </c>
      <c r="B2673">
        <v>474</v>
      </c>
      <c r="C2673" t="s">
        <v>39</v>
      </c>
      <c r="D2673" t="s">
        <v>36</v>
      </c>
      <c r="E2673" t="s">
        <v>18</v>
      </c>
      <c r="F2673" t="s">
        <v>26</v>
      </c>
      <c r="G2673">
        <v>17</v>
      </c>
      <c r="H2673">
        <v>7</v>
      </c>
      <c r="I2673">
        <v>13</v>
      </c>
      <c r="J2673">
        <v>45.39</v>
      </c>
      <c r="K2673">
        <v>262.74</v>
      </c>
      <c r="L2673">
        <v>0.57999999999999996</v>
      </c>
      <c r="M2673">
        <v>44.9</v>
      </c>
      <c r="N2673">
        <v>1</v>
      </c>
      <c r="O2673" t="s">
        <v>20</v>
      </c>
      <c r="P2673" t="s">
        <v>21</v>
      </c>
      <c r="Q2673">
        <f t="shared" si="205"/>
        <v>11</v>
      </c>
      <c r="R2673" s="4">
        <f>RANK(N2673,$N$2:N$2800,0)</f>
        <v>1</v>
      </c>
      <c r="S2673">
        <f t="shared" si="206"/>
        <v>1.3076923076923077</v>
      </c>
      <c r="T2673" t="str">
        <f t="shared" si="207"/>
        <v>Low</v>
      </c>
      <c r="U2673" t="str" cm="1">
        <f t="array" ref="U2673">_xlfn.LET(_xlpm.roles,_xlfn.UNIQUE(D2673:D5471),_xlpm.kills, SUMIF(D2673:D5471,_xlpm.roles,G2673:G5471),INDEX(_xlpm.roles,MATCH(MAX(_xlpm.kills),_xlpm.kills,0)))</f>
        <v>Entry Fragger</v>
      </c>
      <c r="V2673" t="str">
        <f t="shared" si="208"/>
        <v>Medium Accuracy</v>
      </c>
      <c r="W2673" t="str" cm="1">
        <f t="array" ref="W2673">_xlfn.LET(_xlpm.roles,_xlfn.UNIQUE(D2673:D5471), _xlpm.counts,COUNTIF(D2673:D5471,_xlpm.roles), INDEX(_xlpm.roles,MATCH(MAX(_xlpm.counts),_xlpm.counts,0)))</f>
        <v>Support</v>
      </c>
      <c r="X2673" s="2">
        <f t="shared" si="209"/>
        <v>13.103594080338267</v>
      </c>
    </row>
    <row r="2674" spans="1:24" x14ac:dyDescent="0.3">
      <c r="A2674">
        <v>2671</v>
      </c>
      <c r="B2674">
        <v>474</v>
      </c>
      <c r="C2674" t="s">
        <v>35</v>
      </c>
      <c r="D2674" t="s">
        <v>28</v>
      </c>
      <c r="E2674" t="s">
        <v>29</v>
      </c>
      <c r="F2674" t="s">
        <v>26</v>
      </c>
      <c r="G2674">
        <v>17</v>
      </c>
      <c r="H2674">
        <v>9</v>
      </c>
      <c r="I2674">
        <v>9</v>
      </c>
      <c r="J2674">
        <v>55.91</v>
      </c>
      <c r="K2674">
        <v>237.3</v>
      </c>
      <c r="L2674">
        <v>0.35</v>
      </c>
      <c r="M2674">
        <v>58.45</v>
      </c>
      <c r="N2674">
        <v>0.96</v>
      </c>
      <c r="O2674" t="s">
        <v>20</v>
      </c>
      <c r="P2674" t="s">
        <v>21</v>
      </c>
      <c r="Q2674">
        <f t="shared" si="205"/>
        <v>17</v>
      </c>
      <c r="R2674" s="4">
        <f>RANK(N2674,$N$2:N$2800,0)</f>
        <v>1301</v>
      </c>
      <c r="S2674">
        <f t="shared" si="206"/>
        <v>1.8888888888888888</v>
      </c>
      <c r="T2674" t="str">
        <f t="shared" si="207"/>
        <v>Good</v>
      </c>
      <c r="U2674" t="str" cm="1">
        <f t="array" ref="U2674">_xlfn.LET(_xlpm.roles,_xlfn.UNIQUE(D2674:D5472),_xlpm.kills, SUMIF(D2674:D5472,_xlpm.roles,G2674:G5472),INDEX(_xlpm.roles,MATCH(MAX(_xlpm.kills),_xlpm.kills,0)))</f>
        <v>Entry Fragger</v>
      </c>
      <c r="V2674" t="str">
        <f t="shared" si="208"/>
        <v>High Accuracy</v>
      </c>
      <c r="W2674" t="str" cm="1">
        <f t="array" ref="W2674">_xlfn.LET(_xlpm.roles,_xlfn.UNIQUE(D2674:D5472), _xlpm.counts,COUNTIF(D2674:D5472,_xlpm.roles), INDEX(_xlpm.roles,MATCH(MAX(_xlpm.counts),_xlpm.counts,0)))</f>
        <v>Support</v>
      </c>
      <c r="X2674" s="2">
        <f t="shared" si="209"/>
        <v>12.599585062240664</v>
      </c>
    </row>
    <row r="2675" spans="1:24" x14ac:dyDescent="0.3">
      <c r="A2675">
        <v>1258</v>
      </c>
      <c r="B2675">
        <v>475</v>
      </c>
      <c r="C2675" t="s">
        <v>39</v>
      </c>
      <c r="D2675" t="s">
        <v>28</v>
      </c>
      <c r="E2675" t="s">
        <v>32</v>
      </c>
      <c r="F2675" t="s">
        <v>19</v>
      </c>
      <c r="G2675">
        <v>21</v>
      </c>
      <c r="H2675">
        <v>5</v>
      </c>
      <c r="I2675">
        <v>8</v>
      </c>
      <c r="J2675">
        <v>52.32</v>
      </c>
      <c r="K2675">
        <v>240.22</v>
      </c>
      <c r="L2675">
        <v>0.41</v>
      </c>
      <c r="M2675">
        <v>61.06</v>
      </c>
      <c r="N2675">
        <v>0.93</v>
      </c>
      <c r="O2675" t="s">
        <v>20</v>
      </c>
      <c r="P2675" t="s">
        <v>38</v>
      </c>
      <c r="Q2675">
        <f t="shared" si="205"/>
        <v>18</v>
      </c>
      <c r="R2675" s="4">
        <f>RANK(N2675,$N$2:N$2800,0)</f>
        <v>1505</v>
      </c>
      <c r="S2675">
        <f t="shared" si="206"/>
        <v>2.625</v>
      </c>
      <c r="T2675" t="str">
        <f t="shared" si="207"/>
        <v>Good</v>
      </c>
      <c r="U2675" t="str" cm="1">
        <f t="array" ref="U2675">_xlfn.LET(_xlpm.roles,_xlfn.UNIQUE(D2675:D5473),_xlpm.kills, SUMIF(D2675:D5473,_xlpm.roles,G2675:G5473),INDEX(_xlpm.roles,MATCH(MAX(_xlpm.kills),_xlpm.kills,0)))</f>
        <v>Entry Fragger</v>
      </c>
      <c r="V2675" t="str">
        <f t="shared" si="208"/>
        <v>High Accuracy</v>
      </c>
      <c r="W2675" t="str" cm="1">
        <f t="array" ref="W2675">_xlfn.LET(_xlpm.roles,_xlfn.UNIQUE(D2675:D5473), _xlpm.counts,COUNTIF(D2675:D5473,_xlpm.roles), INDEX(_xlpm.roles,MATCH(MAX(_xlpm.counts),_xlpm.counts,0)))</f>
        <v>Support</v>
      </c>
      <c r="X2675" s="2">
        <f t="shared" si="209"/>
        <v>13.103594080338267</v>
      </c>
    </row>
    <row r="2676" spans="1:24" x14ac:dyDescent="0.3">
      <c r="A2676">
        <v>1390</v>
      </c>
      <c r="B2676">
        <v>475</v>
      </c>
      <c r="C2676" t="s">
        <v>27</v>
      </c>
      <c r="D2676" t="s">
        <v>31</v>
      </c>
      <c r="E2676" t="s">
        <v>23</v>
      </c>
      <c r="F2676" t="s">
        <v>34</v>
      </c>
      <c r="G2676">
        <v>19</v>
      </c>
      <c r="H2676">
        <v>8</v>
      </c>
      <c r="I2676">
        <v>9</v>
      </c>
      <c r="J2676">
        <v>55.99</v>
      </c>
      <c r="K2676">
        <v>228.14</v>
      </c>
      <c r="L2676">
        <v>0.82</v>
      </c>
      <c r="M2676">
        <v>56.8</v>
      </c>
      <c r="N2676">
        <v>1</v>
      </c>
      <c r="O2676" t="s">
        <v>20</v>
      </c>
      <c r="P2676" t="s">
        <v>21</v>
      </c>
      <c r="Q2676">
        <f t="shared" si="205"/>
        <v>18</v>
      </c>
      <c r="R2676" s="4">
        <f>RANK(N2676,$N$2:N$2800,0)</f>
        <v>1</v>
      </c>
      <c r="S2676">
        <f t="shared" si="206"/>
        <v>2.1111111111111112</v>
      </c>
      <c r="T2676" t="str">
        <f t="shared" si="207"/>
        <v>Good</v>
      </c>
      <c r="U2676" t="str" cm="1">
        <f t="array" ref="U2676">_xlfn.LET(_xlpm.roles,_xlfn.UNIQUE(D2676:D5474),_xlpm.kills, SUMIF(D2676:D5474,_xlpm.roles,G2676:G5474),INDEX(_xlpm.roles,MATCH(MAX(_xlpm.kills),_xlpm.kills,0)))</f>
        <v>Entry Fragger</v>
      </c>
      <c r="V2676" t="str">
        <f t="shared" si="208"/>
        <v>High Accuracy</v>
      </c>
      <c r="W2676" t="str" cm="1">
        <f t="array" ref="W2676">_xlfn.LET(_xlpm.roles,_xlfn.UNIQUE(D2676:D5474), _xlpm.counts,COUNTIF(D2676:D5474,_xlpm.roles), INDEX(_xlpm.roles,MATCH(MAX(_xlpm.counts),_xlpm.counts,0)))</f>
        <v>Support</v>
      </c>
      <c r="X2676" s="2">
        <f t="shared" si="209"/>
        <v>13.057077625570777</v>
      </c>
    </row>
    <row r="2677" spans="1:24" x14ac:dyDescent="0.3">
      <c r="A2677">
        <v>2116</v>
      </c>
      <c r="B2677">
        <v>475</v>
      </c>
      <c r="C2677" t="s">
        <v>39</v>
      </c>
      <c r="D2677" t="s">
        <v>22</v>
      </c>
      <c r="E2677" t="s">
        <v>29</v>
      </c>
      <c r="F2677" t="s">
        <v>24</v>
      </c>
      <c r="G2677">
        <v>14</v>
      </c>
      <c r="H2677">
        <v>11</v>
      </c>
      <c r="I2677">
        <v>10</v>
      </c>
      <c r="J2677">
        <v>40.799999999999997</v>
      </c>
      <c r="K2677">
        <v>224.2</v>
      </c>
      <c r="L2677">
        <v>0.99</v>
      </c>
      <c r="M2677">
        <v>39.5</v>
      </c>
      <c r="N2677">
        <v>0.88</v>
      </c>
      <c r="O2677" t="s">
        <v>20</v>
      </c>
      <c r="P2677" t="s">
        <v>21</v>
      </c>
      <c r="Q2677">
        <f t="shared" si="205"/>
        <v>15</v>
      </c>
      <c r="R2677" s="4">
        <f>RANK(N2677,$N$2:N$2800,0)</f>
        <v>1894</v>
      </c>
      <c r="S2677">
        <f t="shared" si="206"/>
        <v>1.4</v>
      </c>
      <c r="T2677" t="str">
        <f t="shared" si="207"/>
        <v>Good</v>
      </c>
      <c r="U2677" t="str" cm="1">
        <f t="array" ref="U2677">_xlfn.LET(_xlpm.roles,_xlfn.UNIQUE(D2677:D5475),_xlpm.kills, SUMIF(D2677:D5475,_xlpm.roles,G2677:G5475),INDEX(_xlpm.roles,MATCH(MAX(_xlpm.kills),_xlpm.kills,0)))</f>
        <v>Entry Fragger</v>
      </c>
      <c r="V2677" t="str">
        <f t="shared" si="208"/>
        <v>Medium Accuracy</v>
      </c>
      <c r="W2677" t="str" cm="1">
        <f t="array" ref="W2677">_xlfn.LET(_xlpm.roles,_xlfn.UNIQUE(D2677:D5475), _xlpm.counts,COUNTIF(D2677:D5475,_xlpm.roles), INDEX(_xlpm.roles,MATCH(MAX(_xlpm.counts),_xlpm.counts,0)))</f>
        <v>Support</v>
      </c>
      <c r="X2677" s="2">
        <f t="shared" si="209"/>
        <v>13.103594080338267</v>
      </c>
    </row>
    <row r="2678" spans="1:24" x14ac:dyDescent="0.3">
      <c r="A2678">
        <v>2445</v>
      </c>
      <c r="B2678">
        <v>475</v>
      </c>
      <c r="C2678" t="s">
        <v>30</v>
      </c>
      <c r="D2678" t="s">
        <v>31</v>
      </c>
      <c r="E2678" t="s">
        <v>29</v>
      </c>
      <c r="F2678" t="s">
        <v>37</v>
      </c>
      <c r="G2678">
        <v>8</v>
      </c>
      <c r="H2678">
        <v>9</v>
      </c>
      <c r="I2678">
        <v>10</v>
      </c>
      <c r="J2678">
        <v>46.35</v>
      </c>
      <c r="K2678">
        <v>230.91</v>
      </c>
      <c r="L2678">
        <v>0.68</v>
      </c>
      <c r="M2678">
        <v>31.37</v>
      </c>
      <c r="N2678">
        <v>0.75</v>
      </c>
      <c r="O2678" t="s">
        <v>20</v>
      </c>
      <c r="P2678" t="s">
        <v>21</v>
      </c>
      <c r="Q2678">
        <f t="shared" si="205"/>
        <v>7</v>
      </c>
      <c r="R2678" s="4">
        <f>RANK(N2678,$N$2:N$2800,0)</f>
        <v>2586</v>
      </c>
      <c r="S2678">
        <f t="shared" si="206"/>
        <v>0.8</v>
      </c>
      <c r="T2678" t="str">
        <f t="shared" si="207"/>
        <v>Low</v>
      </c>
      <c r="U2678" t="str" cm="1">
        <f t="array" ref="U2678">_xlfn.LET(_xlpm.roles,_xlfn.UNIQUE(D2678:D5476),_xlpm.kills, SUMIF(D2678:D5476,_xlpm.roles,G2678:G5476),INDEX(_xlpm.roles,MATCH(MAX(_xlpm.kills),_xlpm.kills,0)))</f>
        <v>Entry Fragger</v>
      </c>
      <c r="V2678" t="str">
        <f t="shared" si="208"/>
        <v>Medium Accuracy</v>
      </c>
      <c r="W2678" t="str" cm="1">
        <f t="array" ref="W2678">_xlfn.LET(_xlpm.roles,_xlfn.UNIQUE(D2678:D5476), _xlpm.counts,COUNTIF(D2678:D5476,_xlpm.roles), INDEX(_xlpm.roles,MATCH(MAX(_xlpm.counts),_xlpm.counts,0)))</f>
        <v>Support</v>
      </c>
      <c r="X2678" s="2">
        <f t="shared" si="209"/>
        <v>13.135802469135802</v>
      </c>
    </row>
    <row r="2679" spans="1:24" x14ac:dyDescent="0.3">
      <c r="A2679">
        <v>2538</v>
      </c>
      <c r="B2679">
        <v>475</v>
      </c>
      <c r="C2679" t="s">
        <v>25</v>
      </c>
      <c r="D2679" t="s">
        <v>31</v>
      </c>
      <c r="E2679" t="s">
        <v>29</v>
      </c>
      <c r="F2679" t="s">
        <v>19</v>
      </c>
      <c r="G2679">
        <v>12</v>
      </c>
      <c r="H2679">
        <v>6</v>
      </c>
      <c r="I2679">
        <v>11</v>
      </c>
      <c r="J2679">
        <v>53.77</v>
      </c>
      <c r="K2679">
        <v>259.64</v>
      </c>
      <c r="L2679">
        <v>0.52</v>
      </c>
      <c r="M2679">
        <v>40.69</v>
      </c>
      <c r="N2679">
        <v>0.89</v>
      </c>
      <c r="O2679" t="s">
        <v>20</v>
      </c>
      <c r="P2679" t="s">
        <v>21</v>
      </c>
      <c r="Q2679">
        <f t="shared" si="205"/>
        <v>7</v>
      </c>
      <c r="R2679" s="4">
        <f>RANK(N2679,$N$2:N$2800,0)</f>
        <v>1815</v>
      </c>
      <c r="S2679">
        <f t="shared" si="206"/>
        <v>1.0909090909090908</v>
      </c>
      <c r="T2679" t="str">
        <f t="shared" si="207"/>
        <v>Low</v>
      </c>
      <c r="U2679" t="str" cm="1">
        <f t="array" ref="U2679">_xlfn.LET(_xlpm.roles,_xlfn.UNIQUE(D2679:D5477),_xlpm.kills, SUMIF(D2679:D5477,_xlpm.roles,G2679:G5477),INDEX(_xlpm.roles,MATCH(MAX(_xlpm.kills),_xlpm.kills,0)))</f>
        <v>Entry Fragger</v>
      </c>
      <c r="V2679" t="str">
        <f t="shared" si="208"/>
        <v>High Accuracy</v>
      </c>
      <c r="W2679" t="str" cm="1">
        <f t="array" ref="W2679">_xlfn.LET(_xlpm.roles,_xlfn.UNIQUE(D2679:D5477), _xlpm.counts,COUNTIF(D2679:D5477,_xlpm.roles), INDEX(_xlpm.roles,MATCH(MAX(_xlpm.counts),_xlpm.counts,0)))</f>
        <v>Support</v>
      </c>
      <c r="X2679" s="2">
        <f t="shared" si="209"/>
        <v>12.809421841541756</v>
      </c>
    </row>
    <row r="2680" spans="1:24" x14ac:dyDescent="0.3">
      <c r="A2680">
        <v>2613</v>
      </c>
      <c r="B2680">
        <v>475</v>
      </c>
      <c r="C2680" t="s">
        <v>30</v>
      </c>
      <c r="D2680" t="s">
        <v>22</v>
      </c>
      <c r="E2680" t="s">
        <v>32</v>
      </c>
      <c r="F2680" t="s">
        <v>37</v>
      </c>
      <c r="G2680">
        <v>20</v>
      </c>
      <c r="H2680">
        <v>4</v>
      </c>
      <c r="I2680">
        <v>7</v>
      </c>
      <c r="J2680">
        <v>58.87</v>
      </c>
      <c r="K2680">
        <v>238.94</v>
      </c>
      <c r="L2680">
        <v>0.23</v>
      </c>
      <c r="M2680">
        <v>64.14</v>
      </c>
      <c r="N2680">
        <v>1</v>
      </c>
      <c r="O2680" t="s">
        <v>20</v>
      </c>
      <c r="P2680" t="s">
        <v>38</v>
      </c>
      <c r="Q2680">
        <f t="shared" si="205"/>
        <v>17</v>
      </c>
      <c r="R2680" s="4">
        <f>RANK(N2680,$N$2:N$2800,0)</f>
        <v>1</v>
      </c>
      <c r="S2680">
        <f t="shared" si="206"/>
        <v>2.8571428571428572</v>
      </c>
      <c r="T2680" t="str">
        <f t="shared" si="207"/>
        <v>Good</v>
      </c>
      <c r="U2680" t="str" cm="1">
        <f t="array" ref="U2680">_xlfn.LET(_xlpm.roles,_xlfn.UNIQUE(D2680:D5478),_xlpm.kills, SUMIF(D2680:D5478,_xlpm.roles,G2680:G5478),INDEX(_xlpm.roles,MATCH(MAX(_xlpm.kills),_xlpm.kills,0)))</f>
        <v>Entry Fragger</v>
      </c>
      <c r="V2680" t="str">
        <f t="shared" si="208"/>
        <v>High Accuracy</v>
      </c>
      <c r="W2680" t="str" cm="1">
        <f t="array" ref="W2680">_xlfn.LET(_xlpm.roles,_xlfn.UNIQUE(D2680:D5478), _xlpm.counts,COUNTIF(D2680:D5478,_xlpm.roles), INDEX(_xlpm.roles,MATCH(MAX(_xlpm.counts),_xlpm.counts,0)))</f>
        <v>Support</v>
      </c>
      <c r="X2680" s="2">
        <f t="shared" si="209"/>
        <v>13.135802469135802</v>
      </c>
    </row>
    <row r="2681" spans="1:24" x14ac:dyDescent="0.3">
      <c r="A2681">
        <v>513</v>
      </c>
      <c r="B2681">
        <v>476</v>
      </c>
      <c r="C2681" t="s">
        <v>30</v>
      </c>
      <c r="D2681" t="s">
        <v>28</v>
      </c>
      <c r="E2681" t="s">
        <v>18</v>
      </c>
      <c r="F2681" t="s">
        <v>37</v>
      </c>
      <c r="G2681">
        <v>20</v>
      </c>
      <c r="H2681">
        <v>6</v>
      </c>
      <c r="I2681">
        <v>16</v>
      </c>
      <c r="J2681">
        <v>42</v>
      </c>
      <c r="K2681">
        <v>218.54</v>
      </c>
      <c r="L2681">
        <v>0.48</v>
      </c>
      <c r="M2681">
        <v>46.2</v>
      </c>
      <c r="N2681">
        <v>0.76</v>
      </c>
      <c r="O2681" t="s">
        <v>20</v>
      </c>
      <c r="P2681" t="s">
        <v>21</v>
      </c>
      <c r="Q2681">
        <f t="shared" si="205"/>
        <v>10</v>
      </c>
      <c r="R2681" s="4">
        <f>RANK(N2681,$N$2:N$2800,0)</f>
        <v>2547</v>
      </c>
      <c r="S2681">
        <f t="shared" si="206"/>
        <v>1.25</v>
      </c>
      <c r="T2681" t="str">
        <f t="shared" si="207"/>
        <v>Low</v>
      </c>
      <c r="U2681" t="str" cm="1">
        <f t="array" ref="U2681">_xlfn.LET(_xlpm.roles,_xlfn.UNIQUE(D2681:D5479),_xlpm.kills, SUMIF(D2681:D5479,_xlpm.roles,G2681:G5479),INDEX(_xlpm.roles,MATCH(MAX(_xlpm.kills),_xlpm.kills,0)))</f>
        <v>Entry Fragger</v>
      </c>
      <c r="V2681" t="str">
        <f t="shared" si="208"/>
        <v>Medium Accuracy</v>
      </c>
      <c r="W2681" t="str" cm="1">
        <f t="array" ref="W2681">_xlfn.LET(_xlpm.roles,_xlfn.UNIQUE(D2681:D5479), _xlpm.counts,COUNTIF(D2681:D5479,_xlpm.roles), INDEX(_xlpm.roles,MATCH(MAX(_xlpm.counts),_xlpm.counts,0)))</f>
        <v>Entry Fragger</v>
      </c>
      <c r="X2681" s="2">
        <f t="shared" si="209"/>
        <v>13.135802469135802</v>
      </c>
    </row>
    <row r="2682" spans="1:24" x14ac:dyDescent="0.3">
      <c r="A2682">
        <v>542</v>
      </c>
      <c r="B2682">
        <v>476</v>
      </c>
      <c r="C2682" t="s">
        <v>30</v>
      </c>
      <c r="D2682" t="s">
        <v>17</v>
      </c>
      <c r="E2682" t="s">
        <v>18</v>
      </c>
      <c r="F2682" t="s">
        <v>24</v>
      </c>
      <c r="G2682">
        <v>15</v>
      </c>
      <c r="H2682">
        <v>7</v>
      </c>
      <c r="I2682">
        <v>10</v>
      </c>
      <c r="J2682">
        <v>52.82</v>
      </c>
      <c r="K2682">
        <v>207.55</v>
      </c>
      <c r="L2682">
        <v>0.63</v>
      </c>
      <c r="M2682">
        <v>47.11</v>
      </c>
      <c r="N2682">
        <v>1</v>
      </c>
      <c r="O2682" t="s">
        <v>20</v>
      </c>
      <c r="P2682" t="s">
        <v>21</v>
      </c>
      <c r="Q2682">
        <f t="shared" si="205"/>
        <v>12</v>
      </c>
      <c r="R2682" s="4">
        <f>RANK(N2682,$N$2:N$2800,0)</f>
        <v>1</v>
      </c>
      <c r="S2682">
        <f t="shared" si="206"/>
        <v>1.5</v>
      </c>
      <c r="T2682" t="str">
        <f t="shared" si="207"/>
        <v>Low</v>
      </c>
      <c r="U2682" t="str" cm="1">
        <f t="array" ref="U2682">_xlfn.LET(_xlpm.roles,_xlfn.UNIQUE(D2682:D5480),_xlpm.kills, SUMIF(D2682:D5480,_xlpm.roles,G2682:G5480),INDEX(_xlpm.roles,MATCH(MAX(_xlpm.kills),_xlpm.kills,0)))</f>
        <v>Entry Fragger</v>
      </c>
      <c r="V2682" t="str">
        <f t="shared" si="208"/>
        <v>High Accuracy</v>
      </c>
      <c r="W2682" t="str" cm="1">
        <f t="array" ref="W2682">_xlfn.LET(_xlpm.roles,_xlfn.UNIQUE(D2682:D5480), _xlpm.counts,COUNTIF(D2682:D5480,_xlpm.roles), INDEX(_xlpm.roles,MATCH(MAX(_xlpm.counts),_xlpm.counts,0)))</f>
        <v>Entry Fragger</v>
      </c>
      <c r="X2682" s="2">
        <f t="shared" si="209"/>
        <v>13.135802469135802</v>
      </c>
    </row>
    <row r="2683" spans="1:24" x14ac:dyDescent="0.3">
      <c r="A2683">
        <v>1408</v>
      </c>
      <c r="B2683">
        <v>476</v>
      </c>
      <c r="C2683" t="s">
        <v>35</v>
      </c>
      <c r="D2683" t="s">
        <v>31</v>
      </c>
      <c r="E2683" t="s">
        <v>18</v>
      </c>
      <c r="F2683" t="s">
        <v>24</v>
      </c>
      <c r="G2683">
        <v>17</v>
      </c>
      <c r="H2683">
        <v>6</v>
      </c>
      <c r="I2683">
        <v>6</v>
      </c>
      <c r="J2683">
        <v>36.619999999999997</v>
      </c>
      <c r="K2683">
        <v>224.8</v>
      </c>
      <c r="L2683">
        <v>0.57999999999999996</v>
      </c>
      <c r="M2683">
        <v>46.51</v>
      </c>
      <c r="N2683">
        <v>0.91</v>
      </c>
      <c r="O2683" t="s">
        <v>20</v>
      </c>
      <c r="P2683" t="s">
        <v>21</v>
      </c>
      <c r="Q2683">
        <f t="shared" si="205"/>
        <v>17</v>
      </c>
      <c r="R2683" s="4">
        <f>RANK(N2683,$N$2:N$2800,0)</f>
        <v>1665</v>
      </c>
      <c r="S2683">
        <f t="shared" si="206"/>
        <v>2.8333333333333335</v>
      </c>
      <c r="T2683" t="str">
        <f t="shared" si="207"/>
        <v>Good</v>
      </c>
      <c r="U2683" t="str" cm="1">
        <f t="array" ref="U2683">_xlfn.LET(_xlpm.roles,_xlfn.UNIQUE(D2683:D5481),_xlpm.kills, SUMIF(D2683:D5481,_xlpm.roles,G2683:G5481),INDEX(_xlpm.roles,MATCH(MAX(_xlpm.kills),_xlpm.kills,0)))</f>
        <v>Entry Fragger</v>
      </c>
      <c r="V2683" t="str">
        <f t="shared" si="208"/>
        <v>Medium Accuracy</v>
      </c>
      <c r="W2683" t="str" cm="1">
        <f t="array" ref="W2683">_xlfn.LET(_xlpm.roles,_xlfn.UNIQUE(D2683:D5481), _xlpm.counts,COUNTIF(D2683:D5481,_xlpm.roles), INDEX(_xlpm.roles,MATCH(MAX(_xlpm.counts),_xlpm.counts,0)))</f>
        <v>Entry Fragger</v>
      </c>
      <c r="X2683" s="2">
        <f t="shared" si="209"/>
        <v>12.599585062240664</v>
      </c>
    </row>
    <row r="2684" spans="1:24" x14ac:dyDescent="0.3">
      <c r="A2684">
        <v>131</v>
      </c>
      <c r="B2684">
        <v>477</v>
      </c>
      <c r="C2684" t="s">
        <v>39</v>
      </c>
      <c r="D2684" t="s">
        <v>36</v>
      </c>
      <c r="E2684" t="s">
        <v>29</v>
      </c>
      <c r="F2684" t="s">
        <v>19</v>
      </c>
      <c r="G2684">
        <v>20</v>
      </c>
      <c r="H2684">
        <v>6</v>
      </c>
      <c r="I2684">
        <v>15</v>
      </c>
      <c r="J2684">
        <v>53.69</v>
      </c>
      <c r="K2684">
        <v>222.94</v>
      </c>
      <c r="L2684">
        <v>0.13</v>
      </c>
      <c r="M2684">
        <v>56.55</v>
      </c>
      <c r="N2684">
        <v>1</v>
      </c>
      <c r="O2684" t="s">
        <v>20</v>
      </c>
      <c r="P2684" t="s">
        <v>21</v>
      </c>
      <c r="Q2684">
        <f t="shared" si="205"/>
        <v>11</v>
      </c>
      <c r="R2684" s="4">
        <f>RANK(N2684,$N$2:N$2800,0)</f>
        <v>1</v>
      </c>
      <c r="S2684">
        <f t="shared" si="206"/>
        <v>1.3333333333333333</v>
      </c>
      <c r="T2684" t="str">
        <f t="shared" si="207"/>
        <v>Low</v>
      </c>
      <c r="U2684" t="str" cm="1">
        <f t="array" ref="U2684">_xlfn.LET(_xlpm.roles,_xlfn.UNIQUE(D2684:D5482),_xlpm.kills, SUMIF(D2684:D5482,_xlpm.roles,G2684:G5482),INDEX(_xlpm.roles,MATCH(MAX(_xlpm.kills),_xlpm.kills,0)))</f>
        <v>Entry Fragger</v>
      </c>
      <c r="V2684" t="str">
        <f t="shared" si="208"/>
        <v>High Accuracy</v>
      </c>
      <c r="W2684" t="str" cm="1">
        <f t="array" ref="W2684">_xlfn.LET(_xlpm.roles,_xlfn.UNIQUE(D2684:D5482), _xlpm.counts,COUNTIF(D2684:D5482,_xlpm.roles), INDEX(_xlpm.roles,MATCH(MAX(_xlpm.counts),_xlpm.counts,0)))</f>
        <v>Entry Fragger</v>
      </c>
      <c r="X2684" s="2">
        <f t="shared" si="209"/>
        <v>13.103594080338267</v>
      </c>
    </row>
    <row r="2685" spans="1:24" x14ac:dyDescent="0.3">
      <c r="A2685">
        <v>213</v>
      </c>
      <c r="B2685">
        <v>477</v>
      </c>
      <c r="C2685" t="s">
        <v>25</v>
      </c>
      <c r="D2685" t="s">
        <v>36</v>
      </c>
      <c r="E2685" t="s">
        <v>18</v>
      </c>
      <c r="F2685" t="s">
        <v>37</v>
      </c>
      <c r="G2685">
        <v>16</v>
      </c>
      <c r="H2685">
        <v>7</v>
      </c>
      <c r="I2685">
        <v>12</v>
      </c>
      <c r="J2685">
        <v>34.46</v>
      </c>
      <c r="K2685">
        <v>243.28</v>
      </c>
      <c r="L2685">
        <v>0.89</v>
      </c>
      <c r="M2685">
        <v>35.33</v>
      </c>
      <c r="N2685">
        <v>0.82</v>
      </c>
      <c r="O2685" t="s">
        <v>20</v>
      </c>
      <c r="P2685" t="s">
        <v>21</v>
      </c>
      <c r="Q2685">
        <f t="shared" si="205"/>
        <v>11</v>
      </c>
      <c r="R2685" s="4">
        <f>RANK(N2685,$N$2:N$2800,0)</f>
        <v>2275</v>
      </c>
      <c r="S2685">
        <f t="shared" si="206"/>
        <v>1.3333333333333333</v>
      </c>
      <c r="T2685" t="str">
        <f t="shared" si="207"/>
        <v>Low</v>
      </c>
      <c r="U2685" t="str" cm="1">
        <f t="array" ref="U2685">_xlfn.LET(_xlpm.roles,_xlfn.UNIQUE(D2685:D5483),_xlpm.kills, SUMIF(D2685:D5483,_xlpm.roles,G2685:G5483),INDEX(_xlpm.roles,MATCH(MAX(_xlpm.kills),_xlpm.kills,0)))</f>
        <v>Entry Fragger</v>
      </c>
      <c r="V2685" t="str">
        <f t="shared" si="208"/>
        <v>Medium Accuracy</v>
      </c>
      <c r="W2685" t="str" cm="1">
        <f t="array" ref="W2685">_xlfn.LET(_xlpm.roles,_xlfn.UNIQUE(D2685:D5483), _xlpm.counts,COUNTIF(D2685:D5483,_xlpm.roles), INDEX(_xlpm.roles,MATCH(MAX(_xlpm.counts),_xlpm.counts,0)))</f>
        <v>Support</v>
      </c>
      <c r="X2685" s="2">
        <f t="shared" si="209"/>
        <v>12.809421841541756</v>
      </c>
    </row>
    <row r="2686" spans="1:24" x14ac:dyDescent="0.3">
      <c r="A2686">
        <v>848</v>
      </c>
      <c r="B2686">
        <v>477</v>
      </c>
      <c r="C2686" t="s">
        <v>30</v>
      </c>
      <c r="D2686" t="s">
        <v>28</v>
      </c>
      <c r="E2686" t="s">
        <v>32</v>
      </c>
      <c r="F2686" t="s">
        <v>34</v>
      </c>
      <c r="G2686">
        <v>17</v>
      </c>
      <c r="H2686">
        <v>11</v>
      </c>
      <c r="I2686">
        <v>12</v>
      </c>
      <c r="J2686">
        <v>51.03</v>
      </c>
      <c r="K2686">
        <v>174.14</v>
      </c>
      <c r="L2686">
        <v>0.96</v>
      </c>
      <c r="M2686">
        <v>48.91</v>
      </c>
      <c r="N2686">
        <v>1</v>
      </c>
      <c r="O2686" t="s">
        <v>20</v>
      </c>
      <c r="P2686" t="s">
        <v>21</v>
      </c>
      <c r="Q2686">
        <f t="shared" si="205"/>
        <v>16</v>
      </c>
      <c r="R2686" s="4">
        <f>RANK(N2686,$N$2:N$2800,0)</f>
        <v>1</v>
      </c>
      <c r="S2686">
        <f t="shared" si="206"/>
        <v>1.4166666666666667</v>
      </c>
      <c r="T2686" t="str">
        <f t="shared" si="207"/>
        <v>Good</v>
      </c>
      <c r="U2686" t="str" cm="1">
        <f t="array" ref="U2686">_xlfn.LET(_xlpm.roles,_xlfn.UNIQUE(D2686:D5484),_xlpm.kills, SUMIF(D2686:D5484,_xlpm.roles,G2686:G5484),INDEX(_xlpm.roles,MATCH(MAX(_xlpm.kills),_xlpm.kills,0)))</f>
        <v>Entry Fragger</v>
      </c>
      <c r="V2686" t="str">
        <f t="shared" si="208"/>
        <v>High Accuracy</v>
      </c>
      <c r="W2686" t="str" cm="1">
        <f t="array" ref="W2686">_xlfn.LET(_xlpm.roles,_xlfn.UNIQUE(D2686:D5484), _xlpm.counts,COUNTIF(D2686:D5484,_xlpm.roles), INDEX(_xlpm.roles,MATCH(MAX(_xlpm.counts),_xlpm.counts,0)))</f>
        <v>Support</v>
      </c>
      <c r="X2686" s="2">
        <f t="shared" si="209"/>
        <v>13.135802469135802</v>
      </c>
    </row>
    <row r="2687" spans="1:24" x14ac:dyDescent="0.3">
      <c r="A2687">
        <v>1876</v>
      </c>
      <c r="B2687">
        <v>477</v>
      </c>
      <c r="C2687" t="s">
        <v>27</v>
      </c>
      <c r="D2687" t="s">
        <v>17</v>
      </c>
      <c r="E2687" t="s">
        <v>29</v>
      </c>
      <c r="F2687" t="s">
        <v>19</v>
      </c>
      <c r="G2687">
        <v>19</v>
      </c>
      <c r="H2687">
        <v>4</v>
      </c>
      <c r="I2687">
        <v>9</v>
      </c>
      <c r="J2687">
        <v>49.04</v>
      </c>
      <c r="K2687">
        <v>243.78</v>
      </c>
      <c r="L2687">
        <v>0.79</v>
      </c>
      <c r="M2687">
        <v>49.62</v>
      </c>
      <c r="N2687">
        <v>1</v>
      </c>
      <c r="O2687" t="s">
        <v>20</v>
      </c>
      <c r="P2687" t="s">
        <v>21</v>
      </c>
      <c r="Q2687">
        <f t="shared" si="205"/>
        <v>14</v>
      </c>
      <c r="R2687" s="4">
        <f>RANK(N2687,$N$2:N$2800,0)</f>
        <v>1</v>
      </c>
      <c r="S2687">
        <f t="shared" si="206"/>
        <v>2.1111111111111112</v>
      </c>
      <c r="T2687" t="str">
        <f t="shared" si="207"/>
        <v>Low</v>
      </c>
      <c r="U2687" t="str" cm="1">
        <f t="array" ref="U2687">_xlfn.LET(_xlpm.roles,_xlfn.UNIQUE(D2687:D5485),_xlpm.kills, SUMIF(D2687:D5485,_xlpm.roles,G2687:G5485),INDEX(_xlpm.roles,MATCH(MAX(_xlpm.kills),_xlpm.kills,0)))</f>
        <v>Entry Fragger</v>
      </c>
      <c r="V2687" t="str">
        <f t="shared" si="208"/>
        <v>Medium Accuracy</v>
      </c>
      <c r="W2687" t="str" cm="1">
        <f t="array" ref="W2687">_xlfn.LET(_xlpm.roles,_xlfn.UNIQUE(D2687:D5485), _xlpm.counts,COUNTIF(D2687:D5485,_xlpm.roles), INDEX(_xlpm.roles,MATCH(MAX(_xlpm.counts),_xlpm.counts,0)))</f>
        <v>Support</v>
      </c>
      <c r="X2687" s="2">
        <f t="shared" si="209"/>
        <v>13.057077625570777</v>
      </c>
    </row>
    <row r="2688" spans="1:24" x14ac:dyDescent="0.3">
      <c r="A2688">
        <v>2501</v>
      </c>
      <c r="B2688">
        <v>477</v>
      </c>
      <c r="C2688" t="s">
        <v>27</v>
      </c>
      <c r="D2688" t="s">
        <v>31</v>
      </c>
      <c r="E2688" t="s">
        <v>29</v>
      </c>
      <c r="F2688" t="s">
        <v>24</v>
      </c>
      <c r="G2688">
        <v>24</v>
      </c>
      <c r="H2688">
        <v>9</v>
      </c>
      <c r="I2688">
        <v>7</v>
      </c>
      <c r="J2688">
        <v>42.02</v>
      </c>
      <c r="K2688">
        <v>208.54</v>
      </c>
      <c r="L2688">
        <v>0.01</v>
      </c>
      <c r="M2688">
        <v>70.91</v>
      </c>
      <c r="N2688">
        <v>1</v>
      </c>
      <c r="O2688" t="s">
        <v>20</v>
      </c>
      <c r="P2688" t="s">
        <v>38</v>
      </c>
      <c r="Q2688">
        <f t="shared" si="205"/>
        <v>26</v>
      </c>
      <c r="R2688" s="4">
        <f>RANK(N2688,$N$2:N$2800,0)</f>
        <v>1</v>
      </c>
      <c r="S2688">
        <f t="shared" si="206"/>
        <v>3.4285714285714284</v>
      </c>
      <c r="T2688" t="str">
        <f t="shared" si="207"/>
        <v>Excellent</v>
      </c>
      <c r="U2688" t="str" cm="1">
        <f t="array" ref="U2688">_xlfn.LET(_xlpm.roles,_xlfn.UNIQUE(D2688:D5486),_xlpm.kills, SUMIF(D2688:D5486,_xlpm.roles,G2688:G5486),INDEX(_xlpm.roles,MATCH(MAX(_xlpm.kills),_xlpm.kills,0)))</f>
        <v>Entry Fragger</v>
      </c>
      <c r="V2688" t="str">
        <f t="shared" si="208"/>
        <v>Medium Accuracy</v>
      </c>
      <c r="W2688" t="str" cm="1">
        <f t="array" ref="W2688">_xlfn.LET(_xlpm.roles,_xlfn.UNIQUE(D2688:D5486), _xlpm.counts,COUNTIF(D2688:D5486,_xlpm.roles), INDEX(_xlpm.roles,MATCH(MAX(_xlpm.counts),_xlpm.counts,0)))</f>
        <v>Support</v>
      </c>
      <c r="X2688" s="2">
        <f t="shared" si="209"/>
        <v>13.057077625570777</v>
      </c>
    </row>
    <row r="2689" spans="1:24" x14ac:dyDescent="0.3">
      <c r="A2689">
        <v>121</v>
      </c>
      <c r="B2689">
        <v>478</v>
      </c>
      <c r="C2689" t="s">
        <v>27</v>
      </c>
      <c r="D2689" t="s">
        <v>17</v>
      </c>
      <c r="E2689" t="s">
        <v>18</v>
      </c>
      <c r="F2689" t="s">
        <v>37</v>
      </c>
      <c r="G2689">
        <v>12</v>
      </c>
      <c r="H2689">
        <v>5</v>
      </c>
      <c r="I2689">
        <v>10</v>
      </c>
      <c r="J2689">
        <v>32.96</v>
      </c>
      <c r="K2689">
        <v>242.8</v>
      </c>
      <c r="L2689">
        <v>0.21</v>
      </c>
      <c r="M2689">
        <v>33.380000000000003</v>
      </c>
      <c r="N2689">
        <v>0.81</v>
      </c>
      <c r="O2689" t="s">
        <v>20</v>
      </c>
      <c r="P2689" t="s">
        <v>21</v>
      </c>
      <c r="Q2689">
        <f t="shared" si="205"/>
        <v>7</v>
      </c>
      <c r="R2689" s="4">
        <f>RANK(N2689,$N$2:N$2800,0)</f>
        <v>2341</v>
      </c>
      <c r="S2689">
        <f t="shared" si="206"/>
        <v>1.2</v>
      </c>
      <c r="T2689" t="str">
        <f t="shared" si="207"/>
        <v>Low</v>
      </c>
      <c r="U2689" t="str" cm="1">
        <f t="array" ref="U2689">_xlfn.LET(_xlpm.roles,_xlfn.UNIQUE(D2689:D5487),_xlpm.kills, SUMIF(D2689:D5487,_xlpm.roles,G2689:G5487),INDEX(_xlpm.roles,MATCH(MAX(_xlpm.kills),_xlpm.kills,0)))</f>
        <v>Entry Fragger</v>
      </c>
      <c r="V2689" t="str">
        <f t="shared" si="208"/>
        <v>Medium Accuracy</v>
      </c>
      <c r="W2689" t="str" cm="1">
        <f t="array" ref="W2689">_xlfn.LET(_xlpm.roles,_xlfn.UNIQUE(D2689:D5487), _xlpm.counts,COUNTIF(D2689:D5487,_xlpm.roles), INDEX(_xlpm.roles,MATCH(MAX(_xlpm.counts),_xlpm.counts,0)))</f>
        <v>Support</v>
      </c>
      <c r="X2689" s="2">
        <f t="shared" si="209"/>
        <v>13.057077625570777</v>
      </c>
    </row>
    <row r="2690" spans="1:24" x14ac:dyDescent="0.3">
      <c r="A2690">
        <v>233</v>
      </c>
      <c r="B2690">
        <v>478</v>
      </c>
      <c r="C2690" t="s">
        <v>16</v>
      </c>
      <c r="D2690" t="s">
        <v>31</v>
      </c>
      <c r="E2690" t="s">
        <v>29</v>
      </c>
      <c r="F2690" t="s">
        <v>34</v>
      </c>
      <c r="G2690">
        <v>16</v>
      </c>
      <c r="H2690">
        <v>5</v>
      </c>
      <c r="I2690">
        <v>7</v>
      </c>
      <c r="J2690">
        <v>41.71</v>
      </c>
      <c r="K2690">
        <v>223.96</v>
      </c>
      <c r="L2690">
        <v>0.95</v>
      </c>
      <c r="M2690">
        <v>41.36</v>
      </c>
      <c r="N2690">
        <v>0.86</v>
      </c>
      <c r="O2690" t="s">
        <v>20</v>
      </c>
      <c r="P2690" t="s">
        <v>21</v>
      </c>
      <c r="Q2690">
        <f t="shared" si="205"/>
        <v>14</v>
      </c>
      <c r="R2690" s="4">
        <f>RANK(N2690,$N$2:N$2800,0)</f>
        <v>2040</v>
      </c>
      <c r="S2690">
        <f t="shared" si="206"/>
        <v>2.2857142857142856</v>
      </c>
      <c r="T2690" t="str">
        <f t="shared" si="207"/>
        <v>Low</v>
      </c>
      <c r="U2690" t="str" cm="1">
        <f t="array" ref="U2690">_xlfn.LET(_xlpm.roles,_xlfn.UNIQUE(D2690:D5488),_xlpm.kills, SUMIF(D2690:D5488,_xlpm.roles,G2690:G5488),INDEX(_xlpm.roles,MATCH(MAX(_xlpm.kills),_xlpm.kills,0)))</f>
        <v>Entry Fragger</v>
      </c>
      <c r="V2690" t="str">
        <f t="shared" si="208"/>
        <v>Medium Accuracy</v>
      </c>
      <c r="W2690" t="str" cm="1">
        <f t="array" ref="W2690">_xlfn.LET(_xlpm.roles,_xlfn.UNIQUE(D2690:D5488), _xlpm.counts,COUNTIF(D2690:D5488,_xlpm.roles), INDEX(_xlpm.roles,MATCH(MAX(_xlpm.counts),_xlpm.counts,0)))</f>
        <v>Support</v>
      </c>
      <c r="X2690" s="2">
        <f t="shared" si="209"/>
        <v>12.520971302428256</v>
      </c>
    </row>
    <row r="2691" spans="1:24" x14ac:dyDescent="0.3">
      <c r="A2691">
        <v>388</v>
      </c>
      <c r="B2691">
        <v>478</v>
      </c>
      <c r="C2691" t="s">
        <v>39</v>
      </c>
      <c r="D2691" t="s">
        <v>17</v>
      </c>
      <c r="E2691" t="s">
        <v>33</v>
      </c>
      <c r="F2691" t="s">
        <v>24</v>
      </c>
      <c r="G2691">
        <v>7</v>
      </c>
      <c r="H2691">
        <v>9</v>
      </c>
      <c r="I2691">
        <v>10</v>
      </c>
      <c r="J2691">
        <v>60.6</v>
      </c>
      <c r="K2691">
        <v>151.91999999999999</v>
      </c>
      <c r="L2691">
        <v>0.64</v>
      </c>
      <c r="M2691">
        <v>36.9</v>
      </c>
      <c r="N2691">
        <v>0.85</v>
      </c>
      <c r="O2691" t="s">
        <v>20</v>
      </c>
      <c r="P2691" t="s">
        <v>21</v>
      </c>
      <c r="Q2691">
        <f t="shared" ref="Q2691:Q2754" si="210">G2691+H2691-I2691</f>
        <v>6</v>
      </c>
      <c r="R2691" s="4">
        <f>RANK(N2691,$N$2:N$2800,0)</f>
        <v>2105</v>
      </c>
      <c r="S2691">
        <f t="shared" ref="S2691:S2754" si="211">G2691/I2691</f>
        <v>0.7</v>
      </c>
      <c r="T2691" t="str">
        <f t="shared" ref="T2691:T2754" si="212">IF(Q2691&lt;15,"Low",IF(Q2691&lt;25,"Good","Excellent"))</f>
        <v>Low</v>
      </c>
      <c r="U2691" t="str" cm="1">
        <f t="array" ref="U2691">_xlfn.LET(_xlpm.roles,_xlfn.UNIQUE(D2691:D5489),_xlpm.kills, SUMIF(D2691:D5489,_xlpm.roles,G2691:G5489),INDEX(_xlpm.roles,MATCH(MAX(_xlpm.kills),_xlpm.kills,0)))</f>
        <v>Entry Fragger</v>
      </c>
      <c r="V2691" t="str">
        <f t="shared" ref="V2691:V2754" si="213">IF(J2691&gt;=50,"High Accuracy",IF(J2691&gt;=30,"Medium Accuracy","Low Accuracy"))</f>
        <v>High Accuracy</v>
      </c>
      <c r="W2691" t="str" cm="1">
        <f t="array" ref="W2691">_xlfn.LET(_xlpm.roles,_xlfn.UNIQUE(D2691:D5489), _xlpm.counts,COUNTIF(D2691:D5489,_xlpm.roles), INDEX(_xlpm.roles,MATCH(MAX(_xlpm.counts),_xlpm.counts,0)))</f>
        <v>Support</v>
      </c>
      <c r="X2691" s="2">
        <f t="shared" ref="X2691:X2754" si="214">AVERAGEIF($C$2:$C$2800,C2691,$Q$2:$Q$2800)</f>
        <v>13.103594080338267</v>
      </c>
    </row>
    <row r="2692" spans="1:24" x14ac:dyDescent="0.3">
      <c r="A2692">
        <v>1784</v>
      </c>
      <c r="B2692">
        <v>478</v>
      </c>
      <c r="C2692" t="s">
        <v>30</v>
      </c>
      <c r="D2692" t="s">
        <v>31</v>
      </c>
      <c r="E2692" t="s">
        <v>33</v>
      </c>
      <c r="F2692" t="s">
        <v>37</v>
      </c>
      <c r="G2692">
        <v>14</v>
      </c>
      <c r="H2692">
        <v>5</v>
      </c>
      <c r="I2692">
        <v>6</v>
      </c>
      <c r="J2692">
        <v>45.04</v>
      </c>
      <c r="K2692">
        <v>227.94</v>
      </c>
      <c r="L2692">
        <v>0.68</v>
      </c>
      <c r="M2692">
        <v>42.72</v>
      </c>
      <c r="N2692">
        <v>0.94</v>
      </c>
      <c r="O2692" t="s">
        <v>20</v>
      </c>
      <c r="P2692" t="s">
        <v>21</v>
      </c>
      <c r="Q2692">
        <f t="shared" si="210"/>
        <v>13</v>
      </c>
      <c r="R2692" s="4">
        <f>RANK(N2692,$N$2:N$2800,0)</f>
        <v>1431</v>
      </c>
      <c r="S2692">
        <f t="shared" si="211"/>
        <v>2.3333333333333335</v>
      </c>
      <c r="T2692" t="str">
        <f t="shared" si="212"/>
        <v>Low</v>
      </c>
      <c r="U2692" t="str" cm="1">
        <f t="array" ref="U2692">_xlfn.LET(_xlpm.roles,_xlfn.UNIQUE(D2692:D5490),_xlpm.kills, SUMIF(D2692:D5490,_xlpm.roles,G2692:G5490),INDEX(_xlpm.roles,MATCH(MAX(_xlpm.kills),_xlpm.kills,0)))</f>
        <v>Entry Fragger</v>
      </c>
      <c r="V2692" t="str">
        <f t="shared" si="213"/>
        <v>Medium Accuracy</v>
      </c>
      <c r="W2692" t="str" cm="1">
        <f t="array" ref="W2692">_xlfn.LET(_xlpm.roles,_xlfn.UNIQUE(D2692:D5490), _xlpm.counts,COUNTIF(D2692:D5490,_xlpm.roles), INDEX(_xlpm.roles,MATCH(MAX(_xlpm.counts),_xlpm.counts,0)))</f>
        <v>Support</v>
      </c>
      <c r="X2692" s="2">
        <f t="shared" si="214"/>
        <v>13.135802469135802</v>
      </c>
    </row>
    <row r="2693" spans="1:24" x14ac:dyDescent="0.3">
      <c r="A2693">
        <v>2003</v>
      </c>
      <c r="B2693">
        <v>478</v>
      </c>
      <c r="C2693" t="s">
        <v>39</v>
      </c>
      <c r="D2693" t="s">
        <v>17</v>
      </c>
      <c r="E2693" t="s">
        <v>33</v>
      </c>
      <c r="F2693" t="s">
        <v>19</v>
      </c>
      <c r="G2693">
        <v>15</v>
      </c>
      <c r="H2693">
        <v>8</v>
      </c>
      <c r="I2693">
        <v>14</v>
      </c>
      <c r="J2693">
        <v>44.05</v>
      </c>
      <c r="K2693">
        <v>201.08</v>
      </c>
      <c r="L2693">
        <v>0.54</v>
      </c>
      <c r="M2693">
        <v>40.619999999999997</v>
      </c>
      <c r="N2693">
        <v>0.92</v>
      </c>
      <c r="O2693" t="s">
        <v>20</v>
      </c>
      <c r="P2693" t="s">
        <v>21</v>
      </c>
      <c r="Q2693">
        <f t="shared" si="210"/>
        <v>9</v>
      </c>
      <c r="R2693" s="4">
        <f>RANK(N2693,$N$2:N$2800,0)</f>
        <v>1585</v>
      </c>
      <c r="S2693">
        <f t="shared" si="211"/>
        <v>1.0714285714285714</v>
      </c>
      <c r="T2693" t="str">
        <f t="shared" si="212"/>
        <v>Low</v>
      </c>
      <c r="U2693" t="str" cm="1">
        <f t="array" ref="U2693">_xlfn.LET(_xlpm.roles,_xlfn.UNIQUE(D2693:D5491),_xlpm.kills, SUMIF(D2693:D5491,_xlpm.roles,G2693:G5491),INDEX(_xlpm.roles,MATCH(MAX(_xlpm.kills),_xlpm.kills,0)))</f>
        <v>Entry Fragger</v>
      </c>
      <c r="V2693" t="str">
        <f t="shared" si="213"/>
        <v>Medium Accuracy</v>
      </c>
      <c r="W2693" t="str" cm="1">
        <f t="array" ref="W2693">_xlfn.LET(_xlpm.roles,_xlfn.UNIQUE(D2693:D5491), _xlpm.counts,COUNTIF(D2693:D5491,_xlpm.roles), INDEX(_xlpm.roles,MATCH(MAX(_xlpm.counts),_xlpm.counts,0)))</f>
        <v>Support</v>
      </c>
      <c r="X2693" s="2">
        <f t="shared" si="214"/>
        <v>13.103594080338267</v>
      </c>
    </row>
    <row r="2694" spans="1:24" x14ac:dyDescent="0.3">
      <c r="A2694">
        <v>2252</v>
      </c>
      <c r="B2694">
        <v>478</v>
      </c>
      <c r="C2694" t="s">
        <v>25</v>
      </c>
      <c r="D2694" t="s">
        <v>22</v>
      </c>
      <c r="E2694" t="s">
        <v>23</v>
      </c>
      <c r="F2694" t="s">
        <v>34</v>
      </c>
      <c r="G2694">
        <v>12</v>
      </c>
      <c r="H2694">
        <v>8</v>
      </c>
      <c r="I2694">
        <v>8</v>
      </c>
      <c r="J2694">
        <v>48.83</v>
      </c>
      <c r="K2694">
        <v>241.95</v>
      </c>
      <c r="L2694">
        <v>0.75</v>
      </c>
      <c r="M2694">
        <v>40.909999999999997</v>
      </c>
      <c r="N2694">
        <v>1</v>
      </c>
      <c r="O2694" t="s">
        <v>20</v>
      </c>
      <c r="P2694" t="s">
        <v>21</v>
      </c>
      <c r="Q2694">
        <f t="shared" si="210"/>
        <v>12</v>
      </c>
      <c r="R2694" s="4">
        <f>RANK(N2694,$N$2:N$2800,0)</f>
        <v>1</v>
      </c>
      <c r="S2694">
        <f t="shared" si="211"/>
        <v>1.5</v>
      </c>
      <c r="T2694" t="str">
        <f t="shared" si="212"/>
        <v>Low</v>
      </c>
      <c r="U2694" t="str" cm="1">
        <f t="array" ref="U2694">_xlfn.LET(_xlpm.roles,_xlfn.UNIQUE(D2694:D5492),_xlpm.kills, SUMIF(D2694:D5492,_xlpm.roles,G2694:G5492),INDEX(_xlpm.roles,MATCH(MAX(_xlpm.kills),_xlpm.kills,0)))</f>
        <v>Entry Fragger</v>
      </c>
      <c r="V2694" t="str">
        <f t="shared" si="213"/>
        <v>Medium Accuracy</v>
      </c>
      <c r="W2694" t="str" cm="1">
        <f t="array" ref="W2694">_xlfn.LET(_xlpm.roles,_xlfn.UNIQUE(D2694:D5492), _xlpm.counts,COUNTIF(D2694:D5492,_xlpm.roles), INDEX(_xlpm.roles,MATCH(MAX(_xlpm.counts),_xlpm.counts,0)))</f>
        <v>Support</v>
      </c>
      <c r="X2694" s="2">
        <f t="shared" si="214"/>
        <v>12.809421841541756</v>
      </c>
    </row>
    <row r="2695" spans="1:24" x14ac:dyDescent="0.3">
      <c r="A2695">
        <v>843</v>
      </c>
      <c r="B2695">
        <v>479</v>
      </c>
      <c r="C2695" t="s">
        <v>39</v>
      </c>
      <c r="D2695" t="s">
        <v>36</v>
      </c>
      <c r="E2695" t="s">
        <v>23</v>
      </c>
      <c r="F2695" t="s">
        <v>26</v>
      </c>
      <c r="G2695">
        <v>18</v>
      </c>
      <c r="H2695">
        <v>8</v>
      </c>
      <c r="I2695">
        <v>9</v>
      </c>
      <c r="J2695">
        <v>43.32</v>
      </c>
      <c r="K2695">
        <v>204.56</v>
      </c>
      <c r="L2695">
        <v>0.23</v>
      </c>
      <c r="M2695">
        <v>54.36</v>
      </c>
      <c r="N2695">
        <v>0.96</v>
      </c>
      <c r="O2695" t="s">
        <v>20</v>
      </c>
      <c r="P2695" t="s">
        <v>21</v>
      </c>
      <c r="Q2695">
        <f t="shared" si="210"/>
        <v>17</v>
      </c>
      <c r="R2695" s="4">
        <f>RANK(N2695,$N$2:N$2800,0)</f>
        <v>1301</v>
      </c>
      <c r="S2695">
        <f t="shared" si="211"/>
        <v>2</v>
      </c>
      <c r="T2695" t="str">
        <f t="shared" si="212"/>
        <v>Good</v>
      </c>
      <c r="U2695" t="str" cm="1">
        <f t="array" ref="U2695">_xlfn.LET(_xlpm.roles,_xlfn.UNIQUE(D2695:D5493),_xlpm.kills, SUMIF(D2695:D5493,_xlpm.roles,G2695:G5493),INDEX(_xlpm.roles,MATCH(MAX(_xlpm.kills),_xlpm.kills,0)))</f>
        <v>Entry Fragger</v>
      </c>
      <c r="V2695" t="str">
        <f t="shared" si="213"/>
        <v>Medium Accuracy</v>
      </c>
      <c r="W2695" t="str" cm="1">
        <f t="array" ref="W2695">_xlfn.LET(_xlpm.roles,_xlfn.UNIQUE(D2695:D5493), _xlpm.counts,COUNTIF(D2695:D5493,_xlpm.roles), INDEX(_xlpm.roles,MATCH(MAX(_xlpm.counts),_xlpm.counts,0)))</f>
        <v>Support</v>
      </c>
      <c r="X2695" s="2">
        <f t="shared" si="214"/>
        <v>13.103594080338267</v>
      </c>
    </row>
    <row r="2696" spans="1:24" x14ac:dyDescent="0.3">
      <c r="A2696">
        <v>1002</v>
      </c>
      <c r="B2696">
        <v>479</v>
      </c>
      <c r="C2696" t="s">
        <v>27</v>
      </c>
      <c r="D2696" t="s">
        <v>28</v>
      </c>
      <c r="E2696" t="s">
        <v>32</v>
      </c>
      <c r="F2696" t="s">
        <v>34</v>
      </c>
      <c r="G2696">
        <v>9</v>
      </c>
      <c r="H2696">
        <v>5</v>
      </c>
      <c r="I2696">
        <v>7</v>
      </c>
      <c r="J2696">
        <v>36.25</v>
      </c>
      <c r="K2696">
        <v>206.11</v>
      </c>
      <c r="L2696">
        <v>0.2</v>
      </c>
      <c r="M2696">
        <v>32.119999999999997</v>
      </c>
      <c r="N2696">
        <v>0.94</v>
      </c>
      <c r="O2696" t="s">
        <v>20</v>
      </c>
      <c r="P2696" t="s">
        <v>21</v>
      </c>
      <c r="Q2696">
        <f t="shared" si="210"/>
        <v>7</v>
      </c>
      <c r="R2696" s="4">
        <f>RANK(N2696,$N$2:N$2800,0)</f>
        <v>1431</v>
      </c>
      <c r="S2696">
        <f t="shared" si="211"/>
        <v>1.2857142857142858</v>
      </c>
      <c r="T2696" t="str">
        <f t="shared" si="212"/>
        <v>Low</v>
      </c>
      <c r="U2696" t="str" cm="1">
        <f t="array" ref="U2696">_xlfn.LET(_xlpm.roles,_xlfn.UNIQUE(D2696:D5494),_xlpm.kills, SUMIF(D2696:D5494,_xlpm.roles,G2696:G5494),INDEX(_xlpm.roles,MATCH(MAX(_xlpm.kills),_xlpm.kills,0)))</f>
        <v>Entry Fragger</v>
      </c>
      <c r="V2696" t="str">
        <f t="shared" si="213"/>
        <v>Medium Accuracy</v>
      </c>
      <c r="W2696" t="str" cm="1">
        <f t="array" ref="W2696">_xlfn.LET(_xlpm.roles,_xlfn.UNIQUE(D2696:D5494), _xlpm.counts,COUNTIF(D2696:D5494,_xlpm.roles), INDEX(_xlpm.roles,MATCH(MAX(_xlpm.counts),_xlpm.counts,0)))</f>
        <v>Support</v>
      </c>
      <c r="X2696" s="2">
        <f t="shared" si="214"/>
        <v>13.057077625570777</v>
      </c>
    </row>
    <row r="2697" spans="1:24" x14ac:dyDescent="0.3">
      <c r="A2697">
        <v>2291</v>
      </c>
      <c r="B2697">
        <v>479</v>
      </c>
      <c r="C2697" t="s">
        <v>16</v>
      </c>
      <c r="D2697" t="s">
        <v>22</v>
      </c>
      <c r="E2697" t="s">
        <v>33</v>
      </c>
      <c r="F2697" t="s">
        <v>19</v>
      </c>
      <c r="G2697">
        <v>16</v>
      </c>
      <c r="H2697">
        <v>3</v>
      </c>
      <c r="I2697">
        <v>9</v>
      </c>
      <c r="J2697">
        <v>28.95</v>
      </c>
      <c r="K2697">
        <v>240.47</v>
      </c>
      <c r="L2697">
        <v>0.03</v>
      </c>
      <c r="M2697">
        <v>40.18</v>
      </c>
      <c r="N2697">
        <v>1</v>
      </c>
      <c r="O2697" t="s">
        <v>20</v>
      </c>
      <c r="P2697" t="s">
        <v>21</v>
      </c>
      <c r="Q2697">
        <f t="shared" si="210"/>
        <v>10</v>
      </c>
      <c r="R2697" s="4">
        <f>RANK(N2697,$N$2:N$2800,0)</f>
        <v>1</v>
      </c>
      <c r="S2697">
        <f t="shared" si="211"/>
        <v>1.7777777777777777</v>
      </c>
      <c r="T2697" t="str">
        <f t="shared" si="212"/>
        <v>Low</v>
      </c>
      <c r="U2697" t="str" cm="1">
        <f t="array" ref="U2697">_xlfn.LET(_xlpm.roles,_xlfn.UNIQUE(D2697:D5495),_xlpm.kills, SUMIF(D2697:D5495,_xlpm.roles,G2697:G5495),INDEX(_xlpm.roles,MATCH(MAX(_xlpm.kills),_xlpm.kills,0)))</f>
        <v>Entry Fragger</v>
      </c>
      <c r="V2697" t="str">
        <f t="shared" si="213"/>
        <v>Low Accuracy</v>
      </c>
      <c r="W2697" t="str" cm="1">
        <f t="array" ref="W2697">_xlfn.LET(_xlpm.roles,_xlfn.UNIQUE(D2697:D5495), _xlpm.counts,COUNTIF(D2697:D5495,_xlpm.roles), INDEX(_xlpm.roles,MATCH(MAX(_xlpm.counts),_xlpm.counts,0)))</f>
        <v>Support</v>
      </c>
      <c r="X2697" s="2">
        <f t="shared" si="214"/>
        <v>12.520971302428256</v>
      </c>
    </row>
    <row r="2698" spans="1:24" x14ac:dyDescent="0.3">
      <c r="A2698">
        <v>2301</v>
      </c>
      <c r="B2698">
        <v>479</v>
      </c>
      <c r="C2698" t="s">
        <v>16</v>
      </c>
      <c r="D2698" t="s">
        <v>22</v>
      </c>
      <c r="E2698" t="s">
        <v>33</v>
      </c>
      <c r="F2698" t="s">
        <v>37</v>
      </c>
      <c r="G2698">
        <v>23</v>
      </c>
      <c r="H2698">
        <v>5</v>
      </c>
      <c r="I2698">
        <v>10</v>
      </c>
      <c r="J2698">
        <v>45.32</v>
      </c>
      <c r="K2698">
        <v>212.7</v>
      </c>
      <c r="L2698">
        <v>0.14000000000000001</v>
      </c>
      <c r="M2698">
        <v>62.26</v>
      </c>
      <c r="N2698">
        <v>1</v>
      </c>
      <c r="O2698" t="s">
        <v>20</v>
      </c>
      <c r="P2698" t="s">
        <v>38</v>
      </c>
      <c r="Q2698">
        <f t="shared" si="210"/>
        <v>18</v>
      </c>
      <c r="R2698" s="4">
        <f>RANK(N2698,$N$2:N$2800,0)</f>
        <v>1</v>
      </c>
      <c r="S2698">
        <f t="shared" si="211"/>
        <v>2.2999999999999998</v>
      </c>
      <c r="T2698" t="str">
        <f t="shared" si="212"/>
        <v>Good</v>
      </c>
      <c r="U2698" t="str" cm="1">
        <f t="array" ref="U2698">_xlfn.LET(_xlpm.roles,_xlfn.UNIQUE(D2698:D5496),_xlpm.kills, SUMIF(D2698:D5496,_xlpm.roles,G2698:G5496),INDEX(_xlpm.roles,MATCH(MAX(_xlpm.kills),_xlpm.kills,0)))</f>
        <v>Entry Fragger</v>
      </c>
      <c r="V2698" t="str">
        <f t="shared" si="213"/>
        <v>Medium Accuracy</v>
      </c>
      <c r="W2698" t="str" cm="1">
        <f t="array" ref="W2698">_xlfn.LET(_xlpm.roles,_xlfn.UNIQUE(D2698:D5496), _xlpm.counts,COUNTIF(D2698:D5496,_xlpm.roles), INDEX(_xlpm.roles,MATCH(MAX(_xlpm.counts),_xlpm.counts,0)))</f>
        <v>Support</v>
      </c>
      <c r="X2698" s="2">
        <f t="shared" si="214"/>
        <v>12.520971302428256</v>
      </c>
    </row>
    <row r="2699" spans="1:24" x14ac:dyDescent="0.3">
      <c r="A2699">
        <v>2571</v>
      </c>
      <c r="B2699">
        <v>479</v>
      </c>
      <c r="C2699" t="s">
        <v>39</v>
      </c>
      <c r="D2699" t="s">
        <v>36</v>
      </c>
      <c r="E2699" t="s">
        <v>23</v>
      </c>
      <c r="F2699" t="s">
        <v>26</v>
      </c>
      <c r="G2699">
        <v>13</v>
      </c>
      <c r="H2699">
        <v>7</v>
      </c>
      <c r="I2699">
        <v>14</v>
      </c>
      <c r="J2699">
        <v>28.91</v>
      </c>
      <c r="K2699">
        <v>224.06</v>
      </c>
      <c r="L2699">
        <v>0.36</v>
      </c>
      <c r="M2699">
        <v>29.85</v>
      </c>
      <c r="N2699">
        <v>0.86</v>
      </c>
      <c r="O2699" t="s">
        <v>20</v>
      </c>
      <c r="P2699" t="s">
        <v>21</v>
      </c>
      <c r="Q2699">
        <f t="shared" si="210"/>
        <v>6</v>
      </c>
      <c r="R2699" s="4">
        <f>RANK(N2699,$N$2:N$2800,0)</f>
        <v>2040</v>
      </c>
      <c r="S2699">
        <f t="shared" si="211"/>
        <v>0.9285714285714286</v>
      </c>
      <c r="T2699" t="str">
        <f t="shared" si="212"/>
        <v>Low</v>
      </c>
      <c r="U2699" t="str" cm="1">
        <f t="array" ref="U2699">_xlfn.LET(_xlpm.roles,_xlfn.UNIQUE(D2699:D5497),_xlpm.kills, SUMIF(D2699:D5497,_xlpm.roles,G2699:G5497),INDEX(_xlpm.roles,MATCH(MAX(_xlpm.kills),_xlpm.kills,0)))</f>
        <v>Entry Fragger</v>
      </c>
      <c r="V2699" t="str">
        <f t="shared" si="213"/>
        <v>Low Accuracy</v>
      </c>
      <c r="W2699" t="str" cm="1">
        <f t="array" ref="W2699">_xlfn.LET(_xlpm.roles,_xlfn.UNIQUE(D2699:D5497), _xlpm.counts,COUNTIF(D2699:D5497,_xlpm.roles), INDEX(_xlpm.roles,MATCH(MAX(_xlpm.counts),_xlpm.counts,0)))</f>
        <v>Entry Fragger</v>
      </c>
      <c r="X2699" s="2">
        <f t="shared" si="214"/>
        <v>13.103594080338267</v>
      </c>
    </row>
    <row r="2700" spans="1:24" x14ac:dyDescent="0.3">
      <c r="A2700">
        <v>2749</v>
      </c>
      <c r="B2700">
        <v>479</v>
      </c>
      <c r="C2700" t="s">
        <v>30</v>
      </c>
      <c r="D2700" t="s">
        <v>31</v>
      </c>
      <c r="E2700" t="s">
        <v>18</v>
      </c>
      <c r="F2700" t="s">
        <v>24</v>
      </c>
      <c r="G2700">
        <v>11</v>
      </c>
      <c r="H2700">
        <v>6</v>
      </c>
      <c r="I2700">
        <v>11</v>
      </c>
      <c r="J2700">
        <v>51.68</v>
      </c>
      <c r="K2700">
        <v>204.85</v>
      </c>
      <c r="L2700">
        <v>0.81</v>
      </c>
      <c r="M2700">
        <v>34.74</v>
      </c>
      <c r="N2700">
        <v>0.84</v>
      </c>
      <c r="O2700" t="s">
        <v>20</v>
      </c>
      <c r="P2700" t="s">
        <v>21</v>
      </c>
      <c r="Q2700">
        <f t="shared" si="210"/>
        <v>6</v>
      </c>
      <c r="R2700" s="4">
        <f>RANK(N2700,$N$2:N$2800,0)</f>
        <v>2156</v>
      </c>
      <c r="S2700">
        <f t="shared" si="211"/>
        <v>1</v>
      </c>
      <c r="T2700" t="str">
        <f t="shared" si="212"/>
        <v>Low</v>
      </c>
      <c r="U2700" t="str" cm="1">
        <f t="array" ref="U2700">_xlfn.LET(_xlpm.roles,_xlfn.UNIQUE(D2700:D5498),_xlpm.kills, SUMIF(D2700:D5498,_xlpm.roles,G2700:G5498),INDEX(_xlpm.roles,MATCH(MAX(_xlpm.kills),_xlpm.kills,0)))</f>
        <v>Entry Fragger</v>
      </c>
      <c r="V2700" t="str">
        <f t="shared" si="213"/>
        <v>High Accuracy</v>
      </c>
      <c r="W2700" t="str" cm="1">
        <f t="array" ref="W2700">_xlfn.LET(_xlpm.roles,_xlfn.UNIQUE(D2700:D5498), _xlpm.counts,COUNTIF(D2700:D5498,_xlpm.roles), INDEX(_xlpm.roles,MATCH(MAX(_xlpm.counts),_xlpm.counts,0)))</f>
        <v>Support</v>
      </c>
      <c r="X2700" s="2">
        <f t="shared" si="214"/>
        <v>13.135802469135802</v>
      </c>
    </row>
    <row r="2701" spans="1:24" x14ac:dyDescent="0.3">
      <c r="A2701">
        <v>107</v>
      </c>
      <c r="B2701">
        <v>480</v>
      </c>
      <c r="C2701" t="s">
        <v>27</v>
      </c>
      <c r="D2701" t="s">
        <v>31</v>
      </c>
      <c r="E2701" t="s">
        <v>33</v>
      </c>
      <c r="F2701" t="s">
        <v>26</v>
      </c>
      <c r="G2701">
        <v>8</v>
      </c>
      <c r="H2701">
        <v>3</v>
      </c>
      <c r="I2701">
        <v>10</v>
      </c>
      <c r="J2701">
        <v>50.89</v>
      </c>
      <c r="K2701">
        <v>211.56</v>
      </c>
      <c r="L2701">
        <v>0.02</v>
      </c>
      <c r="M2701">
        <v>34.24</v>
      </c>
      <c r="N2701">
        <v>0.87</v>
      </c>
      <c r="O2701" t="s">
        <v>20</v>
      </c>
      <c r="P2701" t="s">
        <v>21</v>
      </c>
      <c r="Q2701">
        <f t="shared" si="210"/>
        <v>1</v>
      </c>
      <c r="R2701" s="4">
        <f>RANK(N2701,$N$2:N$2800,0)</f>
        <v>1965</v>
      </c>
      <c r="S2701">
        <f t="shared" si="211"/>
        <v>0.8</v>
      </c>
      <c r="T2701" t="str">
        <f t="shared" si="212"/>
        <v>Low</v>
      </c>
      <c r="U2701" t="str" cm="1">
        <f t="array" ref="U2701">_xlfn.LET(_xlpm.roles,_xlfn.UNIQUE(D2701:D5499),_xlpm.kills, SUMIF(D2701:D5499,_xlpm.roles,G2701:G5499),INDEX(_xlpm.roles,MATCH(MAX(_xlpm.kills),_xlpm.kills,0)))</f>
        <v>Entry Fragger</v>
      </c>
      <c r="V2701" t="str">
        <f t="shared" si="213"/>
        <v>High Accuracy</v>
      </c>
      <c r="W2701" t="str" cm="1">
        <f t="array" ref="W2701">_xlfn.LET(_xlpm.roles,_xlfn.UNIQUE(D2701:D5499), _xlpm.counts,COUNTIF(D2701:D5499,_xlpm.roles), INDEX(_xlpm.roles,MATCH(MAX(_xlpm.counts),_xlpm.counts,0)))</f>
        <v>Support</v>
      </c>
      <c r="X2701" s="2">
        <f t="shared" si="214"/>
        <v>13.057077625570777</v>
      </c>
    </row>
    <row r="2702" spans="1:24" x14ac:dyDescent="0.3">
      <c r="A2702">
        <v>886</v>
      </c>
      <c r="B2702">
        <v>480</v>
      </c>
      <c r="C2702" t="s">
        <v>30</v>
      </c>
      <c r="D2702" t="s">
        <v>31</v>
      </c>
      <c r="E2702" t="s">
        <v>23</v>
      </c>
      <c r="F2702" t="s">
        <v>24</v>
      </c>
      <c r="G2702">
        <v>22</v>
      </c>
      <c r="H2702">
        <v>9</v>
      </c>
      <c r="I2702">
        <v>10</v>
      </c>
      <c r="J2702">
        <v>28.47</v>
      </c>
      <c r="K2702">
        <v>248.64</v>
      </c>
      <c r="L2702">
        <v>0.92</v>
      </c>
      <c r="M2702">
        <v>48.03</v>
      </c>
      <c r="N2702">
        <v>1</v>
      </c>
      <c r="O2702" t="s">
        <v>20</v>
      </c>
      <c r="P2702" t="s">
        <v>21</v>
      </c>
      <c r="Q2702">
        <f t="shared" si="210"/>
        <v>21</v>
      </c>
      <c r="R2702" s="4">
        <f>RANK(N2702,$N$2:N$2800,0)</f>
        <v>1</v>
      </c>
      <c r="S2702">
        <f t="shared" si="211"/>
        <v>2.2000000000000002</v>
      </c>
      <c r="T2702" t="str">
        <f t="shared" si="212"/>
        <v>Good</v>
      </c>
      <c r="U2702" t="str" cm="1">
        <f t="array" ref="U2702">_xlfn.LET(_xlpm.roles,_xlfn.UNIQUE(D2702:D5500),_xlpm.kills, SUMIF(D2702:D5500,_xlpm.roles,G2702:G5500),INDEX(_xlpm.roles,MATCH(MAX(_xlpm.kills),_xlpm.kills,0)))</f>
        <v>Entry Fragger</v>
      </c>
      <c r="V2702" t="str">
        <f t="shared" si="213"/>
        <v>Low Accuracy</v>
      </c>
      <c r="W2702" t="str" cm="1">
        <f t="array" ref="W2702">_xlfn.LET(_xlpm.roles,_xlfn.UNIQUE(D2702:D5500), _xlpm.counts,COUNTIF(D2702:D5500,_xlpm.roles), INDEX(_xlpm.roles,MATCH(MAX(_xlpm.counts),_xlpm.counts,0)))</f>
        <v>Support</v>
      </c>
      <c r="X2702" s="2">
        <f t="shared" si="214"/>
        <v>13.135802469135802</v>
      </c>
    </row>
    <row r="2703" spans="1:24" x14ac:dyDescent="0.3">
      <c r="A2703">
        <v>1353</v>
      </c>
      <c r="B2703">
        <v>480</v>
      </c>
      <c r="C2703" t="s">
        <v>39</v>
      </c>
      <c r="D2703" t="s">
        <v>22</v>
      </c>
      <c r="E2703" t="s">
        <v>32</v>
      </c>
      <c r="F2703" t="s">
        <v>24</v>
      </c>
      <c r="G2703">
        <v>10</v>
      </c>
      <c r="H2703">
        <v>4</v>
      </c>
      <c r="I2703">
        <v>9</v>
      </c>
      <c r="J2703">
        <v>41.92</v>
      </c>
      <c r="K2703">
        <v>179.52</v>
      </c>
      <c r="L2703">
        <v>0.31</v>
      </c>
      <c r="M2703">
        <v>32.86</v>
      </c>
      <c r="N2703">
        <v>0.77</v>
      </c>
      <c r="O2703" t="s">
        <v>20</v>
      </c>
      <c r="P2703" t="s">
        <v>21</v>
      </c>
      <c r="Q2703">
        <f t="shared" si="210"/>
        <v>5</v>
      </c>
      <c r="R2703" s="4">
        <f>RANK(N2703,$N$2:N$2800,0)</f>
        <v>2511</v>
      </c>
      <c r="S2703">
        <f t="shared" si="211"/>
        <v>1.1111111111111112</v>
      </c>
      <c r="T2703" t="str">
        <f t="shared" si="212"/>
        <v>Low</v>
      </c>
      <c r="U2703" t="str" cm="1">
        <f t="array" ref="U2703">_xlfn.LET(_xlpm.roles,_xlfn.UNIQUE(D2703:D5501),_xlpm.kills, SUMIF(D2703:D5501,_xlpm.roles,G2703:G5501),INDEX(_xlpm.roles,MATCH(MAX(_xlpm.kills),_xlpm.kills,0)))</f>
        <v>Entry Fragger</v>
      </c>
      <c r="V2703" t="str">
        <f t="shared" si="213"/>
        <v>Medium Accuracy</v>
      </c>
      <c r="W2703" t="str" cm="1">
        <f t="array" ref="W2703">_xlfn.LET(_xlpm.roles,_xlfn.UNIQUE(D2703:D5501), _xlpm.counts,COUNTIF(D2703:D5501,_xlpm.roles), INDEX(_xlpm.roles,MATCH(MAX(_xlpm.counts),_xlpm.counts,0)))</f>
        <v>Support</v>
      </c>
      <c r="X2703" s="2">
        <f t="shared" si="214"/>
        <v>13.103594080338267</v>
      </c>
    </row>
    <row r="2704" spans="1:24" x14ac:dyDescent="0.3">
      <c r="A2704">
        <v>1398</v>
      </c>
      <c r="B2704">
        <v>480</v>
      </c>
      <c r="C2704" t="s">
        <v>39</v>
      </c>
      <c r="D2704" t="s">
        <v>22</v>
      </c>
      <c r="E2704" t="s">
        <v>18</v>
      </c>
      <c r="F2704" t="s">
        <v>34</v>
      </c>
      <c r="G2704">
        <v>20</v>
      </c>
      <c r="H2704">
        <v>8</v>
      </c>
      <c r="I2704">
        <v>7</v>
      </c>
      <c r="J2704">
        <v>42.75</v>
      </c>
      <c r="K2704">
        <v>243.56</v>
      </c>
      <c r="L2704">
        <v>0.36</v>
      </c>
      <c r="M2704">
        <v>58.77</v>
      </c>
      <c r="N2704">
        <v>1</v>
      </c>
      <c r="O2704" t="s">
        <v>20</v>
      </c>
      <c r="P2704" t="s">
        <v>21</v>
      </c>
      <c r="Q2704">
        <f t="shared" si="210"/>
        <v>21</v>
      </c>
      <c r="R2704" s="4">
        <f>RANK(N2704,$N$2:N$2800,0)</f>
        <v>1</v>
      </c>
      <c r="S2704">
        <f t="shared" si="211"/>
        <v>2.8571428571428572</v>
      </c>
      <c r="T2704" t="str">
        <f t="shared" si="212"/>
        <v>Good</v>
      </c>
      <c r="U2704" t="str" cm="1">
        <f t="array" ref="U2704">_xlfn.LET(_xlpm.roles,_xlfn.UNIQUE(D2704:D5502),_xlpm.kills, SUMIF(D2704:D5502,_xlpm.roles,G2704:G5502),INDEX(_xlpm.roles,MATCH(MAX(_xlpm.kills),_xlpm.kills,0)))</f>
        <v>Entry Fragger</v>
      </c>
      <c r="V2704" t="str">
        <f t="shared" si="213"/>
        <v>Medium Accuracy</v>
      </c>
      <c r="W2704" t="str" cm="1">
        <f t="array" ref="W2704">_xlfn.LET(_xlpm.roles,_xlfn.UNIQUE(D2704:D5502), _xlpm.counts,COUNTIF(D2704:D5502,_xlpm.roles), INDEX(_xlpm.roles,MATCH(MAX(_xlpm.counts),_xlpm.counts,0)))</f>
        <v>Support</v>
      </c>
      <c r="X2704" s="2">
        <f t="shared" si="214"/>
        <v>13.103594080338267</v>
      </c>
    </row>
    <row r="2705" spans="1:24" x14ac:dyDescent="0.3">
      <c r="A2705">
        <v>2435</v>
      </c>
      <c r="B2705">
        <v>480</v>
      </c>
      <c r="C2705" t="s">
        <v>16</v>
      </c>
      <c r="D2705" t="s">
        <v>31</v>
      </c>
      <c r="E2705" t="s">
        <v>18</v>
      </c>
      <c r="F2705" t="s">
        <v>37</v>
      </c>
      <c r="G2705">
        <v>9</v>
      </c>
      <c r="H2705">
        <v>7</v>
      </c>
      <c r="I2705">
        <v>13</v>
      </c>
      <c r="J2705">
        <v>45.08</v>
      </c>
      <c r="K2705">
        <v>214.07</v>
      </c>
      <c r="L2705">
        <v>0.12</v>
      </c>
      <c r="M2705">
        <v>33.340000000000003</v>
      </c>
      <c r="N2705">
        <v>0.75</v>
      </c>
      <c r="O2705" t="s">
        <v>20</v>
      </c>
      <c r="P2705" t="s">
        <v>21</v>
      </c>
      <c r="Q2705">
        <f t="shared" si="210"/>
        <v>3</v>
      </c>
      <c r="R2705" s="4">
        <f>RANK(N2705,$N$2:N$2800,0)</f>
        <v>2586</v>
      </c>
      <c r="S2705">
        <f t="shared" si="211"/>
        <v>0.69230769230769229</v>
      </c>
      <c r="T2705" t="str">
        <f t="shared" si="212"/>
        <v>Low</v>
      </c>
      <c r="U2705" t="str" cm="1">
        <f t="array" ref="U2705">_xlfn.LET(_xlpm.roles,_xlfn.UNIQUE(D2705:D5503),_xlpm.kills, SUMIF(D2705:D5503,_xlpm.roles,G2705:G5503),INDEX(_xlpm.roles,MATCH(MAX(_xlpm.kills),_xlpm.kills,0)))</f>
        <v>Entry Fragger</v>
      </c>
      <c r="V2705" t="str">
        <f t="shared" si="213"/>
        <v>Medium Accuracy</v>
      </c>
      <c r="W2705" t="str" cm="1">
        <f t="array" ref="W2705">_xlfn.LET(_xlpm.roles,_xlfn.UNIQUE(D2705:D5503), _xlpm.counts,COUNTIF(D2705:D5503,_xlpm.roles), INDEX(_xlpm.roles,MATCH(MAX(_xlpm.counts),_xlpm.counts,0)))</f>
        <v>Entry Fragger</v>
      </c>
      <c r="X2705" s="2">
        <f t="shared" si="214"/>
        <v>12.520971302428256</v>
      </c>
    </row>
    <row r="2706" spans="1:24" x14ac:dyDescent="0.3">
      <c r="A2706">
        <v>2514</v>
      </c>
      <c r="B2706">
        <v>480</v>
      </c>
      <c r="C2706" t="s">
        <v>30</v>
      </c>
      <c r="D2706" t="s">
        <v>17</v>
      </c>
      <c r="E2706" t="s">
        <v>18</v>
      </c>
      <c r="F2706" t="s">
        <v>37</v>
      </c>
      <c r="G2706">
        <v>14</v>
      </c>
      <c r="H2706">
        <v>6</v>
      </c>
      <c r="I2706">
        <v>11</v>
      </c>
      <c r="J2706">
        <v>35.630000000000003</v>
      </c>
      <c r="K2706">
        <v>211.87</v>
      </c>
      <c r="L2706">
        <v>0.72</v>
      </c>
      <c r="M2706">
        <v>33.61</v>
      </c>
      <c r="N2706">
        <v>0.63</v>
      </c>
      <c r="O2706" t="s">
        <v>20</v>
      </c>
      <c r="P2706" t="s">
        <v>21</v>
      </c>
      <c r="Q2706">
        <f t="shared" si="210"/>
        <v>9</v>
      </c>
      <c r="R2706" s="4">
        <f>RANK(N2706,$N$2:N$2800,0)</f>
        <v>2774</v>
      </c>
      <c r="S2706">
        <f t="shared" si="211"/>
        <v>1.2727272727272727</v>
      </c>
      <c r="T2706" t="str">
        <f t="shared" si="212"/>
        <v>Low</v>
      </c>
      <c r="U2706" t="str" cm="1">
        <f t="array" ref="U2706">_xlfn.LET(_xlpm.roles,_xlfn.UNIQUE(D2706:D5504),_xlpm.kills, SUMIF(D2706:D5504,_xlpm.roles,G2706:G5504),INDEX(_xlpm.roles,MATCH(MAX(_xlpm.kills),_xlpm.kills,0)))</f>
        <v>Entry Fragger</v>
      </c>
      <c r="V2706" t="str">
        <f t="shared" si="213"/>
        <v>Medium Accuracy</v>
      </c>
      <c r="W2706" t="str" cm="1">
        <f t="array" ref="W2706">_xlfn.LET(_xlpm.roles,_xlfn.UNIQUE(D2706:D5504), _xlpm.counts,COUNTIF(D2706:D5504,_xlpm.roles), INDEX(_xlpm.roles,MATCH(MAX(_xlpm.counts),_xlpm.counts,0)))</f>
        <v>Entry Fragger</v>
      </c>
      <c r="X2706" s="2">
        <f t="shared" si="214"/>
        <v>13.135802469135802</v>
      </c>
    </row>
    <row r="2707" spans="1:24" x14ac:dyDescent="0.3">
      <c r="A2707">
        <v>85</v>
      </c>
      <c r="B2707">
        <v>481</v>
      </c>
      <c r="C2707" t="s">
        <v>39</v>
      </c>
      <c r="D2707" t="s">
        <v>28</v>
      </c>
      <c r="E2707" t="s">
        <v>23</v>
      </c>
      <c r="F2707" t="s">
        <v>37</v>
      </c>
      <c r="G2707">
        <v>21</v>
      </c>
      <c r="H2707">
        <v>5</v>
      </c>
      <c r="I2707">
        <v>13</v>
      </c>
      <c r="J2707">
        <v>53.25</v>
      </c>
      <c r="K2707">
        <v>223.26</v>
      </c>
      <c r="L2707">
        <v>0.65</v>
      </c>
      <c r="M2707">
        <v>54.12</v>
      </c>
      <c r="N2707">
        <v>0.84</v>
      </c>
      <c r="O2707" t="s">
        <v>20</v>
      </c>
      <c r="P2707" t="s">
        <v>21</v>
      </c>
      <c r="Q2707">
        <f t="shared" si="210"/>
        <v>13</v>
      </c>
      <c r="R2707" s="4">
        <f>RANK(N2707,$N$2:N$2800,0)</f>
        <v>2156</v>
      </c>
      <c r="S2707">
        <f t="shared" si="211"/>
        <v>1.6153846153846154</v>
      </c>
      <c r="T2707" t="str">
        <f t="shared" si="212"/>
        <v>Low</v>
      </c>
      <c r="U2707" t="str" cm="1">
        <f t="array" ref="U2707">_xlfn.LET(_xlpm.roles,_xlfn.UNIQUE(D2707:D5505),_xlpm.kills, SUMIF(D2707:D5505,_xlpm.roles,G2707:G5505),INDEX(_xlpm.roles,MATCH(MAX(_xlpm.kills),_xlpm.kills,0)))</f>
        <v>Entry Fragger</v>
      </c>
      <c r="V2707" t="str">
        <f t="shared" si="213"/>
        <v>High Accuracy</v>
      </c>
      <c r="W2707" t="str" cm="1">
        <f t="array" ref="W2707">_xlfn.LET(_xlpm.roles,_xlfn.UNIQUE(D2707:D5505), _xlpm.counts,COUNTIF(D2707:D5505,_xlpm.roles), INDEX(_xlpm.roles,MATCH(MAX(_xlpm.counts),_xlpm.counts,0)))</f>
        <v>Entry Fragger</v>
      </c>
      <c r="X2707" s="2">
        <f t="shared" si="214"/>
        <v>13.103594080338267</v>
      </c>
    </row>
    <row r="2708" spans="1:24" x14ac:dyDescent="0.3">
      <c r="A2708">
        <v>1244</v>
      </c>
      <c r="B2708">
        <v>481</v>
      </c>
      <c r="C2708" t="s">
        <v>35</v>
      </c>
      <c r="D2708" t="s">
        <v>17</v>
      </c>
      <c r="E2708" t="s">
        <v>33</v>
      </c>
      <c r="F2708" t="s">
        <v>37</v>
      </c>
      <c r="G2708">
        <v>15</v>
      </c>
      <c r="H2708">
        <v>6</v>
      </c>
      <c r="I2708">
        <v>14</v>
      </c>
      <c r="J2708">
        <v>36.31</v>
      </c>
      <c r="K2708">
        <v>217.07</v>
      </c>
      <c r="L2708">
        <v>0.78</v>
      </c>
      <c r="M2708">
        <v>32.36</v>
      </c>
      <c r="N2708">
        <v>1</v>
      </c>
      <c r="O2708" t="s">
        <v>20</v>
      </c>
      <c r="P2708" t="s">
        <v>21</v>
      </c>
      <c r="Q2708">
        <f t="shared" si="210"/>
        <v>7</v>
      </c>
      <c r="R2708" s="4">
        <f>RANK(N2708,$N$2:N$2800,0)</f>
        <v>1</v>
      </c>
      <c r="S2708">
        <f t="shared" si="211"/>
        <v>1.0714285714285714</v>
      </c>
      <c r="T2708" t="str">
        <f t="shared" si="212"/>
        <v>Low</v>
      </c>
      <c r="U2708" t="str" cm="1">
        <f t="array" ref="U2708">_xlfn.LET(_xlpm.roles,_xlfn.UNIQUE(D2708:D5506),_xlpm.kills, SUMIF(D2708:D5506,_xlpm.roles,G2708:G5506),INDEX(_xlpm.roles,MATCH(MAX(_xlpm.kills),_xlpm.kills,0)))</f>
        <v>Entry Fragger</v>
      </c>
      <c r="V2708" t="str">
        <f t="shared" si="213"/>
        <v>Medium Accuracy</v>
      </c>
      <c r="W2708" t="str" cm="1">
        <f t="array" ref="W2708">_xlfn.LET(_xlpm.roles,_xlfn.UNIQUE(D2708:D5506), _xlpm.counts,COUNTIF(D2708:D5506,_xlpm.roles), INDEX(_xlpm.roles,MATCH(MAX(_xlpm.counts),_xlpm.counts,0)))</f>
        <v>Entry Fragger</v>
      </c>
      <c r="X2708" s="2">
        <f t="shared" si="214"/>
        <v>12.599585062240664</v>
      </c>
    </row>
    <row r="2709" spans="1:24" x14ac:dyDescent="0.3">
      <c r="A2709">
        <v>1273</v>
      </c>
      <c r="B2709">
        <v>481</v>
      </c>
      <c r="C2709" t="s">
        <v>30</v>
      </c>
      <c r="D2709" t="s">
        <v>36</v>
      </c>
      <c r="E2709" t="s">
        <v>32</v>
      </c>
      <c r="F2709" t="s">
        <v>26</v>
      </c>
      <c r="G2709">
        <v>25</v>
      </c>
      <c r="H2709">
        <v>10</v>
      </c>
      <c r="I2709">
        <v>11</v>
      </c>
      <c r="J2709">
        <v>62.13</v>
      </c>
      <c r="K2709">
        <v>274.69</v>
      </c>
      <c r="L2709">
        <v>0.87</v>
      </c>
      <c r="M2709">
        <v>71.36</v>
      </c>
      <c r="N2709">
        <v>1</v>
      </c>
      <c r="O2709" t="s">
        <v>20</v>
      </c>
      <c r="P2709" t="s">
        <v>38</v>
      </c>
      <c r="Q2709">
        <f t="shared" si="210"/>
        <v>24</v>
      </c>
      <c r="R2709" s="4">
        <f>RANK(N2709,$N$2:N$2800,0)</f>
        <v>1</v>
      </c>
      <c r="S2709">
        <f t="shared" si="211"/>
        <v>2.2727272727272729</v>
      </c>
      <c r="T2709" t="str">
        <f t="shared" si="212"/>
        <v>Good</v>
      </c>
      <c r="U2709" t="str" cm="1">
        <f t="array" ref="U2709">_xlfn.LET(_xlpm.roles,_xlfn.UNIQUE(D2709:D5507),_xlpm.kills, SUMIF(D2709:D5507,_xlpm.roles,G2709:G5507),INDEX(_xlpm.roles,MATCH(MAX(_xlpm.kills),_xlpm.kills,0)))</f>
        <v>Entry Fragger</v>
      </c>
      <c r="V2709" t="str">
        <f t="shared" si="213"/>
        <v>High Accuracy</v>
      </c>
      <c r="W2709" t="str" cm="1">
        <f t="array" ref="W2709">_xlfn.LET(_xlpm.roles,_xlfn.UNIQUE(D2709:D5507), _xlpm.counts,COUNTIF(D2709:D5507,_xlpm.roles), INDEX(_xlpm.roles,MATCH(MAX(_xlpm.counts),_xlpm.counts,0)))</f>
        <v>Entry Fragger</v>
      </c>
      <c r="X2709" s="2">
        <f t="shared" si="214"/>
        <v>13.135802469135802</v>
      </c>
    </row>
    <row r="2710" spans="1:24" x14ac:dyDescent="0.3">
      <c r="A2710">
        <v>1451</v>
      </c>
      <c r="B2710">
        <v>481</v>
      </c>
      <c r="C2710" t="s">
        <v>27</v>
      </c>
      <c r="D2710" t="s">
        <v>36</v>
      </c>
      <c r="E2710" t="s">
        <v>33</v>
      </c>
      <c r="F2710" t="s">
        <v>19</v>
      </c>
      <c r="G2710">
        <v>16</v>
      </c>
      <c r="H2710">
        <v>4</v>
      </c>
      <c r="I2710">
        <v>9</v>
      </c>
      <c r="J2710">
        <v>50.23</v>
      </c>
      <c r="K2710">
        <v>204.72</v>
      </c>
      <c r="L2710">
        <v>0.86</v>
      </c>
      <c r="M2710">
        <v>43.51</v>
      </c>
      <c r="N2710">
        <v>0.79</v>
      </c>
      <c r="O2710" t="s">
        <v>20</v>
      </c>
      <c r="P2710" t="s">
        <v>21</v>
      </c>
      <c r="Q2710">
        <f t="shared" si="210"/>
        <v>11</v>
      </c>
      <c r="R2710" s="4">
        <f>RANK(N2710,$N$2:N$2800,0)</f>
        <v>2436</v>
      </c>
      <c r="S2710">
        <f t="shared" si="211"/>
        <v>1.7777777777777777</v>
      </c>
      <c r="T2710" t="str">
        <f t="shared" si="212"/>
        <v>Low</v>
      </c>
      <c r="U2710" t="str" cm="1">
        <f t="array" ref="U2710">_xlfn.LET(_xlpm.roles,_xlfn.UNIQUE(D2710:D5508),_xlpm.kills, SUMIF(D2710:D5508,_xlpm.roles,G2710:G5508),INDEX(_xlpm.roles,MATCH(MAX(_xlpm.kills),_xlpm.kills,0)))</f>
        <v>Entry Fragger</v>
      </c>
      <c r="V2710" t="str">
        <f t="shared" si="213"/>
        <v>High Accuracy</v>
      </c>
      <c r="W2710" t="str" cm="1">
        <f t="array" ref="W2710">_xlfn.LET(_xlpm.roles,_xlfn.UNIQUE(D2710:D5508), _xlpm.counts,COUNTIF(D2710:D5508,_xlpm.roles), INDEX(_xlpm.roles,MATCH(MAX(_xlpm.counts),_xlpm.counts,0)))</f>
        <v>Entry Fragger</v>
      </c>
      <c r="X2710" s="2">
        <f t="shared" si="214"/>
        <v>13.057077625570777</v>
      </c>
    </row>
    <row r="2711" spans="1:24" x14ac:dyDescent="0.3">
      <c r="A2711">
        <v>2177</v>
      </c>
      <c r="B2711">
        <v>481</v>
      </c>
      <c r="C2711" t="s">
        <v>39</v>
      </c>
      <c r="D2711" t="s">
        <v>17</v>
      </c>
      <c r="E2711" t="s">
        <v>32</v>
      </c>
      <c r="F2711" t="s">
        <v>24</v>
      </c>
      <c r="G2711">
        <v>22</v>
      </c>
      <c r="H2711">
        <v>5</v>
      </c>
      <c r="I2711">
        <v>13</v>
      </c>
      <c r="J2711">
        <v>58.58</v>
      </c>
      <c r="K2711">
        <v>225.17</v>
      </c>
      <c r="L2711">
        <v>0.24</v>
      </c>
      <c r="M2711">
        <v>62.89</v>
      </c>
      <c r="N2711">
        <v>1</v>
      </c>
      <c r="O2711" t="s">
        <v>20</v>
      </c>
      <c r="P2711" t="s">
        <v>38</v>
      </c>
      <c r="Q2711">
        <f t="shared" si="210"/>
        <v>14</v>
      </c>
      <c r="R2711" s="4">
        <f>RANK(N2711,$N$2:N$2800,0)</f>
        <v>1</v>
      </c>
      <c r="S2711">
        <f t="shared" si="211"/>
        <v>1.6923076923076923</v>
      </c>
      <c r="T2711" t="str">
        <f t="shared" si="212"/>
        <v>Low</v>
      </c>
      <c r="U2711" t="str" cm="1">
        <f t="array" ref="U2711">_xlfn.LET(_xlpm.roles,_xlfn.UNIQUE(D2711:D5509),_xlpm.kills, SUMIF(D2711:D5509,_xlpm.roles,G2711:G5509),INDEX(_xlpm.roles,MATCH(MAX(_xlpm.kills),_xlpm.kills,0)))</f>
        <v>Entry Fragger</v>
      </c>
      <c r="V2711" t="str">
        <f t="shared" si="213"/>
        <v>High Accuracy</v>
      </c>
      <c r="W2711" t="str" cm="1">
        <f t="array" ref="W2711">_xlfn.LET(_xlpm.roles,_xlfn.UNIQUE(D2711:D5509), _xlpm.counts,COUNTIF(D2711:D5509,_xlpm.roles), INDEX(_xlpm.roles,MATCH(MAX(_xlpm.counts),_xlpm.counts,0)))</f>
        <v>Support</v>
      </c>
      <c r="X2711" s="2">
        <f t="shared" si="214"/>
        <v>13.103594080338267</v>
      </c>
    </row>
    <row r="2712" spans="1:24" x14ac:dyDescent="0.3">
      <c r="A2712">
        <v>2603</v>
      </c>
      <c r="B2712">
        <v>481</v>
      </c>
      <c r="C2712" t="s">
        <v>39</v>
      </c>
      <c r="D2712" t="s">
        <v>31</v>
      </c>
      <c r="E2712" t="s">
        <v>23</v>
      </c>
      <c r="F2712" t="s">
        <v>24</v>
      </c>
      <c r="G2712">
        <v>17</v>
      </c>
      <c r="H2712">
        <v>15</v>
      </c>
      <c r="I2712">
        <v>13</v>
      </c>
      <c r="J2712">
        <v>43.36</v>
      </c>
      <c r="K2712">
        <v>275.51</v>
      </c>
      <c r="L2712">
        <v>0.7</v>
      </c>
      <c r="M2712">
        <v>50.68</v>
      </c>
      <c r="N2712">
        <v>0.9</v>
      </c>
      <c r="O2712" t="s">
        <v>20</v>
      </c>
      <c r="P2712" t="s">
        <v>21</v>
      </c>
      <c r="Q2712">
        <f t="shared" si="210"/>
        <v>19</v>
      </c>
      <c r="R2712" s="4">
        <f>RANK(N2712,$N$2:N$2800,0)</f>
        <v>1738</v>
      </c>
      <c r="S2712">
        <f t="shared" si="211"/>
        <v>1.3076923076923077</v>
      </c>
      <c r="T2712" t="str">
        <f t="shared" si="212"/>
        <v>Good</v>
      </c>
      <c r="U2712" t="str" cm="1">
        <f t="array" ref="U2712">_xlfn.LET(_xlpm.roles,_xlfn.UNIQUE(D2712:D5510),_xlpm.kills, SUMIF(D2712:D5510,_xlpm.roles,G2712:G5510),INDEX(_xlpm.roles,MATCH(MAX(_xlpm.kills),_xlpm.kills,0)))</f>
        <v>Entry Fragger</v>
      </c>
      <c r="V2712" t="str">
        <f t="shared" si="213"/>
        <v>Medium Accuracy</v>
      </c>
      <c r="W2712" t="str" cm="1">
        <f t="array" ref="W2712">_xlfn.LET(_xlpm.roles,_xlfn.UNIQUE(D2712:D5510), _xlpm.counts,COUNTIF(D2712:D5510,_xlpm.roles), INDEX(_xlpm.roles,MATCH(MAX(_xlpm.counts),_xlpm.counts,0)))</f>
        <v>Support</v>
      </c>
      <c r="X2712" s="2">
        <f t="shared" si="214"/>
        <v>13.103594080338267</v>
      </c>
    </row>
    <row r="2713" spans="1:24" x14ac:dyDescent="0.3">
      <c r="A2713">
        <v>694</v>
      </c>
      <c r="B2713">
        <v>482</v>
      </c>
      <c r="C2713" t="s">
        <v>16</v>
      </c>
      <c r="D2713" t="s">
        <v>31</v>
      </c>
      <c r="E2713" t="s">
        <v>32</v>
      </c>
      <c r="F2713" t="s">
        <v>19</v>
      </c>
      <c r="G2713">
        <v>17</v>
      </c>
      <c r="H2713">
        <v>6</v>
      </c>
      <c r="I2713">
        <v>3</v>
      </c>
      <c r="J2713">
        <v>44.46</v>
      </c>
      <c r="K2713">
        <v>177.15</v>
      </c>
      <c r="L2713">
        <v>0.3</v>
      </c>
      <c r="M2713">
        <v>56.23</v>
      </c>
      <c r="N2713">
        <v>1</v>
      </c>
      <c r="O2713" t="s">
        <v>20</v>
      </c>
      <c r="P2713" t="s">
        <v>21</v>
      </c>
      <c r="Q2713">
        <f t="shared" si="210"/>
        <v>20</v>
      </c>
      <c r="R2713" s="4">
        <f>RANK(N2713,$N$2:N$2800,0)</f>
        <v>1</v>
      </c>
      <c r="S2713">
        <f t="shared" si="211"/>
        <v>5.666666666666667</v>
      </c>
      <c r="T2713" t="str">
        <f t="shared" si="212"/>
        <v>Good</v>
      </c>
      <c r="U2713" t="str" cm="1">
        <f t="array" ref="U2713">_xlfn.LET(_xlpm.roles,_xlfn.UNIQUE(D2713:D5511),_xlpm.kills, SUMIF(D2713:D5511,_xlpm.roles,G2713:G5511),INDEX(_xlpm.roles,MATCH(MAX(_xlpm.kills),_xlpm.kills,0)))</f>
        <v>Entry Fragger</v>
      </c>
      <c r="V2713" t="str">
        <f t="shared" si="213"/>
        <v>Medium Accuracy</v>
      </c>
      <c r="W2713" t="str" cm="1">
        <f t="array" ref="W2713">_xlfn.LET(_xlpm.roles,_xlfn.UNIQUE(D2713:D5511), _xlpm.counts,COUNTIF(D2713:D5511,_xlpm.roles), INDEX(_xlpm.roles,MATCH(MAX(_xlpm.counts),_xlpm.counts,0)))</f>
        <v>Support</v>
      </c>
      <c r="X2713" s="2">
        <f t="shared" si="214"/>
        <v>12.520971302428256</v>
      </c>
    </row>
    <row r="2714" spans="1:24" x14ac:dyDescent="0.3">
      <c r="A2714">
        <v>1497</v>
      </c>
      <c r="B2714">
        <v>482</v>
      </c>
      <c r="C2714" t="s">
        <v>16</v>
      </c>
      <c r="D2714" t="s">
        <v>31</v>
      </c>
      <c r="E2714" t="s">
        <v>18</v>
      </c>
      <c r="F2714" t="s">
        <v>37</v>
      </c>
      <c r="G2714">
        <v>14</v>
      </c>
      <c r="H2714">
        <v>4</v>
      </c>
      <c r="I2714">
        <v>9</v>
      </c>
      <c r="J2714">
        <v>42.02</v>
      </c>
      <c r="K2714">
        <v>177.4</v>
      </c>
      <c r="L2714">
        <v>0.97</v>
      </c>
      <c r="M2714">
        <v>34.31</v>
      </c>
      <c r="N2714">
        <v>1</v>
      </c>
      <c r="O2714" t="s">
        <v>20</v>
      </c>
      <c r="P2714" t="s">
        <v>21</v>
      </c>
      <c r="Q2714">
        <f t="shared" si="210"/>
        <v>9</v>
      </c>
      <c r="R2714" s="4">
        <f>RANK(N2714,$N$2:N$2800,0)</f>
        <v>1</v>
      </c>
      <c r="S2714">
        <f t="shared" si="211"/>
        <v>1.5555555555555556</v>
      </c>
      <c r="T2714" t="str">
        <f t="shared" si="212"/>
        <v>Low</v>
      </c>
      <c r="U2714" t="str" cm="1">
        <f t="array" ref="U2714">_xlfn.LET(_xlpm.roles,_xlfn.UNIQUE(D2714:D5512),_xlpm.kills, SUMIF(D2714:D5512,_xlpm.roles,G2714:G5512),INDEX(_xlpm.roles,MATCH(MAX(_xlpm.kills),_xlpm.kills,0)))</f>
        <v>Entry Fragger</v>
      </c>
      <c r="V2714" t="str">
        <f t="shared" si="213"/>
        <v>Medium Accuracy</v>
      </c>
      <c r="W2714" t="str" cm="1">
        <f t="array" ref="W2714">_xlfn.LET(_xlpm.roles,_xlfn.UNIQUE(D2714:D5512), _xlpm.counts,COUNTIF(D2714:D5512,_xlpm.roles), INDEX(_xlpm.roles,MATCH(MAX(_xlpm.counts),_xlpm.counts,0)))</f>
        <v>Support</v>
      </c>
      <c r="X2714" s="2">
        <f t="shared" si="214"/>
        <v>12.520971302428256</v>
      </c>
    </row>
    <row r="2715" spans="1:24" x14ac:dyDescent="0.3">
      <c r="A2715">
        <v>1766</v>
      </c>
      <c r="B2715">
        <v>482</v>
      </c>
      <c r="C2715" t="s">
        <v>39</v>
      </c>
      <c r="D2715" t="s">
        <v>22</v>
      </c>
      <c r="E2715" t="s">
        <v>32</v>
      </c>
      <c r="F2715" t="s">
        <v>34</v>
      </c>
      <c r="G2715">
        <v>9</v>
      </c>
      <c r="H2715">
        <v>9</v>
      </c>
      <c r="I2715">
        <v>7</v>
      </c>
      <c r="J2715">
        <v>44.87</v>
      </c>
      <c r="K2715">
        <v>215.73</v>
      </c>
      <c r="L2715">
        <v>0.61</v>
      </c>
      <c r="M2715">
        <v>36.340000000000003</v>
      </c>
      <c r="N2715">
        <v>0.78</v>
      </c>
      <c r="O2715" t="s">
        <v>20</v>
      </c>
      <c r="P2715" t="s">
        <v>21</v>
      </c>
      <c r="Q2715">
        <f t="shared" si="210"/>
        <v>11</v>
      </c>
      <c r="R2715" s="4">
        <f>RANK(N2715,$N$2:N$2800,0)</f>
        <v>2469</v>
      </c>
      <c r="S2715">
        <f t="shared" si="211"/>
        <v>1.2857142857142858</v>
      </c>
      <c r="T2715" t="str">
        <f t="shared" si="212"/>
        <v>Low</v>
      </c>
      <c r="U2715" t="str" cm="1">
        <f t="array" ref="U2715">_xlfn.LET(_xlpm.roles,_xlfn.UNIQUE(D2715:D5513),_xlpm.kills, SUMIF(D2715:D5513,_xlpm.roles,G2715:G5513),INDEX(_xlpm.roles,MATCH(MAX(_xlpm.kills),_xlpm.kills,0)))</f>
        <v>Entry Fragger</v>
      </c>
      <c r="V2715" t="str">
        <f t="shared" si="213"/>
        <v>Medium Accuracy</v>
      </c>
      <c r="W2715" t="str" cm="1">
        <f t="array" ref="W2715">_xlfn.LET(_xlpm.roles,_xlfn.UNIQUE(D2715:D5513), _xlpm.counts,COUNTIF(D2715:D5513,_xlpm.roles), INDEX(_xlpm.roles,MATCH(MAX(_xlpm.counts),_xlpm.counts,0)))</f>
        <v>Support</v>
      </c>
      <c r="X2715" s="2">
        <f t="shared" si="214"/>
        <v>13.103594080338267</v>
      </c>
    </row>
    <row r="2716" spans="1:24" x14ac:dyDescent="0.3">
      <c r="A2716">
        <v>2307</v>
      </c>
      <c r="B2716">
        <v>482</v>
      </c>
      <c r="C2716" t="s">
        <v>39</v>
      </c>
      <c r="D2716" t="s">
        <v>22</v>
      </c>
      <c r="E2716" t="s">
        <v>18</v>
      </c>
      <c r="F2716" t="s">
        <v>37</v>
      </c>
      <c r="G2716">
        <v>22</v>
      </c>
      <c r="H2716">
        <v>6</v>
      </c>
      <c r="I2716">
        <v>2</v>
      </c>
      <c r="J2716">
        <v>55.64</v>
      </c>
      <c r="K2716">
        <v>242.16</v>
      </c>
      <c r="L2716">
        <v>0.47</v>
      </c>
      <c r="M2716">
        <v>71.12</v>
      </c>
      <c r="N2716">
        <v>1</v>
      </c>
      <c r="O2716" t="s">
        <v>20</v>
      </c>
      <c r="P2716" t="s">
        <v>38</v>
      </c>
      <c r="Q2716">
        <f t="shared" si="210"/>
        <v>26</v>
      </c>
      <c r="R2716" s="4">
        <f>RANK(N2716,$N$2:N$2800,0)</f>
        <v>1</v>
      </c>
      <c r="S2716">
        <f t="shared" si="211"/>
        <v>11</v>
      </c>
      <c r="T2716" t="str">
        <f t="shared" si="212"/>
        <v>Excellent</v>
      </c>
      <c r="U2716" t="str" cm="1">
        <f t="array" ref="U2716">_xlfn.LET(_xlpm.roles,_xlfn.UNIQUE(D2716:D5514),_xlpm.kills, SUMIF(D2716:D5514,_xlpm.roles,G2716:G5514),INDEX(_xlpm.roles,MATCH(MAX(_xlpm.kills),_xlpm.kills,0)))</f>
        <v>Entry Fragger</v>
      </c>
      <c r="V2716" t="str">
        <f t="shared" si="213"/>
        <v>High Accuracy</v>
      </c>
      <c r="W2716" t="str" cm="1">
        <f t="array" ref="W2716">_xlfn.LET(_xlpm.roles,_xlfn.UNIQUE(D2716:D5514), _xlpm.counts,COUNTIF(D2716:D5514,_xlpm.roles), INDEX(_xlpm.roles,MATCH(MAX(_xlpm.counts),_xlpm.counts,0)))</f>
        <v>Support</v>
      </c>
      <c r="X2716" s="2">
        <f t="shared" si="214"/>
        <v>13.103594080338267</v>
      </c>
    </row>
    <row r="2717" spans="1:24" x14ac:dyDescent="0.3">
      <c r="A2717">
        <v>1635</v>
      </c>
      <c r="B2717">
        <v>483</v>
      </c>
      <c r="C2717" t="s">
        <v>30</v>
      </c>
      <c r="D2717" t="s">
        <v>28</v>
      </c>
      <c r="E2717" t="s">
        <v>29</v>
      </c>
      <c r="F2717" t="s">
        <v>19</v>
      </c>
      <c r="G2717">
        <v>17</v>
      </c>
      <c r="H2717">
        <v>7</v>
      </c>
      <c r="I2717">
        <v>7</v>
      </c>
      <c r="J2717">
        <v>44.3</v>
      </c>
      <c r="K2717">
        <v>225.47</v>
      </c>
      <c r="L2717">
        <v>0.16</v>
      </c>
      <c r="M2717">
        <v>54.55</v>
      </c>
      <c r="N2717">
        <v>0.94</v>
      </c>
      <c r="O2717" t="s">
        <v>20</v>
      </c>
      <c r="P2717" t="s">
        <v>21</v>
      </c>
      <c r="Q2717">
        <f t="shared" si="210"/>
        <v>17</v>
      </c>
      <c r="R2717" s="4">
        <f>RANK(N2717,$N$2:N$2800,0)</f>
        <v>1431</v>
      </c>
      <c r="S2717">
        <f t="shared" si="211"/>
        <v>2.4285714285714284</v>
      </c>
      <c r="T2717" t="str">
        <f t="shared" si="212"/>
        <v>Good</v>
      </c>
      <c r="U2717" t="str" cm="1">
        <f t="array" ref="U2717">_xlfn.LET(_xlpm.roles,_xlfn.UNIQUE(D2717:D5515),_xlpm.kills, SUMIF(D2717:D5515,_xlpm.roles,G2717:G5515),INDEX(_xlpm.roles,MATCH(MAX(_xlpm.kills),_xlpm.kills,0)))</f>
        <v>Entry Fragger</v>
      </c>
      <c r="V2717" t="str">
        <f t="shared" si="213"/>
        <v>Medium Accuracy</v>
      </c>
      <c r="W2717" t="str" cm="1">
        <f t="array" ref="W2717">_xlfn.LET(_xlpm.roles,_xlfn.UNIQUE(D2717:D5515), _xlpm.counts,COUNTIF(D2717:D5515,_xlpm.roles), INDEX(_xlpm.roles,MATCH(MAX(_xlpm.counts),_xlpm.counts,0)))</f>
        <v>Entry Fragger</v>
      </c>
      <c r="X2717" s="2">
        <f t="shared" si="214"/>
        <v>13.135802469135802</v>
      </c>
    </row>
    <row r="2718" spans="1:24" x14ac:dyDescent="0.3">
      <c r="A2718">
        <v>348</v>
      </c>
      <c r="B2718">
        <v>484</v>
      </c>
      <c r="C2718" t="s">
        <v>39</v>
      </c>
      <c r="D2718" t="s">
        <v>22</v>
      </c>
      <c r="E2718" t="s">
        <v>33</v>
      </c>
      <c r="F2718" t="s">
        <v>24</v>
      </c>
      <c r="G2718">
        <v>21</v>
      </c>
      <c r="H2718">
        <v>10</v>
      </c>
      <c r="I2718">
        <v>7</v>
      </c>
      <c r="J2718">
        <v>50.33</v>
      </c>
      <c r="K2718">
        <v>202.78</v>
      </c>
      <c r="L2718">
        <v>7.0000000000000007E-2</v>
      </c>
      <c r="M2718">
        <v>69.459999999999994</v>
      </c>
      <c r="N2718">
        <v>1</v>
      </c>
      <c r="O2718" t="s">
        <v>20</v>
      </c>
      <c r="P2718" t="s">
        <v>38</v>
      </c>
      <c r="Q2718">
        <f t="shared" si="210"/>
        <v>24</v>
      </c>
      <c r="R2718" s="4">
        <f>RANK(N2718,$N$2:N$2800,0)</f>
        <v>1</v>
      </c>
      <c r="S2718">
        <f t="shared" si="211"/>
        <v>3</v>
      </c>
      <c r="T2718" t="str">
        <f t="shared" si="212"/>
        <v>Good</v>
      </c>
      <c r="U2718" t="str" cm="1">
        <f t="array" ref="U2718">_xlfn.LET(_xlpm.roles,_xlfn.UNIQUE(D2718:D5516),_xlpm.kills, SUMIF(D2718:D5516,_xlpm.roles,G2718:G5516),INDEX(_xlpm.roles,MATCH(MAX(_xlpm.kills),_xlpm.kills,0)))</f>
        <v>Entry Fragger</v>
      </c>
      <c r="V2718" t="str">
        <f t="shared" si="213"/>
        <v>High Accuracy</v>
      </c>
      <c r="W2718" t="str" cm="1">
        <f t="array" ref="W2718">_xlfn.LET(_xlpm.roles,_xlfn.UNIQUE(D2718:D5516), _xlpm.counts,COUNTIF(D2718:D5516,_xlpm.roles), INDEX(_xlpm.roles,MATCH(MAX(_xlpm.counts),_xlpm.counts,0)))</f>
        <v>Entry Fragger</v>
      </c>
      <c r="X2718" s="2">
        <f t="shared" si="214"/>
        <v>13.103594080338267</v>
      </c>
    </row>
    <row r="2719" spans="1:24" x14ac:dyDescent="0.3">
      <c r="A2719">
        <v>912</v>
      </c>
      <c r="B2719">
        <v>484</v>
      </c>
      <c r="C2719" t="s">
        <v>30</v>
      </c>
      <c r="D2719" t="s">
        <v>28</v>
      </c>
      <c r="E2719" t="s">
        <v>33</v>
      </c>
      <c r="F2719" t="s">
        <v>37</v>
      </c>
      <c r="G2719">
        <v>18</v>
      </c>
      <c r="H2719">
        <v>7</v>
      </c>
      <c r="I2719">
        <v>10</v>
      </c>
      <c r="J2719">
        <v>55.78</v>
      </c>
      <c r="K2719">
        <v>230.86</v>
      </c>
      <c r="L2719">
        <v>0.43</v>
      </c>
      <c r="M2719">
        <v>56.59</v>
      </c>
      <c r="N2719">
        <v>0.94</v>
      </c>
      <c r="O2719" t="s">
        <v>20</v>
      </c>
      <c r="P2719" t="s">
        <v>21</v>
      </c>
      <c r="Q2719">
        <f t="shared" si="210"/>
        <v>15</v>
      </c>
      <c r="R2719" s="4">
        <f>RANK(N2719,$N$2:N$2800,0)</f>
        <v>1431</v>
      </c>
      <c r="S2719">
        <f t="shared" si="211"/>
        <v>1.8</v>
      </c>
      <c r="T2719" t="str">
        <f t="shared" si="212"/>
        <v>Good</v>
      </c>
      <c r="U2719" t="str" cm="1">
        <f t="array" ref="U2719">_xlfn.LET(_xlpm.roles,_xlfn.UNIQUE(D2719:D5517),_xlpm.kills, SUMIF(D2719:D5517,_xlpm.roles,G2719:G5517),INDEX(_xlpm.roles,MATCH(MAX(_xlpm.kills),_xlpm.kills,0)))</f>
        <v>Entry Fragger</v>
      </c>
      <c r="V2719" t="str">
        <f t="shared" si="213"/>
        <v>High Accuracy</v>
      </c>
      <c r="W2719" t="str" cm="1">
        <f t="array" ref="W2719">_xlfn.LET(_xlpm.roles,_xlfn.UNIQUE(D2719:D5517), _xlpm.counts,COUNTIF(D2719:D5517,_xlpm.roles), INDEX(_xlpm.roles,MATCH(MAX(_xlpm.counts),_xlpm.counts,0)))</f>
        <v>Entry Fragger</v>
      </c>
      <c r="X2719" s="2">
        <f t="shared" si="214"/>
        <v>13.135802469135802</v>
      </c>
    </row>
    <row r="2720" spans="1:24" x14ac:dyDescent="0.3">
      <c r="A2720">
        <v>1115</v>
      </c>
      <c r="B2720">
        <v>484</v>
      </c>
      <c r="C2720" t="s">
        <v>16</v>
      </c>
      <c r="D2720" t="s">
        <v>36</v>
      </c>
      <c r="E2720" t="s">
        <v>23</v>
      </c>
      <c r="F2720" t="s">
        <v>34</v>
      </c>
      <c r="G2720">
        <v>20</v>
      </c>
      <c r="H2720">
        <v>7</v>
      </c>
      <c r="I2720">
        <v>9</v>
      </c>
      <c r="J2720">
        <v>46.96</v>
      </c>
      <c r="K2720">
        <v>212.53</v>
      </c>
      <c r="L2720">
        <v>0.06</v>
      </c>
      <c r="M2720">
        <v>60.88</v>
      </c>
      <c r="N2720">
        <v>1</v>
      </c>
      <c r="O2720" t="s">
        <v>20</v>
      </c>
      <c r="P2720" t="s">
        <v>38</v>
      </c>
      <c r="Q2720">
        <f t="shared" si="210"/>
        <v>18</v>
      </c>
      <c r="R2720" s="4">
        <f>RANK(N2720,$N$2:N$2800,0)</f>
        <v>1</v>
      </c>
      <c r="S2720">
        <f t="shared" si="211"/>
        <v>2.2222222222222223</v>
      </c>
      <c r="T2720" t="str">
        <f t="shared" si="212"/>
        <v>Good</v>
      </c>
      <c r="U2720" t="str" cm="1">
        <f t="array" ref="U2720">_xlfn.LET(_xlpm.roles,_xlfn.UNIQUE(D2720:D5518),_xlpm.kills, SUMIF(D2720:D5518,_xlpm.roles,G2720:G5518),INDEX(_xlpm.roles,MATCH(MAX(_xlpm.kills),_xlpm.kills,0)))</f>
        <v>Entry Fragger</v>
      </c>
      <c r="V2720" t="str">
        <f t="shared" si="213"/>
        <v>Medium Accuracy</v>
      </c>
      <c r="W2720" t="str" cm="1">
        <f t="array" ref="W2720">_xlfn.LET(_xlpm.roles,_xlfn.UNIQUE(D2720:D5518), _xlpm.counts,COUNTIF(D2720:D5518,_xlpm.roles), INDEX(_xlpm.roles,MATCH(MAX(_xlpm.counts),_xlpm.counts,0)))</f>
        <v>Entry Fragger</v>
      </c>
      <c r="X2720" s="2">
        <f t="shared" si="214"/>
        <v>12.520971302428256</v>
      </c>
    </row>
    <row r="2721" spans="1:24" x14ac:dyDescent="0.3">
      <c r="A2721">
        <v>1245</v>
      </c>
      <c r="B2721">
        <v>484</v>
      </c>
      <c r="C2721" t="s">
        <v>25</v>
      </c>
      <c r="D2721" t="s">
        <v>22</v>
      </c>
      <c r="E2721" t="s">
        <v>18</v>
      </c>
      <c r="F2721" t="s">
        <v>24</v>
      </c>
      <c r="G2721">
        <v>15</v>
      </c>
      <c r="H2721">
        <v>8</v>
      </c>
      <c r="I2721">
        <v>8</v>
      </c>
      <c r="J2721">
        <v>39.46</v>
      </c>
      <c r="K2721">
        <v>218.83</v>
      </c>
      <c r="L2721">
        <v>0.72</v>
      </c>
      <c r="M2721">
        <v>42.53</v>
      </c>
      <c r="N2721">
        <v>0.81</v>
      </c>
      <c r="O2721" t="s">
        <v>20</v>
      </c>
      <c r="P2721" t="s">
        <v>21</v>
      </c>
      <c r="Q2721">
        <f t="shared" si="210"/>
        <v>15</v>
      </c>
      <c r="R2721" s="4">
        <f>RANK(N2721,$N$2:N$2800,0)</f>
        <v>2341</v>
      </c>
      <c r="S2721">
        <f t="shared" si="211"/>
        <v>1.875</v>
      </c>
      <c r="T2721" t="str">
        <f t="shared" si="212"/>
        <v>Good</v>
      </c>
      <c r="U2721" t="str" cm="1">
        <f t="array" ref="U2721">_xlfn.LET(_xlpm.roles,_xlfn.UNIQUE(D2721:D5519),_xlpm.kills, SUMIF(D2721:D5519,_xlpm.roles,G2721:G5519),INDEX(_xlpm.roles,MATCH(MAX(_xlpm.kills),_xlpm.kills,0)))</f>
        <v>Entry Fragger</v>
      </c>
      <c r="V2721" t="str">
        <f t="shared" si="213"/>
        <v>Medium Accuracy</v>
      </c>
      <c r="W2721" t="str" cm="1">
        <f t="array" ref="W2721">_xlfn.LET(_xlpm.roles,_xlfn.UNIQUE(D2721:D5519), _xlpm.counts,COUNTIF(D2721:D5519,_xlpm.roles), INDEX(_xlpm.roles,MATCH(MAX(_xlpm.counts),_xlpm.counts,0)))</f>
        <v>Entry Fragger</v>
      </c>
      <c r="X2721" s="2">
        <f t="shared" si="214"/>
        <v>12.809421841541756</v>
      </c>
    </row>
    <row r="2722" spans="1:24" x14ac:dyDescent="0.3">
      <c r="A2722">
        <v>1469</v>
      </c>
      <c r="B2722">
        <v>484</v>
      </c>
      <c r="C2722" t="s">
        <v>16</v>
      </c>
      <c r="D2722" t="s">
        <v>36</v>
      </c>
      <c r="E2722" t="s">
        <v>18</v>
      </c>
      <c r="F2722" t="s">
        <v>26</v>
      </c>
      <c r="G2722">
        <v>15</v>
      </c>
      <c r="H2722">
        <v>8</v>
      </c>
      <c r="I2722">
        <v>10</v>
      </c>
      <c r="J2722">
        <v>31.19</v>
      </c>
      <c r="K2722">
        <v>267.99</v>
      </c>
      <c r="L2722">
        <v>0.65</v>
      </c>
      <c r="M2722">
        <v>37.090000000000003</v>
      </c>
      <c r="N2722">
        <v>0.87</v>
      </c>
      <c r="O2722" t="s">
        <v>20</v>
      </c>
      <c r="P2722" t="s">
        <v>21</v>
      </c>
      <c r="Q2722">
        <f t="shared" si="210"/>
        <v>13</v>
      </c>
      <c r="R2722" s="4">
        <f>RANK(N2722,$N$2:N$2800,0)</f>
        <v>1965</v>
      </c>
      <c r="S2722">
        <f t="shared" si="211"/>
        <v>1.5</v>
      </c>
      <c r="T2722" t="str">
        <f t="shared" si="212"/>
        <v>Low</v>
      </c>
      <c r="U2722" t="str" cm="1">
        <f t="array" ref="U2722">_xlfn.LET(_xlpm.roles,_xlfn.UNIQUE(D2722:D5520),_xlpm.kills, SUMIF(D2722:D5520,_xlpm.roles,G2722:G5520),INDEX(_xlpm.roles,MATCH(MAX(_xlpm.kills),_xlpm.kills,0)))</f>
        <v>Entry Fragger</v>
      </c>
      <c r="V2722" t="str">
        <f t="shared" si="213"/>
        <v>Medium Accuracy</v>
      </c>
      <c r="W2722" t="str" cm="1">
        <f t="array" ref="W2722">_xlfn.LET(_xlpm.roles,_xlfn.UNIQUE(D2722:D5520), _xlpm.counts,COUNTIF(D2722:D5520,_xlpm.roles), INDEX(_xlpm.roles,MATCH(MAX(_xlpm.counts),_xlpm.counts,0)))</f>
        <v>Entry Fragger</v>
      </c>
      <c r="X2722" s="2">
        <f t="shared" si="214"/>
        <v>12.520971302428256</v>
      </c>
    </row>
    <row r="2723" spans="1:24" x14ac:dyDescent="0.3">
      <c r="A2723">
        <v>1768</v>
      </c>
      <c r="B2723">
        <v>484</v>
      </c>
      <c r="C2723" t="s">
        <v>35</v>
      </c>
      <c r="D2723" t="s">
        <v>36</v>
      </c>
      <c r="E2723" t="s">
        <v>29</v>
      </c>
      <c r="F2723" t="s">
        <v>34</v>
      </c>
      <c r="G2723">
        <v>15</v>
      </c>
      <c r="H2723">
        <v>7</v>
      </c>
      <c r="I2723">
        <v>7</v>
      </c>
      <c r="J2723">
        <v>43.81</v>
      </c>
      <c r="K2723">
        <v>193.36</v>
      </c>
      <c r="L2723">
        <v>0.49</v>
      </c>
      <c r="M2723">
        <v>47.01</v>
      </c>
      <c r="N2723">
        <v>1</v>
      </c>
      <c r="O2723" t="s">
        <v>20</v>
      </c>
      <c r="P2723" t="s">
        <v>21</v>
      </c>
      <c r="Q2723">
        <f t="shared" si="210"/>
        <v>15</v>
      </c>
      <c r="R2723" s="4">
        <f>RANK(N2723,$N$2:N$2800,0)</f>
        <v>1</v>
      </c>
      <c r="S2723">
        <f t="shared" si="211"/>
        <v>2.1428571428571428</v>
      </c>
      <c r="T2723" t="str">
        <f t="shared" si="212"/>
        <v>Good</v>
      </c>
      <c r="U2723" t="str" cm="1">
        <f t="array" ref="U2723">_xlfn.LET(_xlpm.roles,_xlfn.UNIQUE(D2723:D5521),_xlpm.kills, SUMIF(D2723:D5521,_xlpm.roles,G2723:G5521),INDEX(_xlpm.roles,MATCH(MAX(_xlpm.kills),_xlpm.kills,0)))</f>
        <v>Entry Fragger</v>
      </c>
      <c r="V2723" t="str">
        <f t="shared" si="213"/>
        <v>Medium Accuracy</v>
      </c>
      <c r="W2723" t="str" cm="1">
        <f t="array" ref="W2723">_xlfn.LET(_xlpm.roles,_xlfn.UNIQUE(D2723:D5521), _xlpm.counts,COUNTIF(D2723:D5521,_xlpm.roles), INDEX(_xlpm.roles,MATCH(MAX(_xlpm.counts),_xlpm.counts,0)))</f>
        <v>Entry Fragger</v>
      </c>
      <c r="X2723" s="2">
        <f t="shared" si="214"/>
        <v>12.599585062240664</v>
      </c>
    </row>
    <row r="2724" spans="1:24" x14ac:dyDescent="0.3">
      <c r="A2724">
        <v>2108</v>
      </c>
      <c r="B2724">
        <v>484</v>
      </c>
      <c r="C2724" t="s">
        <v>39</v>
      </c>
      <c r="D2724" t="s">
        <v>28</v>
      </c>
      <c r="E2724" t="s">
        <v>29</v>
      </c>
      <c r="F2724" t="s">
        <v>19</v>
      </c>
      <c r="G2724">
        <v>19</v>
      </c>
      <c r="H2724">
        <v>11</v>
      </c>
      <c r="I2724">
        <v>12</v>
      </c>
      <c r="J2724">
        <v>38.21</v>
      </c>
      <c r="K2724">
        <v>243.19</v>
      </c>
      <c r="L2724">
        <v>0.83</v>
      </c>
      <c r="M2724">
        <v>47.81</v>
      </c>
      <c r="N2724">
        <v>0.84</v>
      </c>
      <c r="O2724" t="s">
        <v>20</v>
      </c>
      <c r="P2724" t="s">
        <v>21</v>
      </c>
      <c r="Q2724">
        <f t="shared" si="210"/>
        <v>18</v>
      </c>
      <c r="R2724" s="4">
        <f>RANK(N2724,$N$2:N$2800,0)</f>
        <v>2156</v>
      </c>
      <c r="S2724">
        <f t="shared" si="211"/>
        <v>1.5833333333333333</v>
      </c>
      <c r="T2724" t="str">
        <f t="shared" si="212"/>
        <v>Good</v>
      </c>
      <c r="U2724" t="str" cm="1">
        <f t="array" ref="U2724">_xlfn.LET(_xlpm.roles,_xlfn.UNIQUE(D2724:D5522),_xlpm.kills, SUMIF(D2724:D5522,_xlpm.roles,G2724:G5522),INDEX(_xlpm.roles,MATCH(MAX(_xlpm.kills),_xlpm.kills,0)))</f>
        <v>Entry Fragger</v>
      </c>
      <c r="V2724" t="str">
        <f t="shared" si="213"/>
        <v>Medium Accuracy</v>
      </c>
      <c r="W2724" t="str" cm="1">
        <f t="array" ref="W2724">_xlfn.LET(_xlpm.roles,_xlfn.UNIQUE(D2724:D5522), _xlpm.counts,COUNTIF(D2724:D5522,_xlpm.roles), INDEX(_xlpm.roles,MATCH(MAX(_xlpm.counts),_xlpm.counts,0)))</f>
        <v>Entry Fragger</v>
      </c>
      <c r="X2724" s="2">
        <f t="shared" si="214"/>
        <v>13.103594080338267</v>
      </c>
    </row>
    <row r="2725" spans="1:24" x14ac:dyDescent="0.3">
      <c r="A2725">
        <v>2113</v>
      </c>
      <c r="B2725">
        <v>484</v>
      </c>
      <c r="C2725" t="s">
        <v>35</v>
      </c>
      <c r="D2725" t="s">
        <v>17</v>
      </c>
      <c r="E2725" t="s">
        <v>33</v>
      </c>
      <c r="F2725" t="s">
        <v>34</v>
      </c>
      <c r="G2725">
        <v>24</v>
      </c>
      <c r="H2725">
        <v>12</v>
      </c>
      <c r="I2725">
        <v>13</v>
      </c>
      <c r="J2725">
        <v>53.38</v>
      </c>
      <c r="K2725">
        <v>218.69</v>
      </c>
      <c r="L2725">
        <v>0.81</v>
      </c>
      <c r="M2725">
        <v>65.59</v>
      </c>
      <c r="N2725">
        <v>1</v>
      </c>
      <c r="O2725" t="s">
        <v>20</v>
      </c>
      <c r="P2725" t="s">
        <v>38</v>
      </c>
      <c r="Q2725">
        <f t="shared" si="210"/>
        <v>23</v>
      </c>
      <c r="R2725" s="4">
        <f>RANK(N2725,$N$2:N$2800,0)</f>
        <v>1</v>
      </c>
      <c r="S2725">
        <f t="shared" si="211"/>
        <v>1.8461538461538463</v>
      </c>
      <c r="T2725" t="str">
        <f t="shared" si="212"/>
        <v>Good</v>
      </c>
      <c r="U2725" t="str" cm="1">
        <f t="array" ref="U2725">_xlfn.LET(_xlpm.roles,_xlfn.UNIQUE(D2725:D5523),_xlpm.kills, SUMIF(D2725:D5523,_xlpm.roles,G2725:G5523),INDEX(_xlpm.roles,MATCH(MAX(_xlpm.kills),_xlpm.kills,0)))</f>
        <v>Entry Fragger</v>
      </c>
      <c r="V2725" t="str">
        <f t="shared" si="213"/>
        <v>High Accuracy</v>
      </c>
      <c r="W2725" t="str" cm="1">
        <f t="array" ref="W2725">_xlfn.LET(_xlpm.roles,_xlfn.UNIQUE(D2725:D5523), _xlpm.counts,COUNTIF(D2725:D5523,_xlpm.roles), INDEX(_xlpm.roles,MATCH(MAX(_xlpm.counts),_xlpm.counts,0)))</f>
        <v>Entry Fragger</v>
      </c>
      <c r="X2725" s="2">
        <f t="shared" si="214"/>
        <v>12.599585062240664</v>
      </c>
    </row>
    <row r="2726" spans="1:24" x14ac:dyDescent="0.3">
      <c r="A2726">
        <v>2663</v>
      </c>
      <c r="B2726">
        <v>484</v>
      </c>
      <c r="C2726" t="s">
        <v>39</v>
      </c>
      <c r="D2726" t="s">
        <v>28</v>
      </c>
      <c r="E2726" t="s">
        <v>33</v>
      </c>
      <c r="F2726" t="s">
        <v>24</v>
      </c>
      <c r="G2726">
        <v>11</v>
      </c>
      <c r="H2726">
        <v>9</v>
      </c>
      <c r="I2726">
        <v>14</v>
      </c>
      <c r="J2726">
        <v>60.31</v>
      </c>
      <c r="K2726">
        <v>203.94</v>
      </c>
      <c r="L2726">
        <v>0.67</v>
      </c>
      <c r="M2726">
        <v>40.450000000000003</v>
      </c>
      <c r="N2726">
        <v>0.91</v>
      </c>
      <c r="O2726" t="s">
        <v>20</v>
      </c>
      <c r="P2726" t="s">
        <v>21</v>
      </c>
      <c r="Q2726">
        <f t="shared" si="210"/>
        <v>6</v>
      </c>
      <c r="R2726" s="4">
        <f>RANK(N2726,$N$2:N$2800,0)</f>
        <v>1665</v>
      </c>
      <c r="S2726">
        <f t="shared" si="211"/>
        <v>0.7857142857142857</v>
      </c>
      <c r="T2726" t="str">
        <f t="shared" si="212"/>
        <v>Low</v>
      </c>
      <c r="U2726" t="str" cm="1">
        <f t="array" ref="U2726">_xlfn.LET(_xlpm.roles,_xlfn.UNIQUE(D2726:D5524),_xlpm.kills, SUMIF(D2726:D5524,_xlpm.roles,G2726:G5524),INDEX(_xlpm.roles,MATCH(MAX(_xlpm.kills),_xlpm.kills,0)))</f>
        <v>Entry Fragger</v>
      </c>
      <c r="V2726" t="str">
        <f t="shared" si="213"/>
        <v>High Accuracy</v>
      </c>
      <c r="W2726" t="str" cm="1">
        <f t="array" ref="W2726">_xlfn.LET(_xlpm.roles,_xlfn.UNIQUE(D2726:D5524), _xlpm.counts,COUNTIF(D2726:D5524,_xlpm.roles), INDEX(_xlpm.roles,MATCH(MAX(_xlpm.counts),_xlpm.counts,0)))</f>
        <v>Entry Fragger</v>
      </c>
      <c r="X2726" s="2">
        <f t="shared" si="214"/>
        <v>13.103594080338267</v>
      </c>
    </row>
    <row r="2727" spans="1:24" x14ac:dyDescent="0.3">
      <c r="A2727">
        <v>1180</v>
      </c>
      <c r="B2727">
        <v>485</v>
      </c>
      <c r="C2727" t="s">
        <v>35</v>
      </c>
      <c r="D2727" t="s">
        <v>31</v>
      </c>
      <c r="E2727" t="s">
        <v>32</v>
      </c>
      <c r="F2727" t="s">
        <v>26</v>
      </c>
      <c r="G2727">
        <v>12</v>
      </c>
      <c r="H2727">
        <v>11</v>
      </c>
      <c r="I2727">
        <v>12</v>
      </c>
      <c r="J2727">
        <v>45.11</v>
      </c>
      <c r="K2727">
        <v>164.44</v>
      </c>
      <c r="L2727">
        <v>0.85</v>
      </c>
      <c r="M2727">
        <v>37.049999999999997</v>
      </c>
      <c r="N2727">
        <v>0.74</v>
      </c>
      <c r="O2727" t="s">
        <v>20</v>
      </c>
      <c r="P2727" t="s">
        <v>21</v>
      </c>
      <c r="Q2727">
        <f t="shared" si="210"/>
        <v>11</v>
      </c>
      <c r="R2727" s="4">
        <f>RANK(N2727,$N$2:N$2800,0)</f>
        <v>2613</v>
      </c>
      <c r="S2727">
        <f t="shared" si="211"/>
        <v>1</v>
      </c>
      <c r="T2727" t="str">
        <f t="shared" si="212"/>
        <v>Low</v>
      </c>
      <c r="U2727" t="str" cm="1">
        <f t="array" ref="U2727">_xlfn.LET(_xlpm.roles,_xlfn.UNIQUE(D2727:D5525),_xlpm.kills, SUMIF(D2727:D5525,_xlpm.roles,G2727:G5525),INDEX(_xlpm.roles,MATCH(MAX(_xlpm.kills),_xlpm.kills,0)))</f>
        <v>Entry Fragger</v>
      </c>
      <c r="V2727" t="str">
        <f t="shared" si="213"/>
        <v>Medium Accuracy</v>
      </c>
      <c r="W2727" t="str" cm="1">
        <f t="array" ref="W2727">_xlfn.LET(_xlpm.roles,_xlfn.UNIQUE(D2727:D5525), _xlpm.counts,COUNTIF(D2727:D5525,_xlpm.roles), INDEX(_xlpm.roles,MATCH(MAX(_xlpm.counts),_xlpm.counts,0)))</f>
        <v>Entry Fragger</v>
      </c>
      <c r="X2727" s="2">
        <f t="shared" si="214"/>
        <v>12.599585062240664</v>
      </c>
    </row>
    <row r="2728" spans="1:24" x14ac:dyDescent="0.3">
      <c r="A2728">
        <v>2254</v>
      </c>
      <c r="B2728">
        <v>485</v>
      </c>
      <c r="C2728" t="s">
        <v>30</v>
      </c>
      <c r="D2728" t="s">
        <v>31</v>
      </c>
      <c r="E2728" t="s">
        <v>23</v>
      </c>
      <c r="F2728" t="s">
        <v>24</v>
      </c>
      <c r="G2728">
        <v>15</v>
      </c>
      <c r="H2728">
        <v>6</v>
      </c>
      <c r="I2728">
        <v>10</v>
      </c>
      <c r="J2728">
        <v>40.57</v>
      </c>
      <c r="K2728">
        <v>195.5</v>
      </c>
      <c r="L2728">
        <v>0.14000000000000001</v>
      </c>
      <c r="M2728">
        <v>44.88</v>
      </c>
      <c r="N2728">
        <v>0.92</v>
      </c>
      <c r="O2728" t="s">
        <v>20</v>
      </c>
      <c r="P2728" t="s">
        <v>21</v>
      </c>
      <c r="Q2728">
        <f t="shared" si="210"/>
        <v>11</v>
      </c>
      <c r="R2728" s="4">
        <f>RANK(N2728,$N$2:N$2800,0)</f>
        <v>1585</v>
      </c>
      <c r="S2728">
        <f t="shared" si="211"/>
        <v>1.5</v>
      </c>
      <c r="T2728" t="str">
        <f t="shared" si="212"/>
        <v>Low</v>
      </c>
      <c r="U2728" t="str" cm="1">
        <f t="array" ref="U2728">_xlfn.LET(_xlpm.roles,_xlfn.UNIQUE(D2728:D5526),_xlpm.kills, SUMIF(D2728:D5526,_xlpm.roles,G2728:G5526),INDEX(_xlpm.roles,MATCH(MAX(_xlpm.kills),_xlpm.kills,0)))</f>
        <v>Entry Fragger</v>
      </c>
      <c r="V2728" t="str">
        <f t="shared" si="213"/>
        <v>Medium Accuracy</v>
      </c>
      <c r="W2728" t="str" cm="1">
        <f t="array" ref="W2728">_xlfn.LET(_xlpm.roles,_xlfn.UNIQUE(D2728:D5526), _xlpm.counts,COUNTIF(D2728:D5526,_xlpm.roles), INDEX(_xlpm.roles,MATCH(MAX(_xlpm.counts),_xlpm.counts,0)))</f>
        <v>Entry Fragger</v>
      </c>
      <c r="X2728" s="2">
        <f t="shared" si="214"/>
        <v>13.135802469135802</v>
      </c>
    </row>
    <row r="2729" spans="1:24" x14ac:dyDescent="0.3">
      <c r="A2729">
        <v>361</v>
      </c>
      <c r="B2729">
        <v>486</v>
      </c>
      <c r="C2729" t="s">
        <v>30</v>
      </c>
      <c r="D2729" t="s">
        <v>36</v>
      </c>
      <c r="E2729" t="s">
        <v>18</v>
      </c>
      <c r="F2729" t="s">
        <v>37</v>
      </c>
      <c r="G2729">
        <v>12</v>
      </c>
      <c r="H2729">
        <v>8</v>
      </c>
      <c r="I2729">
        <v>14</v>
      </c>
      <c r="J2729">
        <v>42.98</v>
      </c>
      <c r="K2729">
        <v>183.88</v>
      </c>
      <c r="L2729">
        <v>0.28999999999999998</v>
      </c>
      <c r="M2729">
        <v>36.590000000000003</v>
      </c>
      <c r="N2729">
        <v>0.83</v>
      </c>
      <c r="O2729" t="s">
        <v>20</v>
      </c>
      <c r="P2729" t="s">
        <v>21</v>
      </c>
      <c r="Q2729">
        <f t="shared" si="210"/>
        <v>6</v>
      </c>
      <c r="R2729" s="4">
        <f>RANK(N2729,$N$2:N$2800,0)</f>
        <v>2218</v>
      </c>
      <c r="S2729">
        <f t="shared" si="211"/>
        <v>0.8571428571428571</v>
      </c>
      <c r="T2729" t="str">
        <f t="shared" si="212"/>
        <v>Low</v>
      </c>
      <c r="U2729" t="str" cm="1">
        <f t="array" ref="U2729">_xlfn.LET(_xlpm.roles,_xlfn.UNIQUE(D2729:D5527),_xlpm.kills, SUMIF(D2729:D5527,_xlpm.roles,G2729:G5527),INDEX(_xlpm.roles,MATCH(MAX(_xlpm.kills),_xlpm.kills,0)))</f>
        <v>Entry Fragger</v>
      </c>
      <c r="V2729" t="str">
        <f t="shared" si="213"/>
        <v>Medium Accuracy</v>
      </c>
      <c r="W2729" t="str" cm="1">
        <f t="array" ref="W2729">_xlfn.LET(_xlpm.roles,_xlfn.UNIQUE(D2729:D5527), _xlpm.counts,COUNTIF(D2729:D5527,_xlpm.roles), INDEX(_xlpm.roles,MATCH(MAX(_xlpm.counts),_xlpm.counts,0)))</f>
        <v>Entry Fragger</v>
      </c>
      <c r="X2729" s="2">
        <f t="shared" si="214"/>
        <v>13.135802469135802</v>
      </c>
    </row>
    <row r="2730" spans="1:24" x14ac:dyDescent="0.3">
      <c r="A2730">
        <v>440</v>
      </c>
      <c r="B2730">
        <v>486</v>
      </c>
      <c r="C2730" t="s">
        <v>25</v>
      </c>
      <c r="D2730" t="s">
        <v>28</v>
      </c>
      <c r="E2730" t="s">
        <v>32</v>
      </c>
      <c r="F2730" t="s">
        <v>37</v>
      </c>
      <c r="G2730">
        <v>15</v>
      </c>
      <c r="H2730">
        <v>7</v>
      </c>
      <c r="I2730">
        <v>12</v>
      </c>
      <c r="J2730">
        <v>46.53</v>
      </c>
      <c r="K2730">
        <v>243.95</v>
      </c>
      <c r="L2730">
        <v>0.8</v>
      </c>
      <c r="M2730">
        <v>40.270000000000003</v>
      </c>
      <c r="N2730">
        <v>0.92</v>
      </c>
      <c r="O2730" t="s">
        <v>20</v>
      </c>
      <c r="P2730" t="s">
        <v>21</v>
      </c>
      <c r="Q2730">
        <f t="shared" si="210"/>
        <v>10</v>
      </c>
      <c r="R2730" s="4">
        <f>RANK(N2730,$N$2:N$2800,0)</f>
        <v>1585</v>
      </c>
      <c r="S2730">
        <f t="shared" si="211"/>
        <v>1.25</v>
      </c>
      <c r="T2730" t="str">
        <f t="shared" si="212"/>
        <v>Low</v>
      </c>
      <c r="U2730" t="str" cm="1">
        <f t="array" ref="U2730">_xlfn.LET(_xlpm.roles,_xlfn.UNIQUE(D2730:D5528),_xlpm.kills, SUMIF(D2730:D5528,_xlpm.roles,G2730:G5528),INDEX(_xlpm.roles,MATCH(MAX(_xlpm.kills),_xlpm.kills,0)))</f>
        <v>Entry Fragger</v>
      </c>
      <c r="V2730" t="str">
        <f t="shared" si="213"/>
        <v>Medium Accuracy</v>
      </c>
      <c r="W2730" t="str" cm="1">
        <f t="array" ref="W2730">_xlfn.LET(_xlpm.roles,_xlfn.UNIQUE(D2730:D5528), _xlpm.counts,COUNTIF(D2730:D5528,_xlpm.roles), INDEX(_xlpm.roles,MATCH(MAX(_xlpm.counts),_xlpm.counts,0)))</f>
        <v>Support</v>
      </c>
      <c r="X2730" s="2">
        <f t="shared" si="214"/>
        <v>12.809421841541756</v>
      </c>
    </row>
    <row r="2731" spans="1:24" x14ac:dyDescent="0.3">
      <c r="A2731">
        <v>1716</v>
      </c>
      <c r="B2731">
        <v>486</v>
      </c>
      <c r="C2731" t="s">
        <v>25</v>
      </c>
      <c r="D2731" t="s">
        <v>17</v>
      </c>
      <c r="E2731" t="s">
        <v>18</v>
      </c>
      <c r="F2731" t="s">
        <v>24</v>
      </c>
      <c r="G2731">
        <v>19</v>
      </c>
      <c r="H2731">
        <v>8</v>
      </c>
      <c r="I2731">
        <v>6</v>
      </c>
      <c r="J2731">
        <v>41.9</v>
      </c>
      <c r="K2731">
        <v>228.79</v>
      </c>
      <c r="L2731">
        <v>0.13</v>
      </c>
      <c r="M2731">
        <v>59.65</v>
      </c>
      <c r="N2731">
        <v>1</v>
      </c>
      <c r="O2731" t="s">
        <v>20</v>
      </c>
      <c r="P2731" t="s">
        <v>21</v>
      </c>
      <c r="Q2731">
        <f t="shared" si="210"/>
        <v>21</v>
      </c>
      <c r="R2731" s="4">
        <f>RANK(N2731,$N$2:N$2800,0)</f>
        <v>1</v>
      </c>
      <c r="S2731">
        <f t="shared" si="211"/>
        <v>3.1666666666666665</v>
      </c>
      <c r="T2731" t="str">
        <f t="shared" si="212"/>
        <v>Good</v>
      </c>
      <c r="U2731" t="str" cm="1">
        <f t="array" ref="U2731">_xlfn.LET(_xlpm.roles,_xlfn.UNIQUE(D2731:D5529),_xlpm.kills, SUMIF(D2731:D5529,_xlpm.roles,G2731:G5529),INDEX(_xlpm.roles,MATCH(MAX(_xlpm.kills),_xlpm.kills,0)))</f>
        <v>Entry Fragger</v>
      </c>
      <c r="V2731" t="str">
        <f t="shared" si="213"/>
        <v>Medium Accuracy</v>
      </c>
      <c r="W2731" t="str" cm="1">
        <f t="array" ref="W2731">_xlfn.LET(_xlpm.roles,_xlfn.UNIQUE(D2731:D5529), _xlpm.counts,COUNTIF(D2731:D5529,_xlpm.roles), INDEX(_xlpm.roles,MATCH(MAX(_xlpm.counts),_xlpm.counts,0)))</f>
        <v>Support</v>
      </c>
      <c r="X2731" s="2">
        <f t="shared" si="214"/>
        <v>12.809421841541756</v>
      </c>
    </row>
    <row r="2732" spans="1:24" x14ac:dyDescent="0.3">
      <c r="A2732">
        <v>230</v>
      </c>
      <c r="B2732">
        <v>487</v>
      </c>
      <c r="C2732" t="s">
        <v>16</v>
      </c>
      <c r="D2732" t="s">
        <v>22</v>
      </c>
      <c r="E2732" t="s">
        <v>33</v>
      </c>
      <c r="F2732" t="s">
        <v>19</v>
      </c>
      <c r="G2732">
        <v>14</v>
      </c>
      <c r="H2732">
        <v>9</v>
      </c>
      <c r="I2732">
        <v>13</v>
      </c>
      <c r="J2732">
        <v>38.340000000000003</v>
      </c>
      <c r="K2732">
        <v>233.33</v>
      </c>
      <c r="L2732">
        <v>0.78</v>
      </c>
      <c r="M2732">
        <v>35.369999999999997</v>
      </c>
      <c r="N2732">
        <v>0.96</v>
      </c>
      <c r="O2732" t="s">
        <v>20</v>
      </c>
      <c r="P2732" t="s">
        <v>21</v>
      </c>
      <c r="Q2732">
        <f t="shared" si="210"/>
        <v>10</v>
      </c>
      <c r="R2732" s="4">
        <f>RANK(N2732,$N$2:N$2800,0)</f>
        <v>1301</v>
      </c>
      <c r="S2732">
        <f t="shared" si="211"/>
        <v>1.0769230769230769</v>
      </c>
      <c r="T2732" t="str">
        <f t="shared" si="212"/>
        <v>Low</v>
      </c>
      <c r="U2732" t="str" cm="1">
        <f t="array" ref="U2732">_xlfn.LET(_xlpm.roles,_xlfn.UNIQUE(D2732:D5530),_xlpm.kills, SUMIF(D2732:D5530,_xlpm.roles,G2732:G5530),INDEX(_xlpm.roles,MATCH(MAX(_xlpm.kills),_xlpm.kills,0)))</f>
        <v>Entry Fragger</v>
      </c>
      <c r="V2732" t="str">
        <f t="shared" si="213"/>
        <v>Medium Accuracy</v>
      </c>
      <c r="W2732" t="str" cm="1">
        <f t="array" ref="W2732">_xlfn.LET(_xlpm.roles,_xlfn.UNIQUE(D2732:D5530), _xlpm.counts,COUNTIF(D2732:D5530,_xlpm.roles), INDEX(_xlpm.roles,MATCH(MAX(_xlpm.counts),_xlpm.counts,0)))</f>
        <v>Support</v>
      </c>
      <c r="X2732" s="2">
        <f t="shared" si="214"/>
        <v>12.520971302428256</v>
      </c>
    </row>
    <row r="2733" spans="1:24" x14ac:dyDescent="0.3">
      <c r="A2733">
        <v>345</v>
      </c>
      <c r="B2733">
        <v>487</v>
      </c>
      <c r="C2733" t="s">
        <v>27</v>
      </c>
      <c r="D2733" t="s">
        <v>28</v>
      </c>
      <c r="E2733" t="s">
        <v>23</v>
      </c>
      <c r="F2733" t="s">
        <v>37</v>
      </c>
      <c r="G2733">
        <v>15</v>
      </c>
      <c r="H2733">
        <v>9</v>
      </c>
      <c r="I2733">
        <v>8</v>
      </c>
      <c r="J2733">
        <v>47.5</v>
      </c>
      <c r="K2733">
        <v>223.89</v>
      </c>
      <c r="L2733">
        <v>0.27</v>
      </c>
      <c r="M2733">
        <v>52.05</v>
      </c>
      <c r="N2733">
        <v>0.94</v>
      </c>
      <c r="O2733" t="s">
        <v>20</v>
      </c>
      <c r="P2733" t="s">
        <v>21</v>
      </c>
      <c r="Q2733">
        <f t="shared" si="210"/>
        <v>16</v>
      </c>
      <c r="R2733" s="4">
        <f>RANK(N2733,$N$2:N$2800,0)</f>
        <v>1431</v>
      </c>
      <c r="S2733">
        <f t="shared" si="211"/>
        <v>1.875</v>
      </c>
      <c r="T2733" t="str">
        <f t="shared" si="212"/>
        <v>Good</v>
      </c>
      <c r="U2733" t="str" cm="1">
        <f t="array" ref="U2733">_xlfn.LET(_xlpm.roles,_xlfn.UNIQUE(D2733:D5531),_xlpm.kills, SUMIF(D2733:D5531,_xlpm.roles,G2733:G5531),INDEX(_xlpm.roles,MATCH(MAX(_xlpm.kills),_xlpm.kills,0)))</f>
        <v>Entry Fragger</v>
      </c>
      <c r="V2733" t="str">
        <f t="shared" si="213"/>
        <v>Medium Accuracy</v>
      </c>
      <c r="W2733" t="str" cm="1">
        <f t="array" ref="W2733">_xlfn.LET(_xlpm.roles,_xlfn.UNIQUE(D2733:D5531), _xlpm.counts,COUNTIF(D2733:D5531,_xlpm.roles), INDEX(_xlpm.roles,MATCH(MAX(_xlpm.counts),_xlpm.counts,0)))</f>
        <v>Support</v>
      </c>
      <c r="X2733" s="2">
        <f t="shared" si="214"/>
        <v>13.057077625570777</v>
      </c>
    </row>
    <row r="2734" spans="1:24" x14ac:dyDescent="0.3">
      <c r="A2734">
        <v>354</v>
      </c>
      <c r="B2734">
        <v>487</v>
      </c>
      <c r="C2734" t="s">
        <v>25</v>
      </c>
      <c r="D2734" t="s">
        <v>22</v>
      </c>
      <c r="E2734" t="s">
        <v>32</v>
      </c>
      <c r="F2734" t="s">
        <v>26</v>
      </c>
      <c r="G2734">
        <v>18</v>
      </c>
      <c r="H2734">
        <v>10</v>
      </c>
      <c r="I2734">
        <v>12</v>
      </c>
      <c r="J2734">
        <v>26.36</v>
      </c>
      <c r="K2734">
        <v>178.07</v>
      </c>
      <c r="L2734">
        <v>0.91</v>
      </c>
      <c r="M2734">
        <v>38.08</v>
      </c>
      <c r="N2734">
        <v>1</v>
      </c>
      <c r="O2734" t="s">
        <v>20</v>
      </c>
      <c r="P2734" t="s">
        <v>21</v>
      </c>
      <c r="Q2734">
        <f t="shared" si="210"/>
        <v>16</v>
      </c>
      <c r="R2734" s="4">
        <f>RANK(N2734,$N$2:N$2800,0)</f>
        <v>1</v>
      </c>
      <c r="S2734">
        <f t="shared" si="211"/>
        <v>1.5</v>
      </c>
      <c r="T2734" t="str">
        <f t="shared" si="212"/>
        <v>Good</v>
      </c>
      <c r="U2734" t="str" cm="1">
        <f t="array" ref="U2734">_xlfn.LET(_xlpm.roles,_xlfn.UNIQUE(D2734:D5532),_xlpm.kills, SUMIF(D2734:D5532,_xlpm.roles,G2734:G5532),INDEX(_xlpm.roles,MATCH(MAX(_xlpm.kills),_xlpm.kills,0)))</f>
        <v>Entry Fragger</v>
      </c>
      <c r="V2734" t="str">
        <f t="shared" si="213"/>
        <v>Low Accuracy</v>
      </c>
      <c r="W2734" t="str" cm="1">
        <f t="array" ref="W2734">_xlfn.LET(_xlpm.roles,_xlfn.UNIQUE(D2734:D5532), _xlpm.counts,COUNTIF(D2734:D5532,_xlpm.roles), INDEX(_xlpm.roles,MATCH(MAX(_xlpm.counts),_xlpm.counts,0)))</f>
        <v>Support</v>
      </c>
      <c r="X2734" s="2">
        <f t="shared" si="214"/>
        <v>12.809421841541756</v>
      </c>
    </row>
    <row r="2735" spans="1:24" x14ac:dyDescent="0.3">
      <c r="A2735">
        <v>584</v>
      </c>
      <c r="B2735">
        <v>487</v>
      </c>
      <c r="C2735" t="s">
        <v>27</v>
      </c>
      <c r="D2735" t="s">
        <v>36</v>
      </c>
      <c r="E2735" t="s">
        <v>29</v>
      </c>
      <c r="F2735" t="s">
        <v>37</v>
      </c>
      <c r="G2735">
        <v>15</v>
      </c>
      <c r="H2735">
        <v>8</v>
      </c>
      <c r="I2735">
        <v>12</v>
      </c>
      <c r="J2735">
        <v>29.24</v>
      </c>
      <c r="K2735">
        <v>241.19</v>
      </c>
      <c r="L2735">
        <v>0.74</v>
      </c>
      <c r="M2735">
        <v>33.22</v>
      </c>
      <c r="N2735">
        <v>0.82</v>
      </c>
      <c r="O2735" t="s">
        <v>20</v>
      </c>
      <c r="P2735" t="s">
        <v>21</v>
      </c>
      <c r="Q2735">
        <f t="shared" si="210"/>
        <v>11</v>
      </c>
      <c r="R2735" s="4">
        <f>RANK(N2735,$N$2:N$2800,0)</f>
        <v>2275</v>
      </c>
      <c r="S2735">
        <f t="shared" si="211"/>
        <v>1.25</v>
      </c>
      <c r="T2735" t="str">
        <f t="shared" si="212"/>
        <v>Low</v>
      </c>
      <c r="U2735" t="str" cm="1">
        <f t="array" ref="U2735">_xlfn.LET(_xlpm.roles,_xlfn.UNIQUE(D2735:D5533),_xlpm.kills, SUMIF(D2735:D5533,_xlpm.roles,G2735:G5533),INDEX(_xlpm.roles,MATCH(MAX(_xlpm.kills),_xlpm.kills,0)))</f>
        <v>Entry Fragger</v>
      </c>
      <c r="V2735" t="str">
        <f t="shared" si="213"/>
        <v>Low Accuracy</v>
      </c>
      <c r="W2735" t="str" cm="1">
        <f t="array" ref="W2735">_xlfn.LET(_xlpm.roles,_xlfn.UNIQUE(D2735:D5533), _xlpm.counts,COUNTIF(D2735:D5533,_xlpm.roles), INDEX(_xlpm.roles,MATCH(MAX(_xlpm.counts),_xlpm.counts,0)))</f>
        <v>Entry Fragger</v>
      </c>
      <c r="X2735" s="2">
        <f t="shared" si="214"/>
        <v>13.057077625570777</v>
      </c>
    </row>
    <row r="2736" spans="1:24" x14ac:dyDescent="0.3">
      <c r="A2736">
        <v>673</v>
      </c>
      <c r="B2736">
        <v>487</v>
      </c>
      <c r="C2736" t="s">
        <v>39</v>
      </c>
      <c r="D2736" t="s">
        <v>31</v>
      </c>
      <c r="E2736" t="s">
        <v>18</v>
      </c>
      <c r="F2736" t="s">
        <v>26</v>
      </c>
      <c r="G2736">
        <v>10</v>
      </c>
      <c r="H2736">
        <v>9</v>
      </c>
      <c r="I2736">
        <v>6</v>
      </c>
      <c r="J2736">
        <v>36.74</v>
      </c>
      <c r="K2736">
        <v>224.13</v>
      </c>
      <c r="L2736">
        <v>0.11</v>
      </c>
      <c r="M2736">
        <v>40.270000000000003</v>
      </c>
      <c r="N2736">
        <v>0.92</v>
      </c>
      <c r="O2736" t="s">
        <v>20</v>
      </c>
      <c r="P2736" t="s">
        <v>21</v>
      </c>
      <c r="Q2736">
        <f t="shared" si="210"/>
        <v>13</v>
      </c>
      <c r="R2736" s="4">
        <f>RANK(N2736,$N$2:N$2800,0)</f>
        <v>1585</v>
      </c>
      <c r="S2736">
        <f t="shared" si="211"/>
        <v>1.6666666666666667</v>
      </c>
      <c r="T2736" t="str">
        <f t="shared" si="212"/>
        <v>Low</v>
      </c>
      <c r="U2736" t="str" cm="1">
        <f t="array" ref="U2736">_xlfn.LET(_xlpm.roles,_xlfn.UNIQUE(D2736:D5534),_xlpm.kills, SUMIF(D2736:D5534,_xlpm.roles,G2736:G5534),INDEX(_xlpm.roles,MATCH(MAX(_xlpm.kills),_xlpm.kills,0)))</f>
        <v>Entry Fragger</v>
      </c>
      <c r="V2736" t="str">
        <f t="shared" si="213"/>
        <v>Medium Accuracy</v>
      </c>
      <c r="W2736" t="str" cm="1">
        <f t="array" ref="W2736">_xlfn.LET(_xlpm.roles,_xlfn.UNIQUE(D2736:D5534), _xlpm.counts,COUNTIF(D2736:D5534,_xlpm.roles), INDEX(_xlpm.roles,MATCH(MAX(_xlpm.counts),_xlpm.counts,0)))</f>
        <v>Support</v>
      </c>
      <c r="X2736" s="2">
        <f t="shared" si="214"/>
        <v>13.103594080338267</v>
      </c>
    </row>
    <row r="2737" spans="1:24" x14ac:dyDescent="0.3">
      <c r="A2737">
        <v>958</v>
      </c>
      <c r="B2737">
        <v>487</v>
      </c>
      <c r="C2737" t="s">
        <v>39</v>
      </c>
      <c r="D2737" t="s">
        <v>22</v>
      </c>
      <c r="E2737" t="s">
        <v>23</v>
      </c>
      <c r="F2737" t="s">
        <v>26</v>
      </c>
      <c r="G2737">
        <v>18</v>
      </c>
      <c r="H2737">
        <v>10</v>
      </c>
      <c r="I2737">
        <v>14</v>
      </c>
      <c r="J2737">
        <v>49.69</v>
      </c>
      <c r="K2737">
        <v>211.11</v>
      </c>
      <c r="L2737">
        <v>0.31</v>
      </c>
      <c r="M2737">
        <v>53.74</v>
      </c>
      <c r="N2737">
        <v>1</v>
      </c>
      <c r="O2737" t="s">
        <v>20</v>
      </c>
      <c r="P2737" t="s">
        <v>21</v>
      </c>
      <c r="Q2737">
        <f t="shared" si="210"/>
        <v>14</v>
      </c>
      <c r="R2737" s="4">
        <f>RANK(N2737,$N$2:N$2800,0)</f>
        <v>1</v>
      </c>
      <c r="S2737">
        <f t="shared" si="211"/>
        <v>1.2857142857142858</v>
      </c>
      <c r="T2737" t="str">
        <f t="shared" si="212"/>
        <v>Low</v>
      </c>
      <c r="U2737" t="str" cm="1">
        <f t="array" ref="U2737">_xlfn.LET(_xlpm.roles,_xlfn.UNIQUE(D2737:D5535),_xlpm.kills, SUMIF(D2737:D5535,_xlpm.roles,G2737:G5535),INDEX(_xlpm.roles,MATCH(MAX(_xlpm.kills),_xlpm.kills,0)))</f>
        <v>Entry Fragger</v>
      </c>
      <c r="V2737" t="str">
        <f t="shared" si="213"/>
        <v>Medium Accuracy</v>
      </c>
      <c r="W2737" t="str" cm="1">
        <f t="array" ref="W2737">_xlfn.LET(_xlpm.roles,_xlfn.UNIQUE(D2737:D5535), _xlpm.counts,COUNTIF(D2737:D5535,_xlpm.roles), INDEX(_xlpm.roles,MATCH(MAX(_xlpm.counts),_xlpm.counts,0)))</f>
        <v>Support</v>
      </c>
      <c r="X2737" s="2">
        <f t="shared" si="214"/>
        <v>13.103594080338267</v>
      </c>
    </row>
    <row r="2738" spans="1:24" x14ac:dyDescent="0.3">
      <c r="A2738">
        <v>2286</v>
      </c>
      <c r="B2738">
        <v>487</v>
      </c>
      <c r="C2738" t="s">
        <v>30</v>
      </c>
      <c r="D2738" t="s">
        <v>36</v>
      </c>
      <c r="E2738" t="s">
        <v>32</v>
      </c>
      <c r="F2738" t="s">
        <v>34</v>
      </c>
      <c r="G2738">
        <v>12</v>
      </c>
      <c r="H2738">
        <v>8</v>
      </c>
      <c r="I2738">
        <v>11</v>
      </c>
      <c r="J2738">
        <v>25.56</v>
      </c>
      <c r="K2738">
        <v>217.56</v>
      </c>
      <c r="L2738">
        <v>0.61</v>
      </c>
      <c r="M2738">
        <v>27.68</v>
      </c>
      <c r="N2738">
        <v>0.8</v>
      </c>
      <c r="O2738" t="s">
        <v>20</v>
      </c>
      <c r="P2738" t="s">
        <v>21</v>
      </c>
      <c r="Q2738">
        <f t="shared" si="210"/>
        <v>9</v>
      </c>
      <c r="R2738" s="4">
        <f>RANK(N2738,$N$2:N$2800,0)</f>
        <v>2393</v>
      </c>
      <c r="S2738">
        <f t="shared" si="211"/>
        <v>1.0909090909090908</v>
      </c>
      <c r="T2738" t="str">
        <f t="shared" si="212"/>
        <v>Low</v>
      </c>
      <c r="U2738" t="str" cm="1">
        <f t="array" ref="U2738">_xlfn.LET(_xlpm.roles,_xlfn.UNIQUE(D2738:D5536),_xlpm.kills, SUMIF(D2738:D5536,_xlpm.roles,G2738:G5536),INDEX(_xlpm.roles,MATCH(MAX(_xlpm.kills),_xlpm.kills,0)))</f>
        <v>Entry Fragger</v>
      </c>
      <c r="V2738" t="str">
        <f t="shared" si="213"/>
        <v>Low Accuracy</v>
      </c>
      <c r="W2738" t="str" cm="1">
        <f t="array" ref="W2738">_xlfn.LET(_xlpm.roles,_xlfn.UNIQUE(D2738:D5536), _xlpm.counts,COUNTIF(D2738:D5536,_xlpm.roles), INDEX(_xlpm.roles,MATCH(MAX(_xlpm.counts),_xlpm.counts,0)))</f>
        <v>Entry Fragger</v>
      </c>
      <c r="X2738" s="2">
        <f t="shared" si="214"/>
        <v>13.135802469135802</v>
      </c>
    </row>
    <row r="2739" spans="1:24" x14ac:dyDescent="0.3">
      <c r="A2739">
        <v>892</v>
      </c>
      <c r="B2739">
        <v>488</v>
      </c>
      <c r="C2739" t="s">
        <v>39</v>
      </c>
      <c r="D2739" t="s">
        <v>22</v>
      </c>
      <c r="E2739" t="s">
        <v>32</v>
      </c>
      <c r="F2739" t="s">
        <v>24</v>
      </c>
      <c r="G2739">
        <v>8</v>
      </c>
      <c r="H2739">
        <v>4</v>
      </c>
      <c r="I2739">
        <v>11</v>
      </c>
      <c r="J2739">
        <v>36.6</v>
      </c>
      <c r="K2739">
        <v>200.14</v>
      </c>
      <c r="L2739">
        <v>0.59</v>
      </c>
      <c r="M2739">
        <v>21.4</v>
      </c>
      <c r="N2739">
        <v>0.75</v>
      </c>
      <c r="O2739" t="s">
        <v>20</v>
      </c>
      <c r="P2739" t="s">
        <v>21</v>
      </c>
      <c r="Q2739">
        <f t="shared" si="210"/>
        <v>1</v>
      </c>
      <c r="R2739" s="4">
        <f>RANK(N2739,$N$2:N$2800,0)</f>
        <v>2586</v>
      </c>
      <c r="S2739">
        <f t="shared" si="211"/>
        <v>0.72727272727272729</v>
      </c>
      <c r="T2739" t="str">
        <f t="shared" si="212"/>
        <v>Low</v>
      </c>
      <c r="U2739" t="str" cm="1">
        <f t="array" ref="U2739">_xlfn.LET(_xlpm.roles,_xlfn.UNIQUE(D2739:D5537),_xlpm.kills, SUMIF(D2739:D5537,_xlpm.roles,G2739:G5537),INDEX(_xlpm.roles,MATCH(MAX(_xlpm.kills),_xlpm.kills,0)))</f>
        <v>Entry Fragger</v>
      </c>
      <c r="V2739" t="str">
        <f t="shared" si="213"/>
        <v>Medium Accuracy</v>
      </c>
      <c r="W2739" t="str" cm="1">
        <f t="array" ref="W2739">_xlfn.LET(_xlpm.roles,_xlfn.UNIQUE(D2739:D5537), _xlpm.counts,COUNTIF(D2739:D5537,_xlpm.roles), INDEX(_xlpm.roles,MATCH(MAX(_xlpm.counts),_xlpm.counts,0)))</f>
        <v>Support</v>
      </c>
      <c r="X2739" s="2">
        <f t="shared" si="214"/>
        <v>13.103594080338267</v>
      </c>
    </row>
    <row r="2740" spans="1:24" x14ac:dyDescent="0.3">
      <c r="A2740">
        <v>1776</v>
      </c>
      <c r="B2740">
        <v>488</v>
      </c>
      <c r="C2740" t="s">
        <v>27</v>
      </c>
      <c r="D2740" t="s">
        <v>28</v>
      </c>
      <c r="E2740" t="s">
        <v>32</v>
      </c>
      <c r="F2740" t="s">
        <v>24</v>
      </c>
      <c r="G2740">
        <v>16</v>
      </c>
      <c r="H2740">
        <v>5</v>
      </c>
      <c r="I2740">
        <v>14</v>
      </c>
      <c r="J2740">
        <v>46.69</v>
      </c>
      <c r="K2740">
        <v>182.94</v>
      </c>
      <c r="L2740">
        <v>0.89</v>
      </c>
      <c r="M2740">
        <v>37.450000000000003</v>
      </c>
      <c r="N2740">
        <v>0.88</v>
      </c>
      <c r="O2740" t="s">
        <v>20</v>
      </c>
      <c r="P2740" t="s">
        <v>21</v>
      </c>
      <c r="Q2740">
        <f t="shared" si="210"/>
        <v>7</v>
      </c>
      <c r="R2740" s="4">
        <f>RANK(N2740,$N$2:N$2800,0)</f>
        <v>1894</v>
      </c>
      <c r="S2740">
        <f t="shared" si="211"/>
        <v>1.1428571428571428</v>
      </c>
      <c r="T2740" t="str">
        <f t="shared" si="212"/>
        <v>Low</v>
      </c>
      <c r="U2740" t="str" cm="1">
        <f t="array" ref="U2740">_xlfn.LET(_xlpm.roles,_xlfn.UNIQUE(D2740:D5538),_xlpm.kills, SUMIF(D2740:D5538,_xlpm.roles,G2740:G5538),INDEX(_xlpm.roles,MATCH(MAX(_xlpm.kills),_xlpm.kills,0)))</f>
        <v>Entry Fragger</v>
      </c>
      <c r="V2740" t="str">
        <f t="shared" si="213"/>
        <v>Medium Accuracy</v>
      </c>
      <c r="W2740" t="str" cm="1">
        <f t="array" ref="W2740">_xlfn.LET(_xlpm.roles,_xlfn.UNIQUE(D2740:D5538), _xlpm.counts,COUNTIF(D2740:D5538,_xlpm.roles), INDEX(_xlpm.roles,MATCH(MAX(_xlpm.counts),_xlpm.counts,0)))</f>
        <v>Entry Fragger</v>
      </c>
      <c r="X2740" s="2">
        <f t="shared" si="214"/>
        <v>13.057077625570777</v>
      </c>
    </row>
    <row r="2741" spans="1:24" x14ac:dyDescent="0.3">
      <c r="A2741">
        <v>2361</v>
      </c>
      <c r="B2741">
        <v>488</v>
      </c>
      <c r="C2741" t="s">
        <v>25</v>
      </c>
      <c r="D2741" t="s">
        <v>28</v>
      </c>
      <c r="E2741" t="s">
        <v>18</v>
      </c>
      <c r="F2741" t="s">
        <v>34</v>
      </c>
      <c r="G2741">
        <v>14</v>
      </c>
      <c r="H2741">
        <v>14</v>
      </c>
      <c r="I2741">
        <v>10</v>
      </c>
      <c r="J2741">
        <v>42.46</v>
      </c>
      <c r="K2741">
        <v>217.31</v>
      </c>
      <c r="L2741">
        <v>0.16</v>
      </c>
      <c r="M2741">
        <v>51.63</v>
      </c>
      <c r="N2741">
        <v>0.85</v>
      </c>
      <c r="O2741" t="s">
        <v>20</v>
      </c>
      <c r="P2741" t="s">
        <v>21</v>
      </c>
      <c r="Q2741">
        <f t="shared" si="210"/>
        <v>18</v>
      </c>
      <c r="R2741" s="4">
        <f>RANK(N2741,$N$2:N$2800,0)</f>
        <v>2105</v>
      </c>
      <c r="S2741">
        <f t="shared" si="211"/>
        <v>1.4</v>
      </c>
      <c r="T2741" t="str">
        <f t="shared" si="212"/>
        <v>Good</v>
      </c>
      <c r="U2741" t="str" cm="1">
        <f t="array" ref="U2741">_xlfn.LET(_xlpm.roles,_xlfn.UNIQUE(D2741:D5539),_xlpm.kills, SUMIF(D2741:D5539,_xlpm.roles,G2741:G5539),INDEX(_xlpm.roles,MATCH(MAX(_xlpm.kills),_xlpm.kills,0)))</f>
        <v>Entry Fragger</v>
      </c>
      <c r="V2741" t="str">
        <f t="shared" si="213"/>
        <v>Medium Accuracy</v>
      </c>
      <c r="W2741" t="str" cm="1">
        <f t="array" ref="W2741">_xlfn.LET(_xlpm.roles,_xlfn.UNIQUE(D2741:D5539), _xlpm.counts,COUNTIF(D2741:D5539,_xlpm.roles), INDEX(_xlpm.roles,MATCH(MAX(_xlpm.counts),_xlpm.counts,0)))</f>
        <v>Entry Fragger</v>
      </c>
      <c r="X2741" s="2">
        <f t="shared" si="214"/>
        <v>12.809421841541756</v>
      </c>
    </row>
    <row r="2742" spans="1:24" x14ac:dyDescent="0.3">
      <c r="A2742">
        <v>2674</v>
      </c>
      <c r="B2742">
        <v>488</v>
      </c>
      <c r="C2742" t="s">
        <v>35</v>
      </c>
      <c r="D2742" t="s">
        <v>17</v>
      </c>
      <c r="E2742" t="s">
        <v>18</v>
      </c>
      <c r="F2742" t="s">
        <v>19</v>
      </c>
      <c r="G2742">
        <v>19</v>
      </c>
      <c r="H2742">
        <v>7</v>
      </c>
      <c r="I2742">
        <v>8</v>
      </c>
      <c r="J2742">
        <v>37.78</v>
      </c>
      <c r="K2742">
        <v>196.28</v>
      </c>
      <c r="L2742">
        <v>0.02</v>
      </c>
      <c r="M2742">
        <v>55.69</v>
      </c>
      <c r="N2742">
        <v>1</v>
      </c>
      <c r="O2742" t="s">
        <v>20</v>
      </c>
      <c r="P2742" t="s">
        <v>21</v>
      </c>
      <c r="Q2742">
        <f t="shared" si="210"/>
        <v>18</v>
      </c>
      <c r="R2742" s="4">
        <f>RANK(N2742,$N$2:N$2800,0)</f>
        <v>1</v>
      </c>
      <c r="S2742">
        <f t="shared" si="211"/>
        <v>2.375</v>
      </c>
      <c r="T2742" t="str">
        <f t="shared" si="212"/>
        <v>Good</v>
      </c>
      <c r="U2742" t="str" cm="1">
        <f t="array" ref="U2742">_xlfn.LET(_xlpm.roles,_xlfn.UNIQUE(D2742:D5540),_xlpm.kills, SUMIF(D2742:D5540,_xlpm.roles,G2742:G5540),INDEX(_xlpm.roles,MATCH(MAX(_xlpm.kills),_xlpm.kills,0)))</f>
        <v>Entry Fragger</v>
      </c>
      <c r="V2742" t="str">
        <f t="shared" si="213"/>
        <v>Medium Accuracy</v>
      </c>
      <c r="W2742" t="str" cm="1">
        <f t="array" ref="W2742">_xlfn.LET(_xlpm.roles,_xlfn.UNIQUE(D2742:D5540), _xlpm.counts,COUNTIF(D2742:D5540,_xlpm.roles), INDEX(_xlpm.roles,MATCH(MAX(_xlpm.counts),_xlpm.counts,0)))</f>
        <v>Entry Fragger</v>
      </c>
      <c r="X2742" s="2">
        <f t="shared" si="214"/>
        <v>12.599585062240664</v>
      </c>
    </row>
    <row r="2743" spans="1:24" x14ac:dyDescent="0.3">
      <c r="A2743">
        <v>243</v>
      </c>
      <c r="B2743">
        <v>489</v>
      </c>
      <c r="C2743" t="s">
        <v>27</v>
      </c>
      <c r="D2743" t="s">
        <v>17</v>
      </c>
      <c r="E2743" t="s">
        <v>29</v>
      </c>
      <c r="F2743" t="s">
        <v>26</v>
      </c>
      <c r="G2743">
        <v>6</v>
      </c>
      <c r="H2743">
        <v>9</v>
      </c>
      <c r="I2743">
        <v>8</v>
      </c>
      <c r="J2743">
        <v>49.48</v>
      </c>
      <c r="K2743">
        <v>225.63</v>
      </c>
      <c r="L2743">
        <v>0.3</v>
      </c>
      <c r="M2743">
        <v>34.74</v>
      </c>
      <c r="N2743">
        <v>0.92</v>
      </c>
      <c r="O2743" t="s">
        <v>20</v>
      </c>
      <c r="P2743" t="s">
        <v>21</v>
      </c>
      <c r="Q2743">
        <f t="shared" si="210"/>
        <v>7</v>
      </c>
      <c r="R2743" s="4">
        <f>RANK(N2743,$N$2:N$2800,0)</f>
        <v>1585</v>
      </c>
      <c r="S2743">
        <f t="shared" si="211"/>
        <v>0.75</v>
      </c>
      <c r="T2743" t="str">
        <f t="shared" si="212"/>
        <v>Low</v>
      </c>
      <c r="U2743" t="str" cm="1">
        <f t="array" ref="U2743">_xlfn.LET(_xlpm.roles,_xlfn.UNIQUE(D2743:D5541),_xlpm.kills, SUMIF(D2743:D5541,_xlpm.roles,G2743:G5541),INDEX(_xlpm.roles,MATCH(MAX(_xlpm.kills),_xlpm.kills,0)))</f>
        <v>Entry Fragger</v>
      </c>
      <c r="V2743" t="str">
        <f t="shared" si="213"/>
        <v>Medium Accuracy</v>
      </c>
      <c r="W2743" t="str" cm="1">
        <f t="array" ref="W2743">_xlfn.LET(_xlpm.roles,_xlfn.UNIQUE(D2743:D5541), _xlpm.counts,COUNTIF(D2743:D5541,_xlpm.roles), INDEX(_xlpm.roles,MATCH(MAX(_xlpm.counts),_xlpm.counts,0)))</f>
        <v>Entry Fragger</v>
      </c>
      <c r="X2743" s="2">
        <f t="shared" si="214"/>
        <v>13.057077625570777</v>
      </c>
    </row>
    <row r="2744" spans="1:24" x14ac:dyDescent="0.3">
      <c r="A2744">
        <v>672</v>
      </c>
      <c r="B2744">
        <v>489</v>
      </c>
      <c r="C2744" t="s">
        <v>30</v>
      </c>
      <c r="D2744" t="s">
        <v>28</v>
      </c>
      <c r="E2744" t="s">
        <v>32</v>
      </c>
      <c r="F2744" t="s">
        <v>26</v>
      </c>
      <c r="G2744">
        <v>18</v>
      </c>
      <c r="H2744">
        <v>11</v>
      </c>
      <c r="I2744">
        <v>10</v>
      </c>
      <c r="J2744">
        <v>38.75</v>
      </c>
      <c r="K2744">
        <v>242.96</v>
      </c>
      <c r="L2744">
        <v>0.15</v>
      </c>
      <c r="M2744">
        <v>54.88</v>
      </c>
      <c r="N2744">
        <v>1</v>
      </c>
      <c r="O2744" t="s">
        <v>20</v>
      </c>
      <c r="P2744" t="s">
        <v>21</v>
      </c>
      <c r="Q2744">
        <f t="shared" si="210"/>
        <v>19</v>
      </c>
      <c r="R2744" s="4">
        <f>RANK(N2744,$N$2:N$2800,0)</f>
        <v>1</v>
      </c>
      <c r="S2744">
        <f t="shared" si="211"/>
        <v>1.8</v>
      </c>
      <c r="T2744" t="str">
        <f t="shared" si="212"/>
        <v>Good</v>
      </c>
      <c r="U2744" t="str" cm="1">
        <f t="array" ref="U2744">_xlfn.LET(_xlpm.roles,_xlfn.UNIQUE(D2744:D5542),_xlpm.kills, SUMIF(D2744:D5542,_xlpm.roles,G2744:G5542),INDEX(_xlpm.roles,MATCH(MAX(_xlpm.kills),_xlpm.kills,0)))</f>
        <v>Entry Fragger</v>
      </c>
      <c r="V2744" t="str">
        <f t="shared" si="213"/>
        <v>Medium Accuracy</v>
      </c>
      <c r="W2744" t="str" cm="1">
        <f t="array" ref="W2744">_xlfn.LET(_xlpm.roles,_xlfn.UNIQUE(D2744:D5542), _xlpm.counts,COUNTIF(D2744:D5542,_xlpm.roles), INDEX(_xlpm.roles,MATCH(MAX(_xlpm.counts),_xlpm.counts,0)))</f>
        <v>Entry Fragger</v>
      </c>
      <c r="X2744" s="2">
        <f t="shared" si="214"/>
        <v>13.135802469135802</v>
      </c>
    </row>
    <row r="2745" spans="1:24" x14ac:dyDescent="0.3">
      <c r="A2745">
        <v>2009</v>
      </c>
      <c r="B2745">
        <v>489</v>
      </c>
      <c r="C2745" t="s">
        <v>27</v>
      </c>
      <c r="D2745" t="s">
        <v>31</v>
      </c>
      <c r="E2745" t="s">
        <v>29</v>
      </c>
      <c r="F2745" t="s">
        <v>34</v>
      </c>
      <c r="G2745">
        <v>19</v>
      </c>
      <c r="H2745">
        <v>4</v>
      </c>
      <c r="I2745">
        <v>10</v>
      </c>
      <c r="J2745">
        <v>53.53</v>
      </c>
      <c r="K2745">
        <v>210.31</v>
      </c>
      <c r="L2745">
        <v>0.93</v>
      </c>
      <c r="M2745">
        <v>49.47</v>
      </c>
      <c r="N2745">
        <v>1</v>
      </c>
      <c r="O2745" t="s">
        <v>20</v>
      </c>
      <c r="P2745" t="s">
        <v>21</v>
      </c>
      <c r="Q2745">
        <f t="shared" si="210"/>
        <v>13</v>
      </c>
      <c r="R2745" s="4">
        <f>RANK(N2745,$N$2:N$2800,0)</f>
        <v>1</v>
      </c>
      <c r="S2745">
        <f t="shared" si="211"/>
        <v>1.9</v>
      </c>
      <c r="T2745" t="str">
        <f t="shared" si="212"/>
        <v>Low</v>
      </c>
      <c r="U2745" t="str" cm="1">
        <f t="array" ref="U2745">_xlfn.LET(_xlpm.roles,_xlfn.UNIQUE(D2745:D5543),_xlpm.kills, SUMIF(D2745:D5543,_xlpm.roles,G2745:G5543),INDEX(_xlpm.roles,MATCH(MAX(_xlpm.kills),_xlpm.kills,0)))</f>
        <v>Entry Fragger</v>
      </c>
      <c r="V2745" t="str">
        <f t="shared" si="213"/>
        <v>High Accuracy</v>
      </c>
      <c r="W2745" t="str" cm="1">
        <f t="array" ref="W2745">_xlfn.LET(_xlpm.roles,_xlfn.UNIQUE(D2745:D5543), _xlpm.counts,COUNTIF(D2745:D5543,_xlpm.roles), INDEX(_xlpm.roles,MATCH(MAX(_xlpm.counts),_xlpm.counts,0)))</f>
        <v>Entry Fragger</v>
      </c>
      <c r="X2745" s="2">
        <f t="shared" si="214"/>
        <v>13.057077625570777</v>
      </c>
    </row>
    <row r="2746" spans="1:24" x14ac:dyDescent="0.3">
      <c r="A2746">
        <v>2178</v>
      </c>
      <c r="B2746">
        <v>489</v>
      </c>
      <c r="C2746" t="s">
        <v>27</v>
      </c>
      <c r="D2746" t="s">
        <v>22</v>
      </c>
      <c r="E2746" t="s">
        <v>33</v>
      </c>
      <c r="F2746" t="s">
        <v>34</v>
      </c>
      <c r="G2746">
        <v>11</v>
      </c>
      <c r="H2746">
        <v>10</v>
      </c>
      <c r="I2746">
        <v>11</v>
      </c>
      <c r="J2746">
        <v>51.16</v>
      </c>
      <c r="K2746">
        <v>223.78</v>
      </c>
      <c r="L2746">
        <v>0.28000000000000003</v>
      </c>
      <c r="M2746">
        <v>43.78</v>
      </c>
      <c r="N2746">
        <v>0.88</v>
      </c>
      <c r="O2746" t="s">
        <v>20</v>
      </c>
      <c r="P2746" t="s">
        <v>21</v>
      </c>
      <c r="Q2746">
        <f t="shared" si="210"/>
        <v>10</v>
      </c>
      <c r="R2746" s="4">
        <f>RANK(N2746,$N$2:N$2800,0)</f>
        <v>1894</v>
      </c>
      <c r="S2746">
        <f t="shared" si="211"/>
        <v>1</v>
      </c>
      <c r="T2746" t="str">
        <f t="shared" si="212"/>
        <v>Low</v>
      </c>
      <c r="U2746" t="str" cm="1">
        <f t="array" ref="U2746">_xlfn.LET(_xlpm.roles,_xlfn.UNIQUE(D2746:D5544),_xlpm.kills, SUMIF(D2746:D5544,_xlpm.roles,G2746:G5544),INDEX(_xlpm.roles,MATCH(MAX(_xlpm.kills),_xlpm.kills,0)))</f>
        <v>Entry Fragger</v>
      </c>
      <c r="V2746" t="str">
        <f t="shared" si="213"/>
        <v>High Accuracy</v>
      </c>
      <c r="W2746" t="str" cm="1">
        <f t="array" ref="W2746">_xlfn.LET(_xlpm.roles,_xlfn.UNIQUE(D2746:D5544), _xlpm.counts,COUNTIF(D2746:D5544,_xlpm.roles), INDEX(_xlpm.roles,MATCH(MAX(_xlpm.counts),_xlpm.counts,0)))</f>
        <v>Entry Fragger</v>
      </c>
      <c r="X2746" s="2">
        <f t="shared" si="214"/>
        <v>13.057077625570777</v>
      </c>
    </row>
    <row r="2747" spans="1:24" x14ac:dyDescent="0.3">
      <c r="A2747">
        <v>35</v>
      </c>
      <c r="B2747">
        <v>490</v>
      </c>
      <c r="C2747" t="s">
        <v>27</v>
      </c>
      <c r="D2747" t="s">
        <v>22</v>
      </c>
      <c r="E2747" t="s">
        <v>23</v>
      </c>
      <c r="F2747" t="s">
        <v>37</v>
      </c>
      <c r="G2747">
        <v>11</v>
      </c>
      <c r="H2747">
        <v>10</v>
      </c>
      <c r="I2747">
        <v>6</v>
      </c>
      <c r="J2747">
        <v>56.17</v>
      </c>
      <c r="K2747">
        <v>180.71</v>
      </c>
      <c r="L2747">
        <v>0.56999999999999995</v>
      </c>
      <c r="M2747">
        <v>48.39</v>
      </c>
      <c r="N2747">
        <v>0.84</v>
      </c>
      <c r="O2747" t="s">
        <v>20</v>
      </c>
      <c r="P2747" t="s">
        <v>21</v>
      </c>
      <c r="Q2747">
        <f t="shared" si="210"/>
        <v>15</v>
      </c>
      <c r="R2747" s="4">
        <f>RANK(N2747,$N$2:N$2800,0)</f>
        <v>2156</v>
      </c>
      <c r="S2747">
        <f t="shared" si="211"/>
        <v>1.8333333333333333</v>
      </c>
      <c r="T2747" t="str">
        <f t="shared" si="212"/>
        <v>Good</v>
      </c>
      <c r="U2747" t="str" cm="1">
        <f t="array" ref="U2747">_xlfn.LET(_xlpm.roles,_xlfn.UNIQUE(D2747:D5545),_xlpm.kills, SUMIF(D2747:D5545,_xlpm.roles,G2747:G5545),INDEX(_xlpm.roles,MATCH(MAX(_xlpm.kills),_xlpm.kills,0)))</f>
        <v>Entry Fragger</v>
      </c>
      <c r="V2747" t="str">
        <f t="shared" si="213"/>
        <v>High Accuracy</v>
      </c>
      <c r="W2747" t="str" cm="1">
        <f t="array" ref="W2747">_xlfn.LET(_xlpm.roles,_xlfn.UNIQUE(D2747:D5545), _xlpm.counts,COUNTIF(D2747:D5545,_xlpm.roles), INDEX(_xlpm.roles,MATCH(MAX(_xlpm.counts),_xlpm.counts,0)))</f>
        <v>Entry Fragger</v>
      </c>
      <c r="X2747" s="2">
        <f t="shared" si="214"/>
        <v>13.057077625570777</v>
      </c>
    </row>
    <row r="2748" spans="1:24" x14ac:dyDescent="0.3">
      <c r="A2748">
        <v>284</v>
      </c>
      <c r="B2748">
        <v>490</v>
      </c>
      <c r="C2748" t="s">
        <v>16</v>
      </c>
      <c r="D2748" t="s">
        <v>22</v>
      </c>
      <c r="E2748" t="s">
        <v>18</v>
      </c>
      <c r="F2748" t="s">
        <v>37</v>
      </c>
      <c r="G2748">
        <v>12</v>
      </c>
      <c r="H2748">
        <v>12</v>
      </c>
      <c r="I2748">
        <v>10</v>
      </c>
      <c r="J2748">
        <v>45.2</v>
      </c>
      <c r="K2748">
        <v>228.3</v>
      </c>
      <c r="L2748">
        <v>0.61</v>
      </c>
      <c r="M2748">
        <v>42.5</v>
      </c>
      <c r="N2748">
        <v>0.93</v>
      </c>
      <c r="O2748" t="s">
        <v>20</v>
      </c>
      <c r="P2748" t="s">
        <v>21</v>
      </c>
      <c r="Q2748">
        <f t="shared" si="210"/>
        <v>14</v>
      </c>
      <c r="R2748" s="4">
        <f>RANK(N2748,$N$2:N$2800,0)</f>
        <v>1505</v>
      </c>
      <c r="S2748">
        <f t="shared" si="211"/>
        <v>1.2</v>
      </c>
      <c r="T2748" t="str">
        <f t="shared" si="212"/>
        <v>Low</v>
      </c>
      <c r="U2748" t="str" cm="1">
        <f t="array" ref="U2748">_xlfn.LET(_xlpm.roles,_xlfn.UNIQUE(D2748:D5546),_xlpm.kills, SUMIF(D2748:D5546,_xlpm.roles,G2748:G5546),INDEX(_xlpm.roles,MATCH(MAX(_xlpm.kills),_xlpm.kills,0)))</f>
        <v>Entry Fragger</v>
      </c>
      <c r="V2748" t="str">
        <f t="shared" si="213"/>
        <v>Medium Accuracy</v>
      </c>
      <c r="W2748" t="str" cm="1">
        <f t="array" ref="W2748">_xlfn.LET(_xlpm.roles,_xlfn.UNIQUE(D2748:D5546), _xlpm.counts,COUNTIF(D2748:D5546,_xlpm.roles), INDEX(_xlpm.roles,MATCH(MAX(_xlpm.counts),_xlpm.counts,0)))</f>
        <v>Entry Fragger</v>
      </c>
      <c r="X2748" s="2">
        <f t="shared" si="214"/>
        <v>12.520971302428256</v>
      </c>
    </row>
    <row r="2749" spans="1:24" x14ac:dyDescent="0.3">
      <c r="A2749">
        <v>453</v>
      </c>
      <c r="B2749">
        <v>490</v>
      </c>
      <c r="C2749" t="s">
        <v>30</v>
      </c>
      <c r="D2749" t="s">
        <v>22</v>
      </c>
      <c r="E2749" t="s">
        <v>32</v>
      </c>
      <c r="F2749" t="s">
        <v>26</v>
      </c>
      <c r="G2749">
        <v>11</v>
      </c>
      <c r="H2749">
        <v>5</v>
      </c>
      <c r="I2749">
        <v>16</v>
      </c>
      <c r="J2749">
        <v>42.85</v>
      </c>
      <c r="K2749">
        <v>225.24</v>
      </c>
      <c r="L2749">
        <v>0.51</v>
      </c>
      <c r="M2749">
        <v>27.32</v>
      </c>
      <c r="N2749">
        <v>0.71</v>
      </c>
      <c r="O2749" t="s">
        <v>20</v>
      </c>
      <c r="P2749" t="s">
        <v>21</v>
      </c>
      <c r="Q2749">
        <f t="shared" si="210"/>
        <v>0</v>
      </c>
      <c r="R2749" s="4">
        <f>RANK(N2749,$N$2:N$2800,0)</f>
        <v>2688</v>
      </c>
      <c r="S2749">
        <f t="shared" si="211"/>
        <v>0.6875</v>
      </c>
      <c r="T2749" t="str">
        <f t="shared" si="212"/>
        <v>Low</v>
      </c>
      <c r="U2749" t="str" cm="1">
        <f t="array" ref="U2749">_xlfn.LET(_xlpm.roles,_xlfn.UNIQUE(D2749:D5547),_xlpm.kills, SUMIF(D2749:D5547,_xlpm.roles,G2749:G5547),INDEX(_xlpm.roles,MATCH(MAX(_xlpm.kills),_xlpm.kills,0)))</f>
        <v>Entry Fragger</v>
      </c>
      <c r="V2749" t="str">
        <f t="shared" si="213"/>
        <v>Medium Accuracy</v>
      </c>
      <c r="W2749" t="str" cm="1">
        <f t="array" ref="W2749">_xlfn.LET(_xlpm.roles,_xlfn.UNIQUE(D2749:D5547), _xlpm.counts,COUNTIF(D2749:D5547,_xlpm.roles), INDEX(_xlpm.roles,MATCH(MAX(_xlpm.counts),_xlpm.counts,0)))</f>
        <v>Entry Fragger</v>
      </c>
      <c r="X2749" s="2">
        <f t="shared" si="214"/>
        <v>13.135802469135802</v>
      </c>
    </row>
    <row r="2750" spans="1:24" x14ac:dyDescent="0.3">
      <c r="A2750">
        <v>965</v>
      </c>
      <c r="B2750">
        <v>490</v>
      </c>
      <c r="C2750" t="s">
        <v>35</v>
      </c>
      <c r="D2750" t="s">
        <v>31</v>
      </c>
      <c r="E2750" t="s">
        <v>23</v>
      </c>
      <c r="F2750" t="s">
        <v>19</v>
      </c>
      <c r="G2750">
        <v>14</v>
      </c>
      <c r="H2750">
        <v>8</v>
      </c>
      <c r="I2750">
        <v>9</v>
      </c>
      <c r="J2750">
        <v>50.5</v>
      </c>
      <c r="K2750">
        <v>251.46</v>
      </c>
      <c r="L2750">
        <v>0.67</v>
      </c>
      <c r="M2750">
        <v>45.55</v>
      </c>
      <c r="N2750">
        <v>0.91</v>
      </c>
      <c r="O2750" t="s">
        <v>20</v>
      </c>
      <c r="P2750" t="s">
        <v>21</v>
      </c>
      <c r="Q2750">
        <f t="shared" si="210"/>
        <v>13</v>
      </c>
      <c r="R2750" s="4">
        <f>RANK(N2750,$N$2:N$2800,0)</f>
        <v>1665</v>
      </c>
      <c r="S2750">
        <f t="shared" si="211"/>
        <v>1.5555555555555556</v>
      </c>
      <c r="T2750" t="str">
        <f t="shared" si="212"/>
        <v>Low</v>
      </c>
      <c r="U2750" t="str" cm="1">
        <f t="array" ref="U2750">_xlfn.LET(_xlpm.roles,_xlfn.UNIQUE(D2750:D5548),_xlpm.kills, SUMIF(D2750:D5548,_xlpm.roles,G2750:G5548),INDEX(_xlpm.roles,MATCH(MAX(_xlpm.kills),_xlpm.kills,0)))</f>
        <v>Entry Fragger</v>
      </c>
      <c r="V2750" t="str">
        <f t="shared" si="213"/>
        <v>High Accuracy</v>
      </c>
      <c r="W2750" t="str" cm="1">
        <f t="array" ref="W2750">_xlfn.LET(_xlpm.roles,_xlfn.UNIQUE(D2750:D5548), _xlpm.counts,COUNTIF(D2750:D5548,_xlpm.roles), INDEX(_xlpm.roles,MATCH(MAX(_xlpm.counts),_xlpm.counts,0)))</f>
        <v>Entry Fragger</v>
      </c>
      <c r="X2750" s="2">
        <f t="shared" si="214"/>
        <v>12.599585062240664</v>
      </c>
    </row>
    <row r="2751" spans="1:24" x14ac:dyDescent="0.3">
      <c r="A2751">
        <v>1441</v>
      </c>
      <c r="B2751">
        <v>490</v>
      </c>
      <c r="C2751" t="s">
        <v>16</v>
      </c>
      <c r="D2751" t="s">
        <v>22</v>
      </c>
      <c r="E2751" t="s">
        <v>18</v>
      </c>
      <c r="F2751" t="s">
        <v>24</v>
      </c>
      <c r="G2751">
        <v>13</v>
      </c>
      <c r="H2751">
        <v>11</v>
      </c>
      <c r="I2751">
        <v>7</v>
      </c>
      <c r="J2751">
        <v>52.58</v>
      </c>
      <c r="K2751">
        <v>204.21</v>
      </c>
      <c r="L2751">
        <v>0.65</v>
      </c>
      <c r="M2751">
        <v>49.79</v>
      </c>
      <c r="N2751">
        <v>1</v>
      </c>
      <c r="O2751" t="s">
        <v>20</v>
      </c>
      <c r="P2751" t="s">
        <v>21</v>
      </c>
      <c r="Q2751">
        <f t="shared" si="210"/>
        <v>17</v>
      </c>
      <c r="R2751" s="4">
        <f>RANK(N2751,$N$2:N$2800,0)</f>
        <v>1</v>
      </c>
      <c r="S2751">
        <f t="shared" si="211"/>
        <v>1.8571428571428572</v>
      </c>
      <c r="T2751" t="str">
        <f t="shared" si="212"/>
        <v>Good</v>
      </c>
      <c r="U2751" t="str" cm="1">
        <f t="array" ref="U2751">_xlfn.LET(_xlpm.roles,_xlfn.UNIQUE(D2751:D5549),_xlpm.kills, SUMIF(D2751:D5549,_xlpm.roles,G2751:G5549),INDEX(_xlpm.roles,MATCH(MAX(_xlpm.kills),_xlpm.kills,0)))</f>
        <v>Entry Fragger</v>
      </c>
      <c r="V2751" t="str">
        <f t="shared" si="213"/>
        <v>High Accuracy</v>
      </c>
      <c r="W2751" t="str" cm="1">
        <f t="array" ref="W2751">_xlfn.LET(_xlpm.roles,_xlfn.UNIQUE(D2751:D5549), _xlpm.counts,COUNTIF(D2751:D5549,_xlpm.roles), INDEX(_xlpm.roles,MATCH(MAX(_xlpm.counts),_xlpm.counts,0)))</f>
        <v>Entry Fragger</v>
      </c>
      <c r="X2751" s="2">
        <f t="shared" si="214"/>
        <v>12.520971302428256</v>
      </c>
    </row>
    <row r="2752" spans="1:24" x14ac:dyDescent="0.3">
      <c r="A2752">
        <v>1462</v>
      </c>
      <c r="B2752">
        <v>490</v>
      </c>
      <c r="C2752" t="s">
        <v>25</v>
      </c>
      <c r="D2752" t="s">
        <v>22</v>
      </c>
      <c r="E2752" t="s">
        <v>23</v>
      </c>
      <c r="F2752" t="s">
        <v>34</v>
      </c>
      <c r="G2752">
        <v>14</v>
      </c>
      <c r="H2752">
        <v>8</v>
      </c>
      <c r="I2752">
        <v>8</v>
      </c>
      <c r="J2752">
        <v>43.74</v>
      </c>
      <c r="K2752">
        <v>212.44</v>
      </c>
      <c r="L2752">
        <v>0.91</v>
      </c>
      <c r="M2752">
        <v>40.770000000000003</v>
      </c>
      <c r="N2752">
        <v>0.75</v>
      </c>
      <c r="O2752" t="s">
        <v>20</v>
      </c>
      <c r="P2752" t="s">
        <v>21</v>
      </c>
      <c r="Q2752">
        <f t="shared" si="210"/>
        <v>14</v>
      </c>
      <c r="R2752" s="4">
        <f>RANK(N2752,$N$2:N$2800,0)</f>
        <v>2586</v>
      </c>
      <c r="S2752">
        <f t="shared" si="211"/>
        <v>1.75</v>
      </c>
      <c r="T2752" t="str">
        <f t="shared" si="212"/>
        <v>Low</v>
      </c>
      <c r="U2752" t="str" cm="1">
        <f t="array" ref="U2752">_xlfn.LET(_xlpm.roles,_xlfn.UNIQUE(D2752:D5550),_xlpm.kills, SUMIF(D2752:D5550,_xlpm.roles,G2752:G5550),INDEX(_xlpm.roles,MATCH(MAX(_xlpm.kills),_xlpm.kills,0)))</f>
        <v>Entry Fragger</v>
      </c>
      <c r="V2752" t="str">
        <f t="shared" si="213"/>
        <v>Medium Accuracy</v>
      </c>
      <c r="W2752" t="str" cm="1">
        <f t="array" ref="W2752">_xlfn.LET(_xlpm.roles,_xlfn.UNIQUE(D2752:D5550), _xlpm.counts,COUNTIF(D2752:D5550,_xlpm.roles), INDEX(_xlpm.roles,MATCH(MAX(_xlpm.counts),_xlpm.counts,0)))</f>
        <v>Entry Fragger</v>
      </c>
      <c r="X2752" s="2">
        <f t="shared" si="214"/>
        <v>12.809421841541756</v>
      </c>
    </row>
    <row r="2753" spans="1:24" x14ac:dyDescent="0.3">
      <c r="A2753">
        <v>1731</v>
      </c>
      <c r="B2753">
        <v>490</v>
      </c>
      <c r="C2753" t="s">
        <v>27</v>
      </c>
      <c r="D2753" t="s">
        <v>31</v>
      </c>
      <c r="E2753" t="s">
        <v>32</v>
      </c>
      <c r="F2753" t="s">
        <v>24</v>
      </c>
      <c r="G2753">
        <v>20</v>
      </c>
      <c r="H2753">
        <v>6</v>
      </c>
      <c r="I2753">
        <v>20</v>
      </c>
      <c r="J2753">
        <v>45.57</v>
      </c>
      <c r="K2753">
        <v>239.73</v>
      </c>
      <c r="L2753">
        <v>0.7</v>
      </c>
      <c r="M2753">
        <v>41.78</v>
      </c>
      <c r="N2753">
        <v>0.97</v>
      </c>
      <c r="O2753" t="s">
        <v>20</v>
      </c>
      <c r="P2753" t="s">
        <v>21</v>
      </c>
      <c r="Q2753">
        <f t="shared" si="210"/>
        <v>6</v>
      </c>
      <c r="R2753" s="4">
        <f>RANK(N2753,$N$2:N$2800,0)</f>
        <v>1243</v>
      </c>
      <c r="S2753">
        <f t="shared" si="211"/>
        <v>1</v>
      </c>
      <c r="T2753" t="str">
        <f t="shared" si="212"/>
        <v>Low</v>
      </c>
      <c r="U2753" t="str" cm="1">
        <f t="array" ref="U2753">_xlfn.LET(_xlpm.roles,_xlfn.UNIQUE(D2753:D5551),_xlpm.kills, SUMIF(D2753:D5551,_xlpm.roles,G2753:G5551),INDEX(_xlpm.roles,MATCH(MAX(_xlpm.kills),_xlpm.kills,0)))</f>
        <v>Entry Fragger</v>
      </c>
      <c r="V2753" t="str">
        <f t="shared" si="213"/>
        <v>Medium Accuracy</v>
      </c>
      <c r="W2753" t="str" cm="1">
        <f t="array" ref="W2753">_xlfn.LET(_xlpm.roles,_xlfn.UNIQUE(D2753:D5551), _xlpm.counts,COUNTIF(D2753:D5551,_xlpm.roles), INDEX(_xlpm.roles,MATCH(MAX(_xlpm.counts),_xlpm.counts,0)))</f>
        <v>Entry Fragger</v>
      </c>
      <c r="X2753" s="2">
        <f t="shared" si="214"/>
        <v>13.057077625570777</v>
      </c>
    </row>
    <row r="2754" spans="1:24" x14ac:dyDescent="0.3">
      <c r="A2754">
        <v>1908</v>
      </c>
      <c r="B2754">
        <v>490</v>
      </c>
      <c r="C2754" t="s">
        <v>25</v>
      </c>
      <c r="D2754" t="s">
        <v>36</v>
      </c>
      <c r="E2754" t="s">
        <v>18</v>
      </c>
      <c r="F2754" t="s">
        <v>37</v>
      </c>
      <c r="G2754">
        <v>24</v>
      </c>
      <c r="H2754">
        <v>9</v>
      </c>
      <c r="I2754">
        <v>6</v>
      </c>
      <c r="J2754">
        <v>43.32</v>
      </c>
      <c r="K2754">
        <v>144.87</v>
      </c>
      <c r="L2754">
        <v>0.21</v>
      </c>
      <c r="M2754">
        <v>70.56</v>
      </c>
      <c r="N2754">
        <v>1</v>
      </c>
      <c r="O2754" t="s">
        <v>20</v>
      </c>
      <c r="P2754" t="s">
        <v>38</v>
      </c>
      <c r="Q2754">
        <f t="shared" si="210"/>
        <v>27</v>
      </c>
      <c r="R2754" s="4">
        <f>RANK(N2754,$N$2:N$2800,0)</f>
        <v>1</v>
      </c>
      <c r="S2754">
        <f t="shared" si="211"/>
        <v>4</v>
      </c>
      <c r="T2754" t="str">
        <f t="shared" si="212"/>
        <v>Excellent</v>
      </c>
      <c r="U2754" t="str" cm="1">
        <f t="array" ref="U2754">_xlfn.LET(_xlpm.roles,_xlfn.UNIQUE(D2754:D5552),_xlpm.kills, SUMIF(D2754:D5552,_xlpm.roles,G2754:G5552),INDEX(_xlpm.roles,MATCH(MAX(_xlpm.kills),_xlpm.kills,0)))</f>
        <v>Entry Fragger</v>
      </c>
      <c r="V2754" t="str">
        <f t="shared" si="213"/>
        <v>Medium Accuracy</v>
      </c>
      <c r="W2754" t="str" cm="1">
        <f t="array" ref="W2754">_xlfn.LET(_xlpm.roles,_xlfn.UNIQUE(D2754:D5552), _xlpm.counts,COUNTIF(D2754:D5552,_xlpm.roles), INDEX(_xlpm.roles,MATCH(MAX(_xlpm.counts),_xlpm.counts,0)))</f>
        <v>Entry Fragger</v>
      </c>
      <c r="X2754" s="2">
        <f t="shared" si="214"/>
        <v>12.809421841541756</v>
      </c>
    </row>
    <row r="2755" spans="1:24" x14ac:dyDescent="0.3">
      <c r="A2755">
        <v>2094</v>
      </c>
      <c r="B2755">
        <v>490</v>
      </c>
      <c r="C2755" t="s">
        <v>35</v>
      </c>
      <c r="D2755" t="s">
        <v>28</v>
      </c>
      <c r="E2755" t="s">
        <v>33</v>
      </c>
      <c r="F2755" t="s">
        <v>26</v>
      </c>
      <c r="G2755">
        <v>10</v>
      </c>
      <c r="H2755">
        <v>5</v>
      </c>
      <c r="I2755">
        <v>6</v>
      </c>
      <c r="J2755">
        <v>51.39</v>
      </c>
      <c r="K2755">
        <v>254.13</v>
      </c>
      <c r="L2755">
        <v>0.19</v>
      </c>
      <c r="M2755">
        <v>42.8</v>
      </c>
      <c r="N2755">
        <v>0.92</v>
      </c>
      <c r="O2755" t="s">
        <v>20</v>
      </c>
      <c r="P2755" t="s">
        <v>21</v>
      </c>
      <c r="Q2755">
        <f t="shared" ref="Q2755:Q2800" si="215">G2755+H2755-I2755</f>
        <v>9</v>
      </c>
      <c r="R2755" s="4">
        <f>RANK(N2755,$N$2:N$2800,0)</f>
        <v>1585</v>
      </c>
      <c r="S2755">
        <f t="shared" ref="S2755:S2800" si="216">G2755/I2755</f>
        <v>1.6666666666666667</v>
      </c>
      <c r="T2755" t="str">
        <f t="shared" ref="T2755:T2800" si="217">IF(Q2755&lt;15,"Low",IF(Q2755&lt;25,"Good","Excellent"))</f>
        <v>Low</v>
      </c>
      <c r="U2755" t="str" cm="1">
        <f t="array" ref="U2755">_xlfn.LET(_xlpm.roles,_xlfn.UNIQUE(D2755:D5553),_xlpm.kills, SUMIF(D2755:D5553,_xlpm.roles,G2755:G5553),INDEX(_xlpm.roles,MATCH(MAX(_xlpm.kills),_xlpm.kills,0)))</f>
        <v>Entry Fragger</v>
      </c>
      <c r="V2755" t="str">
        <f t="shared" ref="V2755:V2800" si="218">IF(J2755&gt;=50,"High Accuracy",IF(J2755&gt;=30,"Medium Accuracy","Low Accuracy"))</f>
        <v>High Accuracy</v>
      </c>
      <c r="W2755" t="str" cm="1">
        <f t="array" ref="W2755">_xlfn.LET(_xlpm.roles,_xlfn.UNIQUE(D2755:D5553), _xlpm.counts,COUNTIF(D2755:D5553,_xlpm.roles), INDEX(_xlpm.roles,MATCH(MAX(_xlpm.counts),_xlpm.counts,0)))</f>
        <v>Entry Fragger</v>
      </c>
      <c r="X2755" s="2">
        <f t="shared" ref="X2755:X2800" si="219">AVERAGEIF($C$2:$C$2800,C2755,$Q$2:$Q$2800)</f>
        <v>12.599585062240664</v>
      </c>
    </row>
    <row r="2756" spans="1:24" x14ac:dyDescent="0.3">
      <c r="A2756">
        <v>73</v>
      </c>
      <c r="B2756">
        <v>491</v>
      </c>
      <c r="C2756" t="s">
        <v>25</v>
      </c>
      <c r="D2756" t="s">
        <v>36</v>
      </c>
      <c r="E2756" t="s">
        <v>33</v>
      </c>
      <c r="F2756" t="s">
        <v>37</v>
      </c>
      <c r="G2756">
        <v>26</v>
      </c>
      <c r="H2756">
        <v>6</v>
      </c>
      <c r="I2756">
        <v>7</v>
      </c>
      <c r="J2756">
        <v>38.29</v>
      </c>
      <c r="K2756">
        <v>235.62</v>
      </c>
      <c r="L2756">
        <v>0.17</v>
      </c>
      <c r="M2756">
        <v>68.44</v>
      </c>
      <c r="N2756">
        <v>1</v>
      </c>
      <c r="O2756" t="s">
        <v>20</v>
      </c>
      <c r="P2756" t="s">
        <v>38</v>
      </c>
      <c r="Q2756">
        <f t="shared" si="215"/>
        <v>25</v>
      </c>
      <c r="R2756" s="4">
        <f>RANK(N2756,$N$2:N$2800,0)</f>
        <v>1</v>
      </c>
      <c r="S2756">
        <f t="shared" si="216"/>
        <v>3.7142857142857144</v>
      </c>
      <c r="T2756" t="str">
        <f t="shared" si="217"/>
        <v>Excellent</v>
      </c>
      <c r="U2756" t="str" cm="1">
        <f t="array" ref="U2756">_xlfn.LET(_xlpm.roles,_xlfn.UNIQUE(D2756:D5554),_xlpm.kills, SUMIF(D2756:D5554,_xlpm.roles,G2756:G5554),INDEX(_xlpm.roles,MATCH(MAX(_xlpm.kills),_xlpm.kills,0)))</f>
        <v>Entry Fragger</v>
      </c>
      <c r="V2756" t="str">
        <f t="shared" si="218"/>
        <v>Medium Accuracy</v>
      </c>
      <c r="W2756" t="str" cm="1">
        <f t="array" ref="W2756">_xlfn.LET(_xlpm.roles,_xlfn.UNIQUE(D2756:D5554), _xlpm.counts,COUNTIF(D2756:D5554,_xlpm.roles), INDEX(_xlpm.roles,MATCH(MAX(_xlpm.counts),_xlpm.counts,0)))</f>
        <v>Entry Fragger</v>
      </c>
      <c r="X2756" s="2">
        <f t="shared" si="219"/>
        <v>12.809421841541756</v>
      </c>
    </row>
    <row r="2757" spans="1:24" x14ac:dyDescent="0.3">
      <c r="A2757">
        <v>319</v>
      </c>
      <c r="B2757">
        <v>491</v>
      </c>
      <c r="C2757" t="s">
        <v>16</v>
      </c>
      <c r="D2757" t="s">
        <v>31</v>
      </c>
      <c r="E2757" t="s">
        <v>23</v>
      </c>
      <c r="F2757" t="s">
        <v>19</v>
      </c>
      <c r="G2757">
        <v>17</v>
      </c>
      <c r="H2757">
        <v>3</v>
      </c>
      <c r="I2757">
        <v>10</v>
      </c>
      <c r="J2757">
        <v>46.68</v>
      </c>
      <c r="K2757">
        <v>205.35</v>
      </c>
      <c r="L2757">
        <v>0.5</v>
      </c>
      <c r="M2757">
        <v>45.34</v>
      </c>
      <c r="N2757">
        <v>0.94</v>
      </c>
      <c r="O2757" t="s">
        <v>20</v>
      </c>
      <c r="P2757" t="s">
        <v>21</v>
      </c>
      <c r="Q2757">
        <f t="shared" si="215"/>
        <v>10</v>
      </c>
      <c r="R2757" s="4">
        <f>RANK(N2757,$N$2:N$2800,0)</f>
        <v>1431</v>
      </c>
      <c r="S2757">
        <f t="shared" si="216"/>
        <v>1.7</v>
      </c>
      <c r="T2757" t="str">
        <f t="shared" si="217"/>
        <v>Low</v>
      </c>
      <c r="U2757" t="str" cm="1">
        <f t="array" ref="U2757">_xlfn.LET(_xlpm.roles,_xlfn.UNIQUE(D2757:D5555),_xlpm.kills, SUMIF(D2757:D5555,_xlpm.roles,G2757:G5555),INDEX(_xlpm.roles,MATCH(MAX(_xlpm.kills),_xlpm.kills,0)))</f>
        <v>Entry Fragger</v>
      </c>
      <c r="V2757" t="str">
        <f t="shared" si="218"/>
        <v>Medium Accuracy</v>
      </c>
      <c r="W2757" t="str" cm="1">
        <f t="array" ref="W2757">_xlfn.LET(_xlpm.roles,_xlfn.UNIQUE(D2757:D5555), _xlpm.counts,COUNTIF(D2757:D5555,_xlpm.roles), INDEX(_xlpm.roles,MATCH(MAX(_xlpm.counts),_xlpm.counts,0)))</f>
        <v>Entry Fragger</v>
      </c>
      <c r="X2757" s="2">
        <f t="shared" si="219"/>
        <v>12.520971302428256</v>
      </c>
    </row>
    <row r="2758" spans="1:24" x14ac:dyDescent="0.3">
      <c r="A2758">
        <v>588</v>
      </c>
      <c r="B2758">
        <v>491</v>
      </c>
      <c r="C2758" t="s">
        <v>35</v>
      </c>
      <c r="D2758" t="s">
        <v>36</v>
      </c>
      <c r="E2758" t="s">
        <v>32</v>
      </c>
      <c r="F2758" t="s">
        <v>34</v>
      </c>
      <c r="G2758">
        <v>16</v>
      </c>
      <c r="H2758">
        <v>10</v>
      </c>
      <c r="I2758">
        <v>6</v>
      </c>
      <c r="J2758">
        <v>40.299999999999997</v>
      </c>
      <c r="K2758">
        <v>231.14</v>
      </c>
      <c r="L2758">
        <v>0.8</v>
      </c>
      <c r="M2758">
        <v>48.15</v>
      </c>
      <c r="N2758">
        <v>0.89</v>
      </c>
      <c r="O2758" t="s">
        <v>20</v>
      </c>
      <c r="P2758" t="s">
        <v>21</v>
      </c>
      <c r="Q2758">
        <f t="shared" si="215"/>
        <v>20</v>
      </c>
      <c r="R2758" s="4">
        <f>RANK(N2758,$N$2:N$2800,0)</f>
        <v>1815</v>
      </c>
      <c r="S2758">
        <f t="shared" si="216"/>
        <v>2.6666666666666665</v>
      </c>
      <c r="T2758" t="str">
        <f t="shared" si="217"/>
        <v>Good</v>
      </c>
      <c r="U2758" t="str" cm="1">
        <f t="array" ref="U2758">_xlfn.LET(_xlpm.roles,_xlfn.UNIQUE(D2758:D5556),_xlpm.kills, SUMIF(D2758:D5556,_xlpm.roles,G2758:G5556),INDEX(_xlpm.roles,MATCH(MAX(_xlpm.kills),_xlpm.kills,0)))</f>
        <v>Entry Fragger</v>
      </c>
      <c r="V2758" t="str">
        <f t="shared" si="218"/>
        <v>Medium Accuracy</v>
      </c>
      <c r="W2758" t="str" cm="1">
        <f t="array" ref="W2758">_xlfn.LET(_xlpm.roles,_xlfn.UNIQUE(D2758:D5556), _xlpm.counts,COUNTIF(D2758:D5556,_xlpm.roles), INDEX(_xlpm.roles,MATCH(MAX(_xlpm.counts),_xlpm.counts,0)))</f>
        <v>Entry Fragger</v>
      </c>
      <c r="X2758" s="2">
        <f t="shared" si="219"/>
        <v>12.599585062240664</v>
      </c>
    </row>
    <row r="2759" spans="1:24" x14ac:dyDescent="0.3">
      <c r="A2759">
        <v>158</v>
      </c>
      <c r="B2759">
        <v>492</v>
      </c>
      <c r="C2759" t="s">
        <v>35</v>
      </c>
      <c r="D2759" t="s">
        <v>28</v>
      </c>
      <c r="E2759" t="s">
        <v>23</v>
      </c>
      <c r="F2759" t="s">
        <v>24</v>
      </c>
      <c r="G2759">
        <v>26</v>
      </c>
      <c r="H2759">
        <v>9</v>
      </c>
      <c r="I2759">
        <v>8</v>
      </c>
      <c r="J2759">
        <v>55.56</v>
      </c>
      <c r="K2759">
        <v>231.3</v>
      </c>
      <c r="L2759">
        <v>0.8</v>
      </c>
      <c r="M2759">
        <v>72.78</v>
      </c>
      <c r="N2759">
        <v>1</v>
      </c>
      <c r="O2759" t="s">
        <v>20</v>
      </c>
      <c r="P2759" t="s">
        <v>38</v>
      </c>
      <c r="Q2759">
        <f t="shared" si="215"/>
        <v>27</v>
      </c>
      <c r="R2759" s="4">
        <f>RANK(N2759,$N$2:N$2800,0)</f>
        <v>1</v>
      </c>
      <c r="S2759">
        <f t="shared" si="216"/>
        <v>3.25</v>
      </c>
      <c r="T2759" t="str">
        <f t="shared" si="217"/>
        <v>Excellent</v>
      </c>
      <c r="U2759" t="str" cm="1">
        <f t="array" ref="U2759">_xlfn.LET(_xlpm.roles,_xlfn.UNIQUE(D2759:D5557),_xlpm.kills, SUMIF(D2759:D5557,_xlpm.roles,G2759:G5557),INDEX(_xlpm.roles,MATCH(MAX(_xlpm.kills),_xlpm.kills,0)))</f>
        <v>Entry Fragger</v>
      </c>
      <c r="V2759" t="str">
        <f t="shared" si="218"/>
        <v>High Accuracy</v>
      </c>
      <c r="W2759" t="str" cm="1">
        <f t="array" ref="W2759">_xlfn.LET(_xlpm.roles,_xlfn.UNIQUE(D2759:D5557), _xlpm.counts,COUNTIF(D2759:D5557,_xlpm.roles), INDEX(_xlpm.roles,MATCH(MAX(_xlpm.counts),_xlpm.counts,0)))</f>
        <v>Entry Fragger</v>
      </c>
      <c r="X2759" s="2">
        <f t="shared" si="219"/>
        <v>12.599585062240664</v>
      </c>
    </row>
    <row r="2760" spans="1:24" x14ac:dyDescent="0.3">
      <c r="A2760">
        <v>771</v>
      </c>
      <c r="B2760">
        <v>492</v>
      </c>
      <c r="C2760" t="s">
        <v>35</v>
      </c>
      <c r="D2760" t="s">
        <v>31</v>
      </c>
      <c r="E2760" t="s">
        <v>18</v>
      </c>
      <c r="F2760" t="s">
        <v>26</v>
      </c>
      <c r="G2760">
        <v>22</v>
      </c>
      <c r="H2760">
        <v>7</v>
      </c>
      <c r="I2760">
        <v>14</v>
      </c>
      <c r="J2760">
        <v>27.56</v>
      </c>
      <c r="K2760">
        <v>218.29</v>
      </c>
      <c r="L2760">
        <v>0.4</v>
      </c>
      <c r="M2760">
        <v>46.78</v>
      </c>
      <c r="N2760">
        <v>1</v>
      </c>
      <c r="O2760" t="s">
        <v>20</v>
      </c>
      <c r="P2760" t="s">
        <v>21</v>
      </c>
      <c r="Q2760">
        <f t="shared" si="215"/>
        <v>15</v>
      </c>
      <c r="R2760" s="4">
        <f>RANK(N2760,$N$2:N$2800,0)</f>
        <v>1</v>
      </c>
      <c r="S2760">
        <f t="shared" si="216"/>
        <v>1.5714285714285714</v>
      </c>
      <c r="T2760" t="str">
        <f t="shared" si="217"/>
        <v>Good</v>
      </c>
      <c r="U2760" t="str" cm="1">
        <f t="array" ref="U2760">_xlfn.LET(_xlpm.roles,_xlfn.UNIQUE(D2760:D5558),_xlpm.kills, SUMIF(D2760:D5558,_xlpm.roles,G2760:G5558),INDEX(_xlpm.roles,MATCH(MAX(_xlpm.kills),_xlpm.kills,0)))</f>
        <v>Entry Fragger</v>
      </c>
      <c r="V2760" t="str">
        <f t="shared" si="218"/>
        <v>Low Accuracy</v>
      </c>
      <c r="W2760" t="str" cm="1">
        <f t="array" ref="W2760">_xlfn.LET(_xlpm.roles,_xlfn.UNIQUE(D2760:D5558), _xlpm.counts,COUNTIF(D2760:D5558,_xlpm.roles), INDEX(_xlpm.roles,MATCH(MAX(_xlpm.counts),_xlpm.counts,0)))</f>
        <v>Entry Fragger</v>
      </c>
      <c r="X2760" s="2">
        <f t="shared" si="219"/>
        <v>12.599585062240664</v>
      </c>
    </row>
    <row r="2761" spans="1:24" x14ac:dyDescent="0.3">
      <c r="A2761">
        <v>1438</v>
      </c>
      <c r="B2761">
        <v>492</v>
      </c>
      <c r="C2761" t="s">
        <v>35</v>
      </c>
      <c r="D2761" t="s">
        <v>28</v>
      </c>
      <c r="E2761" t="s">
        <v>32</v>
      </c>
      <c r="F2761" t="s">
        <v>24</v>
      </c>
      <c r="G2761">
        <v>20</v>
      </c>
      <c r="H2761">
        <v>9</v>
      </c>
      <c r="I2761">
        <v>9</v>
      </c>
      <c r="J2761">
        <v>39.450000000000003</v>
      </c>
      <c r="K2761">
        <v>192.69</v>
      </c>
      <c r="L2761">
        <v>0.02</v>
      </c>
      <c r="M2761">
        <v>59.52</v>
      </c>
      <c r="N2761">
        <v>0.94</v>
      </c>
      <c r="O2761" t="s">
        <v>20</v>
      </c>
      <c r="P2761" t="s">
        <v>21</v>
      </c>
      <c r="Q2761">
        <f t="shared" si="215"/>
        <v>20</v>
      </c>
      <c r="R2761" s="4">
        <f>RANK(N2761,$N$2:N$2800,0)</f>
        <v>1431</v>
      </c>
      <c r="S2761">
        <f t="shared" si="216"/>
        <v>2.2222222222222223</v>
      </c>
      <c r="T2761" t="str">
        <f t="shared" si="217"/>
        <v>Good</v>
      </c>
      <c r="U2761" t="str" cm="1">
        <f t="array" ref="U2761">_xlfn.LET(_xlpm.roles,_xlfn.UNIQUE(D2761:D5559),_xlpm.kills, SUMIF(D2761:D5559,_xlpm.roles,G2761:G5559),INDEX(_xlpm.roles,MATCH(MAX(_xlpm.kills),_xlpm.kills,0)))</f>
        <v>Entry Fragger</v>
      </c>
      <c r="V2761" t="str">
        <f t="shared" si="218"/>
        <v>Medium Accuracy</v>
      </c>
      <c r="W2761" t="str" cm="1">
        <f t="array" ref="W2761">_xlfn.LET(_xlpm.roles,_xlfn.UNIQUE(D2761:D5559), _xlpm.counts,COUNTIF(D2761:D5559,_xlpm.roles), INDEX(_xlpm.roles,MATCH(MAX(_xlpm.counts),_xlpm.counts,0)))</f>
        <v>Entry Fragger</v>
      </c>
      <c r="X2761" s="2">
        <f t="shared" si="219"/>
        <v>12.599585062240664</v>
      </c>
    </row>
    <row r="2762" spans="1:24" x14ac:dyDescent="0.3">
      <c r="A2762">
        <v>1703</v>
      </c>
      <c r="B2762">
        <v>492</v>
      </c>
      <c r="C2762" t="s">
        <v>25</v>
      </c>
      <c r="D2762" t="s">
        <v>28</v>
      </c>
      <c r="E2762" t="s">
        <v>29</v>
      </c>
      <c r="F2762" t="s">
        <v>34</v>
      </c>
      <c r="G2762">
        <v>10</v>
      </c>
      <c r="H2762">
        <v>8</v>
      </c>
      <c r="I2762">
        <v>9</v>
      </c>
      <c r="J2762">
        <v>44.45</v>
      </c>
      <c r="K2762">
        <v>240.06</v>
      </c>
      <c r="L2762">
        <v>0.08</v>
      </c>
      <c r="M2762">
        <v>40.43</v>
      </c>
      <c r="N2762">
        <v>0.82</v>
      </c>
      <c r="O2762" t="s">
        <v>20</v>
      </c>
      <c r="P2762" t="s">
        <v>21</v>
      </c>
      <c r="Q2762">
        <f t="shared" si="215"/>
        <v>9</v>
      </c>
      <c r="R2762" s="4">
        <f>RANK(N2762,$N$2:N$2800,0)</f>
        <v>2275</v>
      </c>
      <c r="S2762">
        <f t="shared" si="216"/>
        <v>1.1111111111111112</v>
      </c>
      <c r="T2762" t="str">
        <f t="shared" si="217"/>
        <v>Low</v>
      </c>
      <c r="U2762" t="str" cm="1">
        <f t="array" ref="U2762">_xlfn.LET(_xlpm.roles,_xlfn.UNIQUE(D2762:D5560),_xlpm.kills, SUMIF(D2762:D5560,_xlpm.roles,G2762:G5560),INDEX(_xlpm.roles,MATCH(MAX(_xlpm.kills),_xlpm.kills,0)))</f>
        <v>Entry Fragger</v>
      </c>
      <c r="V2762" t="str">
        <f t="shared" si="218"/>
        <v>Medium Accuracy</v>
      </c>
      <c r="W2762" t="str" cm="1">
        <f t="array" ref="W2762">_xlfn.LET(_xlpm.roles,_xlfn.UNIQUE(D2762:D5560), _xlpm.counts,COUNTIF(D2762:D5560,_xlpm.roles), INDEX(_xlpm.roles,MATCH(MAX(_xlpm.counts),_xlpm.counts,0)))</f>
        <v>Entry Fragger</v>
      </c>
      <c r="X2762" s="2">
        <f t="shared" si="219"/>
        <v>12.809421841541756</v>
      </c>
    </row>
    <row r="2763" spans="1:24" x14ac:dyDescent="0.3">
      <c r="A2763">
        <v>1903</v>
      </c>
      <c r="B2763">
        <v>492</v>
      </c>
      <c r="C2763" t="s">
        <v>27</v>
      </c>
      <c r="D2763" t="s">
        <v>36</v>
      </c>
      <c r="E2763" t="s">
        <v>32</v>
      </c>
      <c r="F2763" t="s">
        <v>19</v>
      </c>
      <c r="G2763">
        <v>18</v>
      </c>
      <c r="H2763">
        <v>11</v>
      </c>
      <c r="I2763">
        <v>10</v>
      </c>
      <c r="J2763">
        <v>59.66</v>
      </c>
      <c r="K2763">
        <v>262.83</v>
      </c>
      <c r="L2763">
        <v>0.42</v>
      </c>
      <c r="M2763">
        <v>62.63</v>
      </c>
      <c r="N2763">
        <v>0.99</v>
      </c>
      <c r="O2763" t="s">
        <v>20</v>
      </c>
      <c r="P2763" t="s">
        <v>38</v>
      </c>
      <c r="Q2763">
        <f t="shared" si="215"/>
        <v>19</v>
      </c>
      <c r="R2763" s="4">
        <f>RANK(N2763,$N$2:N$2800,0)</f>
        <v>1080</v>
      </c>
      <c r="S2763">
        <f t="shared" si="216"/>
        <v>1.8</v>
      </c>
      <c r="T2763" t="str">
        <f t="shared" si="217"/>
        <v>Good</v>
      </c>
      <c r="U2763" t="str" cm="1">
        <f t="array" ref="U2763">_xlfn.LET(_xlpm.roles,_xlfn.UNIQUE(D2763:D5561),_xlpm.kills, SUMIF(D2763:D5561,_xlpm.roles,G2763:G5561),INDEX(_xlpm.roles,MATCH(MAX(_xlpm.kills),_xlpm.kills,0)))</f>
        <v>Entry Fragger</v>
      </c>
      <c r="V2763" t="str">
        <f t="shared" si="218"/>
        <v>High Accuracy</v>
      </c>
      <c r="W2763" t="str" cm="1">
        <f t="array" ref="W2763">_xlfn.LET(_xlpm.roles,_xlfn.UNIQUE(D2763:D5561), _xlpm.counts,COUNTIF(D2763:D5561,_xlpm.roles), INDEX(_xlpm.roles,MATCH(MAX(_xlpm.counts),_xlpm.counts,0)))</f>
        <v>Entry Fragger</v>
      </c>
      <c r="X2763" s="2">
        <f t="shared" si="219"/>
        <v>13.057077625570777</v>
      </c>
    </row>
    <row r="2764" spans="1:24" x14ac:dyDescent="0.3">
      <c r="A2764">
        <v>2082</v>
      </c>
      <c r="B2764">
        <v>492</v>
      </c>
      <c r="C2764" t="s">
        <v>16</v>
      </c>
      <c r="D2764" t="s">
        <v>28</v>
      </c>
      <c r="E2764" t="s">
        <v>32</v>
      </c>
      <c r="F2764" t="s">
        <v>34</v>
      </c>
      <c r="G2764">
        <v>25</v>
      </c>
      <c r="H2764">
        <v>11</v>
      </c>
      <c r="I2764">
        <v>9</v>
      </c>
      <c r="J2764">
        <v>39.15</v>
      </c>
      <c r="K2764">
        <v>243.46</v>
      </c>
      <c r="L2764">
        <v>0.92</v>
      </c>
      <c r="M2764">
        <v>62.38</v>
      </c>
      <c r="N2764">
        <v>1</v>
      </c>
      <c r="O2764" t="s">
        <v>20</v>
      </c>
      <c r="P2764" t="s">
        <v>38</v>
      </c>
      <c r="Q2764">
        <f t="shared" si="215"/>
        <v>27</v>
      </c>
      <c r="R2764" s="4">
        <f>RANK(N2764,$N$2:N$2800,0)</f>
        <v>1</v>
      </c>
      <c r="S2764">
        <f t="shared" si="216"/>
        <v>2.7777777777777777</v>
      </c>
      <c r="T2764" t="str">
        <f t="shared" si="217"/>
        <v>Excellent</v>
      </c>
      <c r="U2764" t="str" cm="1">
        <f t="array" ref="U2764">_xlfn.LET(_xlpm.roles,_xlfn.UNIQUE(D2764:D5562),_xlpm.kills, SUMIF(D2764:D5562,_xlpm.roles,G2764:G5562),INDEX(_xlpm.roles,MATCH(MAX(_xlpm.kills),_xlpm.kills,0)))</f>
        <v>Entry Fragger</v>
      </c>
      <c r="V2764" t="str">
        <f t="shared" si="218"/>
        <v>Medium Accuracy</v>
      </c>
      <c r="W2764" t="str" cm="1">
        <f t="array" ref="W2764">_xlfn.LET(_xlpm.roles,_xlfn.UNIQUE(D2764:D5562), _xlpm.counts,COUNTIF(D2764:D5562,_xlpm.roles), INDEX(_xlpm.roles,MATCH(MAX(_xlpm.counts),_xlpm.counts,0)))</f>
        <v>Entry Fragger</v>
      </c>
      <c r="X2764" s="2">
        <f t="shared" si="219"/>
        <v>12.520971302428256</v>
      </c>
    </row>
    <row r="2765" spans="1:24" x14ac:dyDescent="0.3">
      <c r="A2765">
        <v>12</v>
      </c>
      <c r="B2765">
        <v>493</v>
      </c>
      <c r="C2765" t="s">
        <v>25</v>
      </c>
      <c r="D2765" t="s">
        <v>36</v>
      </c>
      <c r="E2765" t="s">
        <v>33</v>
      </c>
      <c r="F2765" t="s">
        <v>34</v>
      </c>
      <c r="G2765">
        <v>18</v>
      </c>
      <c r="H2765">
        <v>9</v>
      </c>
      <c r="I2765">
        <v>13</v>
      </c>
      <c r="J2765">
        <v>50.25</v>
      </c>
      <c r="K2765">
        <v>212.06</v>
      </c>
      <c r="L2765">
        <v>0.2</v>
      </c>
      <c r="M2765">
        <v>55.12</v>
      </c>
      <c r="N2765">
        <v>1</v>
      </c>
      <c r="O2765" t="s">
        <v>20</v>
      </c>
      <c r="P2765" t="s">
        <v>21</v>
      </c>
      <c r="Q2765">
        <f t="shared" si="215"/>
        <v>14</v>
      </c>
      <c r="R2765" s="4">
        <f>RANK(N2765,$N$2:N$2800,0)</f>
        <v>1</v>
      </c>
      <c r="S2765">
        <f t="shared" si="216"/>
        <v>1.3846153846153846</v>
      </c>
      <c r="T2765" t="str">
        <f t="shared" si="217"/>
        <v>Low</v>
      </c>
      <c r="U2765" t="str" cm="1">
        <f t="array" ref="U2765">_xlfn.LET(_xlpm.roles,_xlfn.UNIQUE(D2765:D5563),_xlpm.kills, SUMIF(D2765:D5563,_xlpm.roles,G2765:G5563),INDEX(_xlpm.roles,MATCH(MAX(_xlpm.kills),_xlpm.kills,0)))</f>
        <v>Entry Fragger</v>
      </c>
      <c r="V2765" t="str">
        <f t="shared" si="218"/>
        <v>High Accuracy</v>
      </c>
      <c r="W2765" t="str" cm="1">
        <f t="array" ref="W2765">_xlfn.LET(_xlpm.roles,_xlfn.UNIQUE(D2765:D5563), _xlpm.counts,COUNTIF(D2765:D5563,_xlpm.roles), INDEX(_xlpm.roles,MATCH(MAX(_xlpm.counts),_xlpm.counts,0)))</f>
        <v>Entry Fragger</v>
      </c>
      <c r="X2765" s="2">
        <f t="shared" si="219"/>
        <v>12.809421841541756</v>
      </c>
    </row>
    <row r="2766" spans="1:24" x14ac:dyDescent="0.3">
      <c r="A2766">
        <v>1410</v>
      </c>
      <c r="B2766">
        <v>493</v>
      </c>
      <c r="C2766" t="s">
        <v>25</v>
      </c>
      <c r="D2766" t="s">
        <v>31</v>
      </c>
      <c r="E2766" t="s">
        <v>33</v>
      </c>
      <c r="F2766" t="s">
        <v>26</v>
      </c>
      <c r="G2766">
        <v>14</v>
      </c>
      <c r="H2766">
        <v>7</v>
      </c>
      <c r="I2766">
        <v>15</v>
      </c>
      <c r="J2766">
        <v>49.73</v>
      </c>
      <c r="K2766">
        <v>218.92</v>
      </c>
      <c r="L2766">
        <v>0.3</v>
      </c>
      <c r="M2766">
        <v>41.86</v>
      </c>
      <c r="N2766">
        <v>0.84</v>
      </c>
      <c r="O2766" t="s">
        <v>20</v>
      </c>
      <c r="P2766" t="s">
        <v>21</v>
      </c>
      <c r="Q2766">
        <f t="shared" si="215"/>
        <v>6</v>
      </c>
      <c r="R2766" s="4">
        <f>RANK(N2766,$N$2:N$2800,0)</f>
        <v>2156</v>
      </c>
      <c r="S2766">
        <f t="shared" si="216"/>
        <v>0.93333333333333335</v>
      </c>
      <c r="T2766" t="str">
        <f t="shared" si="217"/>
        <v>Low</v>
      </c>
      <c r="U2766" t="str" cm="1">
        <f t="array" ref="U2766">_xlfn.LET(_xlpm.roles,_xlfn.UNIQUE(D2766:D5564),_xlpm.kills, SUMIF(D2766:D5564,_xlpm.roles,G2766:G5564),INDEX(_xlpm.roles,MATCH(MAX(_xlpm.kills),_xlpm.kills,0)))</f>
        <v>Entry Fragger</v>
      </c>
      <c r="V2766" t="str">
        <f t="shared" si="218"/>
        <v>Medium Accuracy</v>
      </c>
      <c r="W2766" t="str" cm="1">
        <f t="array" ref="W2766">_xlfn.LET(_xlpm.roles,_xlfn.UNIQUE(D2766:D5564), _xlpm.counts,COUNTIF(D2766:D5564,_xlpm.roles), INDEX(_xlpm.roles,MATCH(MAX(_xlpm.counts),_xlpm.counts,0)))</f>
        <v>Entry Fragger</v>
      </c>
      <c r="X2766" s="2">
        <f t="shared" si="219"/>
        <v>12.809421841541756</v>
      </c>
    </row>
    <row r="2767" spans="1:24" x14ac:dyDescent="0.3">
      <c r="A2767">
        <v>1862</v>
      </c>
      <c r="B2767">
        <v>493</v>
      </c>
      <c r="C2767" t="s">
        <v>25</v>
      </c>
      <c r="D2767" t="s">
        <v>22</v>
      </c>
      <c r="E2767" t="s">
        <v>18</v>
      </c>
      <c r="F2767" t="s">
        <v>26</v>
      </c>
      <c r="G2767">
        <v>17</v>
      </c>
      <c r="H2767">
        <v>3</v>
      </c>
      <c r="I2767">
        <v>12</v>
      </c>
      <c r="J2767">
        <v>47.14</v>
      </c>
      <c r="K2767">
        <v>247.5</v>
      </c>
      <c r="L2767">
        <v>0.9</v>
      </c>
      <c r="M2767">
        <v>39.57</v>
      </c>
      <c r="N2767">
        <v>0.9</v>
      </c>
      <c r="O2767" t="s">
        <v>20</v>
      </c>
      <c r="P2767" t="s">
        <v>21</v>
      </c>
      <c r="Q2767">
        <f t="shared" si="215"/>
        <v>8</v>
      </c>
      <c r="R2767" s="4">
        <f>RANK(N2767,$N$2:N$2800,0)</f>
        <v>1738</v>
      </c>
      <c r="S2767">
        <f t="shared" si="216"/>
        <v>1.4166666666666667</v>
      </c>
      <c r="T2767" t="str">
        <f t="shared" si="217"/>
        <v>Low</v>
      </c>
      <c r="U2767" t="str" cm="1">
        <f t="array" ref="U2767">_xlfn.LET(_xlpm.roles,_xlfn.UNIQUE(D2767:D5565),_xlpm.kills, SUMIF(D2767:D5565,_xlpm.roles,G2767:G5565),INDEX(_xlpm.roles,MATCH(MAX(_xlpm.kills),_xlpm.kills,0)))</f>
        <v>Entry Fragger</v>
      </c>
      <c r="V2767" t="str">
        <f t="shared" si="218"/>
        <v>Medium Accuracy</v>
      </c>
      <c r="W2767" t="str" cm="1">
        <f t="array" ref="W2767">_xlfn.LET(_xlpm.roles,_xlfn.UNIQUE(D2767:D5565), _xlpm.counts,COUNTIF(D2767:D5565,_xlpm.roles), INDEX(_xlpm.roles,MATCH(MAX(_xlpm.counts),_xlpm.counts,0)))</f>
        <v>Entry Fragger</v>
      </c>
      <c r="X2767" s="2">
        <f t="shared" si="219"/>
        <v>12.809421841541756</v>
      </c>
    </row>
    <row r="2768" spans="1:24" x14ac:dyDescent="0.3">
      <c r="A2768">
        <v>1998</v>
      </c>
      <c r="B2768">
        <v>493</v>
      </c>
      <c r="C2768" t="s">
        <v>39</v>
      </c>
      <c r="D2768" t="s">
        <v>36</v>
      </c>
      <c r="E2768" t="s">
        <v>23</v>
      </c>
      <c r="F2768" t="s">
        <v>37</v>
      </c>
      <c r="G2768">
        <v>18</v>
      </c>
      <c r="H2768">
        <v>9</v>
      </c>
      <c r="I2768">
        <v>2</v>
      </c>
      <c r="J2768">
        <v>41.18</v>
      </c>
      <c r="K2768">
        <v>218.73</v>
      </c>
      <c r="L2768">
        <v>0.59</v>
      </c>
      <c r="M2768">
        <v>57.69</v>
      </c>
      <c r="N2768">
        <v>1</v>
      </c>
      <c r="O2768" t="s">
        <v>20</v>
      </c>
      <c r="P2768" t="s">
        <v>21</v>
      </c>
      <c r="Q2768">
        <f t="shared" si="215"/>
        <v>25</v>
      </c>
      <c r="R2768" s="4">
        <f>RANK(N2768,$N$2:N$2800,0)</f>
        <v>1</v>
      </c>
      <c r="S2768">
        <f t="shared" si="216"/>
        <v>9</v>
      </c>
      <c r="T2768" t="str">
        <f t="shared" si="217"/>
        <v>Excellent</v>
      </c>
      <c r="U2768" t="str" cm="1">
        <f t="array" ref="U2768">_xlfn.LET(_xlpm.roles,_xlfn.UNIQUE(D2768:D5566),_xlpm.kills, SUMIF(D2768:D5566,_xlpm.roles,G2768:G5566),INDEX(_xlpm.roles,MATCH(MAX(_xlpm.kills),_xlpm.kills,0)))</f>
        <v>Entry Fragger</v>
      </c>
      <c r="V2768" t="str">
        <f t="shared" si="218"/>
        <v>Medium Accuracy</v>
      </c>
      <c r="W2768" t="str" cm="1">
        <f t="array" ref="W2768">_xlfn.LET(_xlpm.roles,_xlfn.UNIQUE(D2768:D5566), _xlpm.counts,COUNTIF(D2768:D5566,_xlpm.roles), INDEX(_xlpm.roles,MATCH(MAX(_xlpm.counts),_xlpm.counts,0)))</f>
        <v>Entry Fragger</v>
      </c>
      <c r="X2768" s="2">
        <f t="shared" si="219"/>
        <v>13.103594080338267</v>
      </c>
    </row>
    <row r="2769" spans="1:24" x14ac:dyDescent="0.3">
      <c r="A2769">
        <v>2133</v>
      </c>
      <c r="B2769">
        <v>493</v>
      </c>
      <c r="C2769" t="s">
        <v>30</v>
      </c>
      <c r="D2769" t="s">
        <v>36</v>
      </c>
      <c r="E2769" t="s">
        <v>23</v>
      </c>
      <c r="F2769" t="s">
        <v>34</v>
      </c>
      <c r="G2769">
        <v>19</v>
      </c>
      <c r="H2769">
        <v>7</v>
      </c>
      <c r="I2769">
        <v>7</v>
      </c>
      <c r="J2769">
        <v>34.9</v>
      </c>
      <c r="K2769">
        <v>207.85</v>
      </c>
      <c r="L2769">
        <v>0.14000000000000001</v>
      </c>
      <c r="M2769">
        <v>54.05</v>
      </c>
      <c r="N2769">
        <v>1</v>
      </c>
      <c r="O2769" t="s">
        <v>20</v>
      </c>
      <c r="P2769" t="s">
        <v>21</v>
      </c>
      <c r="Q2769">
        <f t="shared" si="215"/>
        <v>19</v>
      </c>
      <c r="R2769" s="4">
        <f>RANK(N2769,$N$2:N$2800,0)</f>
        <v>1</v>
      </c>
      <c r="S2769">
        <f t="shared" si="216"/>
        <v>2.7142857142857144</v>
      </c>
      <c r="T2769" t="str">
        <f t="shared" si="217"/>
        <v>Good</v>
      </c>
      <c r="U2769" t="str" cm="1">
        <f t="array" ref="U2769">_xlfn.LET(_xlpm.roles,_xlfn.UNIQUE(D2769:D5567),_xlpm.kills, SUMIF(D2769:D5567,_xlpm.roles,G2769:G5567),INDEX(_xlpm.roles,MATCH(MAX(_xlpm.kills),_xlpm.kills,0)))</f>
        <v>Entry Fragger</v>
      </c>
      <c r="V2769" t="str">
        <f t="shared" si="218"/>
        <v>Medium Accuracy</v>
      </c>
      <c r="W2769" t="str" cm="1">
        <f t="array" ref="W2769">_xlfn.LET(_xlpm.roles,_xlfn.UNIQUE(D2769:D5567), _xlpm.counts,COUNTIF(D2769:D5567,_xlpm.roles), INDEX(_xlpm.roles,MATCH(MAX(_xlpm.counts),_xlpm.counts,0)))</f>
        <v>Entry Fragger</v>
      </c>
      <c r="X2769" s="2">
        <f t="shared" si="219"/>
        <v>13.135802469135802</v>
      </c>
    </row>
    <row r="2770" spans="1:24" x14ac:dyDescent="0.3">
      <c r="A2770">
        <v>607</v>
      </c>
      <c r="B2770">
        <v>494</v>
      </c>
      <c r="C2770" t="s">
        <v>39</v>
      </c>
      <c r="D2770" t="s">
        <v>28</v>
      </c>
      <c r="E2770" t="s">
        <v>29</v>
      </c>
      <c r="F2770" t="s">
        <v>24</v>
      </c>
      <c r="G2770">
        <v>18</v>
      </c>
      <c r="H2770">
        <v>9</v>
      </c>
      <c r="I2770">
        <v>10</v>
      </c>
      <c r="J2770">
        <v>43.29</v>
      </c>
      <c r="K2770">
        <v>190.69</v>
      </c>
      <c r="L2770">
        <v>7.0000000000000007E-2</v>
      </c>
      <c r="M2770">
        <v>55.94</v>
      </c>
      <c r="N2770">
        <v>1</v>
      </c>
      <c r="O2770" t="s">
        <v>20</v>
      </c>
      <c r="P2770" t="s">
        <v>21</v>
      </c>
      <c r="Q2770">
        <f t="shared" si="215"/>
        <v>17</v>
      </c>
      <c r="R2770" s="4">
        <f>RANK(N2770,$N$2:N$2800,0)</f>
        <v>1</v>
      </c>
      <c r="S2770">
        <f t="shared" si="216"/>
        <v>1.8</v>
      </c>
      <c r="T2770" t="str">
        <f t="shared" si="217"/>
        <v>Good</v>
      </c>
      <c r="U2770" t="str" cm="1">
        <f t="array" ref="U2770">_xlfn.LET(_xlpm.roles,_xlfn.UNIQUE(D2770:D5568),_xlpm.kills, SUMIF(D2770:D5568,_xlpm.roles,G2770:G5568),INDEX(_xlpm.roles,MATCH(MAX(_xlpm.kills),_xlpm.kills,0)))</f>
        <v>Entry Fragger</v>
      </c>
      <c r="V2770" t="str">
        <f t="shared" si="218"/>
        <v>Medium Accuracy</v>
      </c>
      <c r="W2770" t="str" cm="1">
        <f t="array" ref="W2770">_xlfn.LET(_xlpm.roles,_xlfn.UNIQUE(D2770:D5568), _xlpm.counts,COUNTIF(D2770:D5568,_xlpm.roles), INDEX(_xlpm.roles,MATCH(MAX(_xlpm.counts),_xlpm.counts,0)))</f>
        <v>Entry Fragger</v>
      </c>
      <c r="X2770" s="2">
        <f t="shared" si="219"/>
        <v>13.103594080338267</v>
      </c>
    </row>
    <row r="2771" spans="1:24" x14ac:dyDescent="0.3">
      <c r="A2771">
        <v>896</v>
      </c>
      <c r="B2771">
        <v>494</v>
      </c>
      <c r="C2771" t="s">
        <v>35</v>
      </c>
      <c r="D2771" t="s">
        <v>17</v>
      </c>
      <c r="E2771" t="s">
        <v>29</v>
      </c>
      <c r="F2771" t="s">
        <v>24</v>
      </c>
      <c r="G2771">
        <v>14</v>
      </c>
      <c r="H2771">
        <v>7</v>
      </c>
      <c r="I2771">
        <v>16</v>
      </c>
      <c r="J2771">
        <v>41.09</v>
      </c>
      <c r="K2771">
        <v>219.55</v>
      </c>
      <c r="L2771">
        <v>0.45</v>
      </c>
      <c r="M2771">
        <v>35.049999999999997</v>
      </c>
      <c r="N2771">
        <v>0.79</v>
      </c>
      <c r="O2771" t="s">
        <v>20</v>
      </c>
      <c r="P2771" t="s">
        <v>21</v>
      </c>
      <c r="Q2771">
        <f t="shared" si="215"/>
        <v>5</v>
      </c>
      <c r="R2771" s="4">
        <f>RANK(N2771,$N$2:N$2800,0)</f>
        <v>2436</v>
      </c>
      <c r="S2771">
        <f t="shared" si="216"/>
        <v>0.875</v>
      </c>
      <c r="T2771" t="str">
        <f t="shared" si="217"/>
        <v>Low</v>
      </c>
      <c r="U2771" t="str" cm="1">
        <f t="array" ref="U2771">_xlfn.LET(_xlpm.roles,_xlfn.UNIQUE(D2771:D5569),_xlpm.kills, SUMIF(D2771:D5569,_xlpm.roles,G2771:G5569),INDEX(_xlpm.roles,MATCH(MAX(_xlpm.kills),_xlpm.kills,0)))</f>
        <v>Entry Fragger</v>
      </c>
      <c r="V2771" t="str">
        <f t="shared" si="218"/>
        <v>Medium Accuracy</v>
      </c>
      <c r="W2771" t="str" cm="1">
        <f t="array" ref="W2771">_xlfn.LET(_xlpm.roles,_xlfn.UNIQUE(D2771:D5569), _xlpm.counts,COUNTIF(D2771:D5569,_xlpm.roles), INDEX(_xlpm.roles,MATCH(MAX(_xlpm.counts),_xlpm.counts,0)))</f>
        <v>Entry Fragger</v>
      </c>
      <c r="X2771" s="2">
        <f t="shared" si="219"/>
        <v>12.599585062240664</v>
      </c>
    </row>
    <row r="2772" spans="1:24" x14ac:dyDescent="0.3">
      <c r="A2772">
        <v>925</v>
      </c>
      <c r="B2772">
        <v>494</v>
      </c>
      <c r="C2772" t="s">
        <v>27</v>
      </c>
      <c r="D2772" t="s">
        <v>22</v>
      </c>
      <c r="E2772" t="s">
        <v>18</v>
      </c>
      <c r="F2772" t="s">
        <v>34</v>
      </c>
      <c r="G2772">
        <v>20</v>
      </c>
      <c r="H2772">
        <v>7</v>
      </c>
      <c r="I2772">
        <v>8</v>
      </c>
      <c r="J2772">
        <v>64.53</v>
      </c>
      <c r="K2772">
        <v>205.96</v>
      </c>
      <c r="L2772">
        <v>0.48</v>
      </c>
      <c r="M2772">
        <v>66.47</v>
      </c>
      <c r="N2772">
        <v>1</v>
      </c>
      <c r="O2772" t="s">
        <v>20</v>
      </c>
      <c r="P2772" t="s">
        <v>38</v>
      </c>
      <c r="Q2772">
        <f t="shared" si="215"/>
        <v>19</v>
      </c>
      <c r="R2772" s="4">
        <f>RANK(N2772,$N$2:N$2800,0)</f>
        <v>1</v>
      </c>
      <c r="S2772">
        <f t="shared" si="216"/>
        <v>2.5</v>
      </c>
      <c r="T2772" t="str">
        <f t="shared" si="217"/>
        <v>Good</v>
      </c>
      <c r="U2772" t="str" cm="1">
        <f t="array" ref="U2772">_xlfn.LET(_xlpm.roles,_xlfn.UNIQUE(D2772:D5570),_xlpm.kills, SUMIF(D2772:D5570,_xlpm.roles,G2772:G5570),INDEX(_xlpm.roles,MATCH(MAX(_xlpm.kills),_xlpm.kills,0)))</f>
        <v>Entry Fragger</v>
      </c>
      <c r="V2772" t="str">
        <f t="shared" si="218"/>
        <v>High Accuracy</v>
      </c>
      <c r="W2772" t="str" cm="1">
        <f t="array" ref="W2772">_xlfn.LET(_xlpm.roles,_xlfn.UNIQUE(D2772:D5570), _xlpm.counts,COUNTIF(D2772:D5570,_xlpm.roles), INDEX(_xlpm.roles,MATCH(MAX(_xlpm.counts),_xlpm.counts,0)))</f>
        <v>Entry Fragger</v>
      </c>
      <c r="X2772" s="2">
        <f t="shared" si="219"/>
        <v>13.057077625570777</v>
      </c>
    </row>
    <row r="2773" spans="1:24" x14ac:dyDescent="0.3">
      <c r="A2773">
        <v>1616</v>
      </c>
      <c r="B2773">
        <v>494</v>
      </c>
      <c r="C2773" t="s">
        <v>35</v>
      </c>
      <c r="D2773" t="s">
        <v>36</v>
      </c>
      <c r="E2773" t="s">
        <v>29</v>
      </c>
      <c r="F2773" t="s">
        <v>26</v>
      </c>
      <c r="G2773">
        <v>22</v>
      </c>
      <c r="H2773">
        <v>4</v>
      </c>
      <c r="I2773">
        <v>10</v>
      </c>
      <c r="J2773">
        <v>49.11</v>
      </c>
      <c r="K2773">
        <v>225.87</v>
      </c>
      <c r="L2773">
        <v>0.19</v>
      </c>
      <c r="M2773">
        <v>60.66</v>
      </c>
      <c r="N2773">
        <v>1</v>
      </c>
      <c r="O2773" t="s">
        <v>20</v>
      </c>
      <c r="P2773" t="s">
        <v>38</v>
      </c>
      <c r="Q2773">
        <f t="shared" si="215"/>
        <v>16</v>
      </c>
      <c r="R2773" s="4">
        <f>RANK(N2773,$N$2:N$2800,0)</f>
        <v>1</v>
      </c>
      <c r="S2773">
        <f t="shared" si="216"/>
        <v>2.2000000000000002</v>
      </c>
      <c r="T2773" t="str">
        <f t="shared" si="217"/>
        <v>Good</v>
      </c>
      <c r="U2773" t="str" cm="1">
        <f t="array" ref="U2773">_xlfn.LET(_xlpm.roles,_xlfn.UNIQUE(D2773:D5571),_xlpm.kills, SUMIF(D2773:D5571,_xlpm.roles,G2773:G5571),INDEX(_xlpm.roles,MATCH(MAX(_xlpm.kills),_xlpm.kills,0)))</f>
        <v>Entry Fragger</v>
      </c>
      <c r="V2773" t="str">
        <f t="shared" si="218"/>
        <v>Medium Accuracy</v>
      </c>
      <c r="W2773" t="str" cm="1">
        <f t="array" ref="W2773">_xlfn.LET(_xlpm.roles,_xlfn.UNIQUE(D2773:D5571), _xlpm.counts,COUNTIF(D2773:D5571,_xlpm.roles), INDEX(_xlpm.roles,MATCH(MAX(_xlpm.counts),_xlpm.counts,0)))</f>
        <v>Entry Fragger</v>
      </c>
      <c r="X2773" s="2">
        <f t="shared" si="219"/>
        <v>12.599585062240664</v>
      </c>
    </row>
    <row r="2774" spans="1:24" x14ac:dyDescent="0.3">
      <c r="A2774">
        <v>2434</v>
      </c>
      <c r="B2774">
        <v>494</v>
      </c>
      <c r="C2774" t="s">
        <v>16</v>
      </c>
      <c r="D2774" t="s">
        <v>36</v>
      </c>
      <c r="E2774" t="s">
        <v>23</v>
      </c>
      <c r="F2774" t="s">
        <v>37</v>
      </c>
      <c r="G2774">
        <v>8</v>
      </c>
      <c r="H2774">
        <v>9</v>
      </c>
      <c r="I2774">
        <v>9</v>
      </c>
      <c r="J2774">
        <v>32.01</v>
      </c>
      <c r="K2774">
        <v>210.7</v>
      </c>
      <c r="L2774">
        <v>0.55000000000000004</v>
      </c>
      <c r="M2774">
        <v>26.5</v>
      </c>
      <c r="N2774">
        <v>0.81</v>
      </c>
      <c r="O2774" t="s">
        <v>20</v>
      </c>
      <c r="P2774" t="s">
        <v>21</v>
      </c>
      <c r="Q2774">
        <f t="shared" si="215"/>
        <v>8</v>
      </c>
      <c r="R2774" s="4">
        <f>RANK(N2774,$N$2:N$2800,0)</f>
        <v>2341</v>
      </c>
      <c r="S2774">
        <f t="shared" si="216"/>
        <v>0.88888888888888884</v>
      </c>
      <c r="T2774" t="str">
        <f t="shared" si="217"/>
        <v>Low</v>
      </c>
      <c r="U2774" t="str" cm="1">
        <f t="array" ref="U2774">_xlfn.LET(_xlpm.roles,_xlfn.UNIQUE(D2774:D5572),_xlpm.kills, SUMIF(D2774:D5572,_xlpm.roles,G2774:G5572),INDEX(_xlpm.roles,MATCH(MAX(_xlpm.kills),_xlpm.kills,0)))</f>
        <v>Entry Fragger</v>
      </c>
      <c r="V2774" t="str">
        <f t="shared" si="218"/>
        <v>Medium Accuracy</v>
      </c>
      <c r="W2774" t="str" cm="1">
        <f t="array" ref="W2774">_xlfn.LET(_xlpm.roles,_xlfn.UNIQUE(D2774:D5572), _xlpm.counts,COUNTIF(D2774:D5572,_xlpm.roles), INDEX(_xlpm.roles,MATCH(MAX(_xlpm.counts),_xlpm.counts,0)))</f>
        <v>Entry Fragger</v>
      </c>
      <c r="X2774" s="2">
        <f t="shared" si="219"/>
        <v>12.520971302428256</v>
      </c>
    </row>
    <row r="2775" spans="1:24" x14ac:dyDescent="0.3">
      <c r="A2775">
        <v>2612</v>
      </c>
      <c r="B2775">
        <v>494</v>
      </c>
      <c r="C2775" t="s">
        <v>35</v>
      </c>
      <c r="D2775" t="s">
        <v>28</v>
      </c>
      <c r="E2775" t="s">
        <v>29</v>
      </c>
      <c r="F2775" t="s">
        <v>26</v>
      </c>
      <c r="G2775">
        <v>19</v>
      </c>
      <c r="H2775">
        <v>7</v>
      </c>
      <c r="I2775">
        <v>8</v>
      </c>
      <c r="J2775">
        <v>44.15</v>
      </c>
      <c r="K2775">
        <v>180.89</v>
      </c>
      <c r="L2775">
        <v>0.79</v>
      </c>
      <c r="M2775">
        <v>51.18</v>
      </c>
      <c r="N2775">
        <v>1</v>
      </c>
      <c r="O2775" t="s">
        <v>20</v>
      </c>
      <c r="P2775" t="s">
        <v>21</v>
      </c>
      <c r="Q2775">
        <f t="shared" si="215"/>
        <v>18</v>
      </c>
      <c r="R2775" s="4">
        <f>RANK(N2775,$N$2:N$2800,0)</f>
        <v>1</v>
      </c>
      <c r="S2775">
        <f t="shared" si="216"/>
        <v>2.375</v>
      </c>
      <c r="T2775" t="str">
        <f t="shared" si="217"/>
        <v>Good</v>
      </c>
      <c r="U2775" t="str" cm="1">
        <f t="array" ref="U2775">_xlfn.LET(_xlpm.roles,_xlfn.UNIQUE(D2775:D5573),_xlpm.kills, SUMIF(D2775:D5573,_xlpm.roles,G2775:G5573),INDEX(_xlpm.roles,MATCH(MAX(_xlpm.kills),_xlpm.kills,0)))</f>
        <v>Entry Fragger</v>
      </c>
      <c r="V2775" t="str">
        <f t="shared" si="218"/>
        <v>Medium Accuracy</v>
      </c>
      <c r="W2775" t="str" cm="1">
        <f t="array" ref="W2775">_xlfn.LET(_xlpm.roles,_xlfn.UNIQUE(D2775:D5573), _xlpm.counts,COUNTIF(D2775:D5573,_xlpm.roles), INDEX(_xlpm.roles,MATCH(MAX(_xlpm.counts),_xlpm.counts,0)))</f>
        <v>Entry Fragger</v>
      </c>
      <c r="X2775" s="2">
        <f t="shared" si="219"/>
        <v>12.599585062240664</v>
      </c>
    </row>
    <row r="2776" spans="1:24" x14ac:dyDescent="0.3">
      <c r="A2776">
        <v>630</v>
      </c>
      <c r="B2776">
        <v>495</v>
      </c>
      <c r="C2776" t="s">
        <v>39</v>
      </c>
      <c r="D2776" t="s">
        <v>36</v>
      </c>
      <c r="E2776" t="s">
        <v>23</v>
      </c>
      <c r="F2776" t="s">
        <v>34</v>
      </c>
      <c r="G2776">
        <v>21</v>
      </c>
      <c r="H2776">
        <v>5</v>
      </c>
      <c r="I2776">
        <v>11</v>
      </c>
      <c r="J2776">
        <v>48.86</v>
      </c>
      <c r="K2776">
        <v>219.12</v>
      </c>
      <c r="L2776">
        <v>0.33</v>
      </c>
      <c r="M2776">
        <v>57.13</v>
      </c>
      <c r="N2776">
        <v>1</v>
      </c>
      <c r="O2776" t="s">
        <v>20</v>
      </c>
      <c r="P2776" t="s">
        <v>21</v>
      </c>
      <c r="Q2776">
        <f t="shared" si="215"/>
        <v>15</v>
      </c>
      <c r="R2776" s="4">
        <f>RANK(N2776,$N$2:N$2800,0)</f>
        <v>1</v>
      </c>
      <c r="S2776">
        <f t="shared" si="216"/>
        <v>1.9090909090909092</v>
      </c>
      <c r="T2776" t="str">
        <f t="shared" si="217"/>
        <v>Good</v>
      </c>
      <c r="U2776" t="str" cm="1">
        <f t="array" ref="U2776">_xlfn.LET(_xlpm.roles,_xlfn.UNIQUE(D2776:D5574),_xlpm.kills, SUMIF(D2776:D5574,_xlpm.roles,G2776:G5574),INDEX(_xlpm.roles,MATCH(MAX(_xlpm.kills),_xlpm.kills,0)))</f>
        <v>Entry Fragger</v>
      </c>
      <c r="V2776" t="str">
        <f t="shared" si="218"/>
        <v>Medium Accuracy</v>
      </c>
      <c r="W2776" t="str" cm="1">
        <f t="array" ref="W2776">_xlfn.LET(_xlpm.roles,_xlfn.UNIQUE(D2776:D5574), _xlpm.counts,COUNTIF(D2776:D5574,_xlpm.roles), INDEX(_xlpm.roles,MATCH(MAX(_xlpm.counts),_xlpm.counts,0)))</f>
        <v>Entry Fragger</v>
      </c>
      <c r="X2776" s="2">
        <f t="shared" si="219"/>
        <v>13.103594080338267</v>
      </c>
    </row>
    <row r="2777" spans="1:24" x14ac:dyDescent="0.3">
      <c r="A2777">
        <v>1079</v>
      </c>
      <c r="B2777">
        <v>495</v>
      </c>
      <c r="C2777" t="s">
        <v>16</v>
      </c>
      <c r="D2777" t="s">
        <v>36</v>
      </c>
      <c r="E2777" t="s">
        <v>23</v>
      </c>
      <c r="F2777" t="s">
        <v>26</v>
      </c>
      <c r="G2777">
        <v>16</v>
      </c>
      <c r="H2777">
        <v>6</v>
      </c>
      <c r="I2777">
        <v>5</v>
      </c>
      <c r="J2777">
        <v>44.65</v>
      </c>
      <c r="K2777">
        <v>249.62</v>
      </c>
      <c r="L2777">
        <v>0.14000000000000001</v>
      </c>
      <c r="M2777">
        <v>53.93</v>
      </c>
      <c r="N2777">
        <v>0.95</v>
      </c>
      <c r="O2777" t="s">
        <v>20</v>
      </c>
      <c r="P2777" t="s">
        <v>21</v>
      </c>
      <c r="Q2777">
        <f t="shared" si="215"/>
        <v>17</v>
      </c>
      <c r="R2777" s="4">
        <f>RANK(N2777,$N$2:N$2800,0)</f>
        <v>1367</v>
      </c>
      <c r="S2777">
        <f t="shared" si="216"/>
        <v>3.2</v>
      </c>
      <c r="T2777" t="str">
        <f t="shared" si="217"/>
        <v>Good</v>
      </c>
      <c r="U2777" t="str" cm="1">
        <f t="array" ref="U2777">_xlfn.LET(_xlpm.roles,_xlfn.UNIQUE(D2777:D5575),_xlpm.kills, SUMIF(D2777:D5575,_xlpm.roles,G2777:G5575),INDEX(_xlpm.roles,MATCH(MAX(_xlpm.kills),_xlpm.kills,0)))</f>
        <v>Flex</v>
      </c>
      <c r="V2777" t="str">
        <f t="shared" si="218"/>
        <v>Medium Accuracy</v>
      </c>
      <c r="W2777" t="str" cm="1">
        <f t="array" ref="W2777">_xlfn.LET(_xlpm.roles,_xlfn.UNIQUE(D2777:D5575), _xlpm.counts,COUNTIF(D2777:D5575,_xlpm.roles), INDEX(_xlpm.roles,MATCH(MAX(_xlpm.counts),_xlpm.counts,0)))</f>
        <v>Flex</v>
      </c>
      <c r="X2777" s="2">
        <f t="shared" si="219"/>
        <v>12.520971302428256</v>
      </c>
    </row>
    <row r="2778" spans="1:24" x14ac:dyDescent="0.3">
      <c r="A2778">
        <v>1193</v>
      </c>
      <c r="B2778">
        <v>495</v>
      </c>
      <c r="C2778" t="s">
        <v>16</v>
      </c>
      <c r="D2778" t="s">
        <v>36</v>
      </c>
      <c r="E2778" t="s">
        <v>32</v>
      </c>
      <c r="F2778" t="s">
        <v>26</v>
      </c>
      <c r="G2778">
        <v>15</v>
      </c>
      <c r="H2778">
        <v>14</v>
      </c>
      <c r="I2778">
        <v>10</v>
      </c>
      <c r="J2778">
        <v>40.04</v>
      </c>
      <c r="K2778">
        <v>197.5</v>
      </c>
      <c r="L2778">
        <v>0.22</v>
      </c>
      <c r="M2778">
        <v>51.82</v>
      </c>
      <c r="N2778">
        <v>1</v>
      </c>
      <c r="O2778" t="s">
        <v>20</v>
      </c>
      <c r="P2778" t="s">
        <v>21</v>
      </c>
      <c r="Q2778">
        <f t="shared" si="215"/>
        <v>19</v>
      </c>
      <c r="R2778" s="4">
        <f>RANK(N2778,$N$2:N$2800,0)</f>
        <v>1</v>
      </c>
      <c r="S2778">
        <f t="shared" si="216"/>
        <v>1.5</v>
      </c>
      <c r="T2778" t="str">
        <f t="shared" si="217"/>
        <v>Good</v>
      </c>
      <c r="U2778" t="str" cm="1">
        <f t="array" ref="U2778">_xlfn.LET(_xlpm.roles,_xlfn.UNIQUE(D2778:D5576),_xlpm.kills, SUMIF(D2778:D5576,_xlpm.roles,G2778:G5576),INDEX(_xlpm.roles,MATCH(MAX(_xlpm.kills),_xlpm.kills,0)))</f>
        <v>Flex</v>
      </c>
      <c r="V2778" t="str">
        <f t="shared" si="218"/>
        <v>Medium Accuracy</v>
      </c>
      <c r="W2778" t="str" cm="1">
        <f t="array" ref="W2778">_xlfn.LET(_xlpm.roles,_xlfn.UNIQUE(D2778:D5576), _xlpm.counts,COUNTIF(D2778:D5576,_xlpm.roles), INDEX(_xlpm.roles,MATCH(MAX(_xlpm.counts),_xlpm.counts,0)))</f>
        <v>Flex</v>
      </c>
      <c r="X2778" s="2">
        <f t="shared" si="219"/>
        <v>12.520971302428256</v>
      </c>
    </row>
    <row r="2779" spans="1:24" x14ac:dyDescent="0.3">
      <c r="A2779">
        <v>2199</v>
      </c>
      <c r="B2779">
        <v>496</v>
      </c>
      <c r="C2779" t="s">
        <v>30</v>
      </c>
      <c r="D2779" t="s">
        <v>17</v>
      </c>
      <c r="E2779" t="s">
        <v>23</v>
      </c>
      <c r="F2779" t="s">
        <v>34</v>
      </c>
      <c r="G2779">
        <v>18</v>
      </c>
      <c r="H2779">
        <v>7</v>
      </c>
      <c r="I2779">
        <v>8</v>
      </c>
      <c r="J2779">
        <v>53.7</v>
      </c>
      <c r="K2779">
        <v>201.27</v>
      </c>
      <c r="L2779">
        <v>0.47</v>
      </c>
      <c r="M2779">
        <v>57.15</v>
      </c>
      <c r="N2779">
        <v>0.98</v>
      </c>
      <c r="O2779" t="s">
        <v>20</v>
      </c>
      <c r="P2779" t="s">
        <v>21</v>
      </c>
      <c r="Q2779">
        <f t="shared" si="215"/>
        <v>17</v>
      </c>
      <c r="R2779" s="4">
        <f>RANK(N2779,$N$2:N$2800,0)</f>
        <v>1157</v>
      </c>
      <c r="S2779">
        <f t="shared" si="216"/>
        <v>2.25</v>
      </c>
      <c r="T2779" t="str">
        <f t="shared" si="217"/>
        <v>Good</v>
      </c>
      <c r="U2779" t="str" cm="1">
        <f t="array" ref="U2779">_xlfn.LET(_xlpm.roles,_xlfn.UNIQUE(D2779:D5577),_xlpm.kills, SUMIF(D2779:D5577,_xlpm.roles,G2779:G5577),INDEX(_xlpm.roles,MATCH(MAX(_xlpm.kills),_xlpm.kills,0)))</f>
        <v>Flex</v>
      </c>
      <c r="V2779" t="str">
        <f t="shared" si="218"/>
        <v>High Accuracy</v>
      </c>
      <c r="W2779" t="str" cm="1">
        <f t="array" ref="W2779">_xlfn.LET(_xlpm.roles,_xlfn.UNIQUE(D2779:D5577), _xlpm.counts,COUNTIF(D2779:D5577,_xlpm.roles), INDEX(_xlpm.roles,MATCH(MAX(_xlpm.counts),_xlpm.counts,0)))</f>
        <v>Flex</v>
      </c>
      <c r="X2779" s="2">
        <f t="shared" si="219"/>
        <v>13.135802469135802</v>
      </c>
    </row>
    <row r="2780" spans="1:24" x14ac:dyDescent="0.3">
      <c r="A2780">
        <v>104</v>
      </c>
      <c r="B2780">
        <v>497</v>
      </c>
      <c r="C2780" t="s">
        <v>39</v>
      </c>
      <c r="D2780" t="s">
        <v>36</v>
      </c>
      <c r="E2780" t="s">
        <v>33</v>
      </c>
      <c r="F2780" t="s">
        <v>34</v>
      </c>
      <c r="G2780">
        <v>16</v>
      </c>
      <c r="H2780">
        <v>3</v>
      </c>
      <c r="I2780">
        <v>14</v>
      </c>
      <c r="J2780">
        <v>29.5</v>
      </c>
      <c r="K2780">
        <v>163.12</v>
      </c>
      <c r="L2780">
        <v>0.94</v>
      </c>
      <c r="M2780">
        <v>26.35</v>
      </c>
      <c r="N2780">
        <v>0.78</v>
      </c>
      <c r="O2780" t="s">
        <v>20</v>
      </c>
      <c r="P2780" t="s">
        <v>21</v>
      </c>
      <c r="Q2780">
        <f t="shared" si="215"/>
        <v>5</v>
      </c>
      <c r="R2780" s="4">
        <f>RANK(N2780,$N$2:N$2800,0)</f>
        <v>2469</v>
      </c>
      <c r="S2780">
        <f t="shared" si="216"/>
        <v>1.1428571428571428</v>
      </c>
      <c r="T2780" t="str">
        <f t="shared" si="217"/>
        <v>Low</v>
      </c>
      <c r="U2780" t="str" cm="1">
        <f t="array" ref="U2780">_xlfn.LET(_xlpm.roles,_xlfn.UNIQUE(D2780:D5578),_xlpm.kills, SUMIF(D2780:D5578,_xlpm.roles,G2780:G5578),INDEX(_xlpm.roles,MATCH(MAX(_xlpm.kills),_xlpm.kills,0)))</f>
        <v>Support</v>
      </c>
      <c r="V2780" t="str">
        <f t="shared" si="218"/>
        <v>Low Accuracy</v>
      </c>
      <c r="W2780" t="str" cm="1">
        <f t="array" ref="W2780">_xlfn.LET(_xlpm.roles,_xlfn.UNIQUE(D2780:D5578), _xlpm.counts,COUNTIF(D2780:D5578,_xlpm.roles), INDEX(_xlpm.roles,MATCH(MAX(_xlpm.counts),_xlpm.counts,0)))</f>
        <v>Support</v>
      </c>
      <c r="X2780" s="2">
        <f t="shared" si="219"/>
        <v>13.103594080338267</v>
      </c>
    </row>
    <row r="2781" spans="1:24" x14ac:dyDescent="0.3">
      <c r="A2781">
        <v>330</v>
      </c>
      <c r="B2781">
        <v>497</v>
      </c>
      <c r="C2781" t="s">
        <v>35</v>
      </c>
      <c r="D2781" t="s">
        <v>17</v>
      </c>
      <c r="E2781" t="s">
        <v>33</v>
      </c>
      <c r="F2781" t="s">
        <v>37</v>
      </c>
      <c r="G2781">
        <v>16</v>
      </c>
      <c r="H2781">
        <v>6</v>
      </c>
      <c r="I2781">
        <v>8</v>
      </c>
      <c r="J2781">
        <v>55.88</v>
      </c>
      <c r="K2781">
        <v>233.35</v>
      </c>
      <c r="L2781">
        <v>0.64</v>
      </c>
      <c r="M2781">
        <v>51.54</v>
      </c>
      <c r="N2781">
        <v>0.94</v>
      </c>
      <c r="O2781" t="s">
        <v>20</v>
      </c>
      <c r="P2781" t="s">
        <v>21</v>
      </c>
      <c r="Q2781">
        <f t="shared" si="215"/>
        <v>14</v>
      </c>
      <c r="R2781" s="4">
        <f>RANK(N2781,$N$2:N$2800,0)</f>
        <v>1431</v>
      </c>
      <c r="S2781">
        <f t="shared" si="216"/>
        <v>2</v>
      </c>
      <c r="T2781" t="str">
        <f t="shared" si="217"/>
        <v>Low</v>
      </c>
      <c r="U2781" t="str" cm="1">
        <f t="array" ref="U2781">_xlfn.LET(_xlpm.roles,_xlfn.UNIQUE(D2781:D5579),_xlpm.kills, SUMIF(D2781:D5579,_xlpm.roles,G2781:G5579),INDEX(_xlpm.roles,MATCH(MAX(_xlpm.kills),_xlpm.kills,0)))</f>
        <v>Support</v>
      </c>
      <c r="V2781" t="str">
        <f t="shared" si="218"/>
        <v>High Accuracy</v>
      </c>
      <c r="W2781" t="str" cm="1">
        <f t="array" ref="W2781">_xlfn.LET(_xlpm.roles,_xlfn.UNIQUE(D2781:D5579), _xlpm.counts,COUNTIF(D2781:D5579,_xlpm.roles), INDEX(_xlpm.roles,MATCH(MAX(_xlpm.counts),_xlpm.counts,0)))</f>
        <v>Support</v>
      </c>
      <c r="X2781" s="2">
        <f t="shared" si="219"/>
        <v>12.599585062240664</v>
      </c>
    </row>
    <row r="2782" spans="1:24" x14ac:dyDescent="0.3">
      <c r="A2782">
        <v>575</v>
      </c>
      <c r="B2782">
        <v>497</v>
      </c>
      <c r="C2782" t="s">
        <v>27</v>
      </c>
      <c r="D2782" t="s">
        <v>22</v>
      </c>
      <c r="E2782" t="s">
        <v>33</v>
      </c>
      <c r="F2782" t="s">
        <v>24</v>
      </c>
      <c r="G2782">
        <v>10</v>
      </c>
      <c r="H2782">
        <v>7</v>
      </c>
      <c r="I2782">
        <v>5</v>
      </c>
      <c r="J2782">
        <v>55.23</v>
      </c>
      <c r="K2782">
        <v>202.28</v>
      </c>
      <c r="L2782">
        <v>0.6</v>
      </c>
      <c r="M2782">
        <v>43.61</v>
      </c>
      <c r="N2782">
        <v>1</v>
      </c>
      <c r="O2782" t="s">
        <v>20</v>
      </c>
      <c r="P2782" t="s">
        <v>21</v>
      </c>
      <c r="Q2782">
        <f t="shared" si="215"/>
        <v>12</v>
      </c>
      <c r="R2782" s="4">
        <f>RANK(N2782,$N$2:N$2800,0)</f>
        <v>1</v>
      </c>
      <c r="S2782">
        <f t="shared" si="216"/>
        <v>2</v>
      </c>
      <c r="T2782" t="str">
        <f t="shared" si="217"/>
        <v>Low</v>
      </c>
      <c r="U2782" t="str" cm="1">
        <f t="array" ref="U2782">_xlfn.LET(_xlpm.roles,_xlfn.UNIQUE(D2782:D5580),_xlpm.kills, SUMIF(D2782:D5580,_xlpm.roles,G2782:G5580),INDEX(_xlpm.roles,MATCH(MAX(_xlpm.kills),_xlpm.kills,0)))</f>
        <v>Support</v>
      </c>
      <c r="V2782" t="str">
        <f t="shared" si="218"/>
        <v>High Accuracy</v>
      </c>
      <c r="W2782" t="str" cm="1">
        <f t="array" ref="W2782">_xlfn.LET(_xlpm.roles,_xlfn.UNIQUE(D2782:D5580), _xlpm.counts,COUNTIF(D2782:D5580,_xlpm.roles), INDEX(_xlpm.roles,MATCH(MAX(_xlpm.counts),_xlpm.counts,0)))</f>
        <v>Support</v>
      </c>
      <c r="X2782" s="2">
        <f t="shared" si="219"/>
        <v>13.057077625570777</v>
      </c>
    </row>
    <row r="2783" spans="1:24" x14ac:dyDescent="0.3">
      <c r="A2783">
        <v>1270</v>
      </c>
      <c r="B2783">
        <v>497</v>
      </c>
      <c r="C2783" t="s">
        <v>35</v>
      </c>
      <c r="D2783" t="s">
        <v>17</v>
      </c>
      <c r="E2783" t="s">
        <v>32</v>
      </c>
      <c r="F2783" t="s">
        <v>19</v>
      </c>
      <c r="G2783">
        <v>9</v>
      </c>
      <c r="H2783">
        <v>9</v>
      </c>
      <c r="I2783">
        <v>6</v>
      </c>
      <c r="J2783">
        <v>45.18</v>
      </c>
      <c r="K2783">
        <v>175.42</v>
      </c>
      <c r="L2783">
        <v>0.17</v>
      </c>
      <c r="M2783">
        <v>41.89</v>
      </c>
      <c r="N2783">
        <v>0.97</v>
      </c>
      <c r="O2783" t="s">
        <v>20</v>
      </c>
      <c r="P2783" t="s">
        <v>21</v>
      </c>
      <c r="Q2783">
        <f t="shared" si="215"/>
        <v>12</v>
      </c>
      <c r="R2783" s="4">
        <f>RANK(N2783,$N$2:N$2800,0)</f>
        <v>1243</v>
      </c>
      <c r="S2783">
        <f t="shared" si="216"/>
        <v>1.5</v>
      </c>
      <c r="T2783" t="str">
        <f t="shared" si="217"/>
        <v>Low</v>
      </c>
      <c r="U2783" t="str" cm="1">
        <f t="array" ref="U2783">_xlfn.LET(_xlpm.roles,_xlfn.UNIQUE(D2783:D5581),_xlpm.kills, SUMIF(D2783:D5581,_xlpm.roles,G2783:G5581),INDEX(_xlpm.roles,MATCH(MAX(_xlpm.kills),_xlpm.kills,0)))</f>
        <v>Support</v>
      </c>
      <c r="V2783" t="str">
        <f t="shared" si="218"/>
        <v>Medium Accuracy</v>
      </c>
      <c r="W2783" t="str" cm="1">
        <f t="array" ref="W2783">_xlfn.LET(_xlpm.roles,_xlfn.UNIQUE(D2783:D5581), _xlpm.counts,COUNTIF(D2783:D5581,_xlpm.roles), INDEX(_xlpm.roles,MATCH(MAX(_xlpm.counts),_xlpm.counts,0)))</f>
        <v>Support</v>
      </c>
      <c r="X2783" s="2">
        <f t="shared" si="219"/>
        <v>12.599585062240664</v>
      </c>
    </row>
    <row r="2784" spans="1:24" x14ac:dyDescent="0.3">
      <c r="A2784">
        <v>1729</v>
      </c>
      <c r="B2784">
        <v>497</v>
      </c>
      <c r="C2784" t="s">
        <v>39</v>
      </c>
      <c r="D2784" t="s">
        <v>22</v>
      </c>
      <c r="E2784" t="s">
        <v>18</v>
      </c>
      <c r="F2784" t="s">
        <v>34</v>
      </c>
      <c r="G2784">
        <v>16</v>
      </c>
      <c r="H2784">
        <v>10</v>
      </c>
      <c r="I2784">
        <v>12</v>
      </c>
      <c r="J2784">
        <v>46.05</v>
      </c>
      <c r="K2784">
        <v>212.34</v>
      </c>
      <c r="L2784">
        <v>0.64</v>
      </c>
      <c r="M2784">
        <v>46.62</v>
      </c>
      <c r="N2784">
        <v>0.97</v>
      </c>
      <c r="O2784" t="s">
        <v>20</v>
      </c>
      <c r="P2784" t="s">
        <v>21</v>
      </c>
      <c r="Q2784">
        <f t="shared" si="215"/>
        <v>14</v>
      </c>
      <c r="R2784" s="4">
        <f>RANK(N2784,$N$2:N$2800,0)</f>
        <v>1243</v>
      </c>
      <c r="S2784">
        <f t="shared" si="216"/>
        <v>1.3333333333333333</v>
      </c>
      <c r="T2784" t="str">
        <f t="shared" si="217"/>
        <v>Low</v>
      </c>
      <c r="U2784" t="str" cm="1">
        <f t="array" ref="U2784">_xlfn.LET(_xlpm.roles,_xlfn.UNIQUE(D2784:D5582),_xlpm.kills, SUMIF(D2784:D5582,_xlpm.roles,G2784:G5582),INDEX(_xlpm.roles,MATCH(MAX(_xlpm.kills),_xlpm.kills,0)))</f>
        <v>Support</v>
      </c>
      <c r="V2784" t="str">
        <f t="shared" si="218"/>
        <v>Medium Accuracy</v>
      </c>
      <c r="W2784" t="str" cm="1">
        <f t="array" ref="W2784">_xlfn.LET(_xlpm.roles,_xlfn.UNIQUE(D2784:D5582), _xlpm.counts,COUNTIF(D2784:D5582,_xlpm.roles), INDEX(_xlpm.roles,MATCH(MAX(_xlpm.counts),_xlpm.counts,0)))</f>
        <v>Support</v>
      </c>
      <c r="X2784" s="2">
        <f t="shared" si="219"/>
        <v>13.103594080338267</v>
      </c>
    </row>
    <row r="2785" spans="1:24" x14ac:dyDescent="0.3">
      <c r="A2785">
        <v>1736</v>
      </c>
      <c r="B2785">
        <v>497</v>
      </c>
      <c r="C2785" t="s">
        <v>30</v>
      </c>
      <c r="D2785" t="s">
        <v>36</v>
      </c>
      <c r="E2785" t="s">
        <v>23</v>
      </c>
      <c r="F2785" t="s">
        <v>24</v>
      </c>
      <c r="G2785">
        <v>22</v>
      </c>
      <c r="H2785">
        <v>12</v>
      </c>
      <c r="I2785">
        <v>13</v>
      </c>
      <c r="J2785">
        <v>43.11</v>
      </c>
      <c r="K2785">
        <v>159.02000000000001</v>
      </c>
      <c r="L2785">
        <v>0.25</v>
      </c>
      <c r="M2785">
        <v>62.06</v>
      </c>
      <c r="N2785">
        <v>1</v>
      </c>
      <c r="O2785" t="s">
        <v>20</v>
      </c>
      <c r="P2785" t="s">
        <v>38</v>
      </c>
      <c r="Q2785">
        <f t="shared" si="215"/>
        <v>21</v>
      </c>
      <c r="R2785" s="4">
        <f>RANK(N2785,$N$2:N$2800,0)</f>
        <v>1</v>
      </c>
      <c r="S2785">
        <f t="shared" si="216"/>
        <v>1.6923076923076923</v>
      </c>
      <c r="T2785" t="str">
        <f t="shared" si="217"/>
        <v>Good</v>
      </c>
      <c r="U2785" t="str" cm="1">
        <f t="array" ref="U2785">_xlfn.LET(_xlpm.roles,_xlfn.UNIQUE(D2785:D5583),_xlpm.kills, SUMIF(D2785:D5583,_xlpm.roles,G2785:G5583),INDEX(_xlpm.roles,MATCH(MAX(_xlpm.kills),_xlpm.kills,0)))</f>
        <v>Support</v>
      </c>
      <c r="V2785" t="str">
        <f t="shared" si="218"/>
        <v>Medium Accuracy</v>
      </c>
      <c r="W2785" t="str" cm="1">
        <f t="array" ref="W2785">_xlfn.LET(_xlpm.roles,_xlfn.UNIQUE(D2785:D5583), _xlpm.counts,COUNTIF(D2785:D5583,_xlpm.roles), INDEX(_xlpm.roles,MATCH(MAX(_xlpm.counts),_xlpm.counts,0)))</f>
        <v>Support</v>
      </c>
      <c r="X2785" s="2">
        <f t="shared" si="219"/>
        <v>13.135802469135802</v>
      </c>
    </row>
    <row r="2786" spans="1:24" x14ac:dyDescent="0.3">
      <c r="A2786">
        <v>2143</v>
      </c>
      <c r="B2786">
        <v>497</v>
      </c>
      <c r="C2786" t="s">
        <v>30</v>
      </c>
      <c r="D2786" t="s">
        <v>22</v>
      </c>
      <c r="E2786" t="s">
        <v>23</v>
      </c>
      <c r="F2786" t="s">
        <v>37</v>
      </c>
      <c r="G2786">
        <v>22</v>
      </c>
      <c r="H2786">
        <v>7</v>
      </c>
      <c r="I2786">
        <v>11</v>
      </c>
      <c r="J2786">
        <v>41.66</v>
      </c>
      <c r="K2786">
        <v>203.88</v>
      </c>
      <c r="L2786">
        <v>0.25</v>
      </c>
      <c r="M2786">
        <v>58.33</v>
      </c>
      <c r="N2786">
        <v>0.84</v>
      </c>
      <c r="O2786" t="s">
        <v>20</v>
      </c>
      <c r="P2786" t="s">
        <v>21</v>
      </c>
      <c r="Q2786">
        <f t="shared" si="215"/>
        <v>18</v>
      </c>
      <c r="R2786" s="4">
        <f>RANK(N2786,$N$2:N$2800,0)</f>
        <v>2156</v>
      </c>
      <c r="S2786">
        <f t="shared" si="216"/>
        <v>2</v>
      </c>
      <c r="T2786" t="str">
        <f t="shared" si="217"/>
        <v>Good</v>
      </c>
      <c r="U2786" t="str" cm="1">
        <f t="array" ref="U2786">_xlfn.LET(_xlpm.roles,_xlfn.UNIQUE(D2786:D5584),_xlpm.kills, SUMIF(D2786:D5584,_xlpm.roles,G2786:G5584),INDEX(_xlpm.roles,MATCH(MAX(_xlpm.kills),_xlpm.kills,0)))</f>
        <v>Support</v>
      </c>
      <c r="V2786" t="str">
        <f t="shared" si="218"/>
        <v>Medium Accuracy</v>
      </c>
      <c r="W2786" t="str" cm="1">
        <f t="array" ref="W2786">_xlfn.LET(_xlpm.roles,_xlfn.UNIQUE(D2786:D5584), _xlpm.counts,COUNTIF(D2786:D5584,_xlpm.roles), INDEX(_xlpm.roles,MATCH(MAX(_xlpm.counts),_xlpm.counts,0)))</f>
        <v>Support</v>
      </c>
      <c r="X2786" s="2">
        <f t="shared" si="219"/>
        <v>13.135802469135802</v>
      </c>
    </row>
    <row r="2787" spans="1:24" x14ac:dyDescent="0.3">
      <c r="A2787">
        <v>2746</v>
      </c>
      <c r="B2787">
        <v>497</v>
      </c>
      <c r="C2787" t="s">
        <v>35</v>
      </c>
      <c r="D2787" t="s">
        <v>22</v>
      </c>
      <c r="E2787" t="s">
        <v>32</v>
      </c>
      <c r="F2787" t="s">
        <v>26</v>
      </c>
      <c r="G2787">
        <v>14</v>
      </c>
      <c r="H2787">
        <v>15</v>
      </c>
      <c r="I2787">
        <v>13</v>
      </c>
      <c r="J2787">
        <v>62.56</v>
      </c>
      <c r="K2787">
        <v>245.68</v>
      </c>
      <c r="L2787">
        <v>0.12</v>
      </c>
      <c r="M2787">
        <v>60.08</v>
      </c>
      <c r="N2787">
        <v>0.87</v>
      </c>
      <c r="O2787" t="s">
        <v>20</v>
      </c>
      <c r="P2787" t="s">
        <v>38</v>
      </c>
      <c r="Q2787">
        <f t="shared" si="215"/>
        <v>16</v>
      </c>
      <c r="R2787" s="4">
        <f>RANK(N2787,$N$2:N$2800,0)</f>
        <v>1965</v>
      </c>
      <c r="S2787">
        <f t="shared" si="216"/>
        <v>1.0769230769230769</v>
      </c>
      <c r="T2787" t="str">
        <f t="shared" si="217"/>
        <v>Good</v>
      </c>
      <c r="U2787" t="str" cm="1">
        <f t="array" ref="U2787">_xlfn.LET(_xlpm.roles,_xlfn.UNIQUE(D2787:D5585),_xlpm.kills, SUMIF(D2787:D5585,_xlpm.roles,G2787:G5585),INDEX(_xlpm.roles,MATCH(MAX(_xlpm.kills),_xlpm.kills,0)))</f>
        <v>Flex</v>
      </c>
      <c r="V2787" t="str">
        <f t="shared" si="218"/>
        <v>High Accuracy</v>
      </c>
      <c r="W2787" t="str" cm="1">
        <f t="array" ref="W2787">_xlfn.LET(_xlpm.roles,_xlfn.UNIQUE(D2787:D5585), _xlpm.counts,COUNTIF(D2787:D5585,_xlpm.roles), INDEX(_xlpm.roles,MATCH(MAX(_xlpm.counts),_xlpm.counts,0)))</f>
        <v>Sniper</v>
      </c>
      <c r="X2787" s="2">
        <f t="shared" si="219"/>
        <v>12.599585062240664</v>
      </c>
    </row>
    <row r="2788" spans="1:24" x14ac:dyDescent="0.3">
      <c r="A2788">
        <v>1137</v>
      </c>
      <c r="B2788">
        <v>498</v>
      </c>
      <c r="C2788" t="s">
        <v>16</v>
      </c>
      <c r="D2788" t="s">
        <v>22</v>
      </c>
      <c r="E2788" t="s">
        <v>29</v>
      </c>
      <c r="F2788" t="s">
        <v>34</v>
      </c>
      <c r="G2788">
        <v>14</v>
      </c>
      <c r="H2788">
        <v>7</v>
      </c>
      <c r="I2788">
        <v>11</v>
      </c>
      <c r="J2788">
        <v>45.44</v>
      </c>
      <c r="K2788">
        <v>227.29</v>
      </c>
      <c r="L2788">
        <v>0.47</v>
      </c>
      <c r="M2788">
        <v>42.02</v>
      </c>
      <c r="N2788">
        <v>1</v>
      </c>
      <c r="O2788" t="s">
        <v>20</v>
      </c>
      <c r="P2788" t="s">
        <v>21</v>
      </c>
      <c r="Q2788">
        <f t="shared" si="215"/>
        <v>10</v>
      </c>
      <c r="R2788" s="4">
        <f>RANK(N2788,$N$2:N$2800,0)</f>
        <v>1</v>
      </c>
      <c r="S2788">
        <f t="shared" si="216"/>
        <v>1.2727272727272727</v>
      </c>
      <c r="T2788" t="str">
        <f t="shared" si="217"/>
        <v>Low</v>
      </c>
      <c r="U2788" t="str" cm="1">
        <f t="array" ref="U2788">_xlfn.LET(_xlpm.roles,_xlfn.UNIQUE(D2788:D5586),_xlpm.kills, SUMIF(D2788:D5586,_xlpm.roles,G2788:G5586),INDEX(_xlpm.roles,MATCH(MAX(_xlpm.kills),_xlpm.kills,0)))</f>
        <v>Flex</v>
      </c>
      <c r="V2788" t="str">
        <f t="shared" si="218"/>
        <v>Medium Accuracy</v>
      </c>
      <c r="W2788" t="str" cm="1">
        <f t="array" ref="W2788">_xlfn.LET(_xlpm.roles,_xlfn.UNIQUE(D2788:D5586), _xlpm.counts,COUNTIF(D2788:D5586,_xlpm.roles), INDEX(_xlpm.roles,MATCH(MAX(_xlpm.counts),_xlpm.counts,0)))</f>
        <v>Sniper</v>
      </c>
      <c r="X2788" s="2">
        <f t="shared" si="219"/>
        <v>12.520971302428256</v>
      </c>
    </row>
    <row r="2789" spans="1:24" x14ac:dyDescent="0.3">
      <c r="A2789">
        <v>1226</v>
      </c>
      <c r="B2789">
        <v>498</v>
      </c>
      <c r="C2789" t="s">
        <v>16</v>
      </c>
      <c r="D2789" t="s">
        <v>31</v>
      </c>
      <c r="E2789" t="s">
        <v>23</v>
      </c>
      <c r="F2789" t="s">
        <v>24</v>
      </c>
      <c r="G2789">
        <v>10</v>
      </c>
      <c r="H2789">
        <v>5</v>
      </c>
      <c r="I2789">
        <v>11</v>
      </c>
      <c r="J2789">
        <v>45.91</v>
      </c>
      <c r="K2789">
        <v>245.91</v>
      </c>
      <c r="L2789">
        <v>0.41</v>
      </c>
      <c r="M2789">
        <v>32.85</v>
      </c>
      <c r="N2789">
        <v>0.68</v>
      </c>
      <c r="O2789" t="s">
        <v>20</v>
      </c>
      <c r="P2789" t="s">
        <v>21</v>
      </c>
      <c r="Q2789">
        <f t="shared" si="215"/>
        <v>4</v>
      </c>
      <c r="R2789" s="4">
        <f>RANK(N2789,$N$2:N$2800,0)</f>
        <v>2719</v>
      </c>
      <c r="S2789">
        <f t="shared" si="216"/>
        <v>0.90909090909090906</v>
      </c>
      <c r="T2789" t="str">
        <f t="shared" si="217"/>
        <v>Low</v>
      </c>
      <c r="U2789" t="str" cm="1">
        <f t="array" ref="U2789">_xlfn.LET(_xlpm.roles,_xlfn.UNIQUE(D2789:D5587),_xlpm.kills, SUMIF(D2789:D5587,_xlpm.roles,G2789:G5587),INDEX(_xlpm.roles,MATCH(MAX(_xlpm.kills),_xlpm.kills,0)))</f>
        <v>Flex</v>
      </c>
      <c r="V2789" t="str">
        <f t="shared" si="218"/>
        <v>Medium Accuracy</v>
      </c>
      <c r="W2789" t="str" cm="1">
        <f t="array" ref="W2789">_xlfn.LET(_xlpm.roles,_xlfn.UNIQUE(D2789:D5587), _xlpm.counts,COUNTIF(D2789:D5587,_xlpm.roles), INDEX(_xlpm.roles,MATCH(MAX(_xlpm.counts),_xlpm.counts,0)))</f>
        <v>Sniper</v>
      </c>
      <c r="X2789" s="2">
        <f t="shared" si="219"/>
        <v>12.520971302428256</v>
      </c>
    </row>
    <row r="2790" spans="1:24" x14ac:dyDescent="0.3">
      <c r="A2790">
        <v>1883</v>
      </c>
      <c r="B2790">
        <v>498</v>
      </c>
      <c r="C2790" t="s">
        <v>30</v>
      </c>
      <c r="D2790" t="s">
        <v>17</v>
      </c>
      <c r="E2790" t="s">
        <v>33</v>
      </c>
      <c r="F2790" t="s">
        <v>37</v>
      </c>
      <c r="G2790">
        <v>18</v>
      </c>
      <c r="H2790">
        <v>3</v>
      </c>
      <c r="I2790">
        <v>10</v>
      </c>
      <c r="J2790">
        <v>56.68</v>
      </c>
      <c r="K2790">
        <v>239.79</v>
      </c>
      <c r="L2790">
        <v>0.35</v>
      </c>
      <c r="M2790">
        <v>53.84</v>
      </c>
      <c r="N2790">
        <v>0.97</v>
      </c>
      <c r="O2790" t="s">
        <v>20</v>
      </c>
      <c r="P2790" t="s">
        <v>21</v>
      </c>
      <c r="Q2790">
        <f t="shared" si="215"/>
        <v>11</v>
      </c>
      <c r="R2790" s="4">
        <f>RANK(N2790,$N$2:N$2800,0)</f>
        <v>1243</v>
      </c>
      <c r="S2790">
        <f t="shared" si="216"/>
        <v>1.8</v>
      </c>
      <c r="T2790" t="str">
        <f t="shared" si="217"/>
        <v>Low</v>
      </c>
      <c r="U2790" t="str" cm="1">
        <f t="array" ref="U2790">_xlfn.LET(_xlpm.roles,_xlfn.UNIQUE(D2790:D5588),_xlpm.kills, SUMIF(D2790:D5588,_xlpm.roles,G2790:G5588),INDEX(_xlpm.roles,MATCH(MAX(_xlpm.kills),_xlpm.kills,0)))</f>
        <v>Flex</v>
      </c>
      <c r="V2790" t="str">
        <f t="shared" si="218"/>
        <v>High Accuracy</v>
      </c>
      <c r="W2790" t="str" cm="1">
        <f t="array" ref="W2790">_xlfn.LET(_xlpm.roles,_xlfn.UNIQUE(D2790:D5588), _xlpm.counts,COUNTIF(D2790:D5588,_xlpm.roles), INDEX(_xlpm.roles,MATCH(MAX(_xlpm.counts),_xlpm.counts,0)))</f>
        <v>Flex</v>
      </c>
      <c r="X2790" s="2">
        <f t="shared" si="219"/>
        <v>13.135802469135802</v>
      </c>
    </row>
    <row r="2791" spans="1:24" x14ac:dyDescent="0.3">
      <c r="A2791">
        <v>2504</v>
      </c>
      <c r="B2791">
        <v>498</v>
      </c>
      <c r="C2791" t="s">
        <v>30</v>
      </c>
      <c r="D2791" t="s">
        <v>28</v>
      </c>
      <c r="E2791" t="s">
        <v>18</v>
      </c>
      <c r="F2791" t="s">
        <v>24</v>
      </c>
      <c r="G2791">
        <v>18</v>
      </c>
      <c r="H2791">
        <v>6</v>
      </c>
      <c r="I2791">
        <v>9</v>
      </c>
      <c r="J2791">
        <v>52.75</v>
      </c>
      <c r="K2791">
        <v>240.82</v>
      </c>
      <c r="L2791">
        <v>0.77</v>
      </c>
      <c r="M2791">
        <v>51.67</v>
      </c>
      <c r="N2791">
        <v>0.98</v>
      </c>
      <c r="O2791" t="s">
        <v>20</v>
      </c>
      <c r="P2791" t="s">
        <v>21</v>
      </c>
      <c r="Q2791">
        <f t="shared" si="215"/>
        <v>15</v>
      </c>
      <c r="R2791" s="4">
        <f>RANK(N2791,$N$2:N$2800,0)</f>
        <v>1157</v>
      </c>
      <c r="S2791">
        <f t="shared" si="216"/>
        <v>2</v>
      </c>
      <c r="T2791" t="str">
        <f t="shared" si="217"/>
        <v>Good</v>
      </c>
      <c r="U2791" t="str" cm="1">
        <f t="array" ref="U2791">_xlfn.LET(_xlpm.roles,_xlfn.UNIQUE(D2791:D5589),_xlpm.kills, SUMIF(D2791:D5589,_xlpm.roles,G2791:G5589),INDEX(_xlpm.roles,MATCH(MAX(_xlpm.kills),_xlpm.kills,0)))</f>
        <v>IGL</v>
      </c>
      <c r="V2791" t="str">
        <f t="shared" si="218"/>
        <v>High Accuracy</v>
      </c>
      <c r="W2791" t="str" cm="1">
        <f t="array" ref="W2791">_xlfn.LET(_xlpm.roles,_xlfn.UNIQUE(D2791:D5589), _xlpm.counts,COUNTIF(D2791:D5589,_xlpm.roles), INDEX(_xlpm.roles,MATCH(MAX(_xlpm.counts),_xlpm.counts,0)))</f>
        <v>IGL</v>
      </c>
      <c r="X2791" s="2">
        <f t="shared" si="219"/>
        <v>13.135802469135802</v>
      </c>
    </row>
    <row r="2792" spans="1:24" x14ac:dyDescent="0.3">
      <c r="A2792">
        <v>390</v>
      </c>
      <c r="B2792">
        <v>499</v>
      </c>
      <c r="C2792" t="s">
        <v>16</v>
      </c>
      <c r="D2792" t="s">
        <v>17</v>
      </c>
      <c r="E2792" t="s">
        <v>29</v>
      </c>
      <c r="F2792" t="s">
        <v>26</v>
      </c>
      <c r="G2792">
        <v>17</v>
      </c>
      <c r="H2792">
        <v>8</v>
      </c>
      <c r="I2792">
        <v>8</v>
      </c>
      <c r="J2792">
        <v>67.67</v>
      </c>
      <c r="K2792">
        <v>233.72</v>
      </c>
      <c r="L2792">
        <v>0.94</v>
      </c>
      <c r="M2792">
        <v>58.44</v>
      </c>
      <c r="N2792">
        <v>1</v>
      </c>
      <c r="O2792" t="s">
        <v>20</v>
      </c>
      <c r="P2792" t="s">
        <v>21</v>
      </c>
      <c r="Q2792">
        <f t="shared" si="215"/>
        <v>17</v>
      </c>
      <c r="R2792" s="4">
        <f>RANK(N2792,$N$2:N$2800,0)</f>
        <v>1</v>
      </c>
      <c r="S2792">
        <f t="shared" si="216"/>
        <v>2.125</v>
      </c>
      <c r="T2792" t="str">
        <f t="shared" si="217"/>
        <v>Good</v>
      </c>
      <c r="U2792" t="str" cm="1">
        <f t="array" ref="U2792">_xlfn.LET(_xlpm.roles,_xlfn.UNIQUE(D2792:D5590),_xlpm.kills, SUMIF(D2792:D5590,_xlpm.roles,G2792:G5590),INDEX(_xlpm.roles,MATCH(MAX(_xlpm.kills),_xlpm.kills,0)))</f>
        <v>Sniper</v>
      </c>
      <c r="V2792" t="str">
        <f t="shared" si="218"/>
        <v>High Accuracy</v>
      </c>
      <c r="W2792" t="str" cm="1">
        <f t="array" ref="W2792">_xlfn.LET(_xlpm.roles,_xlfn.UNIQUE(D2792:D5590), _xlpm.counts,COUNTIF(D2792:D5590,_xlpm.roles), INDEX(_xlpm.roles,MATCH(MAX(_xlpm.counts),_xlpm.counts,0)))</f>
        <v>Sniper</v>
      </c>
      <c r="X2792" s="2">
        <f t="shared" si="219"/>
        <v>12.520971302428256</v>
      </c>
    </row>
    <row r="2793" spans="1:24" x14ac:dyDescent="0.3">
      <c r="A2793">
        <v>1163</v>
      </c>
      <c r="B2793">
        <v>499</v>
      </c>
      <c r="C2793" t="s">
        <v>27</v>
      </c>
      <c r="D2793" t="s">
        <v>28</v>
      </c>
      <c r="E2793" t="s">
        <v>33</v>
      </c>
      <c r="F2793" t="s">
        <v>34</v>
      </c>
      <c r="G2793">
        <v>20</v>
      </c>
      <c r="H2793">
        <v>12</v>
      </c>
      <c r="I2793">
        <v>8</v>
      </c>
      <c r="J2793">
        <v>57.64</v>
      </c>
      <c r="K2793">
        <v>270.14999999999998</v>
      </c>
      <c r="L2793">
        <v>0.61</v>
      </c>
      <c r="M2793">
        <v>66.72</v>
      </c>
      <c r="N2793">
        <v>1</v>
      </c>
      <c r="O2793" t="s">
        <v>20</v>
      </c>
      <c r="P2793" t="s">
        <v>38</v>
      </c>
      <c r="Q2793">
        <f t="shared" si="215"/>
        <v>24</v>
      </c>
      <c r="R2793" s="4">
        <f>RANK(N2793,$N$2:N$2800,0)</f>
        <v>1</v>
      </c>
      <c r="S2793">
        <f t="shared" si="216"/>
        <v>2.5</v>
      </c>
      <c r="T2793" t="str">
        <f t="shared" si="217"/>
        <v>Good</v>
      </c>
      <c r="U2793" t="str" cm="1">
        <f t="array" ref="U2793">_xlfn.LET(_xlpm.roles,_xlfn.UNIQUE(D2793:D5591),_xlpm.kills, SUMIF(D2793:D5591,_xlpm.roles,G2793:G5591),INDEX(_xlpm.roles,MATCH(MAX(_xlpm.kills),_xlpm.kills,0)))</f>
        <v>Sniper</v>
      </c>
      <c r="V2793" t="str">
        <f t="shared" si="218"/>
        <v>High Accuracy</v>
      </c>
      <c r="W2793" t="str" cm="1">
        <f t="array" ref="W2793">_xlfn.LET(_xlpm.roles,_xlfn.UNIQUE(D2793:D5591), _xlpm.counts,COUNTIF(D2793:D5591,_xlpm.roles), INDEX(_xlpm.roles,MATCH(MAX(_xlpm.counts),_xlpm.counts,0)))</f>
        <v>Sniper</v>
      </c>
      <c r="X2793" s="2">
        <f t="shared" si="219"/>
        <v>13.057077625570777</v>
      </c>
    </row>
    <row r="2794" spans="1:24" x14ac:dyDescent="0.3">
      <c r="A2794">
        <v>1738</v>
      </c>
      <c r="B2794">
        <v>499</v>
      </c>
      <c r="C2794" t="s">
        <v>27</v>
      </c>
      <c r="D2794" t="s">
        <v>31</v>
      </c>
      <c r="E2794" t="s">
        <v>32</v>
      </c>
      <c r="F2794" t="s">
        <v>37</v>
      </c>
      <c r="G2794">
        <v>14</v>
      </c>
      <c r="H2794">
        <v>6</v>
      </c>
      <c r="I2794">
        <v>7</v>
      </c>
      <c r="J2794">
        <v>45.98</v>
      </c>
      <c r="K2794">
        <v>217.57</v>
      </c>
      <c r="L2794">
        <v>0.64</v>
      </c>
      <c r="M2794">
        <v>43.59</v>
      </c>
      <c r="N2794">
        <v>0.96</v>
      </c>
      <c r="O2794" t="s">
        <v>20</v>
      </c>
      <c r="P2794" t="s">
        <v>21</v>
      </c>
      <c r="Q2794">
        <f t="shared" si="215"/>
        <v>13</v>
      </c>
      <c r="R2794" s="4">
        <f>RANK(N2794,$N$2:N$2800,0)</f>
        <v>1301</v>
      </c>
      <c r="S2794">
        <f t="shared" si="216"/>
        <v>2</v>
      </c>
      <c r="T2794" t="str">
        <f t="shared" si="217"/>
        <v>Low</v>
      </c>
      <c r="U2794" t="str" cm="1">
        <f t="array" ref="U2794">_xlfn.LET(_xlpm.roles,_xlfn.UNIQUE(D2794:D5592),_xlpm.kills, SUMIF(D2794:D5592,_xlpm.roles,G2794:G5592),INDEX(_xlpm.roles,MATCH(MAX(_xlpm.kills),_xlpm.kills,0)))</f>
        <v>Sniper</v>
      </c>
      <c r="V2794" t="str">
        <f t="shared" si="218"/>
        <v>Medium Accuracy</v>
      </c>
      <c r="W2794" t="str" cm="1">
        <f t="array" ref="W2794">_xlfn.LET(_xlpm.roles,_xlfn.UNIQUE(D2794:D5592), _xlpm.counts,COUNTIF(D2794:D5592,_xlpm.roles), INDEX(_xlpm.roles,MATCH(MAX(_xlpm.counts),_xlpm.counts,0)))</f>
        <v>Sniper</v>
      </c>
      <c r="X2794" s="2">
        <f t="shared" si="219"/>
        <v>13.057077625570777</v>
      </c>
    </row>
    <row r="2795" spans="1:24" x14ac:dyDescent="0.3">
      <c r="A2795">
        <v>2537</v>
      </c>
      <c r="B2795">
        <v>499</v>
      </c>
      <c r="C2795" t="s">
        <v>25</v>
      </c>
      <c r="D2795" t="s">
        <v>17</v>
      </c>
      <c r="E2795" t="s">
        <v>18</v>
      </c>
      <c r="F2795" t="s">
        <v>19</v>
      </c>
      <c r="G2795">
        <v>26</v>
      </c>
      <c r="H2795">
        <v>6</v>
      </c>
      <c r="I2795">
        <v>17</v>
      </c>
      <c r="J2795">
        <v>42.25</v>
      </c>
      <c r="K2795">
        <v>204.74</v>
      </c>
      <c r="L2795">
        <v>0.08</v>
      </c>
      <c r="M2795">
        <v>61.33</v>
      </c>
      <c r="N2795">
        <v>1</v>
      </c>
      <c r="O2795" t="s">
        <v>20</v>
      </c>
      <c r="P2795" t="s">
        <v>38</v>
      </c>
      <c r="Q2795">
        <f t="shared" si="215"/>
        <v>15</v>
      </c>
      <c r="R2795" s="4">
        <f>RANK(N2795,$N$2:N$2800,0)</f>
        <v>1</v>
      </c>
      <c r="S2795">
        <f t="shared" si="216"/>
        <v>1.5294117647058822</v>
      </c>
      <c r="T2795" t="str">
        <f t="shared" si="217"/>
        <v>Good</v>
      </c>
      <c r="U2795" t="str" cm="1">
        <f t="array" ref="U2795">_xlfn.LET(_xlpm.roles,_xlfn.UNIQUE(D2795:D5593),_xlpm.kills, SUMIF(D2795:D5593,_xlpm.roles,G2795:G5593),INDEX(_xlpm.roles,MATCH(MAX(_xlpm.kills),_xlpm.kills,0)))</f>
        <v>Sniper</v>
      </c>
      <c r="V2795" t="str">
        <f t="shared" si="218"/>
        <v>Medium Accuracy</v>
      </c>
      <c r="W2795" t="str" cm="1">
        <f t="array" ref="W2795">_xlfn.LET(_xlpm.roles,_xlfn.UNIQUE(D2795:D5593), _xlpm.counts,COUNTIF(D2795:D5593,_xlpm.roles), INDEX(_xlpm.roles,MATCH(MAX(_xlpm.counts),_xlpm.counts,0)))</f>
        <v>Sniper</v>
      </c>
      <c r="X2795" s="2">
        <f t="shared" si="219"/>
        <v>12.809421841541756</v>
      </c>
    </row>
    <row r="2796" spans="1:24" x14ac:dyDescent="0.3">
      <c r="A2796">
        <v>2608</v>
      </c>
      <c r="B2796">
        <v>499</v>
      </c>
      <c r="C2796" t="s">
        <v>35</v>
      </c>
      <c r="D2796" t="s">
        <v>36</v>
      </c>
      <c r="E2796" t="s">
        <v>33</v>
      </c>
      <c r="F2796" t="s">
        <v>34</v>
      </c>
      <c r="G2796">
        <v>16</v>
      </c>
      <c r="H2796">
        <v>9</v>
      </c>
      <c r="I2796">
        <v>9</v>
      </c>
      <c r="J2796">
        <v>60.13</v>
      </c>
      <c r="K2796">
        <v>213.17</v>
      </c>
      <c r="L2796">
        <v>0.1</v>
      </c>
      <c r="M2796">
        <v>61.06</v>
      </c>
      <c r="N2796">
        <v>1</v>
      </c>
      <c r="O2796" t="s">
        <v>20</v>
      </c>
      <c r="P2796" t="s">
        <v>38</v>
      </c>
      <c r="Q2796">
        <f t="shared" si="215"/>
        <v>16</v>
      </c>
      <c r="R2796" s="4">
        <f>RANK(N2796,$N$2:N$2800,0)</f>
        <v>1</v>
      </c>
      <c r="S2796">
        <f t="shared" si="216"/>
        <v>1.7777777777777777</v>
      </c>
      <c r="T2796" t="str">
        <f t="shared" si="217"/>
        <v>Good</v>
      </c>
      <c r="U2796" t="str" cm="1">
        <f t="array" ref="U2796">_xlfn.LET(_xlpm.roles,_xlfn.UNIQUE(D2796:D5594),_xlpm.kills, SUMIF(D2796:D5594,_xlpm.roles,G2796:G5594),INDEX(_xlpm.roles,MATCH(MAX(_xlpm.kills),_xlpm.kills,0)))</f>
        <v>Sniper</v>
      </c>
      <c r="V2796" t="str">
        <f t="shared" si="218"/>
        <v>High Accuracy</v>
      </c>
      <c r="W2796" t="str" cm="1">
        <f t="array" ref="W2796">_xlfn.LET(_xlpm.roles,_xlfn.UNIQUE(D2796:D5594), _xlpm.counts,COUNTIF(D2796:D5594,_xlpm.roles), INDEX(_xlpm.roles,MATCH(MAX(_xlpm.counts),_xlpm.counts,0)))</f>
        <v>Sniper</v>
      </c>
      <c r="X2796" s="2">
        <f t="shared" si="219"/>
        <v>12.599585062240664</v>
      </c>
    </row>
    <row r="2797" spans="1:24" x14ac:dyDescent="0.3">
      <c r="A2797">
        <v>689</v>
      </c>
      <c r="B2797">
        <v>500</v>
      </c>
      <c r="C2797" t="s">
        <v>25</v>
      </c>
      <c r="D2797" t="s">
        <v>31</v>
      </c>
      <c r="E2797" t="s">
        <v>32</v>
      </c>
      <c r="F2797" t="s">
        <v>34</v>
      </c>
      <c r="G2797">
        <v>13</v>
      </c>
      <c r="H2797">
        <v>3</v>
      </c>
      <c r="I2797">
        <v>15</v>
      </c>
      <c r="J2797">
        <v>49.73</v>
      </c>
      <c r="K2797">
        <v>215.31</v>
      </c>
      <c r="L2797">
        <v>0.69</v>
      </c>
      <c r="M2797">
        <v>31.96</v>
      </c>
      <c r="N2797">
        <v>0.79</v>
      </c>
      <c r="O2797" t="s">
        <v>20</v>
      </c>
      <c r="P2797" t="s">
        <v>21</v>
      </c>
      <c r="Q2797">
        <f t="shared" si="215"/>
        <v>1</v>
      </c>
      <c r="R2797" s="4">
        <f>RANK(N2797,$N$2:N$2800,0)</f>
        <v>2436</v>
      </c>
      <c r="S2797">
        <f t="shared" si="216"/>
        <v>0.8666666666666667</v>
      </c>
      <c r="T2797" t="str">
        <f t="shared" si="217"/>
        <v>Low</v>
      </c>
      <c r="U2797" t="str" cm="1">
        <f t="array" ref="U2797">_xlfn.LET(_xlpm.roles,_xlfn.UNIQUE(D2797:D5595),_xlpm.kills, SUMIF(D2797:D5595,_xlpm.roles,G2797:G5595),INDEX(_xlpm.roles,MATCH(MAX(_xlpm.kills),_xlpm.kills,0)))</f>
        <v>Sniper</v>
      </c>
      <c r="V2797" t="str">
        <f t="shared" si="218"/>
        <v>Medium Accuracy</v>
      </c>
      <c r="W2797" t="str" cm="1">
        <f t="array" ref="W2797">_xlfn.LET(_xlpm.roles,_xlfn.UNIQUE(D2797:D5595), _xlpm.counts,COUNTIF(D2797:D5595,_xlpm.roles), INDEX(_xlpm.roles,MATCH(MAX(_xlpm.counts),_xlpm.counts,0)))</f>
        <v>Sniper</v>
      </c>
      <c r="X2797" s="2">
        <f t="shared" si="219"/>
        <v>12.809421841541756</v>
      </c>
    </row>
    <row r="2798" spans="1:24" x14ac:dyDescent="0.3">
      <c r="A2798">
        <v>1837</v>
      </c>
      <c r="B2798">
        <v>500</v>
      </c>
      <c r="C2798" t="s">
        <v>25</v>
      </c>
      <c r="D2798" t="s">
        <v>31</v>
      </c>
      <c r="E2798" t="s">
        <v>29</v>
      </c>
      <c r="F2798" t="s">
        <v>19</v>
      </c>
      <c r="G2798">
        <v>17</v>
      </c>
      <c r="H2798">
        <v>3</v>
      </c>
      <c r="I2798">
        <v>15</v>
      </c>
      <c r="J2798">
        <v>48.97</v>
      </c>
      <c r="K2798">
        <v>190.89</v>
      </c>
      <c r="L2798">
        <v>0.37</v>
      </c>
      <c r="M2798">
        <v>42.78</v>
      </c>
      <c r="N2798">
        <v>1</v>
      </c>
      <c r="O2798" t="s">
        <v>20</v>
      </c>
      <c r="P2798" t="s">
        <v>21</v>
      </c>
      <c r="Q2798">
        <f t="shared" si="215"/>
        <v>5</v>
      </c>
      <c r="R2798" s="4">
        <f>RANK(N2798,$N$2:N$2800,0)</f>
        <v>1</v>
      </c>
      <c r="S2798">
        <f t="shared" si="216"/>
        <v>1.1333333333333333</v>
      </c>
      <c r="T2798" t="str">
        <f t="shared" si="217"/>
        <v>Low</v>
      </c>
      <c r="U2798" t="str" cm="1">
        <f t="array" ref="U2798">_xlfn.LET(_xlpm.roles,_xlfn.UNIQUE(D2798:D5596),_xlpm.kills, SUMIF(D2798:D5596,_xlpm.roles,G2798:G5596),INDEX(_xlpm.roles,MATCH(MAX(_xlpm.kills),_xlpm.kills,0)))</f>
        <v>Support</v>
      </c>
      <c r="V2798" t="str">
        <f t="shared" si="218"/>
        <v>Medium Accuracy</v>
      </c>
      <c r="W2798" t="str" cm="1">
        <f t="array" ref="W2798">_xlfn.LET(_xlpm.roles,_xlfn.UNIQUE(D2798:D5596), _xlpm.counts,COUNTIF(D2798:D5596,_xlpm.roles), INDEX(_xlpm.roles,MATCH(MAX(_xlpm.counts),_xlpm.counts,0)))</f>
        <v>Sniper</v>
      </c>
      <c r="X2798" s="2">
        <f t="shared" si="219"/>
        <v>12.809421841541756</v>
      </c>
    </row>
    <row r="2799" spans="1:24" x14ac:dyDescent="0.3">
      <c r="A2799">
        <v>2507</v>
      </c>
      <c r="B2799">
        <v>500</v>
      </c>
      <c r="C2799" t="s">
        <v>16</v>
      </c>
      <c r="D2799" t="s">
        <v>22</v>
      </c>
      <c r="E2799" t="s">
        <v>32</v>
      </c>
      <c r="F2799" t="s">
        <v>24</v>
      </c>
      <c r="G2799">
        <v>19</v>
      </c>
      <c r="H2799">
        <v>10</v>
      </c>
      <c r="I2799">
        <v>15</v>
      </c>
      <c r="J2799">
        <v>28.69</v>
      </c>
      <c r="K2799">
        <v>246.64</v>
      </c>
      <c r="L2799">
        <v>0.4</v>
      </c>
      <c r="M2799">
        <v>43.34</v>
      </c>
      <c r="N2799">
        <v>0.77</v>
      </c>
      <c r="O2799" t="s">
        <v>20</v>
      </c>
      <c r="P2799" t="s">
        <v>21</v>
      </c>
      <c r="Q2799">
        <f t="shared" si="215"/>
        <v>14</v>
      </c>
      <c r="R2799" s="4">
        <f>RANK(N2799,$N$2:N$2800,0)</f>
        <v>2511</v>
      </c>
      <c r="S2799">
        <f t="shared" si="216"/>
        <v>1.2666666666666666</v>
      </c>
      <c r="T2799" t="str">
        <f t="shared" si="217"/>
        <v>Low</v>
      </c>
      <c r="U2799" t="str" cm="1">
        <f t="array" ref="U2799">_xlfn.LET(_xlpm.roles,_xlfn.UNIQUE(D2799:D5597),_xlpm.kills, SUMIF(D2799:D5597,_xlpm.roles,G2799:G5597),INDEX(_xlpm.roles,MATCH(MAX(_xlpm.kills),_xlpm.kills,0)))</f>
        <v>Support</v>
      </c>
      <c r="V2799" t="str">
        <f t="shared" si="218"/>
        <v>Low Accuracy</v>
      </c>
      <c r="W2799" t="str" cm="1">
        <f t="array" ref="W2799">_xlfn.LET(_xlpm.roles,_xlfn.UNIQUE(D2799:D5597), _xlpm.counts,COUNTIF(D2799:D5597,_xlpm.roles), INDEX(_xlpm.roles,MATCH(MAX(_xlpm.counts),_xlpm.counts,0)))</f>
        <v>Support</v>
      </c>
      <c r="X2799" s="2">
        <f t="shared" si="219"/>
        <v>12.520971302428256</v>
      </c>
    </row>
    <row r="2800" spans="1:24" x14ac:dyDescent="0.3">
      <c r="A2800">
        <v>2677</v>
      </c>
      <c r="B2800">
        <v>500</v>
      </c>
      <c r="C2800" t="s">
        <v>35</v>
      </c>
      <c r="D2800" t="s">
        <v>28</v>
      </c>
      <c r="E2800" t="s">
        <v>29</v>
      </c>
      <c r="F2800" t="s">
        <v>24</v>
      </c>
      <c r="G2800">
        <v>14</v>
      </c>
      <c r="H2800">
        <v>13</v>
      </c>
      <c r="I2800">
        <v>9</v>
      </c>
      <c r="J2800">
        <v>47.42</v>
      </c>
      <c r="K2800">
        <v>250.13</v>
      </c>
      <c r="L2800">
        <v>0.17</v>
      </c>
      <c r="M2800">
        <v>54.01</v>
      </c>
      <c r="N2800">
        <v>1</v>
      </c>
      <c r="O2800" t="s">
        <v>20</v>
      </c>
      <c r="P2800" t="s">
        <v>21</v>
      </c>
      <c r="Q2800">
        <f t="shared" si="215"/>
        <v>18</v>
      </c>
      <c r="R2800" s="4">
        <f>RANK(N2800,$N$2:N$2800,0)</f>
        <v>1</v>
      </c>
      <c r="S2800">
        <f t="shared" si="216"/>
        <v>1.5555555555555556</v>
      </c>
      <c r="T2800" t="str">
        <f t="shared" si="217"/>
        <v>Good</v>
      </c>
      <c r="U2800" t="str" cm="1">
        <f t="array" ref="U2800">_xlfn.LET(_xlpm.roles,_xlfn.UNIQUE(D2800:D5598),_xlpm.kills, SUMIF(D2800:D5598,_xlpm.roles,G2800:G5598),INDEX(_xlpm.roles,MATCH(MAX(_xlpm.kills),_xlpm.kills,0)))</f>
        <v>IGL</v>
      </c>
      <c r="V2800" t="str">
        <f t="shared" si="218"/>
        <v>Medium Accuracy</v>
      </c>
      <c r="W2800" t="str" cm="1">
        <f t="array" ref="W2800">_xlfn.LET(_xlpm.roles,_xlfn.UNIQUE(D2800:D5598), _xlpm.counts,COUNTIF(D2800:D5598,_xlpm.roles), INDEX(_xlpm.roles,MATCH(MAX(_xlpm.counts),_xlpm.counts,0)))</f>
        <v>IGL</v>
      </c>
      <c r="X2800" s="2">
        <f t="shared" si="219"/>
        <v>12.599585062240664</v>
      </c>
    </row>
  </sheetData>
  <autoFilter ref="A1:P2800" xr:uid="{69AABFB0-2C81-4610-882F-1418999ACC61}">
    <sortState xmlns:xlrd2="http://schemas.microsoft.com/office/spreadsheetml/2017/richdata2" ref="A2:P2800">
      <sortCondition ref="B1:B28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3249-8EDC-4A98-8C35-D7B85D3904F6}">
  <dimension ref="A1:B2800"/>
  <sheetViews>
    <sheetView workbookViewId="0">
      <selection activeCell="B2" sqref="B2"/>
    </sheetView>
  </sheetViews>
  <sheetFormatPr defaultRowHeight="14.4" x14ac:dyDescent="0.3"/>
  <cols>
    <col min="1" max="1" width="16" customWidth="1"/>
    <col min="2" max="2" width="11.44140625" customWidth="1"/>
  </cols>
  <sheetData>
    <row r="1" spans="1:2" ht="15.6" x14ac:dyDescent="0.3">
      <c r="A1" s="1" t="s">
        <v>46</v>
      </c>
      <c r="B1" t="s">
        <v>50</v>
      </c>
    </row>
    <row r="2" spans="1:2" x14ac:dyDescent="0.3">
      <c r="A2">
        <f>INDEX(Sheet1!B2:B2800,MATCH(MAX(Sheet1!N2:N2800),Sheet1!N2:N2800,0))</f>
        <v>1</v>
      </c>
      <c r="B2">
        <f ca="1">_xlfn.XLOOKUP(Sheet1!Q2,$B$2:$B$2800,$C$2:$C$2800,"Not found")</f>
        <v>0</v>
      </c>
    </row>
    <row r="3" spans="1:2" x14ac:dyDescent="0.3">
      <c r="A3">
        <f>INDEX(Sheet1!B3:B2801,MATCH(MAX(Sheet1!N3:N2801),Sheet1!N3:N2801,0))</f>
        <v>1</v>
      </c>
    </row>
    <row r="4" spans="1:2" x14ac:dyDescent="0.3">
      <c r="A4">
        <f>INDEX(Sheet1!B4:B2802,MATCH(MAX(Sheet1!N4:N2802),Sheet1!N4:N2802,0))</f>
        <v>1</v>
      </c>
    </row>
    <row r="5" spans="1:2" x14ac:dyDescent="0.3">
      <c r="A5">
        <f>INDEX(Sheet1!B5:B2803,MATCH(MAX(Sheet1!N5:N2803),Sheet1!N5:N2803,0))</f>
        <v>1</v>
      </c>
    </row>
    <row r="6" spans="1:2" x14ac:dyDescent="0.3">
      <c r="A6">
        <f>INDEX(Sheet1!B6:B2804,MATCH(MAX(Sheet1!N6:N2804),Sheet1!N6:N2804,0))</f>
        <v>1</v>
      </c>
    </row>
    <row r="7" spans="1:2" x14ac:dyDescent="0.3">
      <c r="A7">
        <f>INDEX(Sheet1!B7:B2805,MATCH(MAX(Sheet1!N7:N2805),Sheet1!N7:N2805,0))</f>
        <v>2</v>
      </c>
    </row>
    <row r="8" spans="1:2" x14ac:dyDescent="0.3">
      <c r="A8">
        <f>INDEX(Sheet1!B8:B2806,MATCH(MAX(Sheet1!N8:N2806),Sheet1!N8:N2806,0))</f>
        <v>2</v>
      </c>
    </row>
    <row r="9" spans="1:2" x14ac:dyDescent="0.3">
      <c r="A9">
        <f>INDEX(Sheet1!B9:B2807,MATCH(MAX(Sheet1!N9:N2807),Sheet1!N9:N2807,0))</f>
        <v>2</v>
      </c>
    </row>
    <row r="10" spans="1:2" x14ac:dyDescent="0.3">
      <c r="A10">
        <f>INDEX(Sheet1!B10:B2808,MATCH(MAX(Sheet1!N10:N2808),Sheet1!N10:N2808,0))</f>
        <v>2</v>
      </c>
    </row>
    <row r="11" spans="1:2" x14ac:dyDescent="0.3">
      <c r="A11">
        <f>INDEX(Sheet1!B11:B2809,MATCH(MAX(Sheet1!N11:N2809),Sheet1!N11:N2809,0))</f>
        <v>4</v>
      </c>
    </row>
    <row r="12" spans="1:2" x14ac:dyDescent="0.3">
      <c r="A12">
        <f>INDEX(Sheet1!B12:B2810,MATCH(MAX(Sheet1!N12:N2810),Sheet1!N12:N2810,0))</f>
        <v>4</v>
      </c>
    </row>
    <row r="13" spans="1:2" x14ac:dyDescent="0.3">
      <c r="A13">
        <f>INDEX(Sheet1!B13:B2811,MATCH(MAX(Sheet1!N13:N2811),Sheet1!N13:N2811,0))</f>
        <v>4</v>
      </c>
    </row>
    <row r="14" spans="1:2" x14ac:dyDescent="0.3">
      <c r="A14">
        <f>INDEX(Sheet1!B14:B2812,MATCH(MAX(Sheet1!N14:N2812),Sheet1!N14:N2812,0))</f>
        <v>4</v>
      </c>
    </row>
    <row r="15" spans="1:2" x14ac:dyDescent="0.3">
      <c r="A15">
        <f>INDEX(Sheet1!B15:B2813,MATCH(MAX(Sheet1!N15:N2813),Sheet1!N15:N2813,0))</f>
        <v>4</v>
      </c>
    </row>
    <row r="16" spans="1:2" x14ac:dyDescent="0.3">
      <c r="A16">
        <f>INDEX(Sheet1!B16:B2814,MATCH(MAX(Sheet1!N16:N2814),Sheet1!N16:N2814,0))</f>
        <v>4</v>
      </c>
    </row>
    <row r="17" spans="1:1" x14ac:dyDescent="0.3">
      <c r="A17">
        <f>INDEX(Sheet1!B17:B2815,MATCH(MAX(Sheet1!N17:N2815),Sheet1!N17:N2815,0))</f>
        <v>4</v>
      </c>
    </row>
    <row r="18" spans="1:1" x14ac:dyDescent="0.3">
      <c r="A18">
        <f>INDEX(Sheet1!B18:B2816,MATCH(MAX(Sheet1!N18:N2816),Sheet1!N18:N2816,0))</f>
        <v>4</v>
      </c>
    </row>
    <row r="19" spans="1:1" x14ac:dyDescent="0.3">
      <c r="A19">
        <f>INDEX(Sheet1!B19:B2817,MATCH(MAX(Sheet1!N19:N2817),Sheet1!N19:N2817,0))</f>
        <v>4</v>
      </c>
    </row>
    <row r="20" spans="1:1" x14ac:dyDescent="0.3">
      <c r="A20">
        <f>INDEX(Sheet1!B20:B2818,MATCH(MAX(Sheet1!N20:N2818),Sheet1!N20:N2818,0))</f>
        <v>4</v>
      </c>
    </row>
    <row r="21" spans="1:1" x14ac:dyDescent="0.3">
      <c r="A21">
        <f>INDEX(Sheet1!B21:B2819,MATCH(MAX(Sheet1!N21:N2819),Sheet1!N21:N2819,0))</f>
        <v>4</v>
      </c>
    </row>
    <row r="22" spans="1:1" x14ac:dyDescent="0.3">
      <c r="A22">
        <f>INDEX(Sheet1!B22:B2820,MATCH(MAX(Sheet1!N22:N2820),Sheet1!N22:N2820,0))</f>
        <v>4</v>
      </c>
    </row>
    <row r="23" spans="1:1" x14ac:dyDescent="0.3">
      <c r="A23">
        <f>INDEX(Sheet1!B23:B2821,MATCH(MAX(Sheet1!N23:N2821),Sheet1!N23:N2821,0))</f>
        <v>4</v>
      </c>
    </row>
    <row r="24" spans="1:1" x14ac:dyDescent="0.3">
      <c r="A24">
        <f>INDEX(Sheet1!B24:B2822,MATCH(MAX(Sheet1!N24:N2822),Sheet1!N24:N2822,0))</f>
        <v>4</v>
      </c>
    </row>
    <row r="25" spans="1:1" x14ac:dyDescent="0.3">
      <c r="A25">
        <f>INDEX(Sheet1!B25:B2823,MATCH(MAX(Sheet1!N25:N2823),Sheet1!N25:N2823,0))</f>
        <v>4</v>
      </c>
    </row>
    <row r="26" spans="1:1" x14ac:dyDescent="0.3">
      <c r="A26">
        <f>INDEX(Sheet1!B26:B2824,MATCH(MAX(Sheet1!N26:N2824),Sheet1!N26:N2824,0))</f>
        <v>4</v>
      </c>
    </row>
    <row r="27" spans="1:1" x14ac:dyDescent="0.3">
      <c r="A27">
        <f>INDEX(Sheet1!B27:B2825,MATCH(MAX(Sheet1!N27:N2825),Sheet1!N27:N2825,0))</f>
        <v>5</v>
      </c>
    </row>
    <row r="28" spans="1:1" x14ac:dyDescent="0.3">
      <c r="A28">
        <f>INDEX(Sheet1!B28:B2826,MATCH(MAX(Sheet1!N28:N2826),Sheet1!N28:N2826,0))</f>
        <v>5</v>
      </c>
    </row>
    <row r="29" spans="1:1" x14ac:dyDescent="0.3">
      <c r="A29">
        <f>INDEX(Sheet1!B29:B2827,MATCH(MAX(Sheet1!N29:N2827),Sheet1!N29:N2827,0))</f>
        <v>5</v>
      </c>
    </row>
    <row r="30" spans="1:1" x14ac:dyDescent="0.3">
      <c r="A30">
        <f>INDEX(Sheet1!B30:B2828,MATCH(MAX(Sheet1!N30:N2828),Sheet1!N30:N2828,0))</f>
        <v>5</v>
      </c>
    </row>
    <row r="31" spans="1:1" x14ac:dyDescent="0.3">
      <c r="A31">
        <f>INDEX(Sheet1!B31:B2829,MATCH(MAX(Sheet1!N31:N2829),Sheet1!N31:N2829,0))</f>
        <v>5</v>
      </c>
    </row>
    <row r="32" spans="1:1" x14ac:dyDescent="0.3">
      <c r="A32">
        <f>INDEX(Sheet1!B32:B2830,MATCH(MAX(Sheet1!N32:N2830),Sheet1!N32:N2830,0))</f>
        <v>5</v>
      </c>
    </row>
    <row r="33" spans="1:1" x14ac:dyDescent="0.3">
      <c r="A33">
        <f>INDEX(Sheet1!B33:B2831,MATCH(MAX(Sheet1!N33:N2831),Sheet1!N33:N2831,0))</f>
        <v>6</v>
      </c>
    </row>
    <row r="34" spans="1:1" x14ac:dyDescent="0.3">
      <c r="A34">
        <f>INDEX(Sheet1!B34:B2832,MATCH(MAX(Sheet1!N34:N2832),Sheet1!N34:N2832,0))</f>
        <v>6</v>
      </c>
    </row>
    <row r="35" spans="1:1" x14ac:dyDescent="0.3">
      <c r="A35">
        <f>INDEX(Sheet1!B35:B2833,MATCH(MAX(Sheet1!N35:N2833),Sheet1!N35:N2833,0))</f>
        <v>6</v>
      </c>
    </row>
    <row r="36" spans="1:1" x14ac:dyDescent="0.3">
      <c r="A36">
        <f>INDEX(Sheet1!B36:B2834,MATCH(MAX(Sheet1!N36:N2834),Sheet1!N36:N2834,0))</f>
        <v>6</v>
      </c>
    </row>
    <row r="37" spans="1:1" x14ac:dyDescent="0.3">
      <c r="A37">
        <f>INDEX(Sheet1!B37:B2835,MATCH(MAX(Sheet1!N37:N2835),Sheet1!N37:N2835,0))</f>
        <v>6</v>
      </c>
    </row>
    <row r="38" spans="1:1" x14ac:dyDescent="0.3">
      <c r="A38">
        <f>INDEX(Sheet1!B38:B2836,MATCH(MAX(Sheet1!N38:N2836),Sheet1!N38:N2836,0))</f>
        <v>7</v>
      </c>
    </row>
    <row r="39" spans="1:1" x14ac:dyDescent="0.3">
      <c r="A39">
        <f>INDEX(Sheet1!B39:B2837,MATCH(MAX(Sheet1!N39:N2837),Sheet1!N39:N2837,0))</f>
        <v>7</v>
      </c>
    </row>
    <row r="40" spans="1:1" x14ac:dyDescent="0.3">
      <c r="A40">
        <f>INDEX(Sheet1!B40:B2838,MATCH(MAX(Sheet1!N40:N2838),Sheet1!N40:N2838,0))</f>
        <v>7</v>
      </c>
    </row>
    <row r="41" spans="1:1" x14ac:dyDescent="0.3">
      <c r="A41">
        <f>INDEX(Sheet1!B41:B2839,MATCH(MAX(Sheet1!N41:N2839),Sheet1!N41:N2839,0))</f>
        <v>7</v>
      </c>
    </row>
    <row r="42" spans="1:1" x14ac:dyDescent="0.3">
      <c r="A42">
        <f>INDEX(Sheet1!B42:B2840,MATCH(MAX(Sheet1!N42:N2840),Sheet1!N42:N2840,0))</f>
        <v>7</v>
      </c>
    </row>
    <row r="43" spans="1:1" x14ac:dyDescent="0.3">
      <c r="A43">
        <f>INDEX(Sheet1!B43:B2841,MATCH(MAX(Sheet1!N43:N2841),Sheet1!N43:N2841,0))</f>
        <v>7</v>
      </c>
    </row>
    <row r="44" spans="1:1" x14ac:dyDescent="0.3">
      <c r="A44">
        <f>INDEX(Sheet1!B44:B2842,MATCH(MAX(Sheet1!N44:N2842),Sheet1!N44:N2842,0))</f>
        <v>8</v>
      </c>
    </row>
    <row r="45" spans="1:1" x14ac:dyDescent="0.3">
      <c r="A45">
        <f>INDEX(Sheet1!B45:B2843,MATCH(MAX(Sheet1!N45:N2843),Sheet1!N45:N2843,0))</f>
        <v>8</v>
      </c>
    </row>
    <row r="46" spans="1:1" x14ac:dyDescent="0.3">
      <c r="A46">
        <f>INDEX(Sheet1!B46:B2844,MATCH(MAX(Sheet1!N46:N2844),Sheet1!N46:N2844,0))</f>
        <v>8</v>
      </c>
    </row>
    <row r="47" spans="1:1" x14ac:dyDescent="0.3">
      <c r="A47">
        <f>INDEX(Sheet1!B47:B2845,MATCH(MAX(Sheet1!N47:N2845),Sheet1!N47:N2845,0))</f>
        <v>8</v>
      </c>
    </row>
    <row r="48" spans="1:1" x14ac:dyDescent="0.3">
      <c r="A48">
        <f>INDEX(Sheet1!B48:B2846,MATCH(MAX(Sheet1!N48:N2846),Sheet1!N48:N2846,0))</f>
        <v>9</v>
      </c>
    </row>
    <row r="49" spans="1:1" x14ac:dyDescent="0.3">
      <c r="A49">
        <f>INDEX(Sheet1!B49:B2847,MATCH(MAX(Sheet1!N49:N2847),Sheet1!N49:N2847,0))</f>
        <v>9</v>
      </c>
    </row>
    <row r="50" spans="1:1" x14ac:dyDescent="0.3">
      <c r="A50">
        <f>INDEX(Sheet1!B50:B2848,MATCH(MAX(Sheet1!N50:N2848),Sheet1!N50:N2848,0))</f>
        <v>9</v>
      </c>
    </row>
    <row r="51" spans="1:1" x14ac:dyDescent="0.3">
      <c r="A51">
        <f>INDEX(Sheet1!B51:B2849,MATCH(MAX(Sheet1!N51:N2849),Sheet1!N51:N2849,0))</f>
        <v>9</v>
      </c>
    </row>
    <row r="52" spans="1:1" x14ac:dyDescent="0.3">
      <c r="A52">
        <f>INDEX(Sheet1!B52:B2850,MATCH(MAX(Sheet1!N52:N2850),Sheet1!N52:N2850,0))</f>
        <v>9</v>
      </c>
    </row>
    <row r="53" spans="1:1" x14ac:dyDescent="0.3">
      <c r="A53">
        <f>INDEX(Sheet1!B53:B2851,MATCH(MAX(Sheet1!N53:N2851),Sheet1!N53:N2851,0))</f>
        <v>9</v>
      </c>
    </row>
    <row r="54" spans="1:1" x14ac:dyDescent="0.3">
      <c r="A54">
        <f>INDEX(Sheet1!B54:B2852,MATCH(MAX(Sheet1!N54:N2852),Sheet1!N54:N2852,0))</f>
        <v>9</v>
      </c>
    </row>
    <row r="55" spans="1:1" x14ac:dyDescent="0.3">
      <c r="A55">
        <f>INDEX(Sheet1!B55:B2853,MATCH(MAX(Sheet1!N55:N2853),Sheet1!N55:N2853,0))</f>
        <v>9</v>
      </c>
    </row>
    <row r="56" spans="1:1" x14ac:dyDescent="0.3">
      <c r="A56">
        <f>INDEX(Sheet1!B56:B2854,MATCH(MAX(Sheet1!N56:N2854),Sheet1!N56:N2854,0))</f>
        <v>10</v>
      </c>
    </row>
    <row r="57" spans="1:1" x14ac:dyDescent="0.3">
      <c r="A57">
        <f>INDEX(Sheet1!B57:B2855,MATCH(MAX(Sheet1!N57:N2855),Sheet1!N57:N2855,0))</f>
        <v>10</v>
      </c>
    </row>
    <row r="58" spans="1:1" x14ac:dyDescent="0.3">
      <c r="A58">
        <f>INDEX(Sheet1!B58:B2856,MATCH(MAX(Sheet1!N58:N2856),Sheet1!N58:N2856,0))</f>
        <v>10</v>
      </c>
    </row>
    <row r="59" spans="1:1" x14ac:dyDescent="0.3">
      <c r="A59">
        <f>INDEX(Sheet1!B59:B2857,MATCH(MAX(Sheet1!N59:N2857),Sheet1!N59:N2857,0))</f>
        <v>10</v>
      </c>
    </row>
    <row r="60" spans="1:1" x14ac:dyDescent="0.3">
      <c r="A60">
        <f>INDEX(Sheet1!B60:B2858,MATCH(MAX(Sheet1!N60:N2858),Sheet1!N60:N2858,0))</f>
        <v>10</v>
      </c>
    </row>
    <row r="61" spans="1:1" x14ac:dyDescent="0.3">
      <c r="A61">
        <f>INDEX(Sheet1!B61:B2859,MATCH(MAX(Sheet1!N61:N2859),Sheet1!N61:N2859,0))</f>
        <v>10</v>
      </c>
    </row>
    <row r="62" spans="1:1" x14ac:dyDescent="0.3">
      <c r="A62">
        <f>INDEX(Sheet1!B62:B2860,MATCH(MAX(Sheet1!N62:N2860),Sheet1!N62:N2860,0))</f>
        <v>12</v>
      </c>
    </row>
    <row r="63" spans="1:1" x14ac:dyDescent="0.3">
      <c r="A63">
        <f>INDEX(Sheet1!B63:B2861,MATCH(MAX(Sheet1!N63:N2861),Sheet1!N63:N2861,0))</f>
        <v>12</v>
      </c>
    </row>
    <row r="64" spans="1:1" x14ac:dyDescent="0.3">
      <c r="A64">
        <f>INDEX(Sheet1!B64:B2862,MATCH(MAX(Sheet1!N64:N2862),Sheet1!N64:N2862,0))</f>
        <v>12</v>
      </c>
    </row>
    <row r="65" spans="1:1" x14ac:dyDescent="0.3">
      <c r="A65">
        <f>INDEX(Sheet1!B65:B2863,MATCH(MAX(Sheet1!N65:N2863),Sheet1!N65:N2863,0))</f>
        <v>12</v>
      </c>
    </row>
    <row r="66" spans="1:1" x14ac:dyDescent="0.3">
      <c r="A66">
        <f>INDEX(Sheet1!B66:B2864,MATCH(MAX(Sheet1!N66:N2864),Sheet1!N66:N2864,0))</f>
        <v>12</v>
      </c>
    </row>
    <row r="67" spans="1:1" x14ac:dyDescent="0.3">
      <c r="A67">
        <f>INDEX(Sheet1!B67:B2865,MATCH(MAX(Sheet1!N67:N2865),Sheet1!N67:N2865,0))</f>
        <v>12</v>
      </c>
    </row>
    <row r="68" spans="1:1" x14ac:dyDescent="0.3">
      <c r="A68">
        <f>INDEX(Sheet1!B68:B2866,MATCH(MAX(Sheet1!N68:N2866),Sheet1!N68:N2866,0))</f>
        <v>12</v>
      </c>
    </row>
    <row r="69" spans="1:1" x14ac:dyDescent="0.3">
      <c r="A69">
        <f>INDEX(Sheet1!B69:B2867,MATCH(MAX(Sheet1!N69:N2867),Sheet1!N69:N2867,0))</f>
        <v>12</v>
      </c>
    </row>
    <row r="70" spans="1:1" x14ac:dyDescent="0.3">
      <c r="A70">
        <f>INDEX(Sheet1!B70:B2868,MATCH(MAX(Sheet1!N70:N2868),Sheet1!N70:N2868,0))</f>
        <v>12</v>
      </c>
    </row>
    <row r="71" spans="1:1" x14ac:dyDescent="0.3">
      <c r="A71">
        <f>INDEX(Sheet1!B71:B2869,MATCH(MAX(Sheet1!N71:N2869),Sheet1!N71:N2869,0))</f>
        <v>12</v>
      </c>
    </row>
    <row r="72" spans="1:1" x14ac:dyDescent="0.3">
      <c r="A72">
        <f>INDEX(Sheet1!B72:B2870,MATCH(MAX(Sheet1!N72:N2870),Sheet1!N72:N2870,0))</f>
        <v>12</v>
      </c>
    </row>
    <row r="73" spans="1:1" x14ac:dyDescent="0.3">
      <c r="A73">
        <f>INDEX(Sheet1!B73:B2871,MATCH(MAX(Sheet1!N73:N2871),Sheet1!N73:N2871,0))</f>
        <v>12</v>
      </c>
    </row>
    <row r="74" spans="1:1" x14ac:dyDescent="0.3">
      <c r="A74">
        <f>INDEX(Sheet1!B74:B2872,MATCH(MAX(Sheet1!N74:N2872),Sheet1!N74:N2872,0))</f>
        <v>13</v>
      </c>
    </row>
    <row r="75" spans="1:1" x14ac:dyDescent="0.3">
      <c r="A75">
        <f>INDEX(Sheet1!B75:B2873,MATCH(MAX(Sheet1!N75:N2873),Sheet1!N75:N2873,0))</f>
        <v>13</v>
      </c>
    </row>
    <row r="76" spans="1:1" x14ac:dyDescent="0.3">
      <c r="A76">
        <f>INDEX(Sheet1!B76:B2874,MATCH(MAX(Sheet1!N76:N2874),Sheet1!N76:N2874,0))</f>
        <v>13</v>
      </c>
    </row>
    <row r="77" spans="1:1" x14ac:dyDescent="0.3">
      <c r="A77">
        <f>INDEX(Sheet1!B77:B2875,MATCH(MAX(Sheet1!N77:N2875),Sheet1!N77:N2875,0))</f>
        <v>13</v>
      </c>
    </row>
    <row r="78" spans="1:1" x14ac:dyDescent="0.3">
      <c r="A78">
        <f>INDEX(Sheet1!B78:B2876,MATCH(MAX(Sheet1!N78:N2876),Sheet1!N78:N2876,0))</f>
        <v>13</v>
      </c>
    </row>
    <row r="79" spans="1:1" x14ac:dyDescent="0.3">
      <c r="A79">
        <f>INDEX(Sheet1!B79:B2877,MATCH(MAX(Sheet1!N79:N2877),Sheet1!N79:N2877,0))</f>
        <v>13</v>
      </c>
    </row>
    <row r="80" spans="1:1" x14ac:dyDescent="0.3">
      <c r="A80">
        <f>INDEX(Sheet1!B80:B2878,MATCH(MAX(Sheet1!N80:N2878),Sheet1!N80:N2878,0))</f>
        <v>13</v>
      </c>
    </row>
    <row r="81" spans="1:1" x14ac:dyDescent="0.3">
      <c r="A81">
        <f>INDEX(Sheet1!B81:B2879,MATCH(MAX(Sheet1!N81:N2879),Sheet1!N81:N2879,0))</f>
        <v>14</v>
      </c>
    </row>
    <row r="82" spans="1:1" x14ac:dyDescent="0.3">
      <c r="A82">
        <f>INDEX(Sheet1!B82:B2880,MATCH(MAX(Sheet1!N82:N2880),Sheet1!N82:N2880,0))</f>
        <v>14</v>
      </c>
    </row>
    <row r="83" spans="1:1" x14ac:dyDescent="0.3">
      <c r="A83">
        <f>INDEX(Sheet1!B83:B2881,MATCH(MAX(Sheet1!N83:N2881),Sheet1!N83:N2881,0))</f>
        <v>14</v>
      </c>
    </row>
    <row r="84" spans="1:1" x14ac:dyDescent="0.3">
      <c r="A84">
        <f>INDEX(Sheet1!B84:B2882,MATCH(MAX(Sheet1!N84:N2882),Sheet1!N84:N2882,0))</f>
        <v>15</v>
      </c>
    </row>
    <row r="85" spans="1:1" x14ac:dyDescent="0.3">
      <c r="A85">
        <f>INDEX(Sheet1!B85:B2883,MATCH(MAX(Sheet1!N85:N2883),Sheet1!N85:N2883,0))</f>
        <v>15</v>
      </c>
    </row>
    <row r="86" spans="1:1" x14ac:dyDescent="0.3">
      <c r="A86">
        <f>INDEX(Sheet1!B86:B2884,MATCH(MAX(Sheet1!N86:N2884),Sheet1!N86:N2884,0))</f>
        <v>15</v>
      </c>
    </row>
    <row r="87" spans="1:1" x14ac:dyDescent="0.3">
      <c r="A87">
        <f>INDEX(Sheet1!B87:B2885,MATCH(MAX(Sheet1!N87:N2885),Sheet1!N87:N2885,0))</f>
        <v>15</v>
      </c>
    </row>
    <row r="88" spans="1:1" x14ac:dyDescent="0.3">
      <c r="A88">
        <f>INDEX(Sheet1!B88:B2886,MATCH(MAX(Sheet1!N88:N2886),Sheet1!N88:N2886,0))</f>
        <v>15</v>
      </c>
    </row>
    <row r="89" spans="1:1" x14ac:dyDescent="0.3">
      <c r="A89">
        <f>INDEX(Sheet1!B89:B2887,MATCH(MAX(Sheet1!N89:N2887),Sheet1!N89:N2887,0))</f>
        <v>16</v>
      </c>
    </row>
    <row r="90" spans="1:1" x14ac:dyDescent="0.3">
      <c r="A90">
        <f>INDEX(Sheet1!B90:B2888,MATCH(MAX(Sheet1!N90:N2888),Sheet1!N90:N2888,0))</f>
        <v>16</v>
      </c>
    </row>
    <row r="91" spans="1:1" x14ac:dyDescent="0.3">
      <c r="A91">
        <f>INDEX(Sheet1!B91:B2889,MATCH(MAX(Sheet1!N91:N2889),Sheet1!N91:N2889,0))</f>
        <v>16</v>
      </c>
    </row>
    <row r="92" spans="1:1" x14ac:dyDescent="0.3">
      <c r="A92">
        <f>INDEX(Sheet1!B92:B2890,MATCH(MAX(Sheet1!N92:N2890),Sheet1!N92:N2890,0))</f>
        <v>16</v>
      </c>
    </row>
    <row r="93" spans="1:1" x14ac:dyDescent="0.3">
      <c r="A93">
        <f>INDEX(Sheet1!B93:B2891,MATCH(MAX(Sheet1!N93:N2891),Sheet1!N93:N2891,0))</f>
        <v>16</v>
      </c>
    </row>
    <row r="94" spans="1:1" x14ac:dyDescent="0.3">
      <c r="A94">
        <f>INDEX(Sheet1!B94:B2892,MATCH(MAX(Sheet1!N94:N2892),Sheet1!N94:N2892,0))</f>
        <v>16</v>
      </c>
    </row>
    <row r="95" spans="1:1" x14ac:dyDescent="0.3">
      <c r="A95">
        <f>INDEX(Sheet1!B95:B2893,MATCH(MAX(Sheet1!N95:N2893),Sheet1!N95:N2893,0))</f>
        <v>16</v>
      </c>
    </row>
    <row r="96" spans="1:1" x14ac:dyDescent="0.3">
      <c r="A96">
        <f>INDEX(Sheet1!B96:B2894,MATCH(MAX(Sheet1!N96:N2894),Sheet1!N96:N2894,0))</f>
        <v>19</v>
      </c>
    </row>
    <row r="97" spans="1:1" x14ac:dyDescent="0.3">
      <c r="A97">
        <f>INDEX(Sheet1!B97:B2895,MATCH(MAX(Sheet1!N97:N2895),Sheet1!N97:N2895,0))</f>
        <v>19</v>
      </c>
    </row>
    <row r="98" spans="1:1" x14ac:dyDescent="0.3">
      <c r="A98">
        <f>INDEX(Sheet1!B98:B2896,MATCH(MAX(Sheet1!N98:N2896),Sheet1!N98:N2896,0))</f>
        <v>19</v>
      </c>
    </row>
    <row r="99" spans="1:1" x14ac:dyDescent="0.3">
      <c r="A99">
        <f>INDEX(Sheet1!B99:B2897,MATCH(MAX(Sheet1!N99:N2897),Sheet1!N99:N2897,0))</f>
        <v>19</v>
      </c>
    </row>
    <row r="100" spans="1:1" x14ac:dyDescent="0.3">
      <c r="A100">
        <f>INDEX(Sheet1!B100:B2898,MATCH(MAX(Sheet1!N100:N2898),Sheet1!N100:N2898,0))</f>
        <v>19</v>
      </c>
    </row>
    <row r="101" spans="1:1" x14ac:dyDescent="0.3">
      <c r="A101">
        <f>INDEX(Sheet1!B101:B2899,MATCH(MAX(Sheet1!N101:N2899),Sheet1!N101:N2899,0))</f>
        <v>19</v>
      </c>
    </row>
    <row r="102" spans="1:1" x14ac:dyDescent="0.3">
      <c r="A102">
        <f>INDEX(Sheet1!B102:B2900,MATCH(MAX(Sheet1!N102:N2900),Sheet1!N102:N2900,0))</f>
        <v>19</v>
      </c>
    </row>
    <row r="103" spans="1:1" x14ac:dyDescent="0.3">
      <c r="A103">
        <f>INDEX(Sheet1!B103:B2901,MATCH(MAX(Sheet1!N103:N2901),Sheet1!N103:N2901,0))</f>
        <v>19</v>
      </c>
    </row>
    <row r="104" spans="1:1" x14ac:dyDescent="0.3">
      <c r="A104">
        <f>INDEX(Sheet1!B104:B2902,MATCH(MAX(Sheet1!N104:N2902),Sheet1!N104:N2902,0))</f>
        <v>19</v>
      </c>
    </row>
    <row r="105" spans="1:1" x14ac:dyDescent="0.3">
      <c r="A105">
        <f>INDEX(Sheet1!B105:B2903,MATCH(MAX(Sheet1!N105:N2903),Sheet1!N105:N2903,0))</f>
        <v>19</v>
      </c>
    </row>
    <row r="106" spans="1:1" x14ac:dyDescent="0.3">
      <c r="A106">
        <f>INDEX(Sheet1!B106:B2904,MATCH(MAX(Sheet1!N106:N2904),Sheet1!N106:N2904,0))</f>
        <v>19</v>
      </c>
    </row>
    <row r="107" spans="1:1" x14ac:dyDescent="0.3">
      <c r="A107">
        <f>INDEX(Sheet1!B107:B2905,MATCH(MAX(Sheet1!N107:N2905),Sheet1!N107:N2905,0))</f>
        <v>19</v>
      </c>
    </row>
    <row r="108" spans="1:1" x14ac:dyDescent="0.3">
      <c r="A108">
        <f>INDEX(Sheet1!B108:B2906,MATCH(MAX(Sheet1!N108:N2906),Sheet1!N108:N2906,0))</f>
        <v>19</v>
      </c>
    </row>
    <row r="109" spans="1:1" x14ac:dyDescent="0.3">
      <c r="A109">
        <f>INDEX(Sheet1!B109:B2907,MATCH(MAX(Sheet1!N109:N2907),Sheet1!N109:N2907,0))</f>
        <v>19</v>
      </c>
    </row>
    <row r="110" spans="1:1" x14ac:dyDescent="0.3">
      <c r="A110">
        <f>INDEX(Sheet1!B110:B2908,MATCH(MAX(Sheet1!N110:N2908),Sheet1!N110:N2908,0))</f>
        <v>19</v>
      </c>
    </row>
    <row r="111" spans="1:1" x14ac:dyDescent="0.3">
      <c r="A111">
        <f>INDEX(Sheet1!B111:B2909,MATCH(MAX(Sheet1!N111:N2909),Sheet1!N111:N2909,0))</f>
        <v>19</v>
      </c>
    </row>
    <row r="112" spans="1:1" x14ac:dyDescent="0.3">
      <c r="A112">
        <f>INDEX(Sheet1!B112:B2910,MATCH(MAX(Sheet1!N112:N2910),Sheet1!N112:N2910,0))</f>
        <v>19</v>
      </c>
    </row>
    <row r="113" spans="1:1" x14ac:dyDescent="0.3">
      <c r="A113">
        <f>INDEX(Sheet1!B113:B2911,MATCH(MAX(Sheet1!N113:N2911),Sheet1!N113:N2911,0))</f>
        <v>20</v>
      </c>
    </row>
    <row r="114" spans="1:1" x14ac:dyDescent="0.3">
      <c r="A114">
        <f>INDEX(Sheet1!B114:B2912,MATCH(MAX(Sheet1!N114:N2912),Sheet1!N114:N2912,0))</f>
        <v>20</v>
      </c>
    </row>
    <row r="115" spans="1:1" x14ac:dyDescent="0.3">
      <c r="A115">
        <f>INDEX(Sheet1!B115:B2913,MATCH(MAX(Sheet1!N115:N2913),Sheet1!N115:N2913,0))</f>
        <v>20</v>
      </c>
    </row>
    <row r="116" spans="1:1" x14ac:dyDescent="0.3">
      <c r="A116">
        <f>INDEX(Sheet1!B116:B2914,MATCH(MAX(Sheet1!N116:N2914),Sheet1!N116:N2914,0))</f>
        <v>20</v>
      </c>
    </row>
    <row r="117" spans="1:1" x14ac:dyDescent="0.3">
      <c r="A117">
        <f>INDEX(Sheet1!B117:B2915,MATCH(MAX(Sheet1!N117:N2915),Sheet1!N117:N2915,0))</f>
        <v>20</v>
      </c>
    </row>
    <row r="118" spans="1:1" x14ac:dyDescent="0.3">
      <c r="A118">
        <f>INDEX(Sheet1!B118:B2916,MATCH(MAX(Sheet1!N118:N2916),Sheet1!N118:N2916,0))</f>
        <v>20</v>
      </c>
    </row>
    <row r="119" spans="1:1" x14ac:dyDescent="0.3">
      <c r="A119">
        <f>INDEX(Sheet1!B119:B2917,MATCH(MAX(Sheet1!N119:N2917),Sheet1!N119:N2917,0))</f>
        <v>20</v>
      </c>
    </row>
    <row r="120" spans="1:1" x14ac:dyDescent="0.3">
      <c r="A120">
        <f>INDEX(Sheet1!B120:B2918,MATCH(MAX(Sheet1!N120:N2918),Sheet1!N120:N2918,0))</f>
        <v>20</v>
      </c>
    </row>
    <row r="121" spans="1:1" x14ac:dyDescent="0.3">
      <c r="A121">
        <f>INDEX(Sheet1!B121:B2919,MATCH(MAX(Sheet1!N121:N2919),Sheet1!N121:N2919,0))</f>
        <v>20</v>
      </c>
    </row>
    <row r="122" spans="1:1" x14ac:dyDescent="0.3">
      <c r="A122">
        <f>INDEX(Sheet1!B122:B2920,MATCH(MAX(Sheet1!N122:N2920),Sheet1!N122:N2920,0))</f>
        <v>21</v>
      </c>
    </row>
    <row r="123" spans="1:1" x14ac:dyDescent="0.3">
      <c r="A123">
        <f>INDEX(Sheet1!B123:B2921,MATCH(MAX(Sheet1!N123:N2921),Sheet1!N123:N2921,0))</f>
        <v>21</v>
      </c>
    </row>
    <row r="124" spans="1:1" x14ac:dyDescent="0.3">
      <c r="A124">
        <f>INDEX(Sheet1!B124:B2922,MATCH(MAX(Sheet1!N124:N2922),Sheet1!N124:N2922,0))</f>
        <v>21</v>
      </c>
    </row>
    <row r="125" spans="1:1" x14ac:dyDescent="0.3">
      <c r="A125">
        <f>INDEX(Sheet1!B125:B2923,MATCH(MAX(Sheet1!N125:N2923),Sheet1!N125:N2923,0))</f>
        <v>21</v>
      </c>
    </row>
    <row r="126" spans="1:1" x14ac:dyDescent="0.3">
      <c r="A126">
        <f>INDEX(Sheet1!B126:B2924,MATCH(MAX(Sheet1!N126:N2924),Sheet1!N126:N2924,0))</f>
        <v>22</v>
      </c>
    </row>
    <row r="127" spans="1:1" x14ac:dyDescent="0.3">
      <c r="A127">
        <f>INDEX(Sheet1!B127:B2925,MATCH(MAX(Sheet1!N127:N2925),Sheet1!N127:N2925,0))</f>
        <v>22</v>
      </c>
    </row>
    <row r="128" spans="1:1" x14ac:dyDescent="0.3">
      <c r="A128">
        <f>INDEX(Sheet1!B128:B2926,MATCH(MAX(Sheet1!N128:N2926),Sheet1!N128:N2926,0))</f>
        <v>22</v>
      </c>
    </row>
    <row r="129" spans="1:1" x14ac:dyDescent="0.3">
      <c r="A129">
        <f>INDEX(Sheet1!B129:B2927,MATCH(MAX(Sheet1!N129:N2927),Sheet1!N129:N2927,0))</f>
        <v>22</v>
      </c>
    </row>
    <row r="130" spans="1:1" x14ac:dyDescent="0.3">
      <c r="A130">
        <f>INDEX(Sheet1!B130:B2928,MATCH(MAX(Sheet1!N130:N2928),Sheet1!N130:N2928,0))</f>
        <v>22</v>
      </c>
    </row>
    <row r="131" spans="1:1" x14ac:dyDescent="0.3">
      <c r="A131">
        <f>INDEX(Sheet1!B131:B2929,MATCH(MAX(Sheet1!N131:N2929),Sheet1!N131:N2929,0))</f>
        <v>22</v>
      </c>
    </row>
    <row r="132" spans="1:1" x14ac:dyDescent="0.3">
      <c r="A132">
        <f>INDEX(Sheet1!B132:B2930,MATCH(MAX(Sheet1!N132:N2930),Sheet1!N132:N2930,0))</f>
        <v>23</v>
      </c>
    </row>
    <row r="133" spans="1:1" x14ac:dyDescent="0.3">
      <c r="A133">
        <f>INDEX(Sheet1!B133:B2931,MATCH(MAX(Sheet1!N133:N2931),Sheet1!N133:N2931,0))</f>
        <v>23</v>
      </c>
    </row>
    <row r="134" spans="1:1" x14ac:dyDescent="0.3">
      <c r="A134">
        <f>INDEX(Sheet1!B134:B2932,MATCH(MAX(Sheet1!N134:N2932),Sheet1!N134:N2932,0))</f>
        <v>23</v>
      </c>
    </row>
    <row r="135" spans="1:1" x14ac:dyDescent="0.3">
      <c r="A135">
        <f>INDEX(Sheet1!B135:B2933,MATCH(MAX(Sheet1!N135:N2933),Sheet1!N135:N2933,0))</f>
        <v>23</v>
      </c>
    </row>
    <row r="136" spans="1:1" x14ac:dyDescent="0.3">
      <c r="A136">
        <f>INDEX(Sheet1!B136:B2934,MATCH(MAX(Sheet1!N136:N2934),Sheet1!N136:N2934,0))</f>
        <v>25</v>
      </c>
    </row>
    <row r="137" spans="1:1" x14ac:dyDescent="0.3">
      <c r="A137">
        <f>INDEX(Sheet1!B137:B2935,MATCH(MAX(Sheet1!N137:N2935),Sheet1!N137:N2935,0))</f>
        <v>25</v>
      </c>
    </row>
    <row r="138" spans="1:1" x14ac:dyDescent="0.3">
      <c r="A138">
        <f>INDEX(Sheet1!B138:B2936,MATCH(MAX(Sheet1!N138:N2936),Sheet1!N138:N2936,0))</f>
        <v>25</v>
      </c>
    </row>
    <row r="139" spans="1:1" x14ac:dyDescent="0.3">
      <c r="A139">
        <f>INDEX(Sheet1!B139:B2937,MATCH(MAX(Sheet1!N139:N2937),Sheet1!N139:N2937,0))</f>
        <v>25</v>
      </c>
    </row>
    <row r="140" spans="1:1" x14ac:dyDescent="0.3">
      <c r="A140">
        <f>INDEX(Sheet1!B140:B2938,MATCH(MAX(Sheet1!N140:N2938),Sheet1!N140:N2938,0))</f>
        <v>25</v>
      </c>
    </row>
    <row r="141" spans="1:1" x14ac:dyDescent="0.3">
      <c r="A141">
        <f>INDEX(Sheet1!B141:B2939,MATCH(MAX(Sheet1!N141:N2939),Sheet1!N141:N2939,0))</f>
        <v>25</v>
      </c>
    </row>
    <row r="142" spans="1:1" x14ac:dyDescent="0.3">
      <c r="A142">
        <f>INDEX(Sheet1!B142:B2940,MATCH(MAX(Sheet1!N142:N2940),Sheet1!N142:N2940,0))</f>
        <v>25</v>
      </c>
    </row>
    <row r="143" spans="1:1" x14ac:dyDescent="0.3">
      <c r="A143">
        <f>INDEX(Sheet1!B143:B2941,MATCH(MAX(Sheet1!N143:N2941),Sheet1!N143:N2941,0))</f>
        <v>25</v>
      </c>
    </row>
    <row r="144" spans="1:1" x14ac:dyDescent="0.3">
      <c r="A144">
        <f>INDEX(Sheet1!B144:B2942,MATCH(MAX(Sheet1!N144:N2942),Sheet1!N144:N2942,0))</f>
        <v>25</v>
      </c>
    </row>
    <row r="145" spans="1:1" x14ac:dyDescent="0.3">
      <c r="A145">
        <f>INDEX(Sheet1!B145:B2943,MATCH(MAX(Sheet1!N145:N2943),Sheet1!N145:N2943,0))</f>
        <v>26</v>
      </c>
    </row>
    <row r="146" spans="1:1" x14ac:dyDescent="0.3">
      <c r="A146">
        <f>INDEX(Sheet1!B146:B2944,MATCH(MAX(Sheet1!N146:N2944),Sheet1!N146:N2944,0))</f>
        <v>26</v>
      </c>
    </row>
    <row r="147" spans="1:1" x14ac:dyDescent="0.3">
      <c r="A147">
        <f>INDEX(Sheet1!B147:B2945,MATCH(MAX(Sheet1!N147:N2945),Sheet1!N147:N2945,0))</f>
        <v>27</v>
      </c>
    </row>
    <row r="148" spans="1:1" x14ac:dyDescent="0.3">
      <c r="A148">
        <f>INDEX(Sheet1!B148:B2946,MATCH(MAX(Sheet1!N148:N2946),Sheet1!N148:N2946,0))</f>
        <v>27</v>
      </c>
    </row>
    <row r="149" spans="1:1" x14ac:dyDescent="0.3">
      <c r="A149">
        <f>INDEX(Sheet1!B149:B2947,MATCH(MAX(Sheet1!N149:N2947),Sheet1!N149:N2947,0))</f>
        <v>27</v>
      </c>
    </row>
    <row r="150" spans="1:1" x14ac:dyDescent="0.3">
      <c r="A150">
        <f>INDEX(Sheet1!B150:B2948,MATCH(MAX(Sheet1!N150:N2948),Sheet1!N150:N2948,0))</f>
        <v>27</v>
      </c>
    </row>
    <row r="151" spans="1:1" x14ac:dyDescent="0.3">
      <c r="A151">
        <f>INDEX(Sheet1!B151:B2949,MATCH(MAX(Sheet1!N151:N2949),Sheet1!N151:N2949,0))</f>
        <v>27</v>
      </c>
    </row>
    <row r="152" spans="1:1" x14ac:dyDescent="0.3">
      <c r="A152">
        <f>INDEX(Sheet1!B152:B2950,MATCH(MAX(Sheet1!N152:N2950),Sheet1!N152:N2950,0))</f>
        <v>27</v>
      </c>
    </row>
    <row r="153" spans="1:1" x14ac:dyDescent="0.3">
      <c r="A153">
        <f>INDEX(Sheet1!B153:B2951,MATCH(MAX(Sheet1!N153:N2951),Sheet1!N153:N2951,0))</f>
        <v>27</v>
      </c>
    </row>
    <row r="154" spans="1:1" x14ac:dyDescent="0.3">
      <c r="A154">
        <f>INDEX(Sheet1!B154:B2952,MATCH(MAX(Sheet1!N154:N2952),Sheet1!N154:N2952,0))</f>
        <v>28</v>
      </c>
    </row>
    <row r="155" spans="1:1" x14ac:dyDescent="0.3">
      <c r="A155">
        <f>INDEX(Sheet1!B155:B2953,MATCH(MAX(Sheet1!N155:N2953),Sheet1!N155:N2953,0))</f>
        <v>28</v>
      </c>
    </row>
    <row r="156" spans="1:1" x14ac:dyDescent="0.3">
      <c r="A156">
        <f>INDEX(Sheet1!B156:B2954,MATCH(MAX(Sheet1!N156:N2954),Sheet1!N156:N2954,0))</f>
        <v>29</v>
      </c>
    </row>
    <row r="157" spans="1:1" x14ac:dyDescent="0.3">
      <c r="A157">
        <f>INDEX(Sheet1!B157:B2955,MATCH(MAX(Sheet1!N157:N2955),Sheet1!N157:N2955,0))</f>
        <v>29</v>
      </c>
    </row>
    <row r="158" spans="1:1" x14ac:dyDescent="0.3">
      <c r="A158">
        <f>INDEX(Sheet1!B158:B2956,MATCH(MAX(Sheet1!N158:N2956),Sheet1!N158:N2956,0))</f>
        <v>29</v>
      </c>
    </row>
    <row r="159" spans="1:1" x14ac:dyDescent="0.3">
      <c r="A159">
        <f>INDEX(Sheet1!B159:B2957,MATCH(MAX(Sheet1!N159:N2957),Sheet1!N159:N2957,0))</f>
        <v>29</v>
      </c>
    </row>
    <row r="160" spans="1:1" x14ac:dyDescent="0.3">
      <c r="A160">
        <f>INDEX(Sheet1!B160:B2958,MATCH(MAX(Sheet1!N160:N2958),Sheet1!N160:N2958,0))</f>
        <v>29</v>
      </c>
    </row>
    <row r="161" spans="1:1" x14ac:dyDescent="0.3">
      <c r="A161">
        <f>INDEX(Sheet1!B161:B2959,MATCH(MAX(Sheet1!N161:N2959),Sheet1!N161:N2959,0))</f>
        <v>29</v>
      </c>
    </row>
    <row r="162" spans="1:1" x14ac:dyDescent="0.3">
      <c r="A162">
        <f>INDEX(Sheet1!B162:B2960,MATCH(MAX(Sheet1!N162:N2960),Sheet1!N162:N2960,0))</f>
        <v>29</v>
      </c>
    </row>
    <row r="163" spans="1:1" x14ac:dyDescent="0.3">
      <c r="A163">
        <f>INDEX(Sheet1!B163:B2961,MATCH(MAX(Sheet1!N163:N2961),Sheet1!N163:N2961,0))</f>
        <v>29</v>
      </c>
    </row>
    <row r="164" spans="1:1" x14ac:dyDescent="0.3">
      <c r="A164">
        <f>INDEX(Sheet1!B164:B2962,MATCH(MAX(Sheet1!N164:N2962),Sheet1!N164:N2962,0))</f>
        <v>29</v>
      </c>
    </row>
    <row r="165" spans="1:1" x14ac:dyDescent="0.3">
      <c r="A165">
        <f>INDEX(Sheet1!B165:B2963,MATCH(MAX(Sheet1!N165:N2963),Sheet1!N165:N2963,0))</f>
        <v>29</v>
      </c>
    </row>
    <row r="166" spans="1:1" x14ac:dyDescent="0.3">
      <c r="A166">
        <f>INDEX(Sheet1!B166:B2964,MATCH(MAX(Sheet1!N166:N2964),Sheet1!N166:N2964,0))</f>
        <v>29</v>
      </c>
    </row>
    <row r="167" spans="1:1" x14ac:dyDescent="0.3">
      <c r="A167">
        <f>INDEX(Sheet1!B167:B2965,MATCH(MAX(Sheet1!N167:N2965),Sheet1!N167:N2965,0))</f>
        <v>29</v>
      </c>
    </row>
    <row r="168" spans="1:1" x14ac:dyDescent="0.3">
      <c r="A168">
        <f>INDEX(Sheet1!B168:B2966,MATCH(MAX(Sheet1!N168:N2966),Sheet1!N168:N2966,0))</f>
        <v>29</v>
      </c>
    </row>
    <row r="169" spans="1:1" x14ac:dyDescent="0.3">
      <c r="A169">
        <f>INDEX(Sheet1!B169:B2967,MATCH(MAX(Sheet1!N169:N2967),Sheet1!N169:N2967,0))</f>
        <v>29</v>
      </c>
    </row>
    <row r="170" spans="1:1" x14ac:dyDescent="0.3">
      <c r="A170">
        <f>INDEX(Sheet1!B170:B2968,MATCH(MAX(Sheet1!N170:N2968),Sheet1!N170:N2968,0))</f>
        <v>30</v>
      </c>
    </row>
    <row r="171" spans="1:1" x14ac:dyDescent="0.3">
      <c r="A171">
        <f>INDEX(Sheet1!B171:B2969,MATCH(MAX(Sheet1!N171:N2969),Sheet1!N171:N2969,0))</f>
        <v>30</v>
      </c>
    </row>
    <row r="172" spans="1:1" x14ac:dyDescent="0.3">
      <c r="A172">
        <f>INDEX(Sheet1!B172:B2970,MATCH(MAX(Sheet1!N172:N2970),Sheet1!N172:N2970,0))</f>
        <v>30</v>
      </c>
    </row>
    <row r="173" spans="1:1" x14ac:dyDescent="0.3">
      <c r="A173">
        <f>INDEX(Sheet1!B173:B2971,MATCH(MAX(Sheet1!N173:N2971),Sheet1!N173:N2971,0))</f>
        <v>30</v>
      </c>
    </row>
    <row r="174" spans="1:1" x14ac:dyDescent="0.3">
      <c r="A174">
        <f>INDEX(Sheet1!B174:B2972,MATCH(MAX(Sheet1!N174:N2972),Sheet1!N174:N2972,0))</f>
        <v>30</v>
      </c>
    </row>
    <row r="175" spans="1:1" x14ac:dyDescent="0.3">
      <c r="A175">
        <f>INDEX(Sheet1!B175:B2973,MATCH(MAX(Sheet1!N175:N2973),Sheet1!N175:N2973,0))</f>
        <v>30</v>
      </c>
    </row>
    <row r="176" spans="1:1" x14ac:dyDescent="0.3">
      <c r="A176">
        <f>INDEX(Sheet1!B176:B2974,MATCH(MAX(Sheet1!N176:N2974),Sheet1!N176:N2974,0))</f>
        <v>32</v>
      </c>
    </row>
    <row r="177" spans="1:1" x14ac:dyDescent="0.3">
      <c r="A177">
        <f>INDEX(Sheet1!B177:B2975,MATCH(MAX(Sheet1!N177:N2975),Sheet1!N177:N2975,0))</f>
        <v>32</v>
      </c>
    </row>
    <row r="178" spans="1:1" x14ac:dyDescent="0.3">
      <c r="A178">
        <f>INDEX(Sheet1!B178:B2976,MATCH(MAX(Sheet1!N178:N2976),Sheet1!N178:N2976,0))</f>
        <v>32</v>
      </c>
    </row>
    <row r="179" spans="1:1" x14ac:dyDescent="0.3">
      <c r="A179">
        <f>INDEX(Sheet1!B179:B2977,MATCH(MAX(Sheet1!N179:N2977),Sheet1!N179:N2977,0))</f>
        <v>32</v>
      </c>
    </row>
    <row r="180" spans="1:1" x14ac:dyDescent="0.3">
      <c r="A180">
        <f>INDEX(Sheet1!B180:B2978,MATCH(MAX(Sheet1!N180:N2978),Sheet1!N180:N2978,0))</f>
        <v>32</v>
      </c>
    </row>
    <row r="181" spans="1:1" x14ac:dyDescent="0.3">
      <c r="A181">
        <f>INDEX(Sheet1!B181:B2979,MATCH(MAX(Sheet1!N181:N2979),Sheet1!N181:N2979,0))</f>
        <v>32</v>
      </c>
    </row>
    <row r="182" spans="1:1" x14ac:dyDescent="0.3">
      <c r="A182">
        <f>INDEX(Sheet1!B182:B2980,MATCH(MAX(Sheet1!N182:N2980),Sheet1!N182:N2980,0))</f>
        <v>32</v>
      </c>
    </row>
    <row r="183" spans="1:1" x14ac:dyDescent="0.3">
      <c r="A183">
        <f>INDEX(Sheet1!B183:B2981,MATCH(MAX(Sheet1!N183:N2981),Sheet1!N183:N2981,0))</f>
        <v>32</v>
      </c>
    </row>
    <row r="184" spans="1:1" x14ac:dyDescent="0.3">
      <c r="A184">
        <f>INDEX(Sheet1!B184:B2982,MATCH(MAX(Sheet1!N184:N2982),Sheet1!N184:N2982,0))</f>
        <v>32</v>
      </c>
    </row>
    <row r="185" spans="1:1" x14ac:dyDescent="0.3">
      <c r="A185">
        <f>INDEX(Sheet1!B185:B2983,MATCH(MAX(Sheet1!N185:N2983),Sheet1!N185:N2983,0))</f>
        <v>32</v>
      </c>
    </row>
    <row r="186" spans="1:1" x14ac:dyDescent="0.3">
      <c r="A186">
        <f>INDEX(Sheet1!B186:B2984,MATCH(MAX(Sheet1!N186:N2984),Sheet1!N186:N2984,0))</f>
        <v>32</v>
      </c>
    </row>
    <row r="187" spans="1:1" x14ac:dyDescent="0.3">
      <c r="A187">
        <f>INDEX(Sheet1!B187:B2985,MATCH(MAX(Sheet1!N187:N2985),Sheet1!N187:N2985,0))</f>
        <v>32</v>
      </c>
    </row>
    <row r="188" spans="1:1" x14ac:dyDescent="0.3">
      <c r="A188">
        <f>INDEX(Sheet1!B188:B2986,MATCH(MAX(Sheet1!N188:N2986),Sheet1!N188:N2986,0))</f>
        <v>33</v>
      </c>
    </row>
    <row r="189" spans="1:1" x14ac:dyDescent="0.3">
      <c r="A189">
        <f>INDEX(Sheet1!B189:B2987,MATCH(MAX(Sheet1!N189:N2987),Sheet1!N189:N2987,0))</f>
        <v>33</v>
      </c>
    </row>
    <row r="190" spans="1:1" x14ac:dyDescent="0.3">
      <c r="A190">
        <f>INDEX(Sheet1!B190:B2988,MATCH(MAX(Sheet1!N190:N2988),Sheet1!N190:N2988,0))</f>
        <v>33</v>
      </c>
    </row>
    <row r="191" spans="1:1" x14ac:dyDescent="0.3">
      <c r="A191">
        <f>INDEX(Sheet1!B191:B2989,MATCH(MAX(Sheet1!N191:N2989),Sheet1!N191:N2989,0))</f>
        <v>34</v>
      </c>
    </row>
    <row r="192" spans="1:1" x14ac:dyDescent="0.3">
      <c r="A192">
        <f>INDEX(Sheet1!B192:B2990,MATCH(MAX(Sheet1!N192:N2990),Sheet1!N192:N2990,0))</f>
        <v>34</v>
      </c>
    </row>
    <row r="193" spans="1:1" x14ac:dyDescent="0.3">
      <c r="A193">
        <f>INDEX(Sheet1!B193:B2991,MATCH(MAX(Sheet1!N193:N2991),Sheet1!N193:N2991,0))</f>
        <v>34</v>
      </c>
    </row>
    <row r="194" spans="1:1" x14ac:dyDescent="0.3">
      <c r="A194">
        <f>INDEX(Sheet1!B194:B2992,MATCH(MAX(Sheet1!N194:N2992),Sheet1!N194:N2992,0))</f>
        <v>34</v>
      </c>
    </row>
    <row r="195" spans="1:1" x14ac:dyDescent="0.3">
      <c r="A195">
        <f>INDEX(Sheet1!B195:B2993,MATCH(MAX(Sheet1!N195:N2993),Sheet1!N195:N2993,0))</f>
        <v>34</v>
      </c>
    </row>
    <row r="196" spans="1:1" x14ac:dyDescent="0.3">
      <c r="A196">
        <f>INDEX(Sheet1!B196:B2994,MATCH(MAX(Sheet1!N196:N2994),Sheet1!N196:N2994,0))</f>
        <v>34</v>
      </c>
    </row>
    <row r="197" spans="1:1" x14ac:dyDescent="0.3">
      <c r="A197">
        <f>INDEX(Sheet1!B197:B2995,MATCH(MAX(Sheet1!N197:N2995),Sheet1!N197:N2995,0))</f>
        <v>34</v>
      </c>
    </row>
    <row r="198" spans="1:1" x14ac:dyDescent="0.3">
      <c r="A198">
        <f>INDEX(Sheet1!B198:B2996,MATCH(MAX(Sheet1!N198:N2996),Sheet1!N198:N2996,0))</f>
        <v>34</v>
      </c>
    </row>
    <row r="199" spans="1:1" x14ac:dyDescent="0.3">
      <c r="A199">
        <f>INDEX(Sheet1!B199:B2997,MATCH(MAX(Sheet1!N199:N2997),Sheet1!N199:N2997,0))</f>
        <v>35</v>
      </c>
    </row>
    <row r="200" spans="1:1" x14ac:dyDescent="0.3">
      <c r="A200">
        <f>INDEX(Sheet1!B200:B2998,MATCH(MAX(Sheet1!N200:N2998),Sheet1!N200:N2998,0))</f>
        <v>35</v>
      </c>
    </row>
    <row r="201" spans="1:1" x14ac:dyDescent="0.3">
      <c r="A201">
        <f>INDEX(Sheet1!B201:B2999,MATCH(MAX(Sheet1!N201:N2999),Sheet1!N201:N2999,0))</f>
        <v>35</v>
      </c>
    </row>
    <row r="202" spans="1:1" x14ac:dyDescent="0.3">
      <c r="A202">
        <f>INDEX(Sheet1!B202:B3000,MATCH(MAX(Sheet1!N202:N3000),Sheet1!N202:N3000,0))</f>
        <v>35</v>
      </c>
    </row>
    <row r="203" spans="1:1" x14ac:dyDescent="0.3">
      <c r="A203">
        <f>INDEX(Sheet1!B203:B3001,MATCH(MAX(Sheet1!N203:N3001),Sheet1!N203:N3001,0))</f>
        <v>36</v>
      </c>
    </row>
    <row r="204" spans="1:1" x14ac:dyDescent="0.3">
      <c r="A204">
        <f>INDEX(Sheet1!B204:B3002,MATCH(MAX(Sheet1!N204:N3002),Sheet1!N204:N3002,0))</f>
        <v>36</v>
      </c>
    </row>
    <row r="205" spans="1:1" x14ac:dyDescent="0.3">
      <c r="A205">
        <f>INDEX(Sheet1!B205:B3003,MATCH(MAX(Sheet1!N205:N3003),Sheet1!N205:N3003,0))</f>
        <v>36</v>
      </c>
    </row>
    <row r="206" spans="1:1" x14ac:dyDescent="0.3">
      <c r="A206">
        <f>INDEX(Sheet1!B206:B3004,MATCH(MAX(Sheet1!N206:N3004),Sheet1!N206:N3004,0))</f>
        <v>36</v>
      </c>
    </row>
    <row r="207" spans="1:1" x14ac:dyDescent="0.3">
      <c r="A207">
        <f>INDEX(Sheet1!B207:B3005,MATCH(MAX(Sheet1!N207:N3005),Sheet1!N207:N3005,0))</f>
        <v>36</v>
      </c>
    </row>
    <row r="208" spans="1:1" x14ac:dyDescent="0.3">
      <c r="A208">
        <f>INDEX(Sheet1!B208:B3006,MATCH(MAX(Sheet1!N208:N3006),Sheet1!N208:N3006,0))</f>
        <v>36</v>
      </c>
    </row>
    <row r="209" spans="1:1" x14ac:dyDescent="0.3">
      <c r="A209">
        <f>INDEX(Sheet1!B209:B3007,MATCH(MAX(Sheet1!N209:N3007),Sheet1!N209:N3007,0))</f>
        <v>36</v>
      </c>
    </row>
    <row r="210" spans="1:1" x14ac:dyDescent="0.3">
      <c r="A210">
        <f>INDEX(Sheet1!B210:B3008,MATCH(MAX(Sheet1!N210:N3008),Sheet1!N210:N3008,0))</f>
        <v>36</v>
      </c>
    </row>
    <row r="211" spans="1:1" x14ac:dyDescent="0.3">
      <c r="A211">
        <f>INDEX(Sheet1!B211:B3009,MATCH(MAX(Sheet1!N211:N3009),Sheet1!N211:N3009,0))</f>
        <v>37</v>
      </c>
    </row>
    <row r="212" spans="1:1" x14ac:dyDescent="0.3">
      <c r="A212">
        <f>INDEX(Sheet1!B212:B3010,MATCH(MAX(Sheet1!N212:N3010),Sheet1!N212:N3010,0))</f>
        <v>37</v>
      </c>
    </row>
    <row r="213" spans="1:1" x14ac:dyDescent="0.3">
      <c r="A213">
        <f>INDEX(Sheet1!B213:B3011,MATCH(MAX(Sheet1!N213:N3011),Sheet1!N213:N3011,0))</f>
        <v>37</v>
      </c>
    </row>
    <row r="214" spans="1:1" x14ac:dyDescent="0.3">
      <c r="A214">
        <f>INDEX(Sheet1!B214:B3012,MATCH(MAX(Sheet1!N214:N3012),Sheet1!N214:N3012,0))</f>
        <v>37</v>
      </c>
    </row>
    <row r="215" spans="1:1" x14ac:dyDescent="0.3">
      <c r="A215">
        <f>INDEX(Sheet1!B215:B3013,MATCH(MAX(Sheet1!N215:N3013),Sheet1!N215:N3013,0))</f>
        <v>37</v>
      </c>
    </row>
    <row r="216" spans="1:1" x14ac:dyDescent="0.3">
      <c r="A216">
        <f>INDEX(Sheet1!B216:B3014,MATCH(MAX(Sheet1!N216:N3014),Sheet1!N216:N3014,0))</f>
        <v>37</v>
      </c>
    </row>
    <row r="217" spans="1:1" x14ac:dyDescent="0.3">
      <c r="A217">
        <f>INDEX(Sheet1!B217:B3015,MATCH(MAX(Sheet1!N217:N3015),Sheet1!N217:N3015,0))</f>
        <v>37</v>
      </c>
    </row>
    <row r="218" spans="1:1" x14ac:dyDescent="0.3">
      <c r="A218">
        <f>INDEX(Sheet1!B218:B3016,MATCH(MAX(Sheet1!N218:N3016),Sheet1!N218:N3016,0))</f>
        <v>37</v>
      </c>
    </row>
    <row r="219" spans="1:1" x14ac:dyDescent="0.3">
      <c r="A219">
        <f>INDEX(Sheet1!B219:B3017,MATCH(MAX(Sheet1!N219:N3017),Sheet1!N219:N3017,0))</f>
        <v>38</v>
      </c>
    </row>
    <row r="220" spans="1:1" x14ac:dyDescent="0.3">
      <c r="A220">
        <f>INDEX(Sheet1!B220:B3018,MATCH(MAX(Sheet1!N220:N3018),Sheet1!N220:N3018,0))</f>
        <v>38</v>
      </c>
    </row>
    <row r="221" spans="1:1" x14ac:dyDescent="0.3">
      <c r="A221">
        <f>INDEX(Sheet1!B221:B3019,MATCH(MAX(Sheet1!N221:N3019),Sheet1!N221:N3019,0))</f>
        <v>38</v>
      </c>
    </row>
    <row r="222" spans="1:1" x14ac:dyDescent="0.3">
      <c r="A222">
        <f>INDEX(Sheet1!B222:B3020,MATCH(MAX(Sheet1!N222:N3020),Sheet1!N222:N3020,0))</f>
        <v>38</v>
      </c>
    </row>
    <row r="223" spans="1:1" x14ac:dyDescent="0.3">
      <c r="A223">
        <f>INDEX(Sheet1!B223:B3021,MATCH(MAX(Sheet1!N223:N3021),Sheet1!N223:N3021,0))</f>
        <v>38</v>
      </c>
    </row>
    <row r="224" spans="1:1" x14ac:dyDescent="0.3">
      <c r="A224">
        <f>INDEX(Sheet1!B224:B3022,MATCH(MAX(Sheet1!N224:N3022),Sheet1!N224:N3022,0))</f>
        <v>39</v>
      </c>
    </row>
    <row r="225" spans="1:1" x14ac:dyDescent="0.3">
      <c r="A225">
        <f>INDEX(Sheet1!B225:B3023,MATCH(MAX(Sheet1!N225:N3023),Sheet1!N225:N3023,0))</f>
        <v>39</v>
      </c>
    </row>
    <row r="226" spans="1:1" x14ac:dyDescent="0.3">
      <c r="A226">
        <f>INDEX(Sheet1!B226:B3024,MATCH(MAX(Sheet1!N226:N3024),Sheet1!N226:N3024,0))</f>
        <v>39</v>
      </c>
    </row>
    <row r="227" spans="1:1" x14ac:dyDescent="0.3">
      <c r="A227">
        <f>INDEX(Sheet1!B227:B3025,MATCH(MAX(Sheet1!N227:N3025),Sheet1!N227:N3025,0))</f>
        <v>39</v>
      </c>
    </row>
    <row r="228" spans="1:1" x14ac:dyDescent="0.3">
      <c r="A228">
        <f>INDEX(Sheet1!B228:B3026,MATCH(MAX(Sheet1!N228:N3026),Sheet1!N228:N3026,0))</f>
        <v>39</v>
      </c>
    </row>
    <row r="229" spans="1:1" x14ac:dyDescent="0.3">
      <c r="A229">
        <f>INDEX(Sheet1!B229:B3027,MATCH(MAX(Sheet1!N229:N3027),Sheet1!N229:N3027,0))</f>
        <v>39</v>
      </c>
    </row>
    <row r="230" spans="1:1" x14ac:dyDescent="0.3">
      <c r="A230">
        <f>INDEX(Sheet1!B230:B3028,MATCH(MAX(Sheet1!N230:N3028),Sheet1!N230:N3028,0))</f>
        <v>39</v>
      </c>
    </row>
    <row r="231" spans="1:1" x14ac:dyDescent="0.3">
      <c r="A231">
        <f>INDEX(Sheet1!B231:B3029,MATCH(MAX(Sheet1!N231:N3029),Sheet1!N231:N3029,0))</f>
        <v>40</v>
      </c>
    </row>
    <row r="232" spans="1:1" x14ac:dyDescent="0.3">
      <c r="A232">
        <f>INDEX(Sheet1!B232:B3030,MATCH(MAX(Sheet1!N232:N3030),Sheet1!N232:N3030,0))</f>
        <v>40</v>
      </c>
    </row>
    <row r="233" spans="1:1" x14ac:dyDescent="0.3">
      <c r="A233">
        <f>INDEX(Sheet1!B233:B3031,MATCH(MAX(Sheet1!N233:N3031),Sheet1!N233:N3031,0))</f>
        <v>40</v>
      </c>
    </row>
    <row r="234" spans="1:1" x14ac:dyDescent="0.3">
      <c r="A234">
        <f>INDEX(Sheet1!B234:B3032,MATCH(MAX(Sheet1!N234:N3032),Sheet1!N234:N3032,0))</f>
        <v>40</v>
      </c>
    </row>
    <row r="235" spans="1:1" x14ac:dyDescent="0.3">
      <c r="A235">
        <f>INDEX(Sheet1!B235:B3033,MATCH(MAX(Sheet1!N235:N3033),Sheet1!N235:N3033,0))</f>
        <v>40</v>
      </c>
    </row>
    <row r="236" spans="1:1" x14ac:dyDescent="0.3">
      <c r="A236">
        <f>INDEX(Sheet1!B236:B3034,MATCH(MAX(Sheet1!N236:N3034),Sheet1!N236:N3034,0))</f>
        <v>40</v>
      </c>
    </row>
    <row r="237" spans="1:1" x14ac:dyDescent="0.3">
      <c r="A237">
        <f>INDEX(Sheet1!B237:B3035,MATCH(MAX(Sheet1!N237:N3035),Sheet1!N237:N3035,0))</f>
        <v>41</v>
      </c>
    </row>
    <row r="238" spans="1:1" x14ac:dyDescent="0.3">
      <c r="A238">
        <f>INDEX(Sheet1!B238:B3036,MATCH(MAX(Sheet1!N238:N3036),Sheet1!N238:N3036,0))</f>
        <v>41</v>
      </c>
    </row>
    <row r="239" spans="1:1" x14ac:dyDescent="0.3">
      <c r="A239">
        <f>INDEX(Sheet1!B239:B3037,MATCH(MAX(Sheet1!N239:N3037),Sheet1!N239:N3037,0))</f>
        <v>41</v>
      </c>
    </row>
    <row r="240" spans="1:1" x14ac:dyDescent="0.3">
      <c r="A240">
        <f>INDEX(Sheet1!B240:B3038,MATCH(MAX(Sheet1!N240:N3038),Sheet1!N240:N3038,0))</f>
        <v>41</v>
      </c>
    </row>
    <row r="241" spans="1:1" x14ac:dyDescent="0.3">
      <c r="A241">
        <f>INDEX(Sheet1!B241:B3039,MATCH(MAX(Sheet1!N241:N3039),Sheet1!N241:N3039,0))</f>
        <v>41</v>
      </c>
    </row>
    <row r="242" spans="1:1" x14ac:dyDescent="0.3">
      <c r="A242">
        <f>INDEX(Sheet1!B242:B3040,MATCH(MAX(Sheet1!N242:N3040),Sheet1!N242:N3040,0))</f>
        <v>41</v>
      </c>
    </row>
    <row r="243" spans="1:1" x14ac:dyDescent="0.3">
      <c r="A243">
        <f>INDEX(Sheet1!B243:B3041,MATCH(MAX(Sheet1!N243:N3041),Sheet1!N243:N3041,0))</f>
        <v>41</v>
      </c>
    </row>
    <row r="244" spans="1:1" x14ac:dyDescent="0.3">
      <c r="A244">
        <f>INDEX(Sheet1!B244:B3042,MATCH(MAX(Sheet1!N244:N3042),Sheet1!N244:N3042,0))</f>
        <v>42</v>
      </c>
    </row>
    <row r="245" spans="1:1" x14ac:dyDescent="0.3">
      <c r="A245">
        <f>INDEX(Sheet1!B245:B3043,MATCH(MAX(Sheet1!N245:N3043),Sheet1!N245:N3043,0))</f>
        <v>42</v>
      </c>
    </row>
    <row r="246" spans="1:1" x14ac:dyDescent="0.3">
      <c r="A246">
        <f>INDEX(Sheet1!B246:B3044,MATCH(MAX(Sheet1!N246:N3044),Sheet1!N246:N3044,0))</f>
        <v>42</v>
      </c>
    </row>
    <row r="247" spans="1:1" x14ac:dyDescent="0.3">
      <c r="A247">
        <f>INDEX(Sheet1!B247:B3045,MATCH(MAX(Sheet1!N247:N3045),Sheet1!N247:N3045,0))</f>
        <v>42</v>
      </c>
    </row>
    <row r="248" spans="1:1" x14ac:dyDescent="0.3">
      <c r="A248">
        <f>INDEX(Sheet1!B248:B3046,MATCH(MAX(Sheet1!N248:N3046),Sheet1!N248:N3046,0))</f>
        <v>42</v>
      </c>
    </row>
    <row r="249" spans="1:1" x14ac:dyDescent="0.3">
      <c r="A249">
        <f>INDEX(Sheet1!B249:B3047,MATCH(MAX(Sheet1!N249:N3047),Sheet1!N249:N3047,0))</f>
        <v>42</v>
      </c>
    </row>
    <row r="250" spans="1:1" x14ac:dyDescent="0.3">
      <c r="A250">
        <f>INDEX(Sheet1!B250:B3048,MATCH(MAX(Sheet1!N250:N3048),Sheet1!N250:N3048,0))</f>
        <v>42</v>
      </c>
    </row>
    <row r="251" spans="1:1" x14ac:dyDescent="0.3">
      <c r="A251">
        <f>INDEX(Sheet1!B251:B3049,MATCH(MAX(Sheet1!N251:N3049),Sheet1!N251:N3049,0))</f>
        <v>42</v>
      </c>
    </row>
    <row r="252" spans="1:1" x14ac:dyDescent="0.3">
      <c r="A252">
        <f>INDEX(Sheet1!B252:B3050,MATCH(MAX(Sheet1!N252:N3050),Sheet1!N252:N3050,0))</f>
        <v>42</v>
      </c>
    </row>
    <row r="253" spans="1:1" x14ac:dyDescent="0.3">
      <c r="A253">
        <f>INDEX(Sheet1!B253:B3051,MATCH(MAX(Sheet1!N253:N3051),Sheet1!N253:N3051,0))</f>
        <v>43</v>
      </c>
    </row>
    <row r="254" spans="1:1" x14ac:dyDescent="0.3">
      <c r="A254">
        <f>INDEX(Sheet1!B254:B3052,MATCH(MAX(Sheet1!N254:N3052),Sheet1!N254:N3052,0))</f>
        <v>43</v>
      </c>
    </row>
    <row r="255" spans="1:1" x14ac:dyDescent="0.3">
      <c r="A255">
        <f>INDEX(Sheet1!B255:B3053,MATCH(MAX(Sheet1!N255:N3053),Sheet1!N255:N3053,0))</f>
        <v>43</v>
      </c>
    </row>
    <row r="256" spans="1:1" x14ac:dyDescent="0.3">
      <c r="A256">
        <f>INDEX(Sheet1!B256:B3054,MATCH(MAX(Sheet1!N256:N3054),Sheet1!N256:N3054,0))</f>
        <v>43</v>
      </c>
    </row>
    <row r="257" spans="1:1" x14ac:dyDescent="0.3">
      <c r="A257">
        <f>INDEX(Sheet1!B257:B3055,MATCH(MAX(Sheet1!N257:N3055),Sheet1!N257:N3055,0))</f>
        <v>43</v>
      </c>
    </row>
    <row r="258" spans="1:1" x14ac:dyDescent="0.3">
      <c r="A258">
        <f>INDEX(Sheet1!B258:B3056,MATCH(MAX(Sheet1!N258:N3056),Sheet1!N258:N3056,0))</f>
        <v>43</v>
      </c>
    </row>
    <row r="259" spans="1:1" x14ac:dyDescent="0.3">
      <c r="A259">
        <f>INDEX(Sheet1!B259:B3057,MATCH(MAX(Sheet1!N259:N3057),Sheet1!N259:N3057,0))</f>
        <v>43</v>
      </c>
    </row>
    <row r="260" spans="1:1" x14ac:dyDescent="0.3">
      <c r="A260">
        <f>INDEX(Sheet1!B260:B3058,MATCH(MAX(Sheet1!N260:N3058),Sheet1!N260:N3058,0))</f>
        <v>44</v>
      </c>
    </row>
    <row r="261" spans="1:1" x14ac:dyDescent="0.3">
      <c r="A261">
        <f>INDEX(Sheet1!B261:B3059,MATCH(MAX(Sheet1!N261:N3059),Sheet1!N261:N3059,0))</f>
        <v>44</v>
      </c>
    </row>
    <row r="262" spans="1:1" x14ac:dyDescent="0.3">
      <c r="A262">
        <f>INDEX(Sheet1!B262:B3060,MATCH(MAX(Sheet1!N262:N3060),Sheet1!N262:N3060,0))</f>
        <v>44</v>
      </c>
    </row>
    <row r="263" spans="1:1" x14ac:dyDescent="0.3">
      <c r="A263">
        <f>INDEX(Sheet1!B263:B3061,MATCH(MAX(Sheet1!N263:N3061),Sheet1!N263:N3061,0))</f>
        <v>44</v>
      </c>
    </row>
    <row r="264" spans="1:1" x14ac:dyDescent="0.3">
      <c r="A264">
        <f>INDEX(Sheet1!B264:B3062,MATCH(MAX(Sheet1!N264:N3062),Sheet1!N264:N3062,0))</f>
        <v>44</v>
      </c>
    </row>
    <row r="265" spans="1:1" x14ac:dyDescent="0.3">
      <c r="A265">
        <f>INDEX(Sheet1!B265:B3063,MATCH(MAX(Sheet1!N265:N3063),Sheet1!N265:N3063,0))</f>
        <v>44</v>
      </c>
    </row>
    <row r="266" spans="1:1" x14ac:dyDescent="0.3">
      <c r="A266">
        <f>INDEX(Sheet1!B266:B3064,MATCH(MAX(Sheet1!N266:N3064),Sheet1!N266:N3064,0))</f>
        <v>44</v>
      </c>
    </row>
    <row r="267" spans="1:1" x14ac:dyDescent="0.3">
      <c r="A267">
        <f>INDEX(Sheet1!B267:B3065,MATCH(MAX(Sheet1!N267:N3065),Sheet1!N267:N3065,0))</f>
        <v>44</v>
      </c>
    </row>
    <row r="268" spans="1:1" x14ac:dyDescent="0.3">
      <c r="A268">
        <f>INDEX(Sheet1!B268:B3066,MATCH(MAX(Sheet1!N268:N3066),Sheet1!N268:N3066,0))</f>
        <v>45</v>
      </c>
    </row>
    <row r="269" spans="1:1" x14ac:dyDescent="0.3">
      <c r="A269">
        <f>INDEX(Sheet1!B269:B3067,MATCH(MAX(Sheet1!N269:N3067),Sheet1!N269:N3067,0))</f>
        <v>45</v>
      </c>
    </row>
    <row r="270" spans="1:1" x14ac:dyDescent="0.3">
      <c r="A270">
        <f>INDEX(Sheet1!B270:B3068,MATCH(MAX(Sheet1!N270:N3068),Sheet1!N270:N3068,0))</f>
        <v>46</v>
      </c>
    </row>
    <row r="271" spans="1:1" x14ac:dyDescent="0.3">
      <c r="A271">
        <f>INDEX(Sheet1!B271:B3069,MATCH(MAX(Sheet1!N271:N3069),Sheet1!N271:N3069,0))</f>
        <v>46</v>
      </c>
    </row>
    <row r="272" spans="1:1" x14ac:dyDescent="0.3">
      <c r="A272">
        <f>INDEX(Sheet1!B272:B3070,MATCH(MAX(Sheet1!N272:N3070),Sheet1!N272:N3070,0))</f>
        <v>46</v>
      </c>
    </row>
    <row r="273" spans="1:1" x14ac:dyDescent="0.3">
      <c r="A273">
        <f>INDEX(Sheet1!B273:B3071,MATCH(MAX(Sheet1!N273:N3071),Sheet1!N273:N3071,0))</f>
        <v>46</v>
      </c>
    </row>
    <row r="274" spans="1:1" x14ac:dyDescent="0.3">
      <c r="A274">
        <f>INDEX(Sheet1!B274:B3072,MATCH(MAX(Sheet1!N274:N3072),Sheet1!N274:N3072,0))</f>
        <v>46</v>
      </c>
    </row>
    <row r="275" spans="1:1" x14ac:dyDescent="0.3">
      <c r="A275">
        <f>INDEX(Sheet1!B275:B3073,MATCH(MAX(Sheet1!N275:N3073),Sheet1!N275:N3073,0))</f>
        <v>47</v>
      </c>
    </row>
    <row r="276" spans="1:1" x14ac:dyDescent="0.3">
      <c r="A276">
        <f>INDEX(Sheet1!B276:B3074,MATCH(MAX(Sheet1!N276:N3074),Sheet1!N276:N3074,0))</f>
        <v>47</v>
      </c>
    </row>
    <row r="277" spans="1:1" x14ac:dyDescent="0.3">
      <c r="A277">
        <f>INDEX(Sheet1!B277:B3075,MATCH(MAX(Sheet1!N277:N3075),Sheet1!N277:N3075,0))</f>
        <v>47</v>
      </c>
    </row>
    <row r="278" spans="1:1" x14ac:dyDescent="0.3">
      <c r="A278">
        <f>INDEX(Sheet1!B278:B3076,MATCH(MAX(Sheet1!N278:N3076),Sheet1!N278:N3076,0))</f>
        <v>48</v>
      </c>
    </row>
    <row r="279" spans="1:1" x14ac:dyDescent="0.3">
      <c r="A279">
        <f>INDEX(Sheet1!B279:B3077,MATCH(MAX(Sheet1!N279:N3077),Sheet1!N279:N3077,0))</f>
        <v>48</v>
      </c>
    </row>
    <row r="280" spans="1:1" x14ac:dyDescent="0.3">
      <c r="A280">
        <f>INDEX(Sheet1!B280:B3078,MATCH(MAX(Sheet1!N280:N3078),Sheet1!N280:N3078,0))</f>
        <v>48</v>
      </c>
    </row>
    <row r="281" spans="1:1" x14ac:dyDescent="0.3">
      <c r="A281">
        <f>INDEX(Sheet1!B281:B3079,MATCH(MAX(Sheet1!N281:N3079),Sheet1!N281:N3079,0))</f>
        <v>48</v>
      </c>
    </row>
    <row r="282" spans="1:1" x14ac:dyDescent="0.3">
      <c r="A282">
        <f>INDEX(Sheet1!B282:B3080,MATCH(MAX(Sheet1!N282:N3080),Sheet1!N282:N3080,0))</f>
        <v>48</v>
      </c>
    </row>
    <row r="283" spans="1:1" x14ac:dyDescent="0.3">
      <c r="A283">
        <f>INDEX(Sheet1!B283:B3081,MATCH(MAX(Sheet1!N283:N3081),Sheet1!N283:N3081,0))</f>
        <v>48</v>
      </c>
    </row>
    <row r="284" spans="1:1" x14ac:dyDescent="0.3">
      <c r="A284">
        <f>INDEX(Sheet1!B284:B3082,MATCH(MAX(Sheet1!N284:N3082),Sheet1!N284:N3082,0))</f>
        <v>50</v>
      </c>
    </row>
    <row r="285" spans="1:1" x14ac:dyDescent="0.3">
      <c r="A285">
        <f>INDEX(Sheet1!B285:B3083,MATCH(MAX(Sheet1!N285:N3083),Sheet1!N285:N3083,0))</f>
        <v>50</v>
      </c>
    </row>
    <row r="286" spans="1:1" x14ac:dyDescent="0.3">
      <c r="A286">
        <f>INDEX(Sheet1!B286:B3084,MATCH(MAX(Sheet1!N286:N3084),Sheet1!N286:N3084,0))</f>
        <v>50</v>
      </c>
    </row>
    <row r="287" spans="1:1" x14ac:dyDescent="0.3">
      <c r="A287">
        <f>INDEX(Sheet1!B287:B3085,MATCH(MAX(Sheet1!N287:N3085),Sheet1!N287:N3085,0))</f>
        <v>50</v>
      </c>
    </row>
    <row r="288" spans="1:1" x14ac:dyDescent="0.3">
      <c r="A288">
        <f>INDEX(Sheet1!B288:B3086,MATCH(MAX(Sheet1!N288:N3086),Sheet1!N288:N3086,0))</f>
        <v>50</v>
      </c>
    </row>
    <row r="289" spans="1:1" x14ac:dyDescent="0.3">
      <c r="A289">
        <f>INDEX(Sheet1!B289:B3087,MATCH(MAX(Sheet1!N289:N3087),Sheet1!N289:N3087,0))</f>
        <v>50</v>
      </c>
    </row>
    <row r="290" spans="1:1" x14ac:dyDescent="0.3">
      <c r="A290">
        <f>INDEX(Sheet1!B290:B3088,MATCH(MAX(Sheet1!N290:N3088),Sheet1!N290:N3088,0))</f>
        <v>50</v>
      </c>
    </row>
    <row r="291" spans="1:1" x14ac:dyDescent="0.3">
      <c r="A291">
        <f>INDEX(Sheet1!B291:B3089,MATCH(MAX(Sheet1!N291:N3089),Sheet1!N291:N3089,0))</f>
        <v>52</v>
      </c>
    </row>
    <row r="292" spans="1:1" x14ac:dyDescent="0.3">
      <c r="A292">
        <f>INDEX(Sheet1!B292:B3090,MATCH(MAX(Sheet1!N292:N3090),Sheet1!N292:N3090,0))</f>
        <v>52</v>
      </c>
    </row>
    <row r="293" spans="1:1" x14ac:dyDescent="0.3">
      <c r="A293">
        <f>INDEX(Sheet1!B293:B3091,MATCH(MAX(Sheet1!N293:N3091),Sheet1!N293:N3091,0))</f>
        <v>52</v>
      </c>
    </row>
    <row r="294" spans="1:1" x14ac:dyDescent="0.3">
      <c r="A294">
        <f>INDEX(Sheet1!B294:B3092,MATCH(MAX(Sheet1!N294:N3092),Sheet1!N294:N3092,0))</f>
        <v>52</v>
      </c>
    </row>
    <row r="295" spans="1:1" x14ac:dyDescent="0.3">
      <c r="A295">
        <f>INDEX(Sheet1!B295:B3093,MATCH(MAX(Sheet1!N295:N3093),Sheet1!N295:N3093,0))</f>
        <v>52</v>
      </c>
    </row>
    <row r="296" spans="1:1" x14ac:dyDescent="0.3">
      <c r="A296">
        <f>INDEX(Sheet1!B296:B3094,MATCH(MAX(Sheet1!N296:N3094),Sheet1!N296:N3094,0))</f>
        <v>52</v>
      </c>
    </row>
    <row r="297" spans="1:1" x14ac:dyDescent="0.3">
      <c r="A297">
        <f>INDEX(Sheet1!B297:B3095,MATCH(MAX(Sheet1!N297:N3095),Sheet1!N297:N3095,0))</f>
        <v>52</v>
      </c>
    </row>
    <row r="298" spans="1:1" x14ac:dyDescent="0.3">
      <c r="A298">
        <f>INDEX(Sheet1!B298:B3096,MATCH(MAX(Sheet1!N298:N3096),Sheet1!N298:N3096,0))</f>
        <v>52</v>
      </c>
    </row>
    <row r="299" spans="1:1" x14ac:dyDescent="0.3">
      <c r="A299">
        <f>INDEX(Sheet1!B299:B3097,MATCH(MAX(Sheet1!N299:N3097),Sheet1!N299:N3097,0))</f>
        <v>52</v>
      </c>
    </row>
    <row r="300" spans="1:1" x14ac:dyDescent="0.3">
      <c r="A300">
        <f>INDEX(Sheet1!B300:B3098,MATCH(MAX(Sheet1!N300:N3098),Sheet1!N300:N3098,0))</f>
        <v>52</v>
      </c>
    </row>
    <row r="301" spans="1:1" x14ac:dyDescent="0.3">
      <c r="A301">
        <f>INDEX(Sheet1!B301:B3099,MATCH(MAX(Sheet1!N301:N3099),Sheet1!N301:N3099,0))</f>
        <v>52</v>
      </c>
    </row>
    <row r="302" spans="1:1" x14ac:dyDescent="0.3">
      <c r="A302">
        <f>INDEX(Sheet1!B302:B3100,MATCH(MAX(Sheet1!N302:N3100),Sheet1!N302:N3100,0))</f>
        <v>53</v>
      </c>
    </row>
    <row r="303" spans="1:1" x14ac:dyDescent="0.3">
      <c r="A303">
        <f>INDEX(Sheet1!B303:B3101,MATCH(MAX(Sheet1!N303:N3101),Sheet1!N303:N3101,0))</f>
        <v>53</v>
      </c>
    </row>
    <row r="304" spans="1:1" x14ac:dyDescent="0.3">
      <c r="A304">
        <f>INDEX(Sheet1!B304:B3102,MATCH(MAX(Sheet1!N304:N3102),Sheet1!N304:N3102,0))</f>
        <v>53</v>
      </c>
    </row>
    <row r="305" spans="1:1" x14ac:dyDescent="0.3">
      <c r="A305">
        <f>INDEX(Sheet1!B305:B3103,MATCH(MAX(Sheet1!N305:N3103),Sheet1!N305:N3103,0))</f>
        <v>53</v>
      </c>
    </row>
    <row r="306" spans="1:1" x14ac:dyDescent="0.3">
      <c r="A306">
        <f>INDEX(Sheet1!B306:B3104,MATCH(MAX(Sheet1!N306:N3104),Sheet1!N306:N3104,0))</f>
        <v>53</v>
      </c>
    </row>
    <row r="307" spans="1:1" x14ac:dyDescent="0.3">
      <c r="A307">
        <f>INDEX(Sheet1!B307:B3105,MATCH(MAX(Sheet1!N307:N3105),Sheet1!N307:N3105,0))</f>
        <v>54</v>
      </c>
    </row>
    <row r="308" spans="1:1" x14ac:dyDescent="0.3">
      <c r="A308">
        <f>INDEX(Sheet1!B308:B3106,MATCH(MAX(Sheet1!N308:N3106),Sheet1!N308:N3106,0))</f>
        <v>54</v>
      </c>
    </row>
    <row r="309" spans="1:1" x14ac:dyDescent="0.3">
      <c r="A309">
        <f>INDEX(Sheet1!B309:B3107,MATCH(MAX(Sheet1!N309:N3107),Sheet1!N309:N3107,0))</f>
        <v>54</v>
      </c>
    </row>
    <row r="310" spans="1:1" x14ac:dyDescent="0.3">
      <c r="A310">
        <f>INDEX(Sheet1!B310:B3108,MATCH(MAX(Sheet1!N310:N3108),Sheet1!N310:N3108,0))</f>
        <v>54</v>
      </c>
    </row>
    <row r="311" spans="1:1" x14ac:dyDescent="0.3">
      <c r="A311">
        <f>INDEX(Sheet1!B311:B3109,MATCH(MAX(Sheet1!N311:N3109),Sheet1!N311:N3109,0))</f>
        <v>54</v>
      </c>
    </row>
    <row r="312" spans="1:1" x14ac:dyDescent="0.3">
      <c r="A312">
        <f>INDEX(Sheet1!B312:B3110,MATCH(MAX(Sheet1!N312:N3110),Sheet1!N312:N3110,0))</f>
        <v>54</v>
      </c>
    </row>
    <row r="313" spans="1:1" x14ac:dyDescent="0.3">
      <c r="A313">
        <f>INDEX(Sheet1!B313:B3111,MATCH(MAX(Sheet1!N313:N3111),Sheet1!N313:N3111,0))</f>
        <v>54</v>
      </c>
    </row>
    <row r="314" spans="1:1" x14ac:dyDescent="0.3">
      <c r="A314">
        <f>INDEX(Sheet1!B314:B3112,MATCH(MAX(Sheet1!N314:N3112),Sheet1!N314:N3112,0))</f>
        <v>55</v>
      </c>
    </row>
    <row r="315" spans="1:1" x14ac:dyDescent="0.3">
      <c r="A315">
        <f>INDEX(Sheet1!B315:B3113,MATCH(MAX(Sheet1!N315:N3113),Sheet1!N315:N3113,0))</f>
        <v>55</v>
      </c>
    </row>
    <row r="316" spans="1:1" x14ac:dyDescent="0.3">
      <c r="A316">
        <f>INDEX(Sheet1!B316:B3114,MATCH(MAX(Sheet1!N316:N3114),Sheet1!N316:N3114,0))</f>
        <v>55</v>
      </c>
    </row>
    <row r="317" spans="1:1" x14ac:dyDescent="0.3">
      <c r="A317">
        <f>INDEX(Sheet1!B317:B3115,MATCH(MAX(Sheet1!N317:N3115),Sheet1!N317:N3115,0))</f>
        <v>55</v>
      </c>
    </row>
    <row r="318" spans="1:1" x14ac:dyDescent="0.3">
      <c r="A318">
        <f>INDEX(Sheet1!B318:B3116,MATCH(MAX(Sheet1!N318:N3116),Sheet1!N318:N3116,0))</f>
        <v>55</v>
      </c>
    </row>
    <row r="319" spans="1:1" x14ac:dyDescent="0.3">
      <c r="A319">
        <f>INDEX(Sheet1!B319:B3117,MATCH(MAX(Sheet1!N319:N3117),Sheet1!N319:N3117,0))</f>
        <v>56</v>
      </c>
    </row>
    <row r="320" spans="1:1" x14ac:dyDescent="0.3">
      <c r="A320">
        <f>INDEX(Sheet1!B320:B3118,MATCH(MAX(Sheet1!N320:N3118),Sheet1!N320:N3118,0))</f>
        <v>56</v>
      </c>
    </row>
    <row r="321" spans="1:1" x14ac:dyDescent="0.3">
      <c r="A321">
        <f>INDEX(Sheet1!B321:B3119,MATCH(MAX(Sheet1!N321:N3119),Sheet1!N321:N3119,0))</f>
        <v>56</v>
      </c>
    </row>
    <row r="322" spans="1:1" x14ac:dyDescent="0.3">
      <c r="A322">
        <f>INDEX(Sheet1!B322:B3120,MATCH(MAX(Sheet1!N322:N3120),Sheet1!N322:N3120,0))</f>
        <v>56</v>
      </c>
    </row>
    <row r="323" spans="1:1" x14ac:dyDescent="0.3">
      <c r="A323">
        <f>INDEX(Sheet1!B323:B3121,MATCH(MAX(Sheet1!N323:N3121),Sheet1!N323:N3121,0))</f>
        <v>56</v>
      </c>
    </row>
    <row r="324" spans="1:1" x14ac:dyDescent="0.3">
      <c r="A324">
        <f>INDEX(Sheet1!B324:B3122,MATCH(MAX(Sheet1!N324:N3122),Sheet1!N324:N3122,0))</f>
        <v>57</v>
      </c>
    </row>
    <row r="325" spans="1:1" x14ac:dyDescent="0.3">
      <c r="A325">
        <f>INDEX(Sheet1!B325:B3123,MATCH(MAX(Sheet1!N325:N3123),Sheet1!N325:N3123,0))</f>
        <v>57</v>
      </c>
    </row>
    <row r="326" spans="1:1" x14ac:dyDescent="0.3">
      <c r="A326">
        <f>INDEX(Sheet1!B326:B3124,MATCH(MAX(Sheet1!N326:N3124),Sheet1!N326:N3124,0))</f>
        <v>57</v>
      </c>
    </row>
    <row r="327" spans="1:1" x14ac:dyDescent="0.3">
      <c r="A327">
        <f>INDEX(Sheet1!B327:B3125,MATCH(MAX(Sheet1!N327:N3125),Sheet1!N327:N3125,0))</f>
        <v>57</v>
      </c>
    </row>
    <row r="328" spans="1:1" x14ac:dyDescent="0.3">
      <c r="A328">
        <f>INDEX(Sheet1!B328:B3126,MATCH(MAX(Sheet1!N328:N3126),Sheet1!N328:N3126,0))</f>
        <v>57</v>
      </c>
    </row>
    <row r="329" spans="1:1" x14ac:dyDescent="0.3">
      <c r="A329">
        <f>INDEX(Sheet1!B329:B3127,MATCH(MAX(Sheet1!N329:N3127),Sheet1!N329:N3127,0))</f>
        <v>57</v>
      </c>
    </row>
    <row r="330" spans="1:1" x14ac:dyDescent="0.3">
      <c r="A330">
        <f>INDEX(Sheet1!B330:B3128,MATCH(MAX(Sheet1!N330:N3128),Sheet1!N330:N3128,0))</f>
        <v>57</v>
      </c>
    </row>
    <row r="331" spans="1:1" x14ac:dyDescent="0.3">
      <c r="A331">
        <f>INDEX(Sheet1!B331:B3129,MATCH(MAX(Sheet1!N331:N3129),Sheet1!N331:N3129,0))</f>
        <v>57</v>
      </c>
    </row>
    <row r="332" spans="1:1" x14ac:dyDescent="0.3">
      <c r="A332">
        <f>INDEX(Sheet1!B332:B3130,MATCH(MAX(Sheet1!N332:N3130),Sheet1!N332:N3130,0))</f>
        <v>57</v>
      </c>
    </row>
    <row r="333" spans="1:1" x14ac:dyDescent="0.3">
      <c r="A333">
        <f>INDEX(Sheet1!B333:B3131,MATCH(MAX(Sheet1!N333:N3131),Sheet1!N333:N3131,0))</f>
        <v>57</v>
      </c>
    </row>
    <row r="334" spans="1:1" x14ac:dyDescent="0.3">
      <c r="A334">
        <f>INDEX(Sheet1!B334:B3132,MATCH(MAX(Sheet1!N334:N3132),Sheet1!N334:N3132,0))</f>
        <v>57</v>
      </c>
    </row>
    <row r="335" spans="1:1" x14ac:dyDescent="0.3">
      <c r="A335">
        <f>INDEX(Sheet1!B335:B3133,MATCH(MAX(Sheet1!N335:N3133),Sheet1!N335:N3133,0))</f>
        <v>58</v>
      </c>
    </row>
    <row r="336" spans="1:1" x14ac:dyDescent="0.3">
      <c r="A336">
        <f>INDEX(Sheet1!B336:B3134,MATCH(MAX(Sheet1!N336:N3134),Sheet1!N336:N3134,0))</f>
        <v>58</v>
      </c>
    </row>
    <row r="337" spans="1:1" x14ac:dyDescent="0.3">
      <c r="A337">
        <f>INDEX(Sheet1!B337:B3135,MATCH(MAX(Sheet1!N337:N3135),Sheet1!N337:N3135,0))</f>
        <v>58</v>
      </c>
    </row>
    <row r="338" spans="1:1" x14ac:dyDescent="0.3">
      <c r="A338">
        <f>INDEX(Sheet1!B338:B3136,MATCH(MAX(Sheet1!N338:N3136),Sheet1!N338:N3136,0))</f>
        <v>58</v>
      </c>
    </row>
    <row r="339" spans="1:1" x14ac:dyDescent="0.3">
      <c r="A339">
        <f>INDEX(Sheet1!B339:B3137,MATCH(MAX(Sheet1!N339:N3137),Sheet1!N339:N3137,0))</f>
        <v>58</v>
      </c>
    </row>
    <row r="340" spans="1:1" x14ac:dyDescent="0.3">
      <c r="A340">
        <f>INDEX(Sheet1!B340:B3138,MATCH(MAX(Sheet1!N340:N3138),Sheet1!N340:N3138,0))</f>
        <v>59</v>
      </c>
    </row>
    <row r="341" spans="1:1" x14ac:dyDescent="0.3">
      <c r="A341">
        <f>INDEX(Sheet1!B341:B3139,MATCH(MAX(Sheet1!N341:N3139),Sheet1!N341:N3139,0))</f>
        <v>59</v>
      </c>
    </row>
    <row r="342" spans="1:1" x14ac:dyDescent="0.3">
      <c r="A342">
        <f>INDEX(Sheet1!B342:B3140,MATCH(MAX(Sheet1!N342:N3140),Sheet1!N342:N3140,0))</f>
        <v>59</v>
      </c>
    </row>
    <row r="343" spans="1:1" x14ac:dyDescent="0.3">
      <c r="A343">
        <f>INDEX(Sheet1!B343:B3141,MATCH(MAX(Sheet1!N343:N3141),Sheet1!N343:N3141,0))</f>
        <v>59</v>
      </c>
    </row>
    <row r="344" spans="1:1" x14ac:dyDescent="0.3">
      <c r="A344">
        <f>INDEX(Sheet1!B344:B3142,MATCH(MAX(Sheet1!N344:N3142),Sheet1!N344:N3142,0))</f>
        <v>59</v>
      </c>
    </row>
    <row r="345" spans="1:1" x14ac:dyDescent="0.3">
      <c r="A345">
        <f>INDEX(Sheet1!B345:B3143,MATCH(MAX(Sheet1!N345:N3143),Sheet1!N345:N3143,0))</f>
        <v>59</v>
      </c>
    </row>
    <row r="346" spans="1:1" x14ac:dyDescent="0.3">
      <c r="A346">
        <f>INDEX(Sheet1!B346:B3144,MATCH(MAX(Sheet1!N346:N3144),Sheet1!N346:N3144,0))</f>
        <v>59</v>
      </c>
    </row>
    <row r="347" spans="1:1" x14ac:dyDescent="0.3">
      <c r="A347">
        <f>INDEX(Sheet1!B347:B3145,MATCH(MAX(Sheet1!N347:N3145),Sheet1!N347:N3145,0))</f>
        <v>59</v>
      </c>
    </row>
    <row r="348" spans="1:1" x14ac:dyDescent="0.3">
      <c r="A348">
        <f>INDEX(Sheet1!B348:B3146,MATCH(MAX(Sheet1!N348:N3146),Sheet1!N348:N3146,0))</f>
        <v>60</v>
      </c>
    </row>
    <row r="349" spans="1:1" x14ac:dyDescent="0.3">
      <c r="A349">
        <f>INDEX(Sheet1!B349:B3147,MATCH(MAX(Sheet1!N349:N3147),Sheet1!N349:N3147,0))</f>
        <v>60</v>
      </c>
    </row>
    <row r="350" spans="1:1" x14ac:dyDescent="0.3">
      <c r="A350">
        <f>INDEX(Sheet1!B350:B3148,MATCH(MAX(Sheet1!N350:N3148),Sheet1!N350:N3148,0))</f>
        <v>60</v>
      </c>
    </row>
    <row r="351" spans="1:1" x14ac:dyDescent="0.3">
      <c r="A351">
        <f>INDEX(Sheet1!B351:B3149,MATCH(MAX(Sheet1!N351:N3149),Sheet1!N351:N3149,0))</f>
        <v>60</v>
      </c>
    </row>
    <row r="352" spans="1:1" x14ac:dyDescent="0.3">
      <c r="A352">
        <f>INDEX(Sheet1!B352:B3150,MATCH(MAX(Sheet1!N352:N3150),Sheet1!N352:N3150,0))</f>
        <v>60</v>
      </c>
    </row>
    <row r="353" spans="1:1" x14ac:dyDescent="0.3">
      <c r="A353">
        <f>INDEX(Sheet1!B353:B3151,MATCH(MAX(Sheet1!N353:N3151),Sheet1!N353:N3151,0))</f>
        <v>60</v>
      </c>
    </row>
    <row r="354" spans="1:1" x14ac:dyDescent="0.3">
      <c r="A354">
        <f>INDEX(Sheet1!B354:B3152,MATCH(MAX(Sheet1!N354:N3152),Sheet1!N354:N3152,0))</f>
        <v>60</v>
      </c>
    </row>
    <row r="355" spans="1:1" x14ac:dyDescent="0.3">
      <c r="A355">
        <f>INDEX(Sheet1!B355:B3153,MATCH(MAX(Sheet1!N355:N3153),Sheet1!N355:N3153,0))</f>
        <v>61</v>
      </c>
    </row>
    <row r="356" spans="1:1" x14ac:dyDescent="0.3">
      <c r="A356">
        <f>INDEX(Sheet1!B356:B3154,MATCH(MAX(Sheet1!N356:N3154),Sheet1!N356:N3154,0))</f>
        <v>61</v>
      </c>
    </row>
    <row r="357" spans="1:1" x14ac:dyDescent="0.3">
      <c r="A357">
        <f>INDEX(Sheet1!B357:B3155,MATCH(MAX(Sheet1!N357:N3155),Sheet1!N357:N3155,0))</f>
        <v>61</v>
      </c>
    </row>
    <row r="358" spans="1:1" x14ac:dyDescent="0.3">
      <c r="A358">
        <f>INDEX(Sheet1!B358:B3156,MATCH(MAX(Sheet1!N358:N3156),Sheet1!N358:N3156,0))</f>
        <v>61</v>
      </c>
    </row>
    <row r="359" spans="1:1" x14ac:dyDescent="0.3">
      <c r="A359">
        <f>INDEX(Sheet1!B359:B3157,MATCH(MAX(Sheet1!N359:N3157),Sheet1!N359:N3157,0))</f>
        <v>61</v>
      </c>
    </row>
    <row r="360" spans="1:1" x14ac:dyDescent="0.3">
      <c r="A360">
        <f>INDEX(Sheet1!B360:B3158,MATCH(MAX(Sheet1!N360:N3158),Sheet1!N360:N3158,0))</f>
        <v>62</v>
      </c>
    </row>
    <row r="361" spans="1:1" x14ac:dyDescent="0.3">
      <c r="A361">
        <f>INDEX(Sheet1!B361:B3159,MATCH(MAX(Sheet1!N361:N3159),Sheet1!N361:N3159,0))</f>
        <v>62</v>
      </c>
    </row>
    <row r="362" spans="1:1" x14ac:dyDescent="0.3">
      <c r="A362">
        <f>INDEX(Sheet1!B362:B3160,MATCH(MAX(Sheet1!N362:N3160),Sheet1!N362:N3160,0))</f>
        <v>62</v>
      </c>
    </row>
    <row r="363" spans="1:1" x14ac:dyDescent="0.3">
      <c r="A363">
        <f>INDEX(Sheet1!B363:B3161,MATCH(MAX(Sheet1!N363:N3161),Sheet1!N363:N3161,0))</f>
        <v>62</v>
      </c>
    </row>
    <row r="364" spans="1:1" x14ac:dyDescent="0.3">
      <c r="A364">
        <f>INDEX(Sheet1!B364:B3162,MATCH(MAX(Sheet1!N364:N3162),Sheet1!N364:N3162,0))</f>
        <v>62</v>
      </c>
    </row>
    <row r="365" spans="1:1" x14ac:dyDescent="0.3">
      <c r="A365">
        <f>INDEX(Sheet1!B365:B3163,MATCH(MAX(Sheet1!N365:N3163),Sheet1!N365:N3163,0))</f>
        <v>62</v>
      </c>
    </row>
    <row r="366" spans="1:1" x14ac:dyDescent="0.3">
      <c r="A366">
        <f>INDEX(Sheet1!B366:B3164,MATCH(MAX(Sheet1!N366:N3164),Sheet1!N366:N3164,0))</f>
        <v>62</v>
      </c>
    </row>
    <row r="367" spans="1:1" x14ac:dyDescent="0.3">
      <c r="A367">
        <f>INDEX(Sheet1!B367:B3165,MATCH(MAX(Sheet1!N367:N3165),Sheet1!N367:N3165,0))</f>
        <v>62</v>
      </c>
    </row>
    <row r="368" spans="1:1" x14ac:dyDescent="0.3">
      <c r="A368">
        <f>INDEX(Sheet1!B368:B3166,MATCH(MAX(Sheet1!N368:N3166),Sheet1!N368:N3166,0))</f>
        <v>62</v>
      </c>
    </row>
    <row r="369" spans="1:1" x14ac:dyDescent="0.3">
      <c r="A369">
        <f>INDEX(Sheet1!B369:B3167,MATCH(MAX(Sheet1!N369:N3167),Sheet1!N369:N3167,0))</f>
        <v>62</v>
      </c>
    </row>
    <row r="370" spans="1:1" x14ac:dyDescent="0.3">
      <c r="A370">
        <f>INDEX(Sheet1!B370:B3168,MATCH(MAX(Sheet1!N370:N3168),Sheet1!N370:N3168,0))</f>
        <v>62</v>
      </c>
    </row>
    <row r="371" spans="1:1" x14ac:dyDescent="0.3">
      <c r="A371">
        <f>INDEX(Sheet1!B371:B3169,MATCH(MAX(Sheet1!N371:N3169),Sheet1!N371:N3169,0))</f>
        <v>62</v>
      </c>
    </row>
    <row r="372" spans="1:1" x14ac:dyDescent="0.3">
      <c r="A372">
        <f>INDEX(Sheet1!B372:B3170,MATCH(MAX(Sheet1!N372:N3170),Sheet1!N372:N3170,0))</f>
        <v>63</v>
      </c>
    </row>
    <row r="373" spans="1:1" x14ac:dyDescent="0.3">
      <c r="A373">
        <f>INDEX(Sheet1!B373:B3171,MATCH(MAX(Sheet1!N373:N3171),Sheet1!N373:N3171,0))</f>
        <v>63</v>
      </c>
    </row>
    <row r="374" spans="1:1" x14ac:dyDescent="0.3">
      <c r="A374">
        <f>INDEX(Sheet1!B374:B3172,MATCH(MAX(Sheet1!N374:N3172),Sheet1!N374:N3172,0))</f>
        <v>65</v>
      </c>
    </row>
    <row r="375" spans="1:1" x14ac:dyDescent="0.3">
      <c r="A375">
        <f>INDEX(Sheet1!B375:B3173,MATCH(MAX(Sheet1!N375:N3173),Sheet1!N375:N3173,0))</f>
        <v>65</v>
      </c>
    </row>
    <row r="376" spans="1:1" x14ac:dyDescent="0.3">
      <c r="A376">
        <f>INDEX(Sheet1!B376:B3174,MATCH(MAX(Sheet1!N376:N3174),Sheet1!N376:N3174,0))</f>
        <v>65</v>
      </c>
    </row>
    <row r="377" spans="1:1" x14ac:dyDescent="0.3">
      <c r="A377">
        <f>INDEX(Sheet1!B377:B3175,MATCH(MAX(Sheet1!N377:N3175),Sheet1!N377:N3175,0))</f>
        <v>65</v>
      </c>
    </row>
    <row r="378" spans="1:1" x14ac:dyDescent="0.3">
      <c r="A378">
        <f>INDEX(Sheet1!B378:B3176,MATCH(MAX(Sheet1!N378:N3176),Sheet1!N378:N3176,0))</f>
        <v>65</v>
      </c>
    </row>
    <row r="379" spans="1:1" x14ac:dyDescent="0.3">
      <c r="A379">
        <f>INDEX(Sheet1!B379:B3177,MATCH(MAX(Sheet1!N379:N3177),Sheet1!N379:N3177,0))</f>
        <v>65</v>
      </c>
    </row>
    <row r="380" spans="1:1" x14ac:dyDescent="0.3">
      <c r="A380">
        <f>INDEX(Sheet1!B380:B3178,MATCH(MAX(Sheet1!N380:N3178),Sheet1!N380:N3178,0))</f>
        <v>65</v>
      </c>
    </row>
    <row r="381" spans="1:1" x14ac:dyDescent="0.3">
      <c r="A381">
        <f>INDEX(Sheet1!B381:B3179,MATCH(MAX(Sheet1!N381:N3179),Sheet1!N381:N3179,0))</f>
        <v>66</v>
      </c>
    </row>
    <row r="382" spans="1:1" x14ac:dyDescent="0.3">
      <c r="A382">
        <f>INDEX(Sheet1!B382:B3180,MATCH(MAX(Sheet1!N382:N3180),Sheet1!N382:N3180,0))</f>
        <v>66</v>
      </c>
    </row>
    <row r="383" spans="1:1" x14ac:dyDescent="0.3">
      <c r="A383">
        <f>INDEX(Sheet1!B383:B3181,MATCH(MAX(Sheet1!N383:N3181),Sheet1!N383:N3181,0))</f>
        <v>66</v>
      </c>
    </row>
    <row r="384" spans="1:1" x14ac:dyDescent="0.3">
      <c r="A384">
        <f>INDEX(Sheet1!B384:B3182,MATCH(MAX(Sheet1!N384:N3182),Sheet1!N384:N3182,0))</f>
        <v>66</v>
      </c>
    </row>
    <row r="385" spans="1:1" x14ac:dyDescent="0.3">
      <c r="A385">
        <f>INDEX(Sheet1!B385:B3183,MATCH(MAX(Sheet1!N385:N3183),Sheet1!N385:N3183,0))</f>
        <v>66</v>
      </c>
    </row>
    <row r="386" spans="1:1" x14ac:dyDescent="0.3">
      <c r="A386">
        <f>INDEX(Sheet1!B386:B3184,MATCH(MAX(Sheet1!N386:N3184),Sheet1!N386:N3184,0))</f>
        <v>66</v>
      </c>
    </row>
    <row r="387" spans="1:1" x14ac:dyDescent="0.3">
      <c r="A387">
        <f>INDEX(Sheet1!B387:B3185,MATCH(MAX(Sheet1!N387:N3185),Sheet1!N387:N3185,0))</f>
        <v>67</v>
      </c>
    </row>
    <row r="388" spans="1:1" x14ac:dyDescent="0.3">
      <c r="A388">
        <f>INDEX(Sheet1!B388:B3186,MATCH(MAX(Sheet1!N388:N3186),Sheet1!N388:N3186,0))</f>
        <v>67</v>
      </c>
    </row>
    <row r="389" spans="1:1" x14ac:dyDescent="0.3">
      <c r="A389">
        <f>INDEX(Sheet1!B389:B3187,MATCH(MAX(Sheet1!N389:N3187),Sheet1!N389:N3187,0))</f>
        <v>68</v>
      </c>
    </row>
    <row r="390" spans="1:1" x14ac:dyDescent="0.3">
      <c r="A390">
        <f>INDEX(Sheet1!B390:B3188,MATCH(MAX(Sheet1!N390:N3188),Sheet1!N390:N3188,0))</f>
        <v>68</v>
      </c>
    </row>
    <row r="391" spans="1:1" x14ac:dyDescent="0.3">
      <c r="A391">
        <f>INDEX(Sheet1!B391:B3189,MATCH(MAX(Sheet1!N391:N3189),Sheet1!N391:N3189,0))</f>
        <v>68</v>
      </c>
    </row>
    <row r="392" spans="1:1" x14ac:dyDescent="0.3">
      <c r="A392">
        <f>INDEX(Sheet1!B392:B3190,MATCH(MAX(Sheet1!N392:N3190),Sheet1!N392:N3190,0))</f>
        <v>68</v>
      </c>
    </row>
    <row r="393" spans="1:1" x14ac:dyDescent="0.3">
      <c r="A393">
        <f>INDEX(Sheet1!B393:B3191,MATCH(MAX(Sheet1!N393:N3191),Sheet1!N393:N3191,0))</f>
        <v>68</v>
      </c>
    </row>
    <row r="394" spans="1:1" x14ac:dyDescent="0.3">
      <c r="A394">
        <f>INDEX(Sheet1!B394:B3192,MATCH(MAX(Sheet1!N394:N3192),Sheet1!N394:N3192,0))</f>
        <v>68</v>
      </c>
    </row>
    <row r="395" spans="1:1" x14ac:dyDescent="0.3">
      <c r="A395">
        <f>INDEX(Sheet1!B395:B3193,MATCH(MAX(Sheet1!N395:N3193),Sheet1!N395:N3193,0))</f>
        <v>68</v>
      </c>
    </row>
    <row r="396" spans="1:1" x14ac:dyDescent="0.3">
      <c r="A396">
        <f>INDEX(Sheet1!B396:B3194,MATCH(MAX(Sheet1!N396:N3194),Sheet1!N396:N3194,0))</f>
        <v>68</v>
      </c>
    </row>
    <row r="397" spans="1:1" x14ac:dyDescent="0.3">
      <c r="A397">
        <f>INDEX(Sheet1!B397:B3195,MATCH(MAX(Sheet1!N397:N3195),Sheet1!N397:N3195,0))</f>
        <v>68</v>
      </c>
    </row>
    <row r="398" spans="1:1" x14ac:dyDescent="0.3">
      <c r="A398">
        <f>INDEX(Sheet1!B398:B3196,MATCH(MAX(Sheet1!N398:N3196),Sheet1!N398:N3196,0))</f>
        <v>68</v>
      </c>
    </row>
    <row r="399" spans="1:1" x14ac:dyDescent="0.3">
      <c r="A399">
        <f>INDEX(Sheet1!B399:B3197,MATCH(MAX(Sheet1!N399:N3197),Sheet1!N399:N3197,0))</f>
        <v>69</v>
      </c>
    </row>
    <row r="400" spans="1:1" x14ac:dyDescent="0.3">
      <c r="A400">
        <f>INDEX(Sheet1!B400:B3198,MATCH(MAX(Sheet1!N400:N3198),Sheet1!N400:N3198,0))</f>
        <v>69</v>
      </c>
    </row>
    <row r="401" spans="1:1" x14ac:dyDescent="0.3">
      <c r="A401">
        <f>INDEX(Sheet1!B401:B3199,MATCH(MAX(Sheet1!N401:N3199),Sheet1!N401:N3199,0))</f>
        <v>69</v>
      </c>
    </row>
    <row r="402" spans="1:1" x14ac:dyDescent="0.3">
      <c r="A402">
        <f>INDEX(Sheet1!B402:B3200,MATCH(MAX(Sheet1!N402:N3200),Sheet1!N402:N3200,0))</f>
        <v>69</v>
      </c>
    </row>
    <row r="403" spans="1:1" x14ac:dyDescent="0.3">
      <c r="A403">
        <f>INDEX(Sheet1!B403:B3201,MATCH(MAX(Sheet1!N403:N3201),Sheet1!N403:N3201,0))</f>
        <v>69</v>
      </c>
    </row>
    <row r="404" spans="1:1" x14ac:dyDescent="0.3">
      <c r="A404">
        <f>INDEX(Sheet1!B404:B3202,MATCH(MAX(Sheet1!N404:N3202),Sheet1!N404:N3202,0))</f>
        <v>69</v>
      </c>
    </row>
    <row r="405" spans="1:1" x14ac:dyDescent="0.3">
      <c r="A405">
        <f>INDEX(Sheet1!B405:B3203,MATCH(MAX(Sheet1!N405:N3203),Sheet1!N405:N3203,0))</f>
        <v>69</v>
      </c>
    </row>
    <row r="406" spans="1:1" x14ac:dyDescent="0.3">
      <c r="A406">
        <f>INDEX(Sheet1!B406:B3204,MATCH(MAX(Sheet1!N406:N3204),Sheet1!N406:N3204,0))</f>
        <v>69</v>
      </c>
    </row>
    <row r="407" spans="1:1" x14ac:dyDescent="0.3">
      <c r="A407">
        <f>INDEX(Sheet1!B407:B3205,MATCH(MAX(Sheet1!N407:N3205),Sheet1!N407:N3205,0))</f>
        <v>69</v>
      </c>
    </row>
    <row r="408" spans="1:1" x14ac:dyDescent="0.3">
      <c r="A408">
        <f>INDEX(Sheet1!B408:B3206,MATCH(MAX(Sheet1!N408:N3206),Sheet1!N408:N3206,0))</f>
        <v>69</v>
      </c>
    </row>
    <row r="409" spans="1:1" x14ac:dyDescent="0.3">
      <c r="A409">
        <f>INDEX(Sheet1!B409:B3207,MATCH(MAX(Sheet1!N409:N3207),Sheet1!N409:N3207,0))</f>
        <v>69</v>
      </c>
    </row>
    <row r="410" spans="1:1" x14ac:dyDescent="0.3">
      <c r="A410">
        <f>INDEX(Sheet1!B410:B3208,MATCH(MAX(Sheet1!N410:N3208),Sheet1!N410:N3208,0))</f>
        <v>70</v>
      </c>
    </row>
    <row r="411" spans="1:1" x14ac:dyDescent="0.3">
      <c r="A411">
        <f>INDEX(Sheet1!B411:B3209,MATCH(MAX(Sheet1!N411:N3209),Sheet1!N411:N3209,0))</f>
        <v>70</v>
      </c>
    </row>
    <row r="412" spans="1:1" x14ac:dyDescent="0.3">
      <c r="A412">
        <f>INDEX(Sheet1!B412:B3210,MATCH(MAX(Sheet1!N412:N3210),Sheet1!N412:N3210,0))</f>
        <v>70</v>
      </c>
    </row>
    <row r="413" spans="1:1" x14ac:dyDescent="0.3">
      <c r="A413">
        <f>INDEX(Sheet1!B413:B3211,MATCH(MAX(Sheet1!N413:N3211),Sheet1!N413:N3211,0))</f>
        <v>70</v>
      </c>
    </row>
    <row r="414" spans="1:1" x14ac:dyDescent="0.3">
      <c r="A414">
        <f>INDEX(Sheet1!B414:B3212,MATCH(MAX(Sheet1!N414:N3212),Sheet1!N414:N3212,0))</f>
        <v>70</v>
      </c>
    </row>
    <row r="415" spans="1:1" x14ac:dyDescent="0.3">
      <c r="A415">
        <f>INDEX(Sheet1!B415:B3213,MATCH(MAX(Sheet1!N415:N3213),Sheet1!N415:N3213,0))</f>
        <v>71</v>
      </c>
    </row>
    <row r="416" spans="1:1" x14ac:dyDescent="0.3">
      <c r="A416">
        <f>INDEX(Sheet1!B416:B3214,MATCH(MAX(Sheet1!N416:N3214),Sheet1!N416:N3214,0))</f>
        <v>71</v>
      </c>
    </row>
    <row r="417" spans="1:1" x14ac:dyDescent="0.3">
      <c r="A417">
        <f>INDEX(Sheet1!B417:B3215,MATCH(MAX(Sheet1!N417:N3215),Sheet1!N417:N3215,0))</f>
        <v>71</v>
      </c>
    </row>
    <row r="418" spans="1:1" x14ac:dyDescent="0.3">
      <c r="A418">
        <f>INDEX(Sheet1!B418:B3216,MATCH(MAX(Sheet1!N418:N3216),Sheet1!N418:N3216,0))</f>
        <v>71</v>
      </c>
    </row>
    <row r="419" spans="1:1" x14ac:dyDescent="0.3">
      <c r="A419">
        <f>INDEX(Sheet1!B419:B3217,MATCH(MAX(Sheet1!N419:N3217),Sheet1!N419:N3217,0))</f>
        <v>71</v>
      </c>
    </row>
    <row r="420" spans="1:1" x14ac:dyDescent="0.3">
      <c r="A420">
        <f>INDEX(Sheet1!B420:B3218,MATCH(MAX(Sheet1!N420:N3218),Sheet1!N420:N3218,0))</f>
        <v>71</v>
      </c>
    </row>
    <row r="421" spans="1:1" x14ac:dyDescent="0.3">
      <c r="A421">
        <f>INDEX(Sheet1!B421:B3219,MATCH(MAX(Sheet1!N421:N3219),Sheet1!N421:N3219,0))</f>
        <v>72</v>
      </c>
    </row>
    <row r="422" spans="1:1" x14ac:dyDescent="0.3">
      <c r="A422">
        <f>INDEX(Sheet1!B422:B3220,MATCH(MAX(Sheet1!N422:N3220),Sheet1!N422:N3220,0))</f>
        <v>72</v>
      </c>
    </row>
    <row r="423" spans="1:1" x14ac:dyDescent="0.3">
      <c r="A423">
        <f>INDEX(Sheet1!B423:B3221,MATCH(MAX(Sheet1!N423:N3221),Sheet1!N423:N3221,0))</f>
        <v>72</v>
      </c>
    </row>
    <row r="424" spans="1:1" x14ac:dyDescent="0.3">
      <c r="A424">
        <f>INDEX(Sheet1!B424:B3222,MATCH(MAX(Sheet1!N424:N3222),Sheet1!N424:N3222,0))</f>
        <v>72</v>
      </c>
    </row>
    <row r="425" spans="1:1" x14ac:dyDescent="0.3">
      <c r="A425">
        <f>INDEX(Sheet1!B425:B3223,MATCH(MAX(Sheet1!N425:N3223),Sheet1!N425:N3223,0))</f>
        <v>72</v>
      </c>
    </row>
    <row r="426" spans="1:1" x14ac:dyDescent="0.3">
      <c r="A426">
        <f>INDEX(Sheet1!B426:B3224,MATCH(MAX(Sheet1!N426:N3224),Sheet1!N426:N3224,0))</f>
        <v>72</v>
      </c>
    </row>
    <row r="427" spans="1:1" x14ac:dyDescent="0.3">
      <c r="A427">
        <f>INDEX(Sheet1!B427:B3225,MATCH(MAX(Sheet1!N427:N3225),Sheet1!N427:N3225,0))</f>
        <v>73</v>
      </c>
    </row>
    <row r="428" spans="1:1" x14ac:dyDescent="0.3">
      <c r="A428">
        <f>INDEX(Sheet1!B428:B3226,MATCH(MAX(Sheet1!N428:N3226),Sheet1!N428:N3226,0))</f>
        <v>73</v>
      </c>
    </row>
    <row r="429" spans="1:1" x14ac:dyDescent="0.3">
      <c r="A429">
        <f>INDEX(Sheet1!B429:B3227,MATCH(MAX(Sheet1!N429:N3227),Sheet1!N429:N3227,0))</f>
        <v>73</v>
      </c>
    </row>
    <row r="430" spans="1:1" x14ac:dyDescent="0.3">
      <c r="A430">
        <f>INDEX(Sheet1!B430:B3228,MATCH(MAX(Sheet1!N430:N3228),Sheet1!N430:N3228,0))</f>
        <v>73</v>
      </c>
    </row>
    <row r="431" spans="1:1" x14ac:dyDescent="0.3">
      <c r="A431">
        <f>INDEX(Sheet1!B431:B3229,MATCH(MAX(Sheet1!N431:N3229),Sheet1!N431:N3229,0))</f>
        <v>73</v>
      </c>
    </row>
    <row r="432" spans="1:1" x14ac:dyDescent="0.3">
      <c r="A432">
        <f>INDEX(Sheet1!B432:B3230,MATCH(MAX(Sheet1!N432:N3230),Sheet1!N432:N3230,0))</f>
        <v>74</v>
      </c>
    </row>
    <row r="433" spans="1:1" x14ac:dyDescent="0.3">
      <c r="A433">
        <f>INDEX(Sheet1!B433:B3231,MATCH(MAX(Sheet1!N433:N3231),Sheet1!N433:N3231,0))</f>
        <v>74</v>
      </c>
    </row>
    <row r="434" spans="1:1" x14ac:dyDescent="0.3">
      <c r="A434">
        <f>INDEX(Sheet1!B434:B3232,MATCH(MAX(Sheet1!N434:N3232),Sheet1!N434:N3232,0))</f>
        <v>74</v>
      </c>
    </row>
    <row r="435" spans="1:1" x14ac:dyDescent="0.3">
      <c r="A435">
        <f>INDEX(Sheet1!B435:B3233,MATCH(MAX(Sheet1!N435:N3233),Sheet1!N435:N3233,0))</f>
        <v>74</v>
      </c>
    </row>
    <row r="436" spans="1:1" x14ac:dyDescent="0.3">
      <c r="A436">
        <f>INDEX(Sheet1!B436:B3234,MATCH(MAX(Sheet1!N436:N3234),Sheet1!N436:N3234,0))</f>
        <v>74</v>
      </c>
    </row>
    <row r="437" spans="1:1" x14ac:dyDescent="0.3">
      <c r="A437">
        <f>INDEX(Sheet1!B437:B3235,MATCH(MAX(Sheet1!N437:N3235),Sheet1!N437:N3235,0))</f>
        <v>75</v>
      </c>
    </row>
    <row r="438" spans="1:1" x14ac:dyDescent="0.3">
      <c r="A438">
        <f>INDEX(Sheet1!B438:B3236,MATCH(MAX(Sheet1!N438:N3236),Sheet1!N438:N3236,0))</f>
        <v>75</v>
      </c>
    </row>
    <row r="439" spans="1:1" x14ac:dyDescent="0.3">
      <c r="A439">
        <f>INDEX(Sheet1!B439:B3237,MATCH(MAX(Sheet1!N439:N3237),Sheet1!N439:N3237,0))</f>
        <v>75</v>
      </c>
    </row>
    <row r="440" spans="1:1" x14ac:dyDescent="0.3">
      <c r="A440">
        <f>INDEX(Sheet1!B440:B3238,MATCH(MAX(Sheet1!N440:N3238),Sheet1!N440:N3238,0))</f>
        <v>75</v>
      </c>
    </row>
    <row r="441" spans="1:1" x14ac:dyDescent="0.3">
      <c r="A441">
        <f>INDEX(Sheet1!B441:B3239,MATCH(MAX(Sheet1!N441:N3239),Sheet1!N441:N3239,0))</f>
        <v>75</v>
      </c>
    </row>
    <row r="442" spans="1:1" x14ac:dyDescent="0.3">
      <c r="A442">
        <f>INDEX(Sheet1!B442:B3240,MATCH(MAX(Sheet1!N442:N3240),Sheet1!N442:N3240,0))</f>
        <v>75</v>
      </c>
    </row>
    <row r="443" spans="1:1" x14ac:dyDescent="0.3">
      <c r="A443">
        <f>INDEX(Sheet1!B443:B3241,MATCH(MAX(Sheet1!N443:N3241),Sheet1!N443:N3241,0))</f>
        <v>75</v>
      </c>
    </row>
    <row r="444" spans="1:1" x14ac:dyDescent="0.3">
      <c r="A444">
        <f>INDEX(Sheet1!B444:B3242,MATCH(MAX(Sheet1!N444:N3242),Sheet1!N444:N3242,0))</f>
        <v>75</v>
      </c>
    </row>
    <row r="445" spans="1:1" x14ac:dyDescent="0.3">
      <c r="A445">
        <f>INDEX(Sheet1!B445:B3243,MATCH(MAX(Sheet1!N445:N3243),Sheet1!N445:N3243,0))</f>
        <v>75</v>
      </c>
    </row>
    <row r="446" spans="1:1" x14ac:dyDescent="0.3">
      <c r="A446">
        <f>INDEX(Sheet1!B446:B3244,MATCH(MAX(Sheet1!N446:N3244),Sheet1!N446:N3244,0))</f>
        <v>77</v>
      </c>
    </row>
    <row r="447" spans="1:1" x14ac:dyDescent="0.3">
      <c r="A447">
        <f>INDEX(Sheet1!B447:B3245,MATCH(MAX(Sheet1!N447:N3245),Sheet1!N447:N3245,0))</f>
        <v>77</v>
      </c>
    </row>
    <row r="448" spans="1:1" x14ac:dyDescent="0.3">
      <c r="A448">
        <f>INDEX(Sheet1!B448:B3246,MATCH(MAX(Sheet1!N448:N3246),Sheet1!N448:N3246,0))</f>
        <v>77</v>
      </c>
    </row>
    <row r="449" spans="1:1" x14ac:dyDescent="0.3">
      <c r="A449">
        <f>INDEX(Sheet1!B449:B3247,MATCH(MAX(Sheet1!N449:N3247),Sheet1!N449:N3247,0))</f>
        <v>77</v>
      </c>
    </row>
    <row r="450" spans="1:1" x14ac:dyDescent="0.3">
      <c r="A450">
        <f>INDEX(Sheet1!B450:B3248,MATCH(MAX(Sheet1!N450:N3248),Sheet1!N450:N3248,0))</f>
        <v>78</v>
      </c>
    </row>
    <row r="451" spans="1:1" x14ac:dyDescent="0.3">
      <c r="A451">
        <f>INDEX(Sheet1!B451:B3249,MATCH(MAX(Sheet1!N451:N3249),Sheet1!N451:N3249,0))</f>
        <v>78</v>
      </c>
    </row>
    <row r="452" spans="1:1" x14ac:dyDescent="0.3">
      <c r="A452">
        <f>INDEX(Sheet1!B452:B3250,MATCH(MAX(Sheet1!N452:N3250),Sheet1!N452:N3250,0))</f>
        <v>78</v>
      </c>
    </row>
    <row r="453" spans="1:1" x14ac:dyDescent="0.3">
      <c r="A453">
        <f>INDEX(Sheet1!B453:B3251,MATCH(MAX(Sheet1!N453:N3251),Sheet1!N453:N3251,0))</f>
        <v>78</v>
      </c>
    </row>
    <row r="454" spans="1:1" x14ac:dyDescent="0.3">
      <c r="A454">
        <f>INDEX(Sheet1!B454:B3252,MATCH(MAX(Sheet1!N454:N3252),Sheet1!N454:N3252,0))</f>
        <v>78</v>
      </c>
    </row>
    <row r="455" spans="1:1" x14ac:dyDescent="0.3">
      <c r="A455">
        <f>INDEX(Sheet1!B455:B3253,MATCH(MAX(Sheet1!N455:N3253),Sheet1!N455:N3253,0))</f>
        <v>78</v>
      </c>
    </row>
    <row r="456" spans="1:1" x14ac:dyDescent="0.3">
      <c r="A456">
        <f>INDEX(Sheet1!B456:B3254,MATCH(MAX(Sheet1!N456:N3254),Sheet1!N456:N3254,0))</f>
        <v>78</v>
      </c>
    </row>
    <row r="457" spans="1:1" x14ac:dyDescent="0.3">
      <c r="A457">
        <f>INDEX(Sheet1!B457:B3255,MATCH(MAX(Sheet1!N457:N3255),Sheet1!N457:N3255,0))</f>
        <v>78</v>
      </c>
    </row>
    <row r="458" spans="1:1" x14ac:dyDescent="0.3">
      <c r="A458">
        <f>INDEX(Sheet1!B458:B3256,MATCH(MAX(Sheet1!N458:N3256),Sheet1!N458:N3256,0))</f>
        <v>79</v>
      </c>
    </row>
    <row r="459" spans="1:1" x14ac:dyDescent="0.3">
      <c r="A459">
        <f>INDEX(Sheet1!B459:B3257,MATCH(MAX(Sheet1!N459:N3257),Sheet1!N459:N3257,0))</f>
        <v>79</v>
      </c>
    </row>
    <row r="460" spans="1:1" x14ac:dyDescent="0.3">
      <c r="A460">
        <f>INDEX(Sheet1!B460:B3258,MATCH(MAX(Sheet1!N460:N3258),Sheet1!N460:N3258,0))</f>
        <v>79</v>
      </c>
    </row>
    <row r="461" spans="1:1" x14ac:dyDescent="0.3">
      <c r="A461">
        <f>INDEX(Sheet1!B461:B3259,MATCH(MAX(Sheet1!N461:N3259),Sheet1!N461:N3259,0))</f>
        <v>80</v>
      </c>
    </row>
    <row r="462" spans="1:1" x14ac:dyDescent="0.3">
      <c r="A462">
        <f>INDEX(Sheet1!B462:B3260,MATCH(MAX(Sheet1!N462:N3260),Sheet1!N462:N3260,0))</f>
        <v>80</v>
      </c>
    </row>
    <row r="463" spans="1:1" x14ac:dyDescent="0.3">
      <c r="A463">
        <f>INDEX(Sheet1!B463:B3261,MATCH(MAX(Sheet1!N463:N3261),Sheet1!N463:N3261,0))</f>
        <v>80</v>
      </c>
    </row>
    <row r="464" spans="1:1" x14ac:dyDescent="0.3">
      <c r="A464">
        <f>INDEX(Sheet1!B464:B3262,MATCH(MAX(Sheet1!N464:N3262),Sheet1!N464:N3262,0))</f>
        <v>80</v>
      </c>
    </row>
    <row r="465" spans="1:1" x14ac:dyDescent="0.3">
      <c r="A465">
        <f>INDEX(Sheet1!B465:B3263,MATCH(MAX(Sheet1!N465:N3263),Sheet1!N465:N3263,0))</f>
        <v>80</v>
      </c>
    </row>
    <row r="466" spans="1:1" x14ac:dyDescent="0.3">
      <c r="A466">
        <f>INDEX(Sheet1!B466:B3264,MATCH(MAX(Sheet1!N466:N3264),Sheet1!N466:N3264,0))</f>
        <v>80</v>
      </c>
    </row>
    <row r="467" spans="1:1" x14ac:dyDescent="0.3">
      <c r="A467">
        <f>INDEX(Sheet1!B467:B3265,MATCH(MAX(Sheet1!N467:N3265),Sheet1!N467:N3265,0))</f>
        <v>81</v>
      </c>
    </row>
    <row r="468" spans="1:1" x14ac:dyDescent="0.3">
      <c r="A468">
        <f>INDEX(Sheet1!B468:B3266,MATCH(MAX(Sheet1!N468:N3266),Sheet1!N468:N3266,0))</f>
        <v>81</v>
      </c>
    </row>
    <row r="469" spans="1:1" x14ac:dyDescent="0.3">
      <c r="A469">
        <f>INDEX(Sheet1!B469:B3267,MATCH(MAX(Sheet1!N469:N3267),Sheet1!N469:N3267,0))</f>
        <v>81</v>
      </c>
    </row>
    <row r="470" spans="1:1" x14ac:dyDescent="0.3">
      <c r="A470">
        <f>INDEX(Sheet1!B470:B3268,MATCH(MAX(Sheet1!N470:N3268),Sheet1!N470:N3268,0))</f>
        <v>81</v>
      </c>
    </row>
    <row r="471" spans="1:1" x14ac:dyDescent="0.3">
      <c r="A471">
        <f>INDEX(Sheet1!B471:B3269,MATCH(MAX(Sheet1!N471:N3269),Sheet1!N471:N3269,0))</f>
        <v>81</v>
      </c>
    </row>
    <row r="472" spans="1:1" x14ac:dyDescent="0.3">
      <c r="A472">
        <f>INDEX(Sheet1!B472:B3270,MATCH(MAX(Sheet1!N472:N3270),Sheet1!N472:N3270,0))</f>
        <v>81</v>
      </c>
    </row>
    <row r="473" spans="1:1" x14ac:dyDescent="0.3">
      <c r="A473">
        <f>INDEX(Sheet1!B473:B3271,MATCH(MAX(Sheet1!N473:N3271),Sheet1!N473:N3271,0))</f>
        <v>81</v>
      </c>
    </row>
    <row r="474" spans="1:1" x14ac:dyDescent="0.3">
      <c r="A474">
        <f>INDEX(Sheet1!B474:B3272,MATCH(MAX(Sheet1!N474:N3272),Sheet1!N474:N3272,0))</f>
        <v>82</v>
      </c>
    </row>
    <row r="475" spans="1:1" x14ac:dyDescent="0.3">
      <c r="A475">
        <f>INDEX(Sheet1!B475:B3273,MATCH(MAX(Sheet1!N475:N3273),Sheet1!N475:N3273,0))</f>
        <v>82</v>
      </c>
    </row>
    <row r="476" spans="1:1" x14ac:dyDescent="0.3">
      <c r="A476">
        <f>INDEX(Sheet1!B476:B3274,MATCH(MAX(Sheet1!N476:N3274),Sheet1!N476:N3274,0))</f>
        <v>83</v>
      </c>
    </row>
    <row r="477" spans="1:1" x14ac:dyDescent="0.3">
      <c r="A477">
        <f>INDEX(Sheet1!B477:B3275,MATCH(MAX(Sheet1!N477:N3275),Sheet1!N477:N3275,0))</f>
        <v>83</v>
      </c>
    </row>
    <row r="478" spans="1:1" x14ac:dyDescent="0.3">
      <c r="A478">
        <f>INDEX(Sheet1!B478:B3276,MATCH(MAX(Sheet1!N478:N3276),Sheet1!N478:N3276,0))</f>
        <v>83</v>
      </c>
    </row>
    <row r="479" spans="1:1" x14ac:dyDescent="0.3">
      <c r="A479">
        <f>INDEX(Sheet1!B479:B3277,MATCH(MAX(Sheet1!N479:N3277),Sheet1!N479:N3277,0))</f>
        <v>83</v>
      </c>
    </row>
    <row r="480" spans="1:1" x14ac:dyDescent="0.3">
      <c r="A480">
        <f>INDEX(Sheet1!B480:B3278,MATCH(MAX(Sheet1!N480:N3278),Sheet1!N480:N3278,0))</f>
        <v>83</v>
      </c>
    </row>
    <row r="481" spans="1:1" x14ac:dyDescent="0.3">
      <c r="A481">
        <f>INDEX(Sheet1!B481:B3279,MATCH(MAX(Sheet1!N481:N3279),Sheet1!N481:N3279,0))</f>
        <v>83</v>
      </c>
    </row>
    <row r="482" spans="1:1" x14ac:dyDescent="0.3">
      <c r="A482">
        <f>INDEX(Sheet1!B482:B3280,MATCH(MAX(Sheet1!N482:N3280),Sheet1!N482:N3280,0))</f>
        <v>84</v>
      </c>
    </row>
    <row r="483" spans="1:1" x14ac:dyDescent="0.3">
      <c r="A483">
        <f>INDEX(Sheet1!B483:B3281,MATCH(MAX(Sheet1!N483:N3281),Sheet1!N483:N3281,0))</f>
        <v>84</v>
      </c>
    </row>
    <row r="484" spans="1:1" x14ac:dyDescent="0.3">
      <c r="A484">
        <f>INDEX(Sheet1!B484:B3282,MATCH(MAX(Sheet1!N484:N3282),Sheet1!N484:N3282,0))</f>
        <v>84</v>
      </c>
    </row>
    <row r="485" spans="1:1" x14ac:dyDescent="0.3">
      <c r="A485">
        <f>INDEX(Sheet1!B485:B3283,MATCH(MAX(Sheet1!N485:N3283),Sheet1!N485:N3283,0))</f>
        <v>84</v>
      </c>
    </row>
    <row r="486" spans="1:1" x14ac:dyDescent="0.3">
      <c r="A486">
        <f>INDEX(Sheet1!B486:B3284,MATCH(MAX(Sheet1!N486:N3284),Sheet1!N486:N3284,0))</f>
        <v>84</v>
      </c>
    </row>
    <row r="487" spans="1:1" x14ac:dyDescent="0.3">
      <c r="A487">
        <f>INDEX(Sheet1!B487:B3285,MATCH(MAX(Sheet1!N487:N3285),Sheet1!N487:N3285,0))</f>
        <v>84</v>
      </c>
    </row>
    <row r="488" spans="1:1" x14ac:dyDescent="0.3">
      <c r="A488">
        <f>INDEX(Sheet1!B488:B3286,MATCH(MAX(Sheet1!N488:N3286),Sheet1!N488:N3286,0))</f>
        <v>85</v>
      </c>
    </row>
    <row r="489" spans="1:1" x14ac:dyDescent="0.3">
      <c r="A489">
        <f>INDEX(Sheet1!B489:B3287,MATCH(MAX(Sheet1!N489:N3287),Sheet1!N489:N3287,0))</f>
        <v>85</v>
      </c>
    </row>
    <row r="490" spans="1:1" x14ac:dyDescent="0.3">
      <c r="A490">
        <f>INDEX(Sheet1!B490:B3288,MATCH(MAX(Sheet1!N490:N3288),Sheet1!N490:N3288,0))</f>
        <v>85</v>
      </c>
    </row>
    <row r="491" spans="1:1" x14ac:dyDescent="0.3">
      <c r="A491">
        <f>INDEX(Sheet1!B491:B3289,MATCH(MAX(Sheet1!N491:N3289),Sheet1!N491:N3289,0))</f>
        <v>85</v>
      </c>
    </row>
    <row r="492" spans="1:1" x14ac:dyDescent="0.3">
      <c r="A492">
        <f>INDEX(Sheet1!B492:B3290,MATCH(MAX(Sheet1!N492:N3290),Sheet1!N492:N3290,0))</f>
        <v>86</v>
      </c>
    </row>
    <row r="493" spans="1:1" x14ac:dyDescent="0.3">
      <c r="A493">
        <f>INDEX(Sheet1!B493:B3291,MATCH(MAX(Sheet1!N493:N3291),Sheet1!N493:N3291,0))</f>
        <v>86</v>
      </c>
    </row>
    <row r="494" spans="1:1" x14ac:dyDescent="0.3">
      <c r="A494">
        <f>INDEX(Sheet1!B494:B3292,MATCH(MAX(Sheet1!N494:N3292),Sheet1!N494:N3292,0))</f>
        <v>86</v>
      </c>
    </row>
    <row r="495" spans="1:1" x14ac:dyDescent="0.3">
      <c r="A495">
        <f>INDEX(Sheet1!B495:B3293,MATCH(MAX(Sheet1!N495:N3293),Sheet1!N495:N3293,0))</f>
        <v>87</v>
      </c>
    </row>
    <row r="496" spans="1:1" x14ac:dyDescent="0.3">
      <c r="A496">
        <f>INDEX(Sheet1!B496:B3294,MATCH(MAX(Sheet1!N496:N3294),Sheet1!N496:N3294,0))</f>
        <v>87</v>
      </c>
    </row>
    <row r="497" spans="1:1" x14ac:dyDescent="0.3">
      <c r="A497">
        <f>INDEX(Sheet1!B497:B3295,MATCH(MAX(Sheet1!N497:N3295),Sheet1!N497:N3295,0))</f>
        <v>87</v>
      </c>
    </row>
    <row r="498" spans="1:1" x14ac:dyDescent="0.3">
      <c r="A498">
        <f>INDEX(Sheet1!B498:B3296,MATCH(MAX(Sheet1!N498:N3296),Sheet1!N498:N3296,0))</f>
        <v>87</v>
      </c>
    </row>
    <row r="499" spans="1:1" x14ac:dyDescent="0.3">
      <c r="A499">
        <f>INDEX(Sheet1!B499:B3297,MATCH(MAX(Sheet1!N499:N3297),Sheet1!N499:N3297,0))</f>
        <v>87</v>
      </c>
    </row>
    <row r="500" spans="1:1" x14ac:dyDescent="0.3">
      <c r="A500">
        <f>INDEX(Sheet1!B500:B3298,MATCH(MAX(Sheet1!N500:N3298),Sheet1!N500:N3298,0))</f>
        <v>87</v>
      </c>
    </row>
    <row r="501" spans="1:1" x14ac:dyDescent="0.3">
      <c r="A501">
        <f>INDEX(Sheet1!B501:B3299,MATCH(MAX(Sheet1!N501:N3299),Sheet1!N501:N3299,0))</f>
        <v>87</v>
      </c>
    </row>
    <row r="502" spans="1:1" x14ac:dyDescent="0.3">
      <c r="A502">
        <f>INDEX(Sheet1!B502:B3300,MATCH(MAX(Sheet1!N502:N3300),Sheet1!N502:N3300,0))</f>
        <v>87</v>
      </c>
    </row>
    <row r="503" spans="1:1" x14ac:dyDescent="0.3">
      <c r="A503">
        <f>INDEX(Sheet1!B503:B3301,MATCH(MAX(Sheet1!N503:N3301),Sheet1!N503:N3301,0))</f>
        <v>87</v>
      </c>
    </row>
    <row r="504" spans="1:1" x14ac:dyDescent="0.3">
      <c r="A504">
        <f>INDEX(Sheet1!B504:B3302,MATCH(MAX(Sheet1!N504:N3302),Sheet1!N504:N3302,0))</f>
        <v>87</v>
      </c>
    </row>
    <row r="505" spans="1:1" x14ac:dyDescent="0.3">
      <c r="A505">
        <f>INDEX(Sheet1!B505:B3303,MATCH(MAX(Sheet1!N505:N3303),Sheet1!N505:N3303,0))</f>
        <v>87</v>
      </c>
    </row>
    <row r="506" spans="1:1" x14ac:dyDescent="0.3">
      <c r="A506">
        <f>INDEX(Sheet1!B506:B3304,MATCH(MAX(Sheet1!N506:N3304),Sheet1!N506:N3304,0))</f>
        <v>87</v>
      </c>
    </row>
    <row r="507" spans="1:1" x14ac:dyDescent="0.3">
      <c r="A507">
        <f>INDEX(Sheet1!B507:B3305,MATCH(MAX(Sheet1!N507:N3305),Sheet1!N507:N3305,0))</f>
        <v>89</v>
      </c>
    </row>
    <row r="508" spans="1:1" x14ac:dyDescent="0.3">
      <c r="A508">
        <f>INDEX(Sheet1!B508:B3306,MATCH(MAX(Sheet1!N508:N3306),Sheet1!N508:N3306,0))</f>
        <v>89</v>
      </c>
    </row>
    <row r="509" spans="1:1" x14ac:dyDescent="0.3">
      <c r="A509">
        <f>INDEX(Sheet1!B509:B3307,MATCH(MAX(Sheet1!N509:N3307),Sheet1!N509:N3307,0))</f>
        <v>89</v>
      </c>
    </row>
    <row r="510" spans="1:1" x14ac:dyDescent="0.3">
      <c r="A510">
        <f>INDEX(Sheet1!B510:B3308,MATCH(MAX(Sheet1!N510:N3308),Sheet1!N510:N3308,0))</f>
        <v>89</v>
      </c>
    </row>
    <row r="511" spans="1:1" x14ac:dyDescent="0.3">
      <c r="A511">
        <f>INDEX(Sheet1!B511:B3309,MATCH(MAX(Sheet1!N511:N3309),Sheet1!N511:N3309,0))</f>
        <v>89</v>
      </c>
    </row>
    <row r="512" spans="1:1" x14ac:dyDescent="0.3">
      <c r="A512">
        <f>INDEX(Sheet1!B512:B3310,MATCH(MAX(Sheet1!N512:N3310),Sheet1!N512:N3310,0))</f>
        <v>89</v>
      </c>
    </row>
    <row r="513" spans="1:1" x14ac:dyDescent="0.3">
      <c r="A513">
        <f>INDEX(Sheet1!B513:B3311,MATCH(MAX(Sheet1!N513:N3311),Sheet1!N513:N3311,0))</f>
        <v>89</v>
      </c>
    </row>
    <row r="514" spans="1:1" x14ac:dyDescent="0.3">
      <c r="A514">
        <f>INDEX(Sheet1!B514:B3312,MATCH(MAX(Sheet1!N514:N3312),Sheet1!N514:N3312,0))</f>
        <v>89</v>
      </c>
    </row>
    <row r="515" spans="1:1" x14ac:dyDescent="0.3">
      <c r="A515">
        <f>INDEX(Sheet1!B515:B3313,MATCH(MAX(Sheet1!N515:N3313),Sheet1!N515:N3313,0))</f>
        <v>89</v>
      </c>
    </row>
    <row r="516" spans="1:1" x14ac:dyDescent="0.3">
      <c r="A516">
        <f>INDEX(Sheet1!B516:B3314,MATCH(MAX(Sheet1!N516:N3314),Sheet1!N516:N3314,0))</f>
        <v>90</v>
      </c>
    </row>
    <row r="517" spans="1:1" x14ac:dyDescent="0.3">
      <c r="A517">
        <f>INDEX(Sheet1!B517:B3315,MATCH(MAX(Sheet1!N517:N3315),Sheet1!N517:N3315,0))</f>
        <v>90</v>
      </c>
    </row>
    <row r="518" spans="1:1" x14ac:dyDescent="0.3">
      <c r="A518">
        <f>INDEX(Sheet1!B518:B3316,MATCH(MAX(Sheet1!N518:N3316),Sheet1!N518:N3316,0))</f>
        <v>90</v>
      </c>
    </row>
    <row r="519" spans="1:1" x14ac:dyDescent="0.3">
      <c r="A519">
        <f>INDEX(Sheet1!B519:B3317,MATCH(MAX(Sheet1!N519:N3317),Sheet1!N519:N3317,0))</f>
        <v>90</v>
      </c>
    </row>
    <row r="520" spans="1:1" x14ac:dyDescent="0.3">
      <c r="A520">
        <f>INDEX(Sheet1!B520:B3318,MATCH(MAX(Sheet1!N520:N3318),Sheet1!N520:N3318,0))</f>
        <v>91</v>
      </c>
    </row>
    <row r="521" spans="1:1" x14ac:dyDescent="0.3">
      <c r="A521">
        <f>INDEX(Sheet1!B521:B3319,MATCH(MAX(Sheet1!N521:N3319),Sheet1!N521:N3319,0))</f>
        <v>91</v>
      </c>
    </row>
    <row r="522" spans="1:1" x14ac:dyDescent="0.3">
      <c r="A522">
        <f>INDEX(Sheet1!B522:B3320,MATCH(MAX(Sheet1!N522:N3320),Sheet1!N522:N3320,0))</f>
        <v>91</v>
      </c>
    </row>
    <row r="523" spans="1:1" x14ac:dyDescent="0.3">
      <c r="A523">
        <f>INDEX(Sheet1!B523:B3321,MATCH(MAX(Sheet1!N523:N3321),Sheet1!N523:N3321,0))</f>
        <v>91</v>
      </c>
    </row>
    <row r="524" spans="1:1" x14ac:dyDescent="0.3">
      <c r="A524">
        <f>INDEX(Sheet1!B524:B3322,MATCH(MAX(Sheet1!N524:N3322),Sheet1!N524:N3322,0))</f>
        <v>91</v>
      </c>
    </row>
    <row r="525" spans="1:1" x14ac:dyDescent="0.3">
      <c r="A525">
        <f>INDEX(Sheet1!B525:B3323,MATCH(MAX(Sheet1!N525:N3323),Sheet1!N525:N3323,0))</f>
        <v>93</v>
      </c>
    </row>
    <row r="526" spans="1:1" x14ac:dyDescent="0.3">
      <c r="A526">
        <f>INDEX(Sheet1!B526:B3324,MATCH(MAX(Sheet1!N526:N3324),Sheet1!N526:N3324,0))</f>
        <v>93</v>
      </c>
    </row>
    <row r="527" spans="1:1" x14ac:dyDescent="0.3">
      <c r="A527">
        <f>INDEX(Sheet1!B527:B3325,MATCH(MAX(Sheet1!N527:N3325),Sheet1!N527:N3325,0))</f>
        <v>93</v>
      </c>
    </row>
    <row r="528" spans="1:1" x14ac:dyDescent="0.3">
      <c r="A528">
        <f>INDEX(Sheet1!B528:B3326,MATCH(MAX(Sheet1!N528:N3326),Sheet1!N528:N3326,0))</f>
        <v>93</v>
      </c>
    </row>
    <row r="529" spans="1:1" x14ac:dyDescent="0.3">
      <c r="A529">
        <f>INDEX(Sheet1!B529:B3327,MATCH(MAX(Sheet1!N529:N3327),Sheet1!N529:N3327,0))</f>
        <v>93</v>
      </c>
    </row>
    <row r="530" spans="1:1" x14ac:dyDescent="0.3">
      <c r="A530">
        <f>INDEX(Sheet1!B530:B3328,MATCH(MAX(Sheet1!N530:N3328),Sheet1!N530:N3328,0))</f>
        <v>93</v>
      </c>
    </row>
    <row r="531" spans="1:1" x14ac:dyDescent="0.3">
      <c r="A531">
        <f>INDEX(Sheet1!B531:B3329,MATCH(MAX(Sheet1!N531:N3329),Sheet1!N531:N3329,0))</f>
        <v>93</v>
      </c>
    </row>
    <row r="532" spans="1:1" x14ac:dyDescent="0.3">
      <c r="A532">
        <f>INDEX(Sheet1!B532:B3330,MATCH(MAX(Sheet1!N532:N3330),Sheet1!N532:N3330,0))</f>
        <v>93</v>
      </c>
    </row>
    <row r="533" spans="1:1" x14ac:dyDescent="0.3">
      <c r="A533">
        <f>INDEX(Sheet1!B533:B3331,MATCH(MAX(Sheet1!N533:N3331),Sheet1!N533:N3331,0))</f>
        <v>94</v>
      </c>
    </row>
    <row r="534" spans="1:1" x14ac:dyDescent="0.3">
      <c r="A534">
        <f>INDEX(Sheet1!B534:B3332,MATCH(MAX(Sheet1!N534:N3332),Sheet1!N534:N3332,0))</f>
        <v>94</v>
      </c>
    </row>
    <row r="535" spans="1:1" x14ac:dyDescent="0.3">
      <c r="A535">
        <f>INDEX(Sheet1!B535:B3333,MATCH(MAX(Sheet1!N535:N3333),Sheet1!N535:N3333,0))</f>
        <v>94</v>
      </c>
    </row>
    <row r="536" spans="1:1" x14ac:dyDescent="0.3">
      <c r="A536">
        <f>INDEX(Sheet1!B536:B3334,MATCH(MAX(Sheet1!N536:N3334),Sheet1!N536:N3334,0))</f>
        <v>94</v>
      </c>
    </row>
    <row r="537" spans="1:1" x14ac:dyDescent="0.3">
      <c r="A537">
        <f>INDEX(Sheet1!B537:B3335,MATCH(MAX(Sheet1!N537:N3335),Sheet1!N537:N3335,0))</f>
        <v>94</v>
      </c>
    </row>
    <row r="538" spans="1:1" x14ac:dyDescent="0.3">
      <c r="A538">
        <f>INDEX(Sheet1!B538:B3336,MATCH(MAX(Sheet1!N538:N3336),Sheet1!N538:N3336,0))</f>
        <v>94</v>
      </c>
    </row>
    <row r="539" spans="1:1" x14ac:dyDescent="0.3">
      <c r="A539">
        <f>INDEX(Sheet1!B539:B3337,MATCH(MAX(Sheet1!N539:N3337),Sheet1!N539:N3337,0))</f>
        <v>95</v>
      </c>
    </row>
    <row r="540" spans="1:1" x14ac:dyDescent="0.3">
      <c r="A540">
        <f>INDEX(Sheet1!B540:B3338,MATCH(MAX(Sheet1!N540:N3338),Sheet1!N540:N3338,0))</f>
        <v>95</v>
      </c>
    </row>
    <row r="541" spans="1:1" x14ac:dyDescent="0.3">
      <c r="A541">
        <f>INDEX(Sheet1!B541:B3339,MATCH(MAX(Sheet1!N541:N3339),Sheet1!N541:N3339,0))</f>
        <v>95</v>
      </c>
    </row>
    <row r="542" spans="1:1" x14ac:dyDescent="0.3">
      <c r="A542">
        <f>INDEX(Sheet1!B542:B3340,MATCH(MAX(Sheet1!N542:N3340),Sheet1!N542:N3340,0))</f>
        <v>95</v>
      </c>
    </row>
    <row r="543" spans="1:1" x14ac:dyDescent="0.3">
      <c r="A543">
        <f>INDEX(Sheet1!B543:B3341,MATCH(MAX(Sheet1!N543:N3341),Sheet1!N543:N3341,0))</f>
        <v>95</v>
      </c>
    </row>
    <row r="544" spans="1:1" x14ac:dyDescent="0.3">
      <c r="A544">
        <f>INDEX(Sheet1!B544:B3342,MATCH(MAX(Sheet1!N544:N3342),Sheet1!N544:N3342,0))</f>
        <v>95</v>
      </c>
    </row>
    <row r="545" spans="1:1" x14ac:dyDescent="0.3">
      <c r="A545">
        <f>INDEX(Sheet1!B545:B3343,MATCH(MAX(Sheet1!N545:N3343),Sheet1!N545:N3343,0))</f>
        <v>95</v>
      </c>
    </row>
    <row r="546" spans="1:1" x14ac:dyDescent="0.3">
      <c r="A546">
        <f>INDEX(Sheet1!B546:B3344,MATCH(MAX(Sheet1!N546:N3344),Sheet1!N546:N3344,0))</f>
        <v>95</v>
      </c>
    </row>
    <row r="547" spans="1:1" x14ac:dyDescent="0.3">
      <c r="A547">
        <f>INDEX(Sheet1!B547:B3345,MATCH(MAX(Sheet1!N547:N3345),Sheet1!N547:N3345,0))</f>
        <v>95</v>
      </c>
    </row>
    <row r="548" spans="1:1" x14ac:dyDescent="0.3">
      <c r="A548">
        <f>INDEX(Sheet1!B548:B3346,MATCH(MAX(Sheet1!N548:N3346),Sheet1!N548:N3346,0))</f>
        <v>95</v>
      </c>
    </row>
    <row r="549" spans="1:1" x14ac:dyDescent="0.3">
      <c r="A549">
        <f>INDEX(Sheet1!B549:B3347,MATCH(MAX(Sheet1!N549:N3347),Sheet1!N549:N3347,0))</f>
        <v>96</v>
      </c>
    </row>
    <row r="550" spans="1:1" x14ac:dyDescent="0.3">
      <c r="A550">
        <f>INDEX(Sheet1!B550:B3348,MATCH(MAX(Sheet1!N550:N3348),Sheet1!N550:N3348,0))</f>
        <v>96</v>
      </c>
    </row>
    <row r="551" spans="1:1" x14ac:dyDescent="0.3">
      <c r="A551">
        <f>INDEX(Sheet1!B551:B3349,MATCH(MAX(Sheet1!N551:N3349),Sheet1!N551:N3349,0))</f>
        <v>97</v>
      </c>
    </row>
    <row r="552" spans="1:1" x14ac:dyDescent="0.3">
      <c r="A552">
        <f>INDEX(Sheet1!B552:B3350,MATCH(MAX(Sheet1!N552:N3350),Sheet1!N552:N3350,0))</f>
        <v>97</v>
      </c>
    </row>
    <row r="553" spans="1:1" x14ac:dyDescent="0.3">
      <c r="A553">
        <f>INDEX(Sheet1!B553:B3351,MATCH(MAX(Sheet1!N553:N3351),Sheet1!N553:N3351,0))</f>
        <v>97</v>
      </c>
    </row>
    <row r="554" spans="1:1" x14ac:dyDescent="0.3">
      <c r="A554">
        <f>INDEX(Sheet1!B554:B3352,MATCH(MAX(Sheet1!N554:N3352),Sheet1!N554:N3352,0))</f>
        <v>97</v>
      </c>
    </row>
    <row r="555" spans="1:1" x14ac:dyDescent="0.3">
      <c r="A555">
        <f>INDEX(Sheet1!B555:B3353,MATCH(MAX(Sheet1!N555:N3353),Sheet1!N555:N3353,0))</f>
        <v>97</v>
      </c>
    </row>
    <row r="556" spans="1:1" x14ac:dyDescent="0.3">
      <c r="A556">
        <f>INDEX(Sheet1!B556:B3354,MATCH(MAX(Sheet1!N556:N3354),Sheet1!N556:N3354,0))</f>
        <v>97</v>
      </c>
    </row>
    <row r="557" spans="1:1" x14ac:dyDescent="0.3">
      <c r="A557">
        <f>INDEX(Sheet1!B557:B3355,MATCH(MAX(Sheet1!N557:N3355),Sheet1!N557:N3355,0))</f>
        <v>97</v>
      </c>
    </row>
    <row r="558" spans="1:1" x14ac:dyDescent="0.3">
      <c r="A558">
        <f>INDEX(Sheet1!B558:B3356,MATCH(MAX(Sheet1!N558:N3356),Sheet1!N558:N3356,0))</f>
        <v>97</v>
      </c>
    </row>
    <row r="559" spans="1:1" x14ac:dyDescent="0.3">
      <c r="A559">
        <f>INDEX(Sheet1!B559:B3357,MATCH(MAX(Sheet1!N559:N3357),Sheet1!N559:N3357,0))</f>
        <v>97</v>
      </c>
    </row>
    <row r="560" spans="1:1" x14ac:dyDescent="0.3">
      <c r="A560">
        <f>INDEX(Sheet1!B560:B3358,MATCH(MAX(Sheet1!N560:N3358),Sheet1!N560:N3358,0))</f>
        <v>97</v>
      </c>
    </row>
    <row r="561" spans="1:1" x14ac:dyDescent="0.3">
      <c r="A561">
        <f>INDEX(Sheet1!B561:B3359,MATCH(MAX(Sheet1!N561:N3359),Sheet1!N561:N3359,0))</f>
        <v>98</v>
      </c>
    </row>
    <row r="562" spans="1:1" x14ac:dyDescent="0.3">
      <c r="A562">
        <f>INDEX(Sheet1!B562:B3360,MATCH(MAX(Sheet1!N562:N3360),Sheet1!N562:N3360,0))</f>
        <v>98</v>
      </c>
    </row>
    <row r="563" spans="1:1" x14ac:dyDescent="0.3">
      <c r="A563">
        <f>INDEX(Sheet1!B563:B3361,MATCH(MAX(Sheet1!N563:N3361),Sheet1!N563:N3361,0))</f>
        <v>98</v>
      </c>
    </row>
    <row r="564" spans="1:1" x14ac:dyDescent="0.3">
      <c r="A564">
        <f>INDEX(Sheet1!B564:B3362,MATCH(MAX(Sheet1!N564:N3362),Sheet1!N564:N3362,0))</f>
        <v>98</v>
      </c>
    </row>
    <row r="565" spans="1:1" x14ac:dyDescent="0.3">
      <c r="A565">
        <f>INDEX(Sheet1!B565:B3363,MATCH(MAX(Sheet1!N565:N3363),Sheet1!N565:N3363,0))</f>
        <v>98</v>
      </c>
    </row>
    <row r="566" spans="1:1" x14ac:dyDescent="0.3">
      <c r="A566">
        <f>INDEX(Sheet1!B566:B3364,MATCH(MAX(Sheet1!N566:N3364),Sheet1!N566:N3364,0))</f>
        <v>99</v>
      </c>
    </row>
    <row r="567" spans="1:1" x14ac:dyDescent="0.3">
      <c r="A567">
        <f>INDEX(Sheet1!B567:B3365,MATCH(MAX(Sheet1!N567:N3365),Sheet1!N567:N3365,0))</f>
        <v>99</v>
      </c>
    </row>
    <row r="568" spans="1:1" x14ac:dyDescent="0.3">
      <c r="A568">
        <f>INDEX(Sheet1!B568:B3366,MATCH(MAX(Sheet1!N568:N3366),Sheet1!N568:N3366,0))</f>
        <v>99</v>
      </c>
    </row>
    <row r="569" spans="1:1" x14ac:dyDescent="0.3">
      <c r="A569">
        <f>INDEX(Sheet1!B569:B3367,MATCH(MAX(Sheet1!N569:N3367),Sheet1!N569:N3367,0))</f>
        <v>99</v>
      </c>
    </row>
    <row r="570" spans="1:1" x14ac:dyDescent="0.3">
      <c r="A570">
        <f>INDEX(Sheet1!B570:B3368,MATCH(MAX(Sheet1!N570:N3368),Sheet1!N570:N3368,0))</f>
        <v>100</v>
      </c>
    </row>
    <row r="571" spans="1:1" x14ac:dyDescent="0.3">
      <c r="A571">
        <f>INDEX(Sheet1!B571:B3369,MATCH(MAX(Sheet1!N571:N3369),Sheet1!N571:N3369,0))</f>
        <v>100</v>
      </c>
    </row>
    <row r="572" spans="1:1" x14ac:dyDescent="0.3">
      <c r="A572">
        <f>INDEX(Sheet1!B572:B3370,MATCH(MAX(Sheet1!N572:N3370),Sheet1!N572:N3370,0))</f>
        <v>100</v>
      </c>
    </row>
    <row r="573" spans="1:1" x14ac:dyDescent="0.3">
      <c r="A573">
        <f>INDEX(Sheet1!B573:B3371,MATCH(MAX(Sheet1!N573:N3371),Sheet1!N573:N3371,0))</f>
        <v>100</v>
      </c>
    </row>
    <row r="574" spans="1:1" x14ac:dyDescent="0.3">
      <c r="A574">
        <f>INDEX(Sheet1!B574:B3372,MATCH(MAX(Sheet1!N574:N3372),Sheet1!N574:N3372,0))</f>
        <v>101</v>
      </c>
    </row>
    <row r="575" spans="1:1" x14ac:dyDescent="0.3">
      <c r="A575">
        <f>INDEX(Sheet1!B575:B3373,MATCH(MAX(Sheet1!N575:N3373),Sheet1!N575:N3373,0))</f>
        <v>101</v>
      </c>
    </row>
    <row r="576" spans="1:1" x14ac:dyDescent="0.3">
      <c r="A576">
        <f>INDEX(Sheet1!B576:B3374,MATCH(MAX(Sheet1!N576:N3374),Sheet1!N576:N3374,0))</f>
        <v>101</v>
      </c>
    </row>
    <row r="577" spans="1:1" x14ac:dyDescent="0.3">
      <c r="A577">
        <f>INDEX(Sheet1!B577:B3375,MATCH(MAX(Sheet1!N577:N3375),Sheet1!N577:N3375,0))</f>
        <v>101</v>
      </c>
    </row>
    <row r="578" spans="1:1" x14ac:dyDescent="0.3">
      <c r="A578">
        <f>INDEX(Sheet1!B578:B3376,MATCH(MAX(Sheet1!N578:N3376),Sheet1!N578:N3376,0))</f>
        <v>101</v>
      </c>
    </row>
    <row r="579" spans="1:1" x14ac:dyDescent="0.3">
      <c r="A579">
        <f>INDEX(Sheet1!B579:B3377,MATCH(MAX(Sheet1!N579:N3377),Sheet1!N579:N3377,0))</f>
        <v>101</v>
      </c>
    </row>
    <row r="580" spans="1:1" x14ac:dyDescent="0.3">
      <c r="A580">
        <f>INDEX(Sheet1!B580:B3378,MATCH(MAX(Sheet1!N580:N3378),Sheet1!N580:N3378,0))</f>
        <v>101</v>
      </c>
    </row>
    <row r="581" spans="1:1" x14ac:dyDescent="0.3">
      <c r="A581">
        <f>INDEX(Sheet1!B581:B3379,MATCH(MAX(Sheet1!N581:N3379),Sheet1!N581:N3379,0))</f>
        <v>101</v>
      </c>
    </row>
    <row r="582" spans="1:1" x14ac:dyDescent="0.3">
      <c r="A582">
        <f>INDEX(Sheet1!B582:B3380,MATCH(MAX(Sheet1!N582:N3380),Sheet1!N582:N3380,0))</f>
        <v>101</v>
      </c>
    </row>
    <row r="583" spans="1:1" x14ac:dyDescent="0.3">
      <c r="A583">
        <f>INDEX(Sheet1!B583:B3381,MATCH(MAX(Sheet1!N583:N3381),Sheet1!N583:N3381,0))</f>
        <v>102</v>
      </c>
    </row>
    <row r="584" spans="1:1" x14ac:dyDescent="0.3">
      <c r="A584">
        <f>INDEX(Sheet1!B584:B3382,MATCH(MAX(Sheet1!N584:N3382),Sheet1!N584:N3382,0))</f>
        <v>102</v>
      </c>
    </row>
    <row r="585" spans="1:1" x14ac:dyDescent="0.3">
      <c r="A585">
        <f>INDEX(Sheet1!B585:B3383,MATCH(MAX(Sheet1!N585:N3383),Sheet1!N585:N3383,0))</f>
        <v>102</v>
      </c>
    </row>
    <row r="586" spans="1:1" x14ac:dyDescent="0.3">
      <c r="A586">
        <f>INDEX(Sheet1!B586:B3384,MATCH(MAX(Sheet1!N586:N3384),Sheet1!N586:N3384,0))</f>
        <v>102</v>
      </c>
    </row>
    <row r="587" spans="1:1" x14ac:dyDescent="0.3">
      <c r="A587">
        <f>INDEX(Sheet1!B587:B3385,MATCH(MAX(Sheet1!N587:N3385),Sheet1!N587:N3385,0))</f>
        <v>102</v>
      </c>
    </row>
    <row r="588" spans="1:1" x14ac:dyDescent="0.3">
      <c r="A588">
        <f>INDEX(Sheet1!B588:B3386,MATCH(MAX(Sheet1!N588:N3386),Sheet1!N588:N3386,0))</f>
        <v>102</v>
      </c>
    </row>
    <row r="589" spans="1:1" x14ac:dyDescent="0.3">
      <c r="A589">
        <f>INDEX(Sheet1!B589:B3387,MATCH(MAX(Sheet1!N589:N3387),Sheet1!N589:N3387,0))</f>
        <v>103</v>
      </c>
    </row>
    <row r="590" spans="1:1" x14ac:dyDescent="0.3">
      <c r="A590">
        <f>INDEX(Sheet1!B590:B3388,MATCH(MAX(Sheet1!N590:N3388),Sheet1!N590:N3388,0))</f>
        <v>103</v>
      </c>
    </row>
    <row r="591" spans="1:1" x14ac:dyDescent="0.3">
      <c r="A591">
        <f>INDEX(Sheet1!B591:B3389,MATCH(MAX(Sheet1!N591:N3389),Sheet1!N591:N3389,0))</f>
        <v>103</v>
      </c>
    </row>
    <row r="592" spans="1:1" x14ac:dyDescent="0.3">
      <c r="A592">
        <f>INDEX(Sheet1!B592:B3390,MATCH(MAX(Sheet1!N592:N3390),Sheet1!N592:N3390,0))</f>
        <v>104</v>
      </c>
    </row>
    <row r="593" spans="1:1" x14ac:dyDescent="0.3">
      <c r="A593">
        <f>INDEX(Sheet1!B593:B3391,MATCH(MAX(Sheet1!N593:N3391),Sheet1!N593:N3391,0))</f>
        <v>104</v>
      </c>
    </row>
    <row r="594" spans="1:1" x14ac:dyDescent="0.3">
      <c r="A594">
        <f>INDEX(Sheet1!B594:B3392,MATCH(MAX(Sheet1!N594:N3392),Sheet1!N594:N3392,0))</f>
        <v>104</v>
      </c>
    </row>
    <row r="595" spans="1:1" x14ac:dyDescent="0.3">
      <c r="A595">
        <f>INDEX(Sheet1!B595:B3393,MATCH(MAX(Sheet1!N595:N3393),Sheet1!N595:N3393,0))</f>
        <v>104</v>
      </c>
    </row>
    <row r="596" spans="1:1" x14ac:dyDescent="0.3">
      <c r="A596">
        <f>INDEX(Sheet1!B596:B3394,MATCH(MAX(Sheet1!N596:N3394),Sheet1!N596:N3394,0))</f>
        <v>104</v>
      </c>
    </row>
    <row r="597" spans="1:1" x14ac:dyDescent="0.3">
      <c r="A597">
        <f>INDEX(Sheet1!B597:B3395,MATCH(MAX(Sheet1!N597:N3395),Sheet1!N597:N3395,0))</f>
        <v>104</v>
      </c>
    </row>
    <row r="598" spans="1:1" x14ac:dyDescent="0.3">
      <c r="A598">
        <f>INDEX(Sheet1!B598:B3396,MATCH(MAX(Sheet1!N598:N3396),Sheet1!N598:N3396,0))</f>
        <v>104</v>
      </c>
    </row>
    <row r="599" spans="1:1" x14ac:dyDescent="0.3">
      <c r="A599">
        <f>INDEX(Sheet1!B599:B3397,MATCH(MAX(Sheet1!N599:N3397),Sheet1!N599:N3397,0))</f>
        <v>104</v>
      </c>
    </row>
    <row r="600" spans="1:1" x14ac:dyDescent="0.3">
      <c r="A600">
        <f>INDEX(Sheet1!B600:B3398,MATCH(MAX(Sheet1!N600:N3398),Sheet1!N600:N3398,0))</f>
        <v>104</v>
      </c>
    </row>
    <row r="601" spans="1:1" x14ac:dyDescent="0.3">
      <c r="A601">
        <f>INDEX(Sheet1!B601:B3399,MATCH(MAX(Sheet1!N601:N3399),Sheet1!N601:N3399,0))</f>
        <v>105</v>
      </c>
    </row>
    <row r="602" spans="1:1" x14ac:dyDescent="0.3">
      <c r="A602">
        <f>INDEX(Sheet1!B602:B3400,MATCH(MAX(Sheet1!N602:N3400),Sheet1!N602:N3400,0))</f>
        <v>105</v>
      </c>
    </row>
    <row r="603" spans="1:1" x14ac:dyDescent="0.3">
      <c r="A603">
        <f>INDEX(Sheet1!B603:B3401,MATCH(MAX(Sheet1!N603:N3401),Sheet1!N603:N3401,0))</f>
        <v>105</v>
      </c>
    </row>
    <row r="604" spans="1:1" x14ac:dyDescent="0.3">
      <c r="A604">
        <f>INDEX(Sheet1!B604:B3402,MATCH(MAX(Sheet1!N604:N3402),Sheet1!N604:N3402,0))</f>
        <v>105</v>
      </c>
    </row>
    <row r="605" spans="1:1" x14ac:dyDescent="0.3">
      <c r="A605">
        <f>INDEX(Sheet1!B605:B3403,MATCH(MAX(Sheet1!N605:N3403),Sheet1!N605:N3403,0))</f>
        <v>105</v>
      </c>
    </row>
    <row r="606" spans="1:1" x14ac:dyDescent="0.3">
      <c r="A606">
        <f>INDEX(Sheet1!B606:B3404,MATCH(MAX(Sheet1!N606:N3404),Sheet1!N606:N3404,0))</f>
        <v>105</v>
      </c>
    </row>
    <row r="607" spans="1:1" x14ac:dyDescent="0.3">
      <c r="A607">
        <f>INDEX(Sheet1!B607:B3405,MATCH(MAX(Sheet1!N607:N3405),Sheet1!N607:N3405,0))</f>
        <v>105</v>
      </c>
    </row>
    <row r="608" spans="1:1" x14ac:dyDescent="0.3">
      <c r="A608">
        <f>INDEX(Sheet1!B608:B3406,MATCH(MAX(Sheet1!N608:N3406),Sheet1!N608:N3406,0))</f>
        <v>105</v>
      </c>
    </row>
    <row r="609" spans="1:1" x14ac:dyDescent="0.3">
      <c r="A609">
        <f>INDEX(Sheet1!B609:B3407,MATCH(MAX(Sheet1!N609:N3407),Sheet1!N609:N3407,0))</f>
        <v>106</v>
      </c>
    </row>
    <row r="610" spans="1:1" x14ac:dyDescent="0.3">
      <c r="A610">
        <f>INDEX(Sheet1!B610:B3408,MATCH(MAX(Sheet1!N610:N3408),Sheet1!N610:N3408,0))</f>
        <v>106</v>
      </c>
    </row>
    <row r="611" spans="1:1" x14ac:dyDescent="0.3">
      <c r="A611">
        <f>INDEX(Sheet1!B611:B3409,MATCH(MAX(Sheet1!N611:N3409),Sheet1!N611:N3409,0))</f>
        <v>106</v>
      </c>
    </row>
    <row r="612" spans="1:1" x14ac:dyDescent="0.3">
      <c r="A612">
        <f>INDEX(Sheet1!B612:B3410,MATCH(MAX(Sheet1!N612:N3410),Sheet1!N612:N3410,0))</f>
        <v>106</v>
      </c>
    </row>
    <row r="613" spans="1:1" x14ac:dyDescent="0.3">
      <c r="A613">
        <f>INDEX(Sheet1!B613:B3411,MATCH(MAX(Sheet1!N613:N3411),Sheet1!N613:N3411,0))</f>
        <v>106</v>
      </c>
    </row>
    <row r="614" spans="1:1" x14ac:dyDescent="0.3">
      <c r="A614">
        <f>INDEX(Sheet1!B614:B3412,MATCH(MAX(Sheet1!N614:N3412),Sheet1!N614:N3412,0))</f>
        <v>106</v>
      </c>
    </row>
    <row r="615" spans="1:1" x14ac:dyDescent="0.3">
      <c r="A615">
        <f>INDEX(Sheet1!B615:B3413,MATCH(MAX(Sheet1!N615:N3413),Sheet1!N615:N3413,0))</f>
        <v>108</v>
      </c>
    </row>
    <row r="616" spans="1:1" x14ac:dyDescent="0.3">
      <c r="A616">
        <f>INDEX(Sheet1!B616:B3414,MATCH(MAX(Sheet1!N616:N3414),Sheet1!N616:N3414,0))</f>
        <v>108</v>
      </c>
    </row>
    <row r="617" spans="1:1" x14ac:dyDescent="0.3">
      <c r="A617">
        <f>INDEX(Sheet1!B617:B3415,MATCH(MAX(Sheet1!N617:N3415),Sheet1!N617:N3415,0))</f>
        <v>108</v>
      </c>
    </row>
    <row r="618" spans="1:1" x14ac:dyDescent="0.3">
      <c r="A618">
        <f>INDEX(Sheet1!B618:B3416,MATCH(MAX(Sheet1!N618:N3416),Sheet1!N618:N3416,0))</f>
        <v>108</v>
      </c>
    </row>
    <row r="619" spans="1:1" x14ac:dyDescent="0.3">
      <c r="A619">
        <f>INDEX(Sheet1!B619:B3417,MATCH(MAX(Sheet1!N619:N3417),Sheet1!N619:N3417,0))</f>
        <v>108</v>
      </c>
    </row>
    <row r="620" spans="1:1" x14ac:dyDescent="0.3">
      <c r="A620">
        <f>INDEX(Sheet1!B620:B3418,MATCH(MAX(Sheet1!N620:N3418),Sheet1!N620:N3418,0))</f>
        <v>108</v>
      </c>
    </row>
    <row r="621" spans="1:1" x14ac:dyDescent="0.3">
      <c r="A621">
        <f>INDEX(Sheet1!B621:B3419,MATCH(MAX(Sheet1!N621:N3419),Sheet1!N621:N3419,0))</f>
        <v>108</v>
      </c>
    </row>
    <row r="622" spans="1:1" x14ac:dyDescent="0.3">
      <c r="A622">
        <f>INDEX(Sheet1!B622:B3420,MATCH(MAX(Sheet1!N622:N3420),Sheet1!N622:N3420,0))</f>
        <v>109</v>
      </c>
    </row>
    <row r="623" spans="1:1" x14ac:dyDescent="0.3">
      <c r="A623">
        <f>INDEX(Sheet1!B623:B3421,MATCH(MAX(Sheet1!N623:N3421),Sheet1!N623:N3421,0))</f>
        <v>109</v>
      </c>
    </row>
    <row r="624" spans="1:1" x14ac:dyDescent="0.3">
      <c r="A624">
        <f>INDEX(Sheet1!B624:B3422,MATCH(MAX(Sheet1!N624:N3422),Sheet1!N624:N3422,0))</f>
        <v>109</v>
      </c>
    </row>
    <row r="625" spans="1:1" x14ac:dyDescent="0.3">
      <c r="A625">
        <f>INDEX(Sheet1!B625:B3423,MATCH(MAX(Sheet1!N625:N3423),Sheet1!N625:N3423,0))</f>
        <v>109</v>
      </c>
    </row>
    <row r="626" spans="1:1" x14ac:dyDescent="0.3">
      <c r="A626">
        <f>INDEX(Sheet1!B626:B3424,MATCH(MAX(Sheet1!N626:N3424),Sheet1!N626:N3424,0))</f>
        <v>109</v>
      </c>
    </row>
    <row r="627" spans="1:1" x14ac:dyDescent="0.3">
      <c r="A627">
        <f>INDEX(Sheet1!B627:B3425,MATCH(MAX(Sheet1!N627:N3425),Sheet1!N627:N3425,0))</f>
        <v>109</v>
      </c>
    </row>
    <row r="628" spans="1:1" x14ac:dyDescent="0.3">
      <c r="A628">
        <f>INDEX(Sheet1!B628:B3426,MATCH(MAX(Sheet1!N628:N3426),Sheet1!N628:N3426,0))</f>
        <v>109</v>
      </c>
    </row>
    <row r="629" spans="1:1" x14ac:dyDescent="0.3">
      <c r="A629">
        <f>INDEX(Sheet1!B629:B3427,MATCH(MAX(Sheet1!N629:N3427),Sheet1!N629:N3427,0))</f>
        <v>110</v>
      </c>
    </row>
    <row r="630" spans="1:1" x14ac:dyDescent="0.3">
      <c r="A630">
        <f>INDEX(Sheet1!B630:B3428,MATCH(MAX(Sheet1!N630:N3428),Sheet1!N630:N3428,0))</f>
        <v>110</v>
      </c>
    </row>
    <row r="631" spans="1:1" x14ac:dyDescent="0.3">
      <c r="A631">
        <f>INDEX(Sheet1!B631:B3429,MATCH(MAX(Sheet1!N631:N3429),Sheet1!N631:N3429,0))</f>
        <v>110</v>
      </c>
    </row>
    <row r="632" spans="1:1" x14ac:dyDescent="0.3">
      <c r="A632">
        <f>INDEX(Sheet1!B632:B3430,MATCH(MAX(Sheet1!N632:N3430),Sheet1!N632:N3430,0))</f>
        <v>110</v>
      </c>
    </row>
    <row r="633" spans="1:1" x14ac:dyDescent="0.3">
      <c r="A633">
        <f>INDEX(Sheet1!B633:B3431,MATCH(MAX(Sheet1!N633:N3431),Sheet1!N633:N3431,0))</f>
        <v>110</v>
      </c>
    </row>
    <row r="634" spans="1:1" x14ac:dyDescent="0.3">
      <c r="A634">
        <f>INDEX(Sheet1!B634:B3432,MATCH(MAX(Sheet1!N634:N3432),Sheet1!N634:N3432,0))</f>
        <v>110</v>
      </c>
    </row>
    <row r="635" spans="1:1" x14ac:dyDescent="0.3">
      <c r="A635">
        <f>INDEX(Sheet1!B635:B3433,MATCH(MAX(Sheet1!N635:N3433),Sheet1!N635:N3433,0))</f>
        <v>110</v>
      </c>
    </row>
    <row r="636" spans="1:1" x14ac:dyDescent="0.3">
      <c r="A636">
        <f>INDEX(Sheet1!B636:B3434,MATCH(MAX(Sheet1!N636:N3434),Sheet1!N636:N3434,0))</f>
        <v>110</v>
      </c>
    </row>
    <row r="637" spans="1:1" x14ac:dyDescent="0.3">
      <c r="A637">
        <f>INDEX(Sheet1!B637:B3435,MATCH(MAX(Sheet1!N637:N3435),Sheet1!N637:N3435,0))</f>
        <v>110</v>
      </c>
    </row>
    <row r="638" spans="1:1" x14ac:dyDescent="0.3">
      <c r="A638">
        <f>INDEX(Sheet1!B638:B3436,MATCH(MAX(Sheet1!N638:N3436),Sheet1!N638:N3436,0))</f>
        <v>112</v>
      </c>
    </row>
    <row r="639" spans="1:1" x14ac:dyDescent="0.3">
      <c r="A639">
        <f>INDEX(Sheet1!B639:B3437,MATCH(MAX(Sheet1!N639:N3437),Sheet1!N639:N3437,0))</f>
        <v>112</v>
      </c>
    </row>
    <row r="640" spans="1:1" x14ac:dyDescent="0.3">
      <c r="A640">
        <f>INDEX(Sheet1!B640:B3438,MATCH(MAX(Sheet1!N640:N3438),Sheet1!N640:N3438,0))</f>
        <v>112</v>
      </c>
    </row>
    <row r="641" spans="1:1" x14ac:dyDescent="0.3">
      <c r="A641">
        <f>INDEX(Sheet1!B641:B3439,MATCH(MAX(Sheet1!N641:N3439),Sheet1!N641:N3439,0))</f>
        <v>112</v>
      </c>
    </row>
    <row r="642" spans="1:1" x14ac:dyDescent="0.3">
      <c r="A642">
        <f>INDEX(Sheet1!B642:B3440,MATCH(MAX(Sheet1!N642:N3440),Sheet1!N642:N3440,0))</f>
        <v>112</v>
      </c>
    </row>
    <row r="643" spans="1:1" x14ac:dyDescent="0.3">
      <c r="A643">
        <f>INDEX(Sheet1!B643:B3441,MATCH(MAX(Sheet1!N643:N3441),Sheet1!N643:N3441,0))</f>
        <v>112</v>
      </c>
    </row>
    <row r="644" spans="1:1" x14ac:dyDescent="0.3">
      <c r="A644">
        <f>INDEX(Sheet1!B644:B3442,MATCH(MAX(Sheet1!N644:N3442),Sheet1!N644:N3442,0))</f>
        <v>112</v>
      </c>
    </row>
    <row r="645" spans="1:1" x14ac:dyDescent="0.3">
      <c r="A645">
        <f>INDEX(Sheet1!B645:B3443,MATCH(MAX(Sheet1!N645:N3443),Sheet1!N645:N3443,0))</f>
        <v>112</v>
      </c>
    </row>
    <row r="646" spans="1:1" x14ac:dyDescent="0.3">
      <c r="A646">
        <f>INDEX(Sheet1!B646:B3444,MATCH(MAX(Sheet1!N646:N3444),Sheet1!N646:N3444,0))</f>
        <v>112</v>
      </c>
    </row>
    <row r="647" spans="1:1" x14ac:dyDescent="0.3">
      <c r="A647">
        <f>INDEX(Sheet1!B647:B3445,MATCH(MAX(Sheet1!N647:N3445),Sheet1!N647:N3445,0))</f>
        <v>112</v>
      </c>
    </row>
    <row r="648" spans="1:1" x14ac:dyDescent="0.3">
      <c r="A648">
        <f>INDEX(Sheet1!B648:B3446,MATCH(MAX(Sheet1!N648:N3446),Sheet1!N648:N3446,0))</f>
        <v>112</v>
      </c>
    </row>
    <row r="649" spans="1:1" x14ac:dyDescent="0.3">
      <c r="A649">
        <f>INDEX(Sheet1!B649:B3447,MATCH(MAX(Sheet1!N649:N3447),Sheet1!N649:N3447,0))</f>
        <v>112</v>
      </c>
    </row>
    <row r="650" spans="1:1" x14ac:dyDescent="0.3">
      <c r="A650">
        <f>INDEX(Sheet1!B650:B3448,MATCH(MAX(Sheet1!N650:N3448),Sheet1!N650:N3448,0))</f>
        <v>112</v>
      </c>
    </row>
    <row r="651" spans="1:1" x14ac:dyDescent="0.3">
      <c r="A651">
        <f>INDEX(Sheet1!B651:B3449,MATCH(MAX(Sheet1!N651:N3449),Sheet1!N651:N3449,0))</f>
        <v>113</v>
      </c>
    </row>
    <row r="652" spans="1:1" x14ac:dyDescent="0.3">
      <c r="A652">
        <f>INDEX(Sheet1!B652:B3450,MATCH(MAX(Sheet1!N652:N3450),Sheet1!N652:N3450,0))</f>
        <v>113</v>
      </c>
    </row>
    <row r="653" spans="1:1" x14ac:dyDescent="0.3">
      <c r="A653">
        <f>INDEX(Sheet1!B653:B3451,MATCH(MAX(Sheet1!N653:N3451),Sheet1!N653:N3451,0))</f>
        <v>113</v>
      </c>
    </row>
    <row r="654" spans="1:1" x14ac:dyDescent="0.3">
      <c r="A654">
        <f>INDEX(Sheet1!B654:B3452,MATCH(MAX(Sheet1!N654:N3452),Sheet1!N654:N3452,0))</f>
        <v>113</v>
      </c>
    </row>
    <row r="655" spans="1:1" x14ac:dyDescent="0.3">
      <c r="A655">
        <f>INDEX(Sheet1!B655:B3453,MATCH(MAX(Sheet1!N655:N3453),Sheet1!N655:N3453,0))</f>
        <v>113</v>
      </c>
    </row>
    <row r="656" spans="1:1" x14ac:dyDescent="0.3">
      <c r="A656">
        <f>INDEX(Sheet1!B656:B3454,MATCH(MAX(Sheet1!N656:N3454),Sheet1!N656:N3454,0))</f>
        <v>113</v>
      </c>
    </row>
    <row r="657" spans="1:1" x14ac:dyDescent="0.3">
      <c r="A657">
        <f>INDEX(Sheet1!B657:B3455,MATCH(MAX(Sheet1!N657:N3455),Sheet1!N657:N3455,0))</f>
        <v>113</v>
      </c>
    </row>
    <row r="658" spans="1:1" x14ac:dyDescent="0.3">
      <c r="A658">
        <f>INDEX(Sheet1!B658:B3456,MATCH(MAX(Sheet1!N658:N3456),Sheet1!N658:N3456,0))</f>
        <v>113</v>
      </c>
    </row>
    <row r="659" spans="1:1" x14ac:dyDescent="0.3">
      <c r="A659">
        <f>INDEX(Sheet1!B659:B3457,MATCH(MAX(Sheet1!N659:N3457),Sheet1!N659:N3457,0))</f>
        <v>113</v>
      </c>
    </row>
    <row r="660" spans="1:1" x14ac:dyDescent="0.3">
      <c r="A660">
        <f>INDEX(Sheet1!B660:B3458,MATCH(MAX(Sheet1!N660:N3458),Sheet1!N660:N3458,0))</f>
        <v>114</v>
      </c>
    </row>
    <row r="661" spans="1:1" x14ac:dyDescent="0.3">
      <c r="A661">
        <f>INDEX(Sheet1!B661:B3459,MATCH(MAX(Sheet1!N661:N3459),Sheet1!N661:N3459,0))</f>
        <v>115</v>
      </c>
    </row>
    <row r="662" spans="1:1" x14ac:dyDescent="0.3">
      <c r="A662">
        <f>INDEX(Sheet1!B662:B3460,MATCH(MAX(Sheet1!N662:N3460),Sheet1!N662:N3460,0))</f>
        <v>115</v>
      </c>
    </row>
    <row r="663" spans="1:1" x14ac:dyDescent="0.3">
      <c r="A663">
        <f>INDEX(Sheet1!B663:B3461,MATCH(MAX(Sheet1!N663:N3461),Sheet1!N663:N3461,0))</f>
        <v>115</v>
      </c>
    </row>
    <row r="664" spans="1:1" x14ac:dyDescent="0.3">
      <c r="A664">
        <f>INDEX(Sheet1!B664:B3462,MATCH(MAX(Sheet1!N664:N3462),Sheet1!N664:N3462,0))</f>
        <v>115</v>
      </c>
    </row>
    <row r="665" spans="1:1" x14ac:dyDescent="0.3">
      <c r="A665">
        <f>INDEX(Sheet1!B665:B3463,MATCH(MAX(Sheet1!N665:N3463),Sheet1!N665:N3463,0))</f>
        <v>115</v>
      </c>
    </row>
    <row r="666" spans="1:1" x14ac:dyDescent="0.3">
      <c r="A666">
        <f>INDEX(Sheet1!B666:B3464,MATCH(MAX(Sheet1!N666:N3464),Sheet1!N666:N3464,0))</f>
        <v>115</v>
      </c>
    </row>
    <row r="667" spans="1:1" x14ac:dyDescent="0.3">
      <c r="A667">
        <f>INDEX(Sheet1!B667:B3465,MATCH(MAX(Sheet1!N667:N3465),Sheet1!N667:N3465,0))</f>
        <v>115</v>
      </c>
    </row>
    <row r="668" spans="1:1" x14ac:dyDescent="0.3">
      <c r="A668">
        <f>INDEX(Sheet1!B668:B3466,MATCH(MAX(Sheet1!N668:N3466),Sheet1!N668:N3466,0))</f>
        <v>115</v>
      </c>
    </row>
    <row r="669" spans="1:1" x14ac:dyDescent="0.3">
      <c r="A669">
        <f>INDEX(Sheet1!B669:B3467,MATCH(MAX(Sheet1!N669:N3467),Sheet1!N669:N3467,0))</f>
        <v>115</v>
      </c>
    </row>
    <row r="670" spans="1:1" x14ac:dyDescent="0.3">
      <c r="A670">
        <f>INDEX(Sheet1!B670:B3468,MATCH(MAX(Sheet1!N670:N3468),Sheet1!N670:N3468,0))</f>
        <v>116</v>
      </c>
    </row>
    <row r="671" spans="1:1" x14ac:dyDescent="0.3">
      <c r="A671">
        <f>INDEX(Sheet1!B671:B3469,MATCH(MAX(Sheet1!N671:N3469),Sheet1!N671:N3469,0))</f>
        <v>116</v>
      </c>
    </row>
    <row r="672" spans="1:1" x14ac:dyDescent="0.3">
      <c r="A672">
        <f>INDEX(Sheet1!B672:B3470,MATCH(MAX(Sheet1!N672:N3470),Sheet1!N672:N3470,0))</f>
        <v>116</v>
      </c>
    </row>
    <row r="673" spans="1:1" x14ac:dyDescent="0.3">
      <c r="A673">
        <f>INDEX(Sheet1!B673:B3471,MATCH(MAX(Sheet1!N673:N3471),Sheet1!N673:N3471,0))</f>
        <v>116</v>
      </c>
    </row>
    <row r="674" spans="1:1" x14ac:dyDescent="0.3">
      <c r="A674">
        <f>INDEX(Sheet1!B674:B3472,MATCH(MAX(Sheet1!N674:N3472),Sheet1!N674:N3472,0))</f>
        <v>116</v>
      </c>
    </row>
    <row r="675" spans="1:1" x14ac:dyDescent="0.3">
      <c r="A675">
        <f>INDEX(Sheet1!B675:B3473,MATCH(MAX(Sheet1!N675:N3473),Sheet1!N675:N3473,0))</f>
        <v>116</v>
      </c>
    </row>
    <row r="676" spans="1:1" x14ac:dyDescent="0.3">
      <c r="A676">
        <f>INDEX(Sheet1!B676:B3474,MATCH(MAX(Sheet1!N676:N3474),Sheet1!N676:N3474,0))</f>
        <v>116</v>
      </c>
    </row>
    <row r="677" spans="1:1" x14ac:dyDescent="0.3">
      <c r="A677">
        <f>INDEX(Sheet1!B677:B3475,MATCH(MAX(Sheet1!N677:N3475),Sheet1!N677:N3475,0))</f>
        <v>116</v>
      </c>
    </row>
    <row r="678" spans="1:1" x14ac:dyDescent="0.3">
      <c r="A678">
        <f>INDEX(Sheet1!B678:B3476,MATCH(MAX(Sheet1!N678:N3476),Sheet1!N678:N3476,0))</f>
        <v>118</v>
      </c>
    </row>
    <row r="679" spans="1:1" x14ac:dyDescent="0.3">
      <c r="A679">
        <f>INDEX(Sheet1!B679:B3477,MATCH(MAX(Sheet1!N679:N3477),Sheet1!N679:N3477,0))</f>
        <v>118</v>
      </c>
    </row>
    <row r="680" spans="1:1" x14ac:dyDescent="0.3">
      <c r="A680">
        <f>INDEX(Sheet1!B680:B3478,MATCH(MAX(Sheet1!N680:N3478),Sheet1!N680:N3478,0))</f>
        <v>118</v>
      </c>
    </row>
    <row r="681" spans="1:1" x14ac:dyDescent="0.3">
      <c r="A681">
        <f>INDEX(Sheet1!B681:B3479,MATCH(MAX(Sheet1!N681:N3479),Sheet1!N681:N3479,0))</f>
        <v>118</v>
      </c>
    </row>
    <row r="682" spans="1:1" x14ac:dyDescent="0.3">
      <c r="A682">
        <f>INDEX(Sheet1!B682:B3480,MATCH(MAX(Sheet1!N682:N3480),Sheet1!N682:N3480,0))</f>
        <v>118</v>
      </c>
    </row>
    <row r="683" spans="1:1" x14ac:dyDescent="0.3">
      <c r="A683">
        <f>INDEX(Sheet1!B683:B3481,MATCH(MAX(Sheet1!N683:N3481),Sheet1!N683:N3481,0))</f>
        <v>119</v>
      </c>
    </row>
    <row r="684" spans="1:1" x14ac:dyDescent="0.3">
      <c r="A684">
        <f>INDEX(Sheet1!B684:B3482,MATCH(MAX(Sheet1!N684:N3482),Sheet1!N684:N3482,0))</f>
        <v>119</v>
      </c>
    </row>
    <row r="685" spans="1:1" x14ac:dyDescent="0.3">
      <c r="A685">
        <f>INDEX(Sheet1!B685:B3483,MATCH(MAX(Sheet1!N685:N3483),Sheet1!N685:N3483,0))</f>
        <v>119</v>
      </c>
    </row>
    <row r="686" spans="1:1" x14ac:dyDescent="0.3">
      <c r="A686">
        <f>INDEX(Sheet1!B686:B3484,MATCH(MAX(Sheet1!N686:N3484),Sheet1!N686:N3484,0))</f>
        <v>120</v>
      </c>
    </row>
    <row r="687" spans="1:1" x14ac:dyDescent="0.3">
      <c r="A687">
        <f>INDEX(Sheet1!B687:B3485,MATCH(MAX(Sheet1!N687:N3485),Sheet1!N687:N3485,0))</f>
        <v>120</v>
      </c>
    </row>
    <row r="688" spans="1:1" x14ac:dyDescent="0.3">
      <c r="A688">
        <f>INDEX(Sheet1!B688:B3486,MATCH(MAX(Sheet1!N688:N3486),Sheet1!N688:N3486,0))</f>
        <v>120</v>
      </c>
    </row>
    <row r="689" spans="1:1" x14ac:dyDescent="0.3">
      <c r="A689">
        <f>INDEX(Sheet1!B689:B3487,MATCH(MAX(Sheet1!N689:N3487),Sheet1!N689:N3487,0))</f>
        <v>120</v>
      </c>
    </row>
    <row r="690" spans="1:1" x14ac:dyDescent="0.3">
      <c r="A690">
        <f>INDEX(Sheet1!B690:B3488,MATCH(MAX(Sheet1!N690:N3488),Sheet1!N690:N3488,0))</f>
        <v>120</v>
      </c>
    </row>
    <row r="691" spans="1:1" x14ac:dyDescent="0.3">
      <c r="A691">
        <f>INDEX(Sheet1!B691:B3489,MATCH(MAX(Sheet1!N691:N3489),Sheet1!N691:N3489,0))</f>
        <v>120</v>
      </c>
    </row>
    <row r="692" spans="1:1" x14ac:dyDescent="0.3">
      <c r="A692">
        <f>INDEX(Sheet1!B692:B3490,MATCH(MAX(Sheet1!N692:N3490),Sheet1!N692:N3490,0))</f>
        <v>120</v>
      </c>
    </row>
    <row r="693" spans="1:1" x14ac:dyDescent="0.3">
      <c r="A693">
        <f>INDEX(Sheet1!B693:B3491,MATCH(MAX(Sheet1!N693:N3491),Sheet1!N693:N3491,0))</f>
        <v>120</v>
      </c>
    </row>
    <row r="694" spans="1:1" x14ac:dyDescent="0.3">
      <c r="A694">
        <f>INDEX(Sheet1!B694:B3492,MATCH(MAX(Sheet1!N694:N3492),Sheet1!N694:N3492,0))</f>
        <v>121</v>
      </c>
    </row>
    <row r="695" spans="1:1" x14ac:dyDescent="0.3">
      <c r="A695">
        <f>INDEX(Sheet1!B695:B3493,MATCH(MAX(Sheet1!N695:N3493),Sheet1!N695:N3493,0))</f>
        <v>121</v>
      </c>
    </row>
    <row r="696" spans="1:1" x14ac:dyDescent="0.3">
      <c r="A696">
        <f>INDEX(Sheet1!B696:B3494,MATCH(MAX(Sheet1!N696:N3494),Sheet1!N696:N3494,0))</f>
        <v>121</v>
      </c>
    </row>
    <row r="697" spans="1:1" x14ac:dyDescent="0.3">
      <c r="A697">
        <f>INDEX(Sheet1!B697:B3495,MATCH(MAX(Sheet1!N697:N3495),Sheet1!N697:N3495,0))</f>
        <v>121</v>
      </c>
    </row>
    <row r="698" spans="1:1" x14ac:dyDescent="0.3">
      <c r="A698">
        <f>INDEX(Sheet1!B698:B3496,MATCH(MAX(Sheet1!N698:N3496),Sheet1!N698:N3496,0))</f>
        <v>121</v>
      </c>
    </row>
    <row r="699" spans="1:1" x14ac:dyDescent="0.3">
      <c r="A699">
        <f>INDEX(Sheet1!B699:B3497,MATCH(MAX(Sheet1!N699:N3497),Sheet1!N699:N3497,0))</f>
        <v>121</v>
      </c>
    </row>
    <row r="700" spans="1:1" x14ac:dyDescent="0.3">
      <c r="A700">
        <f>INDEX(Sheet1!B700:B3498,MATCH(MAX(Sheet1!N700:N3498),Sheet1!N700:N3498,0))</f>
        <v>121</v>
      </c>
    </row>
    <row r="701" spans="1:1" x14ac:dyDescent="0.3">
      <c r="A701">
        <f>INDEX(Sheet1!B701:B3499,MATCH(MAX(Sheet1!N701:N3499),Sheet1!N701:N3499,0))</f>
        <v>121</v>
      </c>
    </row>
    <row r="702" spans="1:1" x14ac:dyDescent="0.3">
      <c r="A702">
        <f>INDEX(Sheet1!B702:B3500,MATCH(MAX(Sheet1!N702:N3500),Sheet1!N702:N3500,0))</f>
        <v>122</v>
      </c>
    </row>
    <row r="703" spans="1:1" x14ac:dyDescent="0.3">
      <c r="A703">
        <f>INDEX(Sheet1!B703:B3501,MATCH(MAX(Sheet1!N703:N3501),Sheet1!N703:N3501,0))</f>
        <v>122</v>
      </c>
    </row>
    <row r="704" spans="1:1" x14ac:dyDescent="0.3">
      <c r="A704">
        <f>INDEX(Sheet1!B704:B3502,MATCH(MAX(Sheet1!N704:N3502),Sheet1!N704:N3502,0))</f>
        <v>122</v>
      </c>
    </row>
    <row r="705" spans="1:1" x14ac:dyDescent="0.3">
      <c r="A705">
        <f>INDEX(Sheet1!B705:B3503,MATCH(MAX(Sheet1!N705:N3503),Sheet1!N705:N3503,0))</f>
        <v>122</v>
      </c>
    </row>
    <row r="706" spans="1:1" x14ac:dyDescent="0.3">
      <c r="A706">
        <f>INDEX(Sheet1!B706:B3504,MATCH(MAX(Sheet1!N706:N3504),Sheet1!N706:N3504,0))</f>
        <v>122</v>
      </c>
    </row>
    <row r="707" spans="1:1" x14ac:dyDescent="0.3">
      <c r="A707">
        <f>INDEX(Sheet1!B707:B3505,MATCH(MAX(Sheet1!N707:N3505),Sheet1!N707:N3505,0))</f>
        <v>123</v>
      </c>
    </row>
    <row r="708" spans="1:1" x14ac:dyDescent="0.3">
      <c r="A708">
        <f>INDEX(Sheet1!B708:B3506,MATCH(MAX(Sheet1!N708:N3506),Sheet1!N708:N3506,0))</f>
        <v>123</v>
      </c>
    </row>
    <row r="709" spans="1:1" x14ac:dyDescent="0.3">
      <c r="A709">
        <f>INDEX(Sheet1!B709:B3507,MATCH(MAX(Sheet1!N709:N3507),Sheet1!N709:N3507,0))</f>
        <v>123</v>
      </c>
    </row>
    <row r="710" spans="1:1" x14ac:dyDescent="0.3">
      <c r="A710">
        <f>INDEX(Sheet1!B710:B3508,MATCH(MAX(Sheet1!N710:N3508),Sheet1!N710:N3508,0))</f>
        <v>124</v>
      </c>
    </row>
    <row r="711" spans="1:1" x14ac:dyDescent="0.3">
      <c r="A711">
        <f>INDEX(Sheet1!B711:B3509,MATCH(MAX(Sheet1!N711:N3509),Sheet1!N711:N3509,0))</f>
        <v>124</v>
      </c>
    </row>
    <row r="712" spans="1:1" x14ac:dyDescent="0.3">
      <c r="A712">
        <f>INDEX(Sheet1!B712:B3510,MATCH(MAX(Sheet1!N712:N3510),Sheet1!N712:N3510,0))</f>
        <v>124</v>
      </c>
    </row>
    <row r="713" spans="1:1" x14ac:dyDescent="0.3">
      <c r="A713">
        <f>INDEX(Sheet1!B713:B3511,MATCH(MAX(Sheet1!N713:N3511),Sheet1!N713:N3511,0))</f>
        <v>124</v>
      </c>
    </row>
    <row r="714" spans="1:1" x14ac:dyDescent="0.3">
      <c r="A714">
        <f>INDEX(Sheet1!B714:B3512,MATCH(MAX(Sheet1!N714:N3512),Sheet1!N714:N3512,0))</f>
        <v>124</v>
      </c>
    </row>
    <row r="715" spans="1:1" x14ac:dyDescent="0.3">
      <c r="A715">
        <f>INDEX(Sheet1!B715:B3513,MATCH(MAX(Sheet1!N715:N3513),Sheet1!N715:N3513,0))</f>
        <v>124</v>
      </c>
    </row>
    <row r="716" spans="1:1" x14ac:dyDescent="0.3">
      <c r="A716">
        <f>INDEX(Sheet1!B716:B3514,MATCH(MAX(Sheet1!N716:N3514),Sheet1!N716:N3514,0))</f>
        <v>124</v>
      </c>
    </row>
    <row r="717" spans="1:1" x14ac:dyDescent="0.3">
      <c r="A717">
        <f>INDEX(Sheet1!B717:B3515,MATCH(MAX(Sheet1!N717:N3515),Sheet1!N717:N3515,0))</f>
        <v>124</v>
      </c>
    </row>
    <row r="718" spans="1:1" x14ac:dyDescent="0.3">
      <c r="A718">
        <f>INDEX(Sheet1!B718:B3516,MATCH(MAX(Sheet1!N718:N3516),Sheet1!N718:N3516,0))</f>
        <v>125</v>
      </c>
    </row>
    <row r="719" spans="1:1" x14ac:dyDescent="0.3">
      <c r="A719">
        <f>INDEX(Sheet1!B719:B3517,MATCH(MAX(Sheet1!N719:N3517),Sheet1!N719:N3517,0))</f>
        <v>125</v>
      </c>
    </row>
    <row r="720" spans="1:1" x14ac:dyDescent="0.3">
      <c r="A720">
        <f>INDEX(Sheet1!B720:B3518,MATCH(MAX(Sheet1!N720:N3518),Sheet1!N720:N3518,0))</f>
        <v>125</v>
      </c>
    </row>
    <row r="721" spans="1:1" x14ac:dyDescent="0.3">
      <c r="A721">
        <f>INDEX(Sheet1!B721:B3519,MATCH(MAX(Sheet1!N721:N3519),Sheet1!N721:N3519,0))</f>
        <v>125</v>
      </c>
    </row>
    <row r="722" spans="1:1" x14ac:dyDescent="0.3">
      <c r="A722">
        <f>INDEX(Sheet1!B722:B3520,MATCH(MAX(Sheet1!N722:N3520),Sheet1!N722:N3520,0))</f>
        <v>125</v>
      </c>
    </row>
    <row r="723" spans="1:1" x14ac:dyDescent="0.3">
      <c r="A723">
        <f>INDEX(Sheet1!B723:B3521,MATCH(MAX(Sheet1!N723:N3521),Sheet1!N723:N3521,0))</f>
        <v>125</v>
      </c>
    </row>
    <row r="724" spans="1:1" x14ac:dyDescent="0.3">
      <c r="A724">
        <f>INDEX(Sheet1!B724:B3522,MATCH(MAX(Sheet1!N724:N3522),Sheet1!N724:N3522,0))</f>
        <v>125</v>
      </c>
    </row>
    <row r="725" spans="1:1" x14ac:dyDescent="0.3">
      <c r="A725">
        <f>INDEX(Sheet1!B725:B3523,MATCH(MAX(Sheet1!N725:N3523),Sheet1!N725:N3523,0))</f>
        <v>126</v>
      </c>
    </row>
    <row r="726" spans="1:1" x14ac:dyDescent="0.3">
      <c r="A726">
        <f>INDEX(Sheet1!B726:B3524,MATCH(MAX(Sheet1!N726:N3524),Sheet1!N726:N3524,0))</f>
        <v>126</v>
      </c>
    </row>
    <row r="727" spans="1:1" x14ac:dyDescent="0.3">
      <c r="A727">
        <f>INDEX(Sheet1!B727:B3525,MATCH(MAX(Sheet1!N727:N3525),Sheet1!N727:N3525,0))</f>
        <v>126</v>
      </c>
    </row>
    <row r="728" spans="1:1" x14ac:dyDescent="0.3">
      <c r="A728">
        <f>INDEX(Sheet1!B728:B3526,MATCH(MAX(Sheet1!N728:N3526),Sheet1!N728:N3526,0))</f>
        <v>126</v>
      </c>
    </row>
    <row r="729" spans="1:1" x14ac:dyDescent="0.3">
      <c r="A729">
        <f>INDEX(Sheet1!B729:B3527,MATCH(MAX(Sheet1!N729:N3527),Sheet1!N729:N3527,0))</f>
        <v>126</v>
      </c>
    </row>
    <row r="730" spans="1:1" x14ac:dyDescent="0.3">
      <c r="A730">
        <f>INDEX(Sheet1!B730:B3528,MATCH(MAX(Sheet1!N730:N3528),Sheet1!N730:N3528,0))</f>
        <v>126</v>
      </c>
    </row>
    <row r="731" spans="1:1" x14ac:dyDescent="0.3">
      <c r="A731">
        <f>INDEX(Sheet1!B731:B3529,MATCH(MAX(Sheet1!N731:N3529),Sheet1!N731:N3529,0))</f>
        <v>126</v>
      </c>
    </row>
    <row r="732" spans="1:1" x14ac:dyDescent="0.3">
      <c r="A732">
        <f>INDEX(Sheet1!B732:B3530,MATCH(MAX(Sheet1!N732:N3530),Sheet1!N732:N3530,0))</f>
        <v>126</v>
      </c>
    </row>
    <row r="733" spans="1:1" x14ac:dyDescent="0.3">
      <c r="A733">
        <f>INDEX(Sheet1!B733:B3531,MATCH(MAX(Sheet1!N733:N3531),Sheet1!N733:N3531,0))</f>
        <v>127</v>
      </c>
    </row>
    <row r="734" spans="1:1" x14ac:dyDescent="0.3">
      <c r="A734">
        <f>INDEX(Sheet1!B734:B3532,MATCH(MAX(Sheet1!N734:N3532),Sheet1!N734:N3532,0))</f>
        <v>127</v>
      </c>
    </row>
    <row r="735" spans="1:1" x14ac:dyDescent="0.3">
      <c r="A735">
        <f>INDEX(Sheet1!B735:B3533,MATCH(MAX(Sheet1!N735:N3533),Sheet1!N735:N3533,0))</f>
        <v>127</v>
      </c>
    </row>
    <row r="736" spans="1:1" x14ac:dyDescent="0.3">
      <c r="A736">
        <f>INDEX(Sheet1!B736:B3534,MATCH(MAX(Sheet1!N736:N3534),Sheet1!N736:N3534,0))</f>
        <v>128</v>
      </c>
    </row>
    <row r="737" spans="1:1" x14ac:dyDescent="0.3">
      <c r="A737">
        <f>INDEX(Sheet1!B737:B3535,MATCH(MAX(Sheet1!N737:N3535),Sheet1!N737:N3535,0))</f>
        <v>128</v>
      </c>
    </row>
    <row r="738" spans="1:1" x14ac:dyDescent="0.3">
      <c r="A738">
        <f>INDEX(Sheet1!B738:B3536,MATCH(MAX(Sheet1!N738:N3536),Sheet1!N738:N3536,0))</f>
        <v>128</v>
      </c>
    </row>
    <row r="739" spans="1:1" x14ac:dyDescent="0.3">
      <c r="A739">
        <f>INDEX(Sheet1!B739:B3537,MATCH(MAX(Sheet1!N739:N3537),Sheet1!N739:N3537,0))</f>
        <v>128</v>
      </c>
    </row>
    <row r="740" spans="1:1" x14ac:dyDescent="0.3">
      <c r="A740">
        <f>INDEX(Sheet1!B740:B3538,MATCH(MAX(Sheet1!N740:N3538),Sheet1!N740:N3538,0))</f>
        <v>128</v>
      </c>
    </row>
    <row r="741" spans="1:1" x14ac:dyDescent="0.3">
      <c r="A741">
        <f>INDEX(Sheet1!B741:B3539,MATCH(MAX(Sheet1!N741:N3539),Sheet1!N741:N3539,0))</f>
        <v>128</v>
      </c>
    </row>
    <row r="742" spans="1:1" x14ac:dyDescent="0.3">
      <c r="A742">
        <f>INDEX(Sheet1!B742:B3540,MATCH(MAX(Sheet1!N742:N3540),Sheet1!N742:N3540,0))</f>
        <v>128</v>
      </c>
    </row>
    <row r="743" spans="1:1" x14ac:dyDescent="0.3">
      <c r="A743">
        <f>INDEX(Sheet1!B743:B3541,MATCH(MAX(Sheet1!N743:N3541),Sheet1!N743:N3541,0))</f>
        <v>129</v>
      </c>
    </row>
    <row r="744" spans="1:1" x14ac:dyDescent="0.3">
      <c r="A744">
        <f>INDEX(Sheet1!B744:B3542,MATCH(MAX(Sheet1!N744:N3542),Sheet1!N744:N3542,0))</f>
        <v>129</v>
      </c>
    </row>
    <row r="745" spans="1:1" x14ac:dyDescent="0.3">
      <c r="A745">
        <f>INDEX(Sheet1!B745:B3543,MATCH(MAX(Sheet1!N745:N3543),Sheet1!N745:N3543,0))</f>
        <v>129</v>
      </c>
    </row>
    <row r="746" spans="1:1" x14ac:dyDescent="0.3">
      <c r="A746">
        <f>INDEX(Sheet1!B746:B3544,MATCH(MAX(Sheet1!N746:N3544),Sheet1!N746:N3544,0))</f>
        <v>129</v>
      </c>
    </row>
    <row r="747" spans="1:1" x14ac:dyDescent="0.3">
      <c r="A747">
        <f>INDEX(Sheet1!B747:B3545,MATCH(MAX(Sheet1!N747:N3545),Sheet1!N747:N3545,0))</f>
        <v>129</v>
      </c>
    </row>
    <row r="748" spans="1:1" x14ac:dyDescent="0.3">
      <c r="A748">
        <f>INDEX(Sheet1!B748:B3546,MATCH(MAX(Sheet1!N748:N3546),Sheet1!N748:N3546,0))</f>
        <v>129</v>
      </c>
    </row>
    <row r="749" spans="1:1" x14ac:dyDescent="0.3">
      <c r="A749">
        <f>INDEX(Sheet1!B749:B3547,MATCH(MAX(Sheet1!N749:N3547),Sheet1!N749:N3547,0))</f>
        <v>130</v>
      </c>
    </row>
    <row r="750" spans="1:1" x14ac:dyDescent="0.3">
      <c r="A750">
        <f>INDEX(Sheet1!B750:B3548,MATCH(MAX(Sheet1!N750:N3548),Sheet1!N750:N3548,0))</f>
        <v>130</v>
      </c>
    </row>
    <row r="751" spans="1:1" x14ac:dyDescent="0.3">
      <c r="A751">
        <f>INDEX(Sheet1!B751:B3549,MATCH(MAX(Sheet1!N751:N3549),Sheet1!N751:N3549,0))</f>
        <v>130</v>
      </c>
    </row>
    <row r="752" spans="1:1" x14ac:dyDescent="0.3">
      <c r="A752">
        <f>INDEX(Sheet1!B752:B3550,MATCH(MAX(Sheet1!N752:N3550),Sheet1!N752:N3550,0))</f>
        <v>130</v>
      </c>
    </row>
    <row r="753" spans="1:1" x14ac:dyDescent="0.3">
      <c r="A753">
        <f>INDEX(Sheet1!B753:B3551,MATCH(MAX(Sheet1!N753:N3551),Sheet1!N753:N3551,0))</f>
        <v>130</v>
      </c>
    </row>
    <row r="754" spans="1:1" x14ac:dyDescent="0.3">
      <c r="A754">
        <f>INDEX(Sheet1!B754:B3552,MATCH(MAX(Sheet1!N754:N3552),Sheet1!N754:N3552,0))</f>
        <v>131</v>
      </c>
    </row>
    <row r="755" spans="1:1" x14ac:dyDescent="0.3">
      <c r="A755">
        <f>INDEX(Sheet1!B755:B3553,MATCH(MAX(Sheet1!N755:N3553),Sheet1!N755:N3553,0))</f>
        <v>131</v>
      </c>
    </row>
    <row r="756" spans="1:1" x14ac:dyDescent="0.3">
      <c r="A756">
        <f>INDEX(Sheet1!B756:B3554,MATCH(MAX(Sheet1!N756:N3554),Sheet1!N756:N3554,0))</f>
        <v>131</v>
      </c>
    </row>
    <row r="757" spans="1:1" x14ac:dyDescent="0.3">
      <c r="A757">
        <f>INDEX(Sheet1!B757:B3555,MATCH(MAX(Sheet1!N757:N3555),Sheet1!N757:N3555,0))</f>
        <v>131</v>
      </c>
    </row>
    <row r="758" spans="1:1" x14ac:dyDescent="0.3">
      <c r="A758">
        <f>INDEX(Sheet1!B758:B3556,MATCH(MAX(Sheet1!N758:N3556),Sheet1!N758:N3556,0))</f>
        <v>131</v>
      </c>
    </row>
    <row r="759" spans="1:1" x14ac:dyDescent="0.3">
      <c r="A759">
        <f>INDEX(Sheet1!B759:B3557,MATCH(MAX(Sheet1!N759:N3557),Sheet1!N759:N3557,0))</f>
        <v>131</v>
      </c>
    </row>
    <row r="760" spans="1:1" x14ac:dyDescent="0.3">
      <c r="A760">
        <f>INDEX(Sheet1!B760:B3558,MATCH(MAX(Sheet1!N760:N3558),Sheet1!N760:N3558,0))</f>
        <v>131</v>
      </c>
    </row>
    <row r="761" spans="1:1" x14ac:dyDescent="0.3">
      <c r="A761">
        <f>INDEX(Sheet1!B761:B3559,MATCH(MAX(Sheet1!N761:N3559),Sheet1!N761:N3559,0))</f>
        <v>132</v>
      </c>
    </row>
    <row r="762" spans="1:1" x14ac:dyDescent="0.3">
      <c r="A762">
        <f>INDEX(Sheet1!B762:B3560,MATCH(MAX(Sheet1!N762:N3560),Sheet1!N762:N3560,0))</f>
        <v>132</v>
      </c>
    </row>
    <row r="763" spans="1:1" x14ac:dyDescent="0.3">
      <c r="A763">
        <f>INDEX(Sheet1!B763:B3561,MATCH(MAX(Sheet1!N763:N3561),Sheet1!N763:N3561,0))</f>
        <v>132</v>
      </c>
    </row>
    <row r="764" spans="1:1" x14ac:dyDescent="0.3">
      <c r="A764">
        <f>INDEX(Sheet1!B764:B3562,MATCH(MAX(Sheet1!N764:N3562),Sheet1!N764:N3562,0))</f>
        <v>132</v>
      </c>
    </row>
    <row r="765" spans="1:1" x14ac:dyDescent="0.3">
      <c r="A765">
        <f>INDEX(Sheet1!B765:B3563,MATCH(MAX(Sheet1!N765:N3563),Sheet1!N765:N3563,0))</f>
        <v>132</v>
      </c>
    </row>
    <row r="766" spans="1:1" x14ac:dyDescent="0.3">
      <c r="A766">
        <f>INDEX(Sheet1!B766:B3564,MATCH(MAX(Sheet1!N766:N3564),Sheet1!N766:N3564,0))</f>
        <v>132</v>
      </c>
    </row>
    <row r="767" spans="1:1" x14ac:dyDescent="0.3">
      <c r="A767">
        <f>INDEX(Sheet1!B767:B3565,MATCH(MAX(Sheet1!N767:N3565),Sheet1!N767:N3565,0))</f>
        <v>133</v>
      </c>
    </row>
    <row r="768" spans="1:1" x14ac:dyDescent="0.3">
      <c r="A768">
        <f>INDEX(Sheet1!B768:B3566,MATCH(MAX(Sheet1!N768:N3566),Sheet1!N768:N3566,0))</f>
        <v>133</v>
      </c>
    </row>
    <row r="769" spans="1:1" x14ac:dyDescent="0.3">
      <c r="A769">
        <f>INDEX(Sheet1!B769:B3567,MATCH(MAX(Sheet1!N769:N3567),Sheet1!N769:N3567,0))</f>
        <v>133</v>
      </c>
    </row>
    <row r="770" spans="1:1" x14ac:dyDescent="0.3">
      <c r="A770">
        <f>INDEX(Sheet1!B770:B3568,MATCH(MAX(Sheet1!N770:N3568),Sheet1!N770:N3568,0))</f>
        <v>134</v>
      </c>
    </row>
    <row r="771" spans="1:1" x14ac:dyDescent="0.3">
      <c r="A771">
        <f>INDEX(Sheet1!B771:B3569,MATCH(MAX(Sheet1!N771:N3569),Sheet1!N771:N3569,0))</f>
        <v>134</v>
      </c>
    </row>
    <row r="772" spans="1:1" x14ac:dyDescent="0.3">
      <c r="A772">
        <f>INDEX(Sheet1!B772:B3570,MATCH(MAX(Sheet1!N772:N3570),Sheet1!N772:N3570,0))</f>
        <v>134</v>
      </c>
    </row>
    <row r="773" spans="1:1" x14ac:dyDescent="0.3">
      <c r="A773">
        <f>INDEX(Sheet1!B773:B3571,MATCH(MAX(Sheet1!N773:N3571),Sheet1!N773:N3571,0))</f>
        <v>134</v>
      </c>
    </row>
    <row r="774" spans="1:1" x14ac:dyDescent="0.3">
      <c r="A774">
        <f>INDEX(Sheet1!B774:B3572,MATCH(MAX(Sheet1!N774:N3572),Sheet1!N774:N3572,0))</f>
        <v>134</v>
      </c>
    </row>
    <row r="775" spans="1:1" x14ac:dyDescent="0.3">
      <c r="A775">
        <f>INDEX(Sheet1!B775:B3573,MATCH(MAX(Sheet1!N775:N3573),Sheet1!N775:N3573,0))</f>
        <v>134</v>
      </c>
    </row>
    <row r="776" spans="1:1" x14ac:dyDescent="0.3">
      <c r="A776">
        <f>INDEX(Sheet1!B776:B3574,MATCH(MAX(Sheet1!N776:N3574),Sheet1!N776:N3574,0))</f>
        <v>134</v>
      </c>
    </row>
    <row r="777" spans="1:1" x14ac:dyDescent="0.3">
      <c r="A777">
        <f>INDEX(Sheet1!B777:B3575,MATCH(MAX(Sheet1!N777:N3575),Sheet1!N777:N3575,0))</f>
        <v>134</v>
      </c>
    </row>
    <row r="778" spans="1:1" x14ac:dyDescent="0.3">
      <c r="A778">
        <f>INDEX(Sheet1!B778:B3576,MATCH(MAX(Sheet1!N778:N3576),Sheet1!N778:N3576,0))</f>
        <v>135</v>
      </c>
    </row>
    <row r="779" spans="1:1" x14ac:dyDescent="0.3">
      <c r="A779">
        <f>INDEX(Sheet1!B779:B3577,MATCH(MAX(Sheet1!N779:N3577),Sheet1!N779:N3577,0))</f>
        <v>135</v>
      </c>
    </row>
    <row r="780" spans="1:1" x14ac:dyDescent="0.3">
      <c r="A780">
        <f>INDEX(Sheet1!B780:B3578,MATCH(MAX(Sheet1!N780:N3578),Sheet1!N780:N3578,0))</f>
        <v>135</v>
      </c>
    </row>
    <row r="781" spans="1:1" x14ac:dyDescent="0.3">
      <c r="A781">
        <f>INDEX(Sheet1!B781:B3579,MATCH(MAX(Sheet1!N781:N3579),Sheet1!N781:N3579,0))</f>
        <v>135</v>
      </c>
    </row>
    <row r="782" spans="1:1" x14ac:dyDescent="0.3">
      <c r="A782">
        <f>INDEX(Sheet1!B782:B3580,MATCH(MAX(Sheet1!N782:N3580),Sheet1!N782:N3580,0))</f>
        <v>135</v>
      </c>
    </row>
    <row r="783" spans="1:1" x14ac:dyDescent="0.3">
      <c r="A783">
        <f>INDEX(Sheet1!B783:B3581,MATCH(MAX(Sheet1!N783:N3581),Sheet1!N783:N3581,0))</f>
        <v>135</v>
      </c>
    </row>
    <row r="784" spans="1:1" x14ac:dyDescent="0.3">
      <c r="A784">
        <f>INDEX(Sheet1!B784:B3582,MATCH(MAX(Sheet1!N784:N3582),Sheet1!N784:N3582,0))</f>
        <v>137</v>
      </c>
    </row>
    <row r="785" spans="1:1" x14ac:dyDescent="0.3">
      <c r="A785">
        <f>INDEX(Sheet1!B785:B3583,MATCH(MAX(Sheet1!N785:N3583),Sheet1!N785:N3583,0))</f>
        <v>137</v>
      </c>
    </row>
    <row r="786" spans="1:1" x14ac:dyDescent="0.3">
      <c r="A786">
        <f>INDEX(Sheet1!B786:B3584,MATCH(MAX(Sheet1!N786:N3584),Sheet1!N786:N3584,0))</f>
        <v>137</v>
      </c>
    </row>
    <row r="787" spans="1:1" x14ac:dyDescent="0.3">
      <c r="A787">
        <f>INDEX(Sheet1!B787:B3585,MATCH(MAX(Sheet1!N787:N3585),Sheet1!N787:N3585,0))</f>
        <v>137</v>
      </c>
    </row>
    <row r="788" spans="1:1" x14ac:dyDescent="0.3">
      <c r="A788">
        <f>INDEX(Sheet1!B788:B3586,MATCH(MAX(Sheet1!N788:N3586),Sheet1!N788:N3586,0))</f>
        <v>137</v>
      </c>
    </row>
    <row r="789" spans="1:1" x14ac:dyDescent="0.3">
      <c r="A789">
        <f>INDEX(Sheet1!B789:B3587,MATCH(MAX(Sheet1!N789:N3587),Sheet1!N789:N3587,0))</f>
        <v>137</v>
      </c>
    </row>
    <row r="790" spans="1:1" x14ac:dyDescent="0.3">
      <c r="A790">
        <f>INDEX(Sheet1!B790:B3588,MATCH(MAX(Sheet1!N790:N3588),Sheet1!N790:N3588,0))</f>
        <v>137</v>
      </c>
    </row>
    <row r="791" spans="1:1" x14ac:dyDescent="0.3">
      <c r="A791">
        <f>INDEX(Sheet1!B791:B3589,MATCH(MAX(Sheet1!N791:N3589),Sheet1!N791:N3589,0))</f>
        <v>137</v>
      </c>
    </row>
    <row r="792" spans="1:1" x14ac:dyDescent="0.3">
      <c r="A792">
        <f>INDEX(Sheet1!B792:B3590,MATCH(MAX(Sheet1!N792:N3590),Sheet1!N792:N3590,0))</f>
        <v>138</v>
      </c>
    </row>
    <row r="793" spans="1:1" x14ac:dyDescent="0.3">
      <c r="A793">
        <f>INDEX(Sheet1!B793:B3591,MATCH(MAX(Sheet1!N793:N3591),Sheet1!N793:N3591,0))</f>
        <v>138</v>
      </c>
    </row>
    <row r="794" spans="1:1" x14ac:dyDescent="0.3">
      <c r="A794">
        <f>INDEX(Sheet1!B794:B3592,MATCH(MAX(Sheet1!N794:N3592),Sheet1!N794:N3592,0))</f>
        <v>138</v>
      </c>
    </row>
    <row r="795" spans="1:1" x14ac:dyDescent="0.3">
      <c r="A795">
        <f>INDEX(Sheet1!B795:B3593,MATCH(MAX(Sheet1!N795:N3593),Sheet1!N795:N3593,0))</f>
        <v>138</v>
      </c>
    </row>
    <row r="796" spans="1:1" x14ac:dyDescent="0.3">
      <c r="A796">
        <f>INDEX(Sheet1!B796:B3594,MATCH(MAX(Sheet1!N796:N3594),Sheet1!N796:N3594,0))</f>
        <v>138</v>
      </c>
    </row>
    <row r="797" spans="1:1" x14ac:dyDescent="0.3">
      <c r="A797">
        <f>INDEX(Sheet1!B797:B3595,MATCH(MAX(Sheet1!N797:N3595),Sheet1!N797:N3595,0))</f>
        <v>138</v>
      </c>
    </row>
    <row r="798" spans="1:1" x14ac:dyDescent="0.3">
      <c r="A798">
        <f>INDEX(Sheet1!B798:B3596,MATCH(MAX(Sheet1!N798:N3596),Sheet1!N798:N3596,0))</f>
        <v>138</v>
      </c>
    </row>
    <row r="799" spans="1:1" x14ac:dyDescent="0.3">
      <c r="A799">
        <f>INDEX(Sheet1!B799:B3597,MATCH(MAX(Sheet1!N799:N3597),Sheet1!N799:N3597,0))</f>
        <v>139</v>
      </c>
    </row>
    <row r="800" spans="1:1" x14ac:dyDescent="0.3">
      <c r="A800">
        <f>INDEX(Sheet1!B800:B3598,MATCH(MAX(Sheet1!N800:N3598),Sheet1!N800:N3598,0))</f>
        <v>139</v>
      </c>
    </row>
    <row r="801" spans="1:1" x14ac:dyDescent="0.3">
      <c r="A801">
        <f>INDEX(Sheet1!B801:B3599,MATCH(MAX(Sheet1!N801:N3599),Sheet1!N801:N3599,0))</f>
        <v>139</v>
      </c>
    </row>
    <row r="802" spans="1:1" x14ac:dyDescent="0.3">
      <c r="A802">
        <f>INDEX(Sheet1!B802:B3600,MATCH(MAX(Sheet1!N802:N3600),Sheet1!N802:N3600,0))</f>
        <v>140</v>
      </c>
    </row>
    <row r="803" spans="1:1" x14ac:dyDescent="0.3">
      <c r="A803">
        <f>INDEX(Sheet1!B803:B3601,MATCH(MAX(Sheet1!N803:N3601),Sheet1!N803:N3601,0))</f>
        <v>140</v>
      </c>
    </row>
    <row r="804" spans="1:1" x14ac:dyDescent="0.3">
      <c r="A804">
        <f>INDEX(Sheet1!B804:B3602,MATCH(MAX(Sheet1!N804:N3602),Sheet1!N804:N3602,0))</f>
        <v>140</v>
      </c>
    </row>
    <row r="805" spans="1:1" x14ac:dyDescent="0.3">
      <c r="A805">
        <f>INDEX(Sheet1!B805:B3603,MATCH(MAX(Sheet1!N805:N3603),Sheet1!N805:N3603,0))</f>
        <v>140</v>
      </c>
    </row>
    <row r="806" spans="1:1" x14ac:dyDescent="0.3">
      <c r="A806">
        <f>INDEX(Sheet1!B806:B3604,MATCH(MAX(Sheet1!N806:N3604),Sheet1!N806:N3604,0))</f>
        <v>140</v>
      </c>
    </row>
    <row r="807" spans="1:1" x14ac:dyDescent="0.3">
      <c r="A807">
        <f>INDEX(Sheet1!B807:B3605,MATCH(MAX(Sheet1!N807:N3605),Sheet1!N807:N3605,0))</f>
        <v>140</v>
      </c>
    </row>
    <row r="808" spans="1:1" x14ac:dyDescent="0.3">
      <c r="A808">
        <f>INDEX(Sheet1!B808:B3606,MATCH(MAX(Sheet1!N808:N3606),Sheet1!N808:N3606,0))</f>
        <v>140</v>
      </c>
    </row>
    <row r="809" spans="1:1" x14ac:dyDescent="0.3">
      <c r="A809">
        <f>INDEX(Sheet1!B809:B3607,MATCH(MAX(Sheet1!N809:N3607),Sheet1!N809:N3607,0))</f>
        <v>140</v>
      </c>
    </row>
    <row r="810" spans="1:1" x14ac:dyDescent="0.3">
      <c r="A810">
        <f>INDEX(Sheet1!B810:B3608,MATCH(MAX(Sheet1!N810:N3608),Sheet1!N810:N3608,0))</f>
        <v>140</v>
      </c>
    </row>
    <row r="811" spans="1:1" x14ac:dyDescent="0.3">
      <c r="A811">
        <f>INDEX(Sheet1!B811:B3609,MATCH(MAX(Sheet1!N811:N3609),Sheet1!N811:N3609,0))</f>
        <v>140</v>
      </c>
    </row>
    <row r="812" spans="1:1" x14ac:dyDescent="0.3">
      <c r="A812">
        <f>INDEX(Sheet1!B812:B3610,MATCH(MAX(Sheet1!N812:N3610),Sheet1!N812:N3610,0))</f>
        <v>141</v>
      </c>
    </row>
    <row r="813" spans="1:1" x14ac:dyDescent="0.3">
      <c r="A813">
        <f>INDEX(Sheet1!B813:B3611,MATCH(MAX(Sheet1!N813:N3611),Sheet1!N813:N3611,0))</f>
        <v>141</v>
      </c>
    </row>
    <row r="814" spans="1:1" x14ac:dyDescent="0.3">
      <c r="A814">
        <f>INDEX(Sheet1!B814:B3612,MATCH(MAX(Sheet1!N814:N3612),Sheet1!N814:N3612,0))</f>
        <v>141</v>
      </c>
    </row>
    <row r="815" spans="1:1" x14ac:dyDescent="0.3">
      <c r="A815">
        <f>INDEX(Sheet1!B815:B3613,MATCH(MAX(Sheet1!N815:N3613),Sheet1!N815:N3613,0))</f>
        <v>141</v>
      </c>
    </row>
    <row r="816" spans="1:1" x14ac:dyDescent="0.3">
      <c r="A816">
        <f>INDEX(Sheet1!B816:B3614,MATCH(MAX(Sheet1!N816:N3614),Sheet1!N816:N3614,0))</f>
        <v>142</v>
      </c>
    </row>
    <row r="817" spans="1:1" x14ac:dyDescent="0.3">
      <c r="A817">
        <f>INDEX(Sheet1!B817:B3615,MATCH(MAX(Sheet1!N817:N3615),Sheet1!N817:N3615,0))</f>
        <v>142</v>
      </c>
    </row>
    <row r="818" spans="1:1" x14ac:dyDescent="0.3">
      <c r="A818">
        <f>INDEX(Sheet1!B818:B3616,MATCH(MAX(Sheet1!N818:N3616),Sheet1!N818:N3616,0))</f>
        <v>142</v>
      </c>
    </row>
    <row r="819" spans="1:1" x14ac:dyDescent="0.3">
      <c r="A819">
        <f>INDEX(Sheet1!B819:B3617,MATCH(MAX(Sheet1!N819:N3617),Sheet1!N819:N3617,0))</f>
        <v>142</v>
      </c>
    </row>
    <row r="820" spans="1:1" x14ac:dyDescent="0.3">
      <c r="A820">
        <f>INDEX(Sheet1!B820:B3618,MATCH(MAX(Sheet1!N820:N3618),Sheet1!N820:N3618,0))</f>
        <v>142</v>
      </c>
    </row>
    <row r="821" spans="1:1" x14ac:dyDescent="0.3">
      <c r="A821">
        <f>INDEX(Sheet1!B821:B3619,MATCH(MAX(Sheet1!N821:N3619),Sheet1!N821:N3619,0))</f>
        <v>142</v>
      </c>
    </row>
    <row r="822" spans="1:1" x14ac:dyDescent="0.3">
      <c r="A822">
        <f>INDEX(Sheet1!B822:B3620,MATCH(MAX(Sheet1!N822:N3620),Sheet1!N822:N3620,0))</f>
        <v>142</v>
      </c>
    </row>
    <row r="823" spans="1:1" x14ac:dyDescent="0.3">
      <c r="A823">
        <f>INDEX(Sheet1!B823:B3621,MATCH(MAX(Sheet1!N823:N3621),Sheet1!N823:N3621,0))</f>
        <v>144</v>
      </c>
    </row>
    <row r="824" spans="1:1" x14ac:dyDescent="0.3">
      <c r="A824">
        <f>INDEX(Sheet1!B824:B3622,MATCH(MAX(Sheet1!N824:N3622),Sheet1!N824:N3622,0))</f>
        <v>144</v>
      </c>
    </row>
    <row r="825" spans="1:1" x14ac:dyDescent="0.3">
      <c r="A825">
        <f>INDEX(Sheet1!B825:B3623,MATCH(MAX(Sheet1!N825:N3623),Sheet1!N825:N3623,0))</f>
        <v>145</v>
      </c>
    </row>
    <row r="826" spans="1:1" x14ac:dyDescent="0.3">
      <c r="A826">
        <f>INDEX(Sheet1!B826:B3624,MATCH(MAX(Sheet1!N826:N3624),Sheet1!N826:N3624,0))</f>
        <v>145</v>
      </c>
    </row>
    <row r="827" spans="1:1" x14ac:dyDescent="0.3">
      <c r="A827">
        <f>INDEX(Sheet1!B827:B3625,MATCH(MAX(Sheet1!N827:N3625),Sheet1!N827:N3625,0))</f>
        <v>145</v>
      </c>
    </row>
    <row r="828" spans="1:1" x14ac:dyDescent="0.3">
      <c r="A828">
        <f>INDEX(Sheet1!B828:B3626,MATCH(MAX(Sheet1!N828:N3626),Sheet1!N828:N3626,0))</f>
        <v>145</v>
      </c>
    </row>
    <row r="829" spans="1:1" x14ac:dyDescent="0.3">
      <c r="A829">
        <f>INDEX(Sheet1!B829:B3627,MATCH(MAX(Sheet1!N829:N3627),Sheet1!N829:N3627,0))</f>
        <v>146</v>
      </c>
    </row>
    <row r="830" spans="1:1" x14ac:dyDescent="0.3">
      <c r="A830">
        <f>INDEX(Sheet1!B830:B3628,MATCH(MAX(Sheet1!N830:N3628),Sheet1!N830:N3628,0))</f>
        <v>146</v>
      </c>
    </row>
    <row r="831" spans="1:1" x14ac:dyDescent="0.3">
      <c r="A831">
        <f>INDEX(Sheet1!B831:B3629,MATCH(MAX(Sheet1!N831:N3629),Sheet1!N831:N3629,0))</f>
        <v>146</v>
      </c>
    </row>
    <row r="832" spans="1:1" x14ac:dyDescent="0.3">
      <c r="A832">
        <f>INDEX(Sheet1!B832:B3630,MATCH(MAX(Sheet1!N832:N3630),Sheet1!N832:N3630,0))</f>
        <v>146</v>
      </c>
    </row>
    <row r="833" spans="1:1" x14ac:dyDescent="0.3">
      <c r="A833">
        <f>INDEX(Sheet1!B833:B3631,MATCH(MAX(Sheet1!N833:N3631),Sheet1!N833:N3631,0))</f>
        <v>147</v>
      </c>
    </row>
    <row r="834" spans="1:1" x14ac:dyDescent="0.3">
      <c r="A834">
        <f>INDEX(Sheet1!B834:B3632,MATCH(MAX(Sheet1!N834:N3632),Sheet1!N834:N3632,0))</f>
        <v>147</v>
      </c>
    </row>
    <row r="835" spans="1:1" x14ac:dyDescent="0.3">
      <c r="A835">
        <f>INDEX(Sheet1!B835:B3633,MATCH(MAX(Sheet1!N835:N3633),Sheet1!N835:N3633,0))</f>
        <v>147</v>
      </c>
    </row>
    <row r="836" spans="1:1" x14ac:dyDescent="0.3">
      <c r="A836">
        <f>INDEX(Sheet1!B836:B3634,MATCH(MAX(Sheet1!N836:N3634),Sheet1!N836:N3634,0))</f>
        <v>147</v>
      </c>
    </row>
    <row r="837" spans="1:1" x14ac:dyDescent="0.3">
      <c r="A837">
        <f>INDEX(Sheet1!B837:B3635,MATCH(MAX(Sheet1!N837:N3635),Sheet1!N837:N3635,0))</f>
        <v>147</v>
      </c>
    </row>
    <row r="838" spans="1:1" x14ac:dyDescent="0.3">
      <c r="A838">
        <f>INDEX(Sheet1!B838:B3636,MATCH(MAX(Sheet1!N838:N3636),Sheet1!N838:N3636,0))</f>
        <v>147</v>
      </c>
    </row>
    <row r="839" spans="1:1" x14ac:dyDescent="0.3">
      <c r="A839">
        <f>INDEX(Sheet1!B839:B3637,MATCH(MAX(Sheet1!N839:N3637),Sheet1!N839:N3637,0))</f>
        <v>147</v>
      </c>
    </row>
    <row r="840" spans="1:1" x14ac:dyDescent="0.3">
      <c r="A840">
        <f>INDEX(Sheet1!B840:B3638,MATCH(MAX(Sheet1!N840:N3638),Sheet1!N840:N3638,0))</f>
        <v>147</v>
      </c>
    </row>
    <row r="841" spans="1:1" x14ac:dyDescent="0.3">
      <c r="A841">
        <f>INDEX(Sheet1!B841:B3639,MATCH(MAX(Sheet1!N841:N3639),Sheet1!N841:N3639,0))</f>
        <v>147</v>
      </c>
    </row>
    <row r="842" spans="1:1" x14ac:dyDescent="0.3">
      <c r="A842">
        <f>INDEX(Sheet1!B842:B3640,MATCH(MAX(Sheet1!N842:N3640),Sheet1!N842:N3640,0))</f>
        <v>147</v>
      </c>
    </row>
    <row r="843" spans="1:1" x14ac:dyDescent="0.3">
      <c r="A843">
        <f>INDEX(Sheet1!B843:B3641,MATCH(MAX(Sheet1!N843:N3641),Sheet1!N843:N3641,0))</f>
        <v>147</v>
      </c>
    </row>
    <row r="844" spans="1:1" x14ac:dyDescent="0.3">
      <c r="A844">
        <f>INDEX(Sheet1!B844:B3642,MATCH(MAX(Sheet1!N844:N3642),Sheet1!N844:N3642,0))</f>
        <v>147</v>
      </c>
    </row>
    <row r="845" spans="1:1" x14ac:dyDescent="0.3">
      <c r="A845">
        <f>INDEX(Sheet1!B845:B3643,MATCH(MAX(Sheet1!N845:N3643),Sheet1!N845:N3643,0))</f>
        <v>148</v>
      </c>
    </row>
    <row r="846" spans="1:1" x14ac:dyDescent="0.3">
      <c r="A846">
        <f>INDEX(Sheet1!B846:B3644,MATCH(MAX(Sheet1!N846:N3644),Sheet1!N846:N3644,0))</f>
        <v>148</v>
      </c>
    </row>
    <row r="847" spans="1:1" x14ac:dyDescent="0.3">
      <c r="A847">
        <f>INDEX(Sheet1!B847:B3645,MATCH(MAX(Sheet1!N847:N3645),Sheet1!N847:N3645,0))</f>
        <v>148</v>
      </c>
    </row>
    <row r="848" spans="1:1" x14ac:dyDescent="0.3">
      <c r="A848">
        <f>INDEX(Sheet1!B848:B3646,MATCH(MAX(Sheet1!N848:N3646),Sheet1!N848:N3646,0))</f>
        <v>148</v>
      </c>
    </row>
    <row r="849" spans="1:1" x14ac:dyDescent="0.3">
      <c r="A849">
        <f>INDEX(Sheet1!B849:B3647,MATCH(MAX(Sheet1!N849:N3647),Sheet1!N849:N3647,0))</f>
        <v>148</v>
      </c>
    </row>
    <row r="850" spans="1:1" x14ac:dyDescent="0.3">
      <c r="A850">
        <f>INDEX(Sheet1!B850:B3648,MATCH(MAX(Sheet1!N850:N3648),Sheet1!N850:N3648,0))</f>
        <v>149</v>
      </c>
    </row>
    <row r="851" spans="1:1" x14ac:dyDescent="0.3">
      <c r="A851">
        <f>INDEX(Sheet1!B851:B3649,MATCH(MAX(Sheet1!N851:N3649),Sheet1!N851:N3649,0))</f>
        <v>149</v>
      </c>
    </row>
    <row r="852" spans="1:1" x14ac:dyDescent="0.3">
      <c r="A852">
        <f>INDEX(Sheet1!B852:B3650,MATCH(MAX(Sheet1!N852:N3650),Sheet1!N852:N3650,0))</f>
        <v>149</v>
      </c>
    </row>
    <row r="853" spans="1:1" x14ac:dyDescent="0.3">
      <c r="A853">
        <f>INDEX(Sheet1!B853:B3651,MATCH(MAX(Sheet1!N853:N3651),Sheet1!N853:N3651,0))</f>
        <v>149</v>
      </c>
    </row>
    <row r="854" spans="1:1" x14ac:dyDescent="0.3">
      <c r="A854">
        <f>INDEX(Sheet1!B854:B3652,MATCH(MAX(Sheet1!N854:N3652),Sheet1!N854:N3652,0))</f>
        <v>149</v>
      </c>
    </row>
    <row r="855" spans="1:1" x14ac:dyDescent="0.3">
      <c r="A855">
        <f>INDEX(Sheet1!B855:B3653,MATCH(MAX(Sheet1!N855:N3653),Sheet1!N855:N3653,0))</f>
        <v>149</v>
      </c>
    </row>
    <row r="856" spans="1:1" x14ac:dyDescent="0.3">
      <c r="A856">
        <f>INDEX(Sheet1!B856:B3654,MATCH(MAX(Sheet1!N856:N3654),Sheet1!N856:N3654,0))</f>
        <v>149</v>
      </c>
    </row>
    <row r="857" spans="1:1" x14ac:dyDescent="0.3">
      <c r="A857">
        <f>INDEX(Sheet1!B857:B3655,MATCH(MAX(Sheet1!N857:N3655),Sheet1!N857:N3655,0))</f>
        <v>149</v>
      </c>
    </row>
    <row r="858" spans="1:1" x14ac:dyDescent="0.3">
      <c r="A858">
        <f>INDEX(Sheet1!B858:B3656,MATCH(MAX(Sheet1!N858:N3656),Sheet1!N858:N3656,0))</f>
        <v>150</v>
      </c>
    </row>
    <row r="859" spans="1:1" x14ac:dyDescent="0.3">
      <c r="A859">
        <f>INDEX(Sheet1!B859:B3657,MATCH(MAX(Sheet1!N859:N3657),Sheet1!N859:N3657,0))</f>
        <v>150</v>
      </c>
    </row>
    <row r="860" spans="1:1" x14ac:dyDescent="0.3">
      <c r="A860">
        <f>INDEX(Sheet1!B860:B3658,MATCH(MAX(Sheet1!N860:N3658),Sheet1!N860:N3658,0))</f>
        <v>150</v>
      </c>
    </row>
    <row r="861" spans="1:1" x14ac:dyDescent="0.3">
      <c r="A861">
        <f>INDEX(Sheet1!B861:B3659,MATCH(MAX(Sheet1!N861:N3659),Sheet1!N861:N3659,0))</f>
        <v>150</v>
      </c>
    </row>
    <row r="862" spans="1:1" x14ac:dyDescent="0.3">
      <c r="A862">
        <f>INDEX(Sheet1!B862:B3660,MATCH(MAX(Sheet1!N862:N3660),Sheet1!N862:N3660,0))</f>
        <v>150</v>
      </c>
    </row>
    <row r="863" spans="1:1" x14ac:dyDescent="0.3">
      <c r="A863">
        <f>INDEX(Sheet1!B863:B3661,MATCH(MAX(Sheet1!N863:N3661),Sheet1!N863:N3661,0))</f>
        <v>150</v>
      </c>
    </row>
    <row r="864" spans="1:1" x14ac:dyDescent="0.3">
      <c r="A864">
        <f>INDEX(Sheet1!B864:B3662,MATCH(MAX(Sheet1!N864:N3662),Sheet1!N864:N3662,0))</f>
        <v>150</v>
      </c>
    </row>
    <row r="865" spans="1:1" x14ac:dyDescent="0.3">
      <c r="A865">
        <f>INDEX(Sheet1!B865:B3663,MATCH(MAX(Sheet1!N865:N3663),Sheet1!N865:N3663,0))</f>
        <v>151</v>
      </c>
    </row>
    <row r="866" spans="1:1" x14ac:dyDescent="0.3">
      <c r="A866">
        <f>INDEX(Sheet1!B866:B3664,MATCH(MAX(Sheet1!N866:N3664),Sheet1!N866:N3664,0))</f>
        <v>151</v>
      </c>
    </row>
    <row r="867" spans="1:1" x14ac:dyDescent="0.3">
      <c r="A867">
        <f>INDEX(Sheet1!B867:B3665,MATCH(MAX(Sheet1!N867:N3665),Sheet1!N867:N3665,0))</f>
        <v>151</v>
      </c>
    </row>
    <row r="868" spans="1:1" x14ac:dyDescent="0.3">
      <c r="A868">
        <f>INDEX(Sheet1!B868:B3666,MATCH(MAX(Sheet1!N868:N3666),Sheet1!N868:N3666,0))</f>
        <v>151</v>
      </c>
    </row>
    <row r="869" spans="1:1" x14ac:dyDescent="0.3">
      <c r="A869">
        <f>INDEX(Sheet1!B869:B3667,MATCH(MAX(Sheet1!N869:N3667),Sheet1!N869:N3667,0))</f>
        <v>151</v>
      </c>
    </row>
    <row r="870" spans="1:1" x14ac:dyDescent="0.3">
      <c r="A870">
        <f>INDEX(Sheet1!B870:B3668,MATCH(MAX(Sheet1!N870:N3668),Sheet1!N870:N3668,0))</f>
        <v>151</v>
      </c>
    </row>
    <row r="871" spans="1:1" x14ac:dyDescent="0.3">
      <c r="A871">
        <f>INDEX(Sheet1!B871:B3669,MATCH(MAX(Sheet1!N871:N3669),Sheet1!N871:N3669,0))</f>
        <v>154</v>
      </c>
    </row>
    <row r="872" spans="1:1" x14ac:dyDescent="0.3">
      <c r="A872">
        <f>INDEX(Sheet1!B872:B3670,MATCH(MAX(Sheet1!N872:N3670),Sheet1!N872:N3670,0))</f>
        <v>154</v>
      </c>
    </row>
    <row r="873" spans="1:1" x14ac:dyDescent="0.3">
      <c r="A873">
        <f>INDEX(Sheet1!B873:B3671,MATCH(MAX(Sheet1!N873:N3671),Sheet1!N873:N3671,0))</f>
        <v>154</v>
      </c>
    </row>
    <row r="874" spans="1:1" x14ac:dyDescent="0.3">
      <c r="A874">
        <f>INDEX(Sheet1!B874:B3672,MATCH(MAX(Sheet1!N874:N3672),Sheet1!N874:N3672,0))</f>
        <v>154</v>
      </c>
    </row>
    <row r="875" spans="1:1" x14ac:dyDescent="0.3">
      <c r="A875">
        <f>INDEX(Sheet1!B875:B3673,MATCH(MAX(Sheet1!N875:N3673),Sheet1!N875:N3673,0))</f>
        <v>154</v>
      </c>
    </row>
    <row r="876" spans="1:1" x14ac:dyDescent="0.3">
      <c r="A876">
        <f>INDEX(Sheet1!B876:B3674,MATCH(MAX(Sheet1!N876:N3674),Sheet1!N876:N3674,0))</f>
        <v>154</v>
      </c>
    </row>
    <row r="877" spans="1:1" x14ac:dyDescent="0.3">
      <c r="A877">
        <f>INDEX(Sheet1!B877:B3675,MATCH(MAX(Sheet1!N877:N3675),Sheet1!N877:N3675,0))</f>
        <v>154</v>
      </c>
    </row>
    <row r="878" spans="1:1" x14ac:dyDescent="0.3">
      <c r="A878">
        <f>INDEX(Sheet1!B878:B3676,MATCH(MAX(Sheet1!N878:N3676),Sheet1!N878:N3676,0))</f>
        <v>154</v>
      </c>
    </row>
    <row r="879" spans="1:1" x14ac:dyDescent="0.3">
      <c r="A879">
        <f>INDEX(Sheet1!B879:B3677,MATCH(MAX(Sheet1!N879:N3677),Sheet1!N879:N3677,0))</f>
        <v>154</v>
      </c>
    </row>
    <row r="880" spans="1:1" x14ac:dyDescent="0.3">
      <c r="A880">
        <f>INDEX(Sheet1!B880:B3678,MATCH(MAX(Sheet1!N880:N3678),Sheet1!N880:N3678,0))</f>
        <v>154</v>
      </c>
    </row>
    <row r="881" spans="1:1" x14ac:dyDescent="0.3">
      <c r="A881">
        <f>INDEX(Sheet1!B881:B3679,MATCH(MAX(Sheet1!N881:N3679),Sheet1!N881:N3679,0))</f>
        <v>154</v>
      </c>
    </row>
    <row r="882" spans="1:1" x14ac:dyDescent="0.3">
      <c r="A882">
        <f>INDEX(Sheet1!B882:B3680,MATCH(MAX(Sheet1!N882:N3680),Sheet1!N882:N3680,0))</f>
        <v>154</v>
      </c>
    </row>
    <row r="883" spans="1:1" x14ac:dyDescent="0.3">
      <c r="A883">
        <f>INDEX(Sheet1!B883:B3681,MATCH(MAX(Sheet1!N883:N3681),Sheet1!N883:N3681,0))</f>
        <v>154</v>
      </c>
    </row>
    <row r="884" spans="1:1" x14ac:dyDescent="0.3">
      <c r="A884">
        <f>INDEX(Sheet1!B884:B3682,MATCH(MAX(Sheet1!N884:N3682),Sheet1!N884:N3682,0))</f>
        <v>154</v>
      </c>
    </row>
    <row r="885" spans="1:1" x14ac:dyDescent="0.3">
      <c r="A885">
        <f>INDEX(Sheet1!B885:B3683,MATCH(MAX(Sheet1!N885:N3683),Sheet1!N885:N3683,0))</f>
        <v>154</v>
      </c>
    </row>
    <row r="886" spans="1:1" x14ac:dyDescent="0.3">
      <c r="A886">
        <f>INDEX(Sheet1!B886:B3684,MATCH(MAX(Sheet1!N886:N3684),Sheet1!N886:N3684,0))</f>
        <v>155</v>
      </c>
    </row>
    <row r="887" spans="1:1" x14ac:dyDescent="0.3">
      <c r="A887">
        <f>INDEX(Sheet1!B887:B3685,MATCH(MAX(Sheet1!N887:N3685),Sheet1!N887:N3685,0))</f>
        <v>155</v>
      </c>
    </row>
    <row r="888" spans="1:1" x14ac:dyDescent="0.3">
      <c r="A888">
        <f>INDEX(Sheet1!B888:B3686,MATCH(MAX(Sheet1!N888:N3686),Sheet1!N888:N3686,0))</f>
        <v>156</v>
      </c>
    </row>
    <row r="889" spans="1:1" x14ac:dyDescent="0.3">
      <c r="A889">
        <f>INDEX(Sheet1!B889:B3687,MATCH(MAX(Sheet1!N889:N3687),Sheet1!N889:N3687,0))</f>
        <v>156</v>
      </c>
    </row>
    <row r="890" spans="1:1" x14ac:dyDescent="0.3">
      <c r="A890">
        <f>INDEX(Sheet1!B890:B3688,MATCH(MAX(Sheet1!N890:N3688),Sheet1!N890:N3688,0))</f>
        <v>156</v>
      </c>
    </row>
    <row r="891" spans="1:1" x14ac:dyDescent="0.3">
      <c r="A891">
        <f>INDEX(Sheet1!B891:B3689,MATCH(MAX(Sheet1!N891:N3689),Sheet1!N891:N3689,0))</f>
        <v>156</v>
      </c>
    </row>
    <row r="892" spans="1:1" x14ac:dyDescent="0.3">
      <c r="A892">
        <f>INDEX(Sheet1!B892:B3690,MATCH(MAX(Sheet1!N892:N3690),Sheet1!N892:N3690,0))</f>
        <v>156</v>
      </c>
    </row>
    <row r="893" spans="1:1" x14ac:dyDescent="0.3">
      <c r="A893">
        <f>INDEX(Sheet1!B893:B3691,MATCH(MAX(Sheet1!N893:N3691),Sheet1!N893:N3691,0))</f>
        <v>156</v>
      </c>
    </row>
    <row r="894" spans="1:1" x14ac:dyDescent="0.3">
      <c r="A894">
        <f>INDEX(Sheet1!B894:B3692,MATCH(MAX(Sheet1!N894:N3692),Sheet1!N894:N3692,0))</f>
        <v>157</v>
      </c>
    </row>
    <row r="895" spans="1:1" x14ac:dyDescent="0.3">
      <c r="A895">
        <f>INDEX(Sheet1!B895:B3693,MATCH(MAX(Sheet1!N895:N3693),Sheet1!N895:N3693,0))</f>
        <v>157</v>
      </c>
    </row>
    <row r="896" spans="1:1" x14ac:dyDescent="0.3">
      <c r="A896">
        <f>INDEX(Sheet1!B896:B3694,MATCH(MAX(Sheet1!N896:N3694),Sheet1!N896:N3694,0))</f>
        <v>158</v>
      </c>
    </row>
    <row r="897" spans="1:1" x14ac:dyDescent="0.3">
      <c r="A897">
        <f>INDEX(Sheet1!B897:B3695,MATCH(MAX(Sheet1!N897:N3695),Sheet1!N897:N3695,0))</f>
        <v>158</v>
      </c>
    </row>
    <row r="898" spans="1:1" x14ac:dyDescent="0.3">
      <c r="A898">
        <f>INDEX(Sheet1!B898:B3696,MATCH(MAX(Sheet1!N898:N3696),Sheet1!N898:N3696,0))</f>
        <v>158</v>
      </c>
    </row>
    <row r="899" spans="1:1" x14ac:dyDescent="0.3">
      <c r="A899">
        <f>INDEX(Sheet1!B899:B3697,MATCH(MAX(Sheet1!N899:N3697),Sheet1!N899:N3697,0))</f>
        <v>158</v>
      </c>
    </row>
    <row r="900" spans="1:1" x14ac:dyDescent="0.3">
      <c r="A900">
        <f>INDEX(Sheet1!B900:B3698,MATCH(MAX(Sheet1!N900:N3698),Sheet1!N900:N3698,0))</f>
        <v>158</v>
      </c>
    </row>
    <row r="901" spans="1:1" x14ac:dyDescent="0.3">
      <c r="A901">
        <f>INDEX(Sheet1!B901:B3699,MATCH(MAX(Sheet1!N901:N3699),Sheet1!N901:N3699,0))</f>
        <v>158</v>
      </c>
    </row>
    <row r="902" spans="1:1" x14ac:dyDescent="0.3">
      <c r="A902">
        <f>INDEX(Sheet1!B902:B3700,MATCH(MAX(Sheet1!N902:N3700),Sheet1!N902:N3700,0))</f>
        <v>158</v>
      </c>
    </row>
    <row r="903" spans="1:1" x14ac:dyDescent="0.3">
      <c r="A903">
        <f>INDEX(Sheet1!B903:B3701,MATCH(MAX(Sheet1!N903:N3701),Sheet1!N903:N3701,0))</f>
        <v>159</v>
      </c>
    </row>
    <row r="904" spans="1:1" x14ac:dyDescent="0.3">
      <c r="A904">
        <f>INDEX(Sheet1!B904:B3702,MATCH(MAX(Sheet1!N904:N3702),Sheet1!N904:N3702,0))</f>
        <v>159</v>
      </c>
    </row>
    <row r="905" spans="1:1" x14ac:dyDescent="0.3">
      <c r="A905">
        <f>INDEX(Sheet1!B905:B3703,MATCH(MAX(Sheet1!N905:N3703),Sheet1!N905:N3703,0))</f>
        <v>159</v>
      </c>
    </row>
    <row r="906" spans="1:1" x14ac:dyDescent="0.3">
      <c r="A906">
        <f>INDEX(Sheet1!B906:B3704,MATCH(MAX(Sheet1!N906:N3704),Sheet1!N906:N3704,0))</f>
        <v>159</v>
      </c>
    </row>
    <row r="907" spans="1:1" x14ac:dyDescent="0.3">
      <c r="A907">
        <f>INDEX(Sheet1!B907:B3705,MATCH(MAX(Sheet1!N907:N3705),Sheet1!N907:N3705,0))</f>
        <v>160</v>
      </c>
    </row>
    <row r="908" spans="1:1" x14ac:dyDescent="0.3">
      <c r="A908">
        <f>INDEX(Sheet1!B908:B3706,MATCH(MAX(Sheet1!N908:N3706),Sheet1!N908:N3706,0))</f>
        <v>160</v>
      </c>
    </row>
    <row r="909" spans="1:1" x14ac:dyDescent="0.3">
      <c r="A909">
        <f>INDEX(Sheet1!B909:B3707,MATCH(MAX(Sheet1!N909:N3707),Sheet1!N909:N3707,0))</f>
        <v>160</v>
      </c>
    </row>
    <row r="910" spans="1:1" x14ac:dyDescent="0.3">
      <c r="A910">
        <f>INDEX(Sheet1!B910:B3708,MATCH(MAX(Sheet1!N910:N3708),Sheet1!N910:N3708,0))</f>
        <v>160</v>
      </c>
    </row>
    <row r="911" spans="1:1" x14ac:dyDescent="0.3">
      <c r="A911">
        <f>INDEX(Sheet1!B911:B3709,MATCH(MAX(Sheet1!N911:N3709),Sheet1!N911:N3709,0))</f>
        <v>160</v>
      </c>
    </row>
    <row r="912" spans="1:1" x14ac:dyDescent="0.3">
      <c r="A912">
        <f>INDEX(Sheet1!B912:B3710,MATCH(MAX(Sheet1!N912:N3710),Sheet1!N912:N3710,0))</f>
        <v>160</v>
      </c>
    </row>
    <row r="913" spans="1:1" x14ac:dyDescent="0.3">
      <c r="A913">
        <f>INDEX(Sheet1!B913:B3711,MATCH(MAX(Sheet1!N913:N3711),Sheet1!N913:N3711,0))</f>
        <v>160</v>
      </c>
    </row>
    <row r="914" spans="1:1" x14ac:dyDescent="0.3">
      <c r="A914">
        <f>INDEX(Sheet1!B914:B3712,MATCH(MAX(Sheet1!N914:N3712),Sheet1!N914:N3712,0))</f>
        <v>160</v>
      </c>
    </row>
    <row r="915" spans="1:1" x14ac:dyDescent="0.3">
      <c r="A915">
        <f>INDEX(Sheet1!B915:B3713,MATCH(MAX(Sheet1!N915:N3713),Sheet1!N915:N3713,0))</f>
        <v>160</v>
      </c>
    </row>
    <row r="916" spans="1:1" x14ac:dyDescent="0.3">
      <c r="A916">
        <f>INDEX(Sheet1!B916:B3714,MATCH(MAX(Sheet1!N916:N3714),Sheet1!N916:N3714,0))</f>
        <v>160</v>
      </c>
    </row>
    <row r="917" spans="1:1" x14ac:dyDescent="0.3">
      <c r="A917">
        <f>INDEX(Sheet1!B917:B3715,MATCH(MAX(Sheet1!N917:N3715),Sheet1!N917:N3715,0))</f>
        <v>160</v>
      </c>
    </row>
    <row r="918" spans="1:1" x14ac:dyDescent="0.3">
      <c r="A918">
        <f>INDEX(Sheet1!B918:B3716,MATCH(MAX(Sheet1!N918:N3716),Sheet1!N918:N3716,0))</f>
        <v>160</v>
      </c>
    </row>
    <row r="919" spans="1:1" x14ac:dyDescent="0.3">
      <c r="A919">
        <f>INDEX(Sheet1!B919:B3717,MATCH(MAX(Sheet1!N919:N3717),Sheet1!N919:N3717,0))</f>
        <v>161</v>
      </c>
    </row>
    <row r="920" spans="1:1" x14ac:dyDescent="0.3">
      <c r="A920">
        <f>INDEX(Sheet1!B920:B3718,MATCH(MAX(Sheet1!N920:N3718),Sheet1!N920:N3718,0))</f>
        <v>161</v>
      </c>
    </row>
    <row r="921" spans="1:1" x14ac:dyDescent="0.3">
      <c r="A921">
        <f>INDEX(Sheet1!B921:B3719,MATCH(MAX(Sheet1!N921:N3719),Sheet1!N921:N3719,0))</f>
        <v>161</v>
      </c>
    </row>
    <row r="922" spans="1:1" x14ac:dyDescent="0.3">
      <c r="A922">
        <f>INDEX(Sheet1!B922:B3720,MATCH(MAX(Sheet1!N922:N3720),Sheet1!N922:N3720,0))</f>
        <v>161</v>
      </c>
    </row>
    <row r="923" spans="1:1" x14ac:dyDescent="0.3">
      <c r="A923">
        <f>INDEX(Sheet1!B923:B3721,MATCH(MAX(Sheet1!N923:N3721),Sheet1!N923:N3721,0))</f>
        <v>161</v>
      </c>
    </row>
    <row r="924" spans="1:1" x14ac:dyDescent="0.3">
      <c r="A924">
        <f>INDEX(Sheet1!B924:B3722,MATCH(MAX(Sheet1!N924:N3722),Sheet1!N924:N3722,0))</f>
        <v>161</v>
      </c>
    </row>
    <row r="925" spans="1:1" x14ac:dyDescent="0.3">
      <c r="A925">
        <f>INDEX(Sheet1!B925:B3723,MATCH(MAX(Sheet1!N925:N3723),Sheet1!N925:N3723,0))</f>
        <v>161</v>
      </c>
    </row>
    <row r="926" spans="1:1" x14ac:dyDescent="0.3">
      <c r="A926">
        <f>INDEX(Sheet1!B926:B3724,MATCH(MAX(Sheet1!N926:N3724),Sheet1!N926:N3724,0))</f>
        <v>161</v>
      </c>
    </row>
    <row r="927" spans="1:1" x14ac:dyDescent="0.3">
      <c r="A927">
        <f>INDEX(Sheet1!B927:B3725,MATCH(MAX(Sheet1!N927:N3725),Sheet1!N927:N3725,0))</f>
        <v>162</v>
      </c>
    </row>
    <row r="928" spans="1:1" x14ac:dyDescent="0.3">
      <c r="A928">
        <f>INDEX(Sheet1!B928:B3726,MATCH(MAX(Sheet1!N928:N3726),Sheet1!N928:N3726,0))</f>
        <v>162</v>
      </c>
    </row>
    <row r="929" spans="1:1" x14ac:dyDescent="0.3">
      <c r="A929">
        <f>INDEX(Sheet1!B929:B3727,MATCH(MAX(Sheet1!N929:N3727),Sheet1!N929:N3727,0))</f>
        <v>162</v>
      </c>
    </row>
    <row r="930" spans="1:1" x14ac:dyDescent="0.3">
      <c r="A930">
        <f>INDEX(Sheet1!B930:B3728,MATCH(MAX(Sheet1!N930:N3728),Sheet1!N930:N3728,0))</f>
        <v>162</v>
      </c>
    </row>
    <row r="931" spans="1:1" x14ac:dyDescent="0.3">
      <c r="A931">
        <f>INDEX(Sheet1!B931:B3729,MATCH(MAX(Sheet1!N931:N3729),Sheet1!N931:N3729,0))</f>
        <v>163</v>
      </c>
    </row>
    <row r="932" spans="1:1" x14ac:dyDescent="0.3">
      <c r="A932">
        <f>INDEX(Sheet1!B932:B3730,MATCH(MAX(Sheet1!N932:N3730),Sheet1!N932:N3730,0))</f>
        <v>163</v>
      </c>
    </row>
    <row r="933" spans="1:1" x14ac:dyDescent="0.3">
      <c r="A933">
        <f>INDEX(Sheet1!B933:B3731,MATCH(MAX(Sheet1!N933:N3731),Sheet1!N933:N3731,0))</f>
        <v>163</v>
      </c>
    </row>
    <row r="934" spans="1:1" x14ac:dyDescent="0.3">
      <c r="A934">
        <f>INDEX(Sheet1!B934:B3732,MATCH(MAX(Sheet1!N934:N3732),Sheet1!N934:N3732,0))</f>
        <v>163</v>
      </c>
    </row>
    <row r="935" spans="1:1" x14ac:dyDescent="0.3">
      <c r="A935">
        <f>INDEX(Sheet1!B935:B3733,MATCH(MAX(Sheet1!N935:N3733),Sheet1!N935:N3733,0))</f>
        <v>163</v>
      </c>
    </row>
    <row r="936" spans="1:1" x14ac:dyDescent="0.3">
      <c r="A936">
        <f>INDEX(Sheet1!B936:B3734,MATCH(MAX(Sheet1!N936:N3734),Sheet1!N936:N3734,0))</f>
        <v>163</v>
      </c>
    </row>
    <row r="937" spans="1:1" x14ac:dyDescent="0.3">
      <c r="A937">
        <f>INDEX(Sheet1!B937:B3735,MATCH(MAX(Sheet1!N937:N3735),Sheet1!N937:N3735,0))</f>
        <v>163</v>
      </c>
    </row>
    <row r="938" spans="1:1" x14ac:dyDescent="0.3">
      <c r="A938">
        <f>INDEX(Sheet1!B938:B3736,MATCH(MAX(Sheet1!N938:N3736),Sheet1!N938:N3736,0))</f>
        <v>163</v>
      </c>
    </row>
    <row r="939" spans="1:1" x14ac:dyDescent="0.3">
      <c r="A939">
        <f>INDEX(Sheet1!B939:B3737,MATCH(MAX(Sheet1!N939:N3737),Sheet1!N939:N3737,0))</f>
        <v>163</v>
      </c>
    </row>
    <row r="940" spans="1:1" x14ac:dyDescent="0.3">
      <c r="A940">
        <f>INDEX(Sheet1!B940:B3738,MATCH(MAX(Sheet1!N940:N3738),Sheet1!N940:N3738,0))</f>
        <v>163</v>
      </c>
    </row>
    <row r="941" spans="1:1" x14ac:dyDescent="0.3">
      <c r="A941">
        <f>INDEX(Sheet1!B941:B3739,MATCH(MAX(Sheet1!N941:N3739),Sheet1!N941:N3739,0))</f>
        <v>164</v>
      </c>
    </row>
    <row r="942" spans="1:1" x14ac:dyDescent="0.3">
      <c r="A942">
        <f>INDEX(Sheet1!B942:B3740,MATCH(MAX(Sheet1!N942:N3740),Sheet1!N942:N3740,0))</f>
        <v>164</v>
      </c>
    </row>
    <row r="943" spans="1:1" x14ac:dyDescent="0.3">
      <c r="A943">
        <f>INDEX(Sheet1!B943:B3741,MATCH(MAX(Sheet1!N943:N3741),Sheet1!N943:N3741,0))</f>
        <v>164</v>
      </c>
    </row>
    <row r="944" spans="1:1" x14ac:dyDescent="0.3">
      <c r="A944">
        <f>INDEX(Sheet1!B944:B3742,MATCH(MAX(Sheet1!N944:N3742),Sheet1!N944:N3742,0))</f>
        <v>164</v>
      </c>
    </row>
    <row r="945" spans="1:1" x14ac:dyDescent="0.3">
      <c r="A945">
        <f>INDEX(Sheet1!B945:B3743,MATCH(MAX(Sheet1!N945:N3743),Sheet1!N945:N3743,0))</f>
        <v>164</v>
      </c>
    </row>
    <row r="946" spans="1:1" x14ac:dyDescent="0.3">
      <c r="A946">
        <f>INDEX(Sheet1!B946:B3744,MATCH(MAX(Sheet1!N946:N3744),Sheet1!N946:N3744,0))</f>
        <v>164</v>
      </c>
    </row>
    <row r="947" spans="1:1" x14ac:dyDescent="0.3">
      <c r="A947">
        <f>INDEX(Sheet1!B947:B3745,MATCH(MAX(Sheet1!N947:N3745),Sheet1!N947:N3745,0))</f>
        <v>165</v>
      </c>
    </row>
    <row r="948" spans="1:1" x14ac:dyDescent="0.3">
      <c r="A948">
        <f>INDEX(Sheet1!B948:B3746,MATCH(MAX(Sheet1!N948:N3746),Sheet1!N948:N3746,0))</f>
        <v>165</v>
      </c>
    </row>
    <row r="949" spans="1:1" x14ac:dyDescent="0.3">
      <c r="A949">
        <f>INDEX(Sheet1!B949:B3747,MATCH(MAX(Sheet1!N949:N3747),Sheet1!N949:N3747,0))</f>
        <v>165</v>
      </c>
    </row>
    <row r="950" spans="1:1" x14ac:dyDescent="0.3">
      <c r="A950">
        <f>INDEX(Sheet1!B950:B3748,MATCH(MAX(Sheet1!N950:N3748),Sheet1!N950:N3748,0))</f>
        <v>166</v>
      </c>
    </row>
    <row r="951" spans="1:1" x14ac:dyDescent="0.3">
      <c r="A951">
        <f>INDEX(Sheet1!B951:B3749,MATCH(MAX(Sheet1!N951:N3749),Sheet1!N951:N3749,0))</f>
        <v>166</v>
      </c>
    </row>
    <row r="952" spans="1:1" x14ac:dyDescent="0.3">
      <c r="A952">
        <f>INDEX(Sheet1!B952:B3750,MATCH(MAX(Sheet1!N952:N3750),Sheet1!N952:N3750,0))</f>
        <v>166</v>
      </c>
    </row>
    <row r="953" spans="1:1" x14ac:dyDescent="0.3">
      <c r="A953">
        <f>INDEX(Sheet1!B953:B3751,MATCH(MAX(Sheet1!N953:N3751),Sheet1!N953:N3751,0))</f>
        <v>166</v>
      </c>
    </row>
    <row r="954" spans="1:1" x14ac:dyDescent="0.3">
      <c r="A954">
        <f>INDEX(Sheet1!B954:B3752,MATCH(MAX(Sheet1!N954:N3752),Sheet1!N954:N3752,0))</f>
        <v>166</v>
      </c>
    </row>
    <row r="955" spans="1:1" x14ac:dyDescent="0.3">
      <c r="A955">
        <f>INDEX(Sheet1!B955:B3753,MATCH(MAX(Sheet1!N955:N3753),Sheet1!N955:N3753,0))</f>
        <v>167</v>
      </c>
    </row>
    <row r="956" spans="1:1" x14ac:dyDescent="0.3">
      <c r="A956">
        <f>INDEX(Sheet1!B956:B3754,MATCH(MAX(Sheet1!N956:N3754),Sheet1!N956:N3754,0))</f>
        <v>167</v>
      </c>
    </row>
    <row r="957" spans="1:1" x14ac:dyDescent="0.3">
      <c r="A957">
        <f>INDEX(Sheet1!B957:B3755,MATCH(MAX(Sheet1!N957:N3755),Sheet1!N957:N3755,0))</f>
        <v>167</v>
      </c>
    </row>
    <row r="958" spans="1:1" x14ac:dyDescent="0.3">
      <c r="A958">
        <f>INDEX(Sheet1!B958:B3756,MATCH(MAX(Sheet1!N958:N3756),Sheet1!N958:N3756,0))</f>
        <v>167</v>
      </c>
    </row>
    <row r="959" spans="1:1" x14ac:dyDescent="0.3">
      <c r="A959">
        <f>INDEX(Sheet1!B959:B3757,MATCH(MAX(Sheet1!N959:N3757),Sheet1!N959:N3757,0))</f>
        <v>167</v>
      </c>
    </row>
    <row r="960" spans="1:1" x14ac:dyDescent="0.3">
      <c r="A960">
        <f>INDEX(Sheet1!B960:B3758,MATCH(MAX(Sheet1!N960:N3758),Sheet1!N960:N3758,0))</f>
        <v>167</v>
      </c>
    </row>
    <row r="961" spans="1:1" x14ac:dyDescent="0.3">
      <c r="A961">
        <f>INDEX(Sheet1!B961:B3759,MATCH(MAX(Sheet1!N961:N3759),Sheet1!N961:N3759,0))</f>
        <v>169</v>
      </c>
    </row>
    <row r="962" spans="1:1" x14ac:dyDescent="0.3">
      <c r="A962">
        <f>INDEX(Sheet1!B962:B3760,MATCH(MAX(Sheet1!N962:N3760),Sheet1!N962:N3760,0))</f>
        <v>169</v>
      </c>
    </row>
    <row r="963" spans="1:1" x14ac:dyDescent="0.3">
      <c r="A963">
        <f>INDEX(Sheet1!B963:B3761,MATCH(MAX(Sheet1!N963:N3761),Sheet1!N963:N3761,0))</f>
        <v>169</v>
      </c>
    </row>
    <row r="964" spans="1:1" x14ac:dyDescent="0.3">
      <c r="A964">
        <f>INDEX(Sheet1!B964:B3762,MATCH(MAX(Sheet1!N964:N3762),Sheet1!N964:N3762,0))</f>
        <v>169</v>
      </c>
    </row>
    <row r="965" spans="1:1" x14ac:dyDescent="0.3">
      <c r="A965">
        <f>INDEX(Sheet1!B965:B3763,MATCH(MAX(Sheet1!N965:N3763),Sheet1!N965:N3763,0))</f>
        <v>169</v>
      </c>
    </row>
    <row r="966" spans="1:1" x14ac:dyDescent="0.3">
      <c r="A966">
        <f>INDEX(Sheet1!B966:B3764,MATCH(MAX(Sheet1!N966:N3764),Sheet1!N966:N3764,0))</f>
        <v>169</v>
      </c>
    </row>
    <row r="967" spans="1:1" x14ac:dyDescent="0.3">
      <c r="A967">
        <f>INDEX(Sheet1!B967:B3765,MATCH(MAX(Sheet1!N967:N3765),Sheet1!N967:N3765,0))</f>
        <v>169</v>
      </c>
    </row>
    <row r="968" spans="1:1" x14ac:dyDescent="0.3">
      <c r="A968">
        <f>INDEX(Sheet1!B968:B3766,MATCH(MAX(Sheet1!N968:N3766),Sheet1!N968:N3766,0))</f>
        <v>169</v>
      </c>
    </row>
    <row r="969" spans="1:1" x14ac:dyDescent="0.3">
      <c r="A969">
        <f>INDEX(Sheet1!B969:B3767,MATCH(MAX(Sheet1!N969:N3767),Sheet1!N969:N3767,0))</f>
        <v>170</v>
      </c>
    </row>
    <row r="970" spans="1:1" x14ac:dyDescent="0.3">
      <c r="A970">
        <f>INDEX(Sheet1!B970:B3768,MATCH(MAX(Sheet1!N970:N3768),Sheet1!N970:N3768,0))</f>
        <v>170</v>
      </c>
    </row>
    <row r="971" spans="1:1" x14ac:dyDescent="0.3">
      <c r="A971">
        <f>INDEX(Sheet1!B971:B3769,MATCH(MAX(Sheet1!N971:N3769),Sheet1!N971:N3769,0))</f>
        <v>170</v>
      </c>
    </row>
    <row r="972" spans="1:1" x14ac:dyDescent="0.3">
      <c r="A972">
        <f>INDEX(Sheet1!B972:B3770,MATCH(MAX(Sheet1!N972:N3770),Sheet1!N972:N3770,0))</f>
        <v>170</v>
      </c>
    </row>
    <row r="973" spans="1:1" x14ac:dyDescent="0.3">
      <c r="A973">
        <f>INDEX(Sheet1!B973:B3771,MATCH(MAX(Sheet1!N973:N3771),Sheet1!N973:N3771,0))</f>
        <v>170</v>
      </c>
    </row>
    <row r="974" spans="1:1" x14ac:dyDescent="0.3">
      <c r="A974">
        <f>INDEX(Sheet1!B974:B3772,MATCH(MAX(Sheet1!N974:N3772),Sheet1!N974:N3772,0))</f>
        <v>171</v>
      </c>
    </row>
    <row r="975" spans="1:1" x14ac:dyDescent="0.3">
      <c r="A975">
        <f>INDEX(Sheet1!B975:B3773,MATCH(MAX(Sheet1!N975:N3773),Sheet1!N975:N3773,0))</f>
        <v>171</v>
      </c>
    </row>
    <row r="976" spans="1:1" x14ac:dyDescent="0.3">
      <c r="A976">
        <f>INDEX(Sheet1!B976:B3774,MATCH(MAX(Sheet1!N976:N3774),Sheet1!N976:N3774,0))</f>
        <v>171</v>
      </c>
    </row>
    <row r="977" spans="1:1" x14ac:dyDescent="0.3">
      <c r="A977">
        <f>INDEX(Sheet1!B977:B3775,MATCH(MAX(Sheet1!N977:N3775),Sheet1!N977:N3775,0))</f>
        <v>171</v>
      </c>
    </row>
    <row r="978" spans="1:1" x14ac:dyDescent="0.3">
      <c r="A978">
        <f>INDEX(Sheet1!B978:B3776,MATCH(MAX(Sheet1!N978:N3776),Sheet1!N978:N3776,0))</f>
        <v>172</v>
      </c>
    </row>
    <row r="979" spans="1:1" x14ac:dyDescent="0.3">
      <c r="A979">
        <f>INDEX(Sheet1!B979:B3777,MATCH(MAX(Sheet1!N979:N3777),Sheet1!N979:N3777,0))</f>
        <v>172</v>
      </c>
    </row>
    <row r="980" spans="1:1" x14ac:dyDescent="0.3">
      <c r="A980">
        <f>INDEX(Sheet1!B980:B3778,MATCH(MAX(Sheet1!N980:N3778),Sheet1!N980:N3778,0))</f>
        <v>172</v>
      </c>
    </row>
    <row r="981" spans="1:1" x14ac:dyDescent="0.3">
      <c r="A981">
        <f>INDEX(Sheet1!B981:B3779,MATCH(MAX(Sheet1!N981:N3779),Sheet1!N981:N3779,0))</f>
        <v>172</v>
      </c>
    </row>
    <row r="982" spans="1:1" x14ac:dyDescent="0.3">
      <c r="A982">
        <f>INDEX(Sheet1!B982:B3780,MATCH(MAX(Sheet1!N982:N3780),Sheet1!N982:N3780,0))</f>
        <v>172</v>
      </c>
    </row>
    <row r="983" spans="1:1" x14ac:dyDescent="0.3">
      <c r="A983">
        <f>INDEX(Sheet1!B983:B3781,MATCH(MAX(Sheet1!N983:N3781),Sheet1!N983:N3781,0))</f>
        <v>172</v>
      </c>
    </row>
    <row r="984" spans="1:1" x14ac:dyDescent="0.3">
      <c r="A984">
        <f>INDEX(Sheet1!B984:B3782,MATCH(MAX(Sheet1!N984:N3782),Sheet1!N984:N3782,0))</f>
        <v>172</v>
      </c>
    </row>
    <row r="985" spans="1:1" x14ac:dyDescent="0.3">
      <c r="A985">
        <f>INDEX(Sheet1!B985:B3783,MATCH(MAX(Sheet1!N985:N3783),Sheet1!N985:N3783,0))</f>
        <v>172</v>
      </c>
    </row>
    <row r="986" spans="1:1" x14ac:dyDescent="0.3">
      <c r="A986">
        <f>INDEX(Sheet1!B986:B3784,MATCH(MAX(Sheet1!N986:N3784),Sheet1!N986:N3784,0))</f>
        <v>173</v>
      </c>
    </row>
    <row r="987" spans="1:1" x14ac:dyDescent="0.3">
      <c r="A987">
        <f>INDEX(Sheet1!B987:B3785,MATCH(MAX(Sheet1!N987:N3785),Sheet1!N987:N3785,0))</f>
        <v>173</v>
      </c>
    </row>
    <row r="988" spans="1:1" x14ac:dyDescent="0.3">
      <c r="A988">
        <f>INDEX(Sheet1!B988:B3786,MATCH(MAX(Sheet1!N988:N3786),Sheet1!N988:N3786,0))</f>
        <v>173</v>
      </c>
    </row>
    <row r="989" spans="1:1" x14ac:dyDescent="0.3">
      <c r="A989">
        <f>INDEX(Sheet1!B989:B3787,MATCH(MAX(Sheet1!N989:N3787),Sheet1!N989:N3787,0))</f>
        <v>173</v>
      </c>
    </row>
    <row r="990" spans="1:1" x14ac:dyDescent="0.3">
      <c r="A990">
        <f>INDEX(Sheet1!B990:B3788,MATCH(MAX(Sheet1!N990:N3788),Sheet1!N990:N3788,0))</f>
        <v>173</v>
      </c>
    </row>
    <row r="991" spans="1:1" x14ac:dyDescent="0.3">
      <c r="A991">
        <f>INDEX(Sheet1!B991:B3789,MATCH(MAX(Sheet1!N991:N3789),Sheet1!N991:N3789,0))</f>
        <v>173</v>
      </c>
    </row>
    <row r="992" spans="1:1" x14ac:dyDescent="0.3">
      <c r="A992">
        <f>INDEX(Sheet1!B992:B3790,MATCH(MAX(Sheet1!N992:N3790),Sheet1!N992:N3790,0))</f>
        <v>174</v>
      </c>
    </row>
    <row r="993" spans="1:1" x14ac:dyDescent="0.3">
      <c r="A993">
        <f>INDEX(Sheet1!B993:B3791,MATCH(MAX(Sheet1!N993:N3791),Sheet1!N993:N3791,0))</f>
        <v>174</v>
      </c>
    </row>
    <row r="994" spans="1:1" x14ac:dyDescent="0.3">
      <c r="A994">
        <f>INDEX(Sheet1!B994:B3792,MATCH(MAX(Sheet1!N994:N3792),Sheet1!N994:N3792,0))</f>
        <v>174</v>
      </c>
    </row>
    <row r="995" spans="1:1" x14ac:dyDescent="0.3">
      <c r="A995">
        <f>INDEX(Sheet1!B995:B3793,MATCH(MAX(Sheet1!N995:N3793),Sheet1!N995:N3793,0))</f>
        <v>174</v>
      </c>
    </row>
    <row r="996" spans="1:1" x14ac:dyDescent="0.3">
      <c r="A996">
        <f>INDEX(Sheet1!B996:B3794,MATCH(MAX(Sheet1!N996:N3794),Sheet1!N996:N3794,0))</f>
        <v>174</v>
      </c>
    </row>
    <row r="997" spans="1:1" x14ac:dyDescent="0.3">
      <c r="A997">
        <f>INDEX(Sheet1!B997:B3795,MATCH(MAX(Sheet1!N997:N3795),Sheet1!N997:N3795,0))</f>
        <v>175</v>
      </c>
    </row>
    <row r="998" spans="1:1" x14ac:dyDescent="0.3">
      <c r="A998">
        <f>INDEX(Sheet1!B998:B3796,MATCH(MAX(Sheet1!N998:N3796),Sheet1!N998:N3796,0))</f>
        <v>176</v>
      </c>
    </row>
    <row r="999" spans="1:1" x14ac:dyDescent="0.3">
      <c r="A999">
        <f>INDEX(Sheet1!B999:B3797,MATCH(MAX(Sheet1!N999:N3797),Sheet1!N999:N3797,0))</f>
        <v>176</v>
      </c>
    </row>
    <row r="1000" spans="1:1" x14ac:dyDescent="0.3">
      <c r="A1000">
        <f>INDEX(Sheet1!B1000:B3798,MATCH(MAX(Sheet1!N1000:N3798),Sheet1!N1000:N3798,0))</f>
        <v>176</v>
      </c>
    </row>
    <row r="1001" spans="1:1" x14ac:dyDescent="0.3">
      <c r="A1001">
        <f>INDEX(Sheet1!B1001:B3799,MATCH(MAX(Sheet1!N1001:N3799),Sheet1!N1001:N3799,0))</f>
        <v>176</v>
      </c>
    </row>
    <row r="1002" spans="1:1" x14ac:dyDescent="0.3">
      <c r="A1002">
        <f>INDEX(Sheet1!B1002:B3800,MATCH(MAX(Sheet1!N1002:N3800),Sheet1!N1002:N3800,0))</f>
        <v>176</v>
      </c>
    </row>
    <row r="1003" spans="1:1" x14ac:dyDescent="0.3">
      <c r="A1003">
        <f>INDEX(Sheet1!B1003:B3801,MATCH(MAX(Sheet1!N1003:N3801),Sheet1!N1003:N3801,0))</f>
        <v>177</v>
      </c>
    </row>
    <row r="1004" spans="1:1" x14ac:dyDescent="0.3">
      <c r="A1004">
        <f>INDEX(Sheet1!B1004:B3802,MATCH(MAX(Sheet1!N1004:N3802),Sheet1!N1004:N3802,0))</f>
        <v>177</v>
      </c>
    </row>
    <row r="1005" spans="1:1" x14ac:dyDescent="0.3">
      <c r="A1005">
        <f>INDEX(Sheet1!B1005:B3803,MATCH(MAX(Sheet1!N1005:N3803),Sheet1!N1005:N3803,0))</f>
        <v>177</v>
      </c>
    </row>
    <row r="1006" spans="1:1" x14ac:dyDescent="0.3">
      <c r="A1006">
        <f>INDEX(Sheet1!B1006:B3804,MATCH(MAX(Sheet1!N1006:N3804),Sheet1!N1006:N3804,0))</f>
        <v>177</v>
      </c>
    </row>
    <row r="1007" spans="1:1" x14ac:dyDescent="0.3">
      <c r="A1007">
        <f>INDEX(Sheet1!B1007:B3805,MATCH(MAX(Sheet1!N1007:N3805),Sheet1!N1007:N3805,0))</f>
        <v>177</v>
      </c>
    </row>
    <row r="1008" spans="1:1" x14ac:dyDescent="0.3">
      <c r="A1008">
        <f>INDEX(Sheet1!B1008:B3806,MATCH(MAX(Sheet1!N1008:N3806),Sheet1!N1008:N3806,0))</f>
        <v>177</v>
      </c>
    </row>
    <row r="1009" spans="1:1" x14ac:dyDescent="0.3">
      <c r="A1009">
        <f>INDEX(Sheet1!B1009:B3807,MATCH(MAX(Sheet1!N1009:N3807),Sheet1!N1009:N3807,0))</f>
        <v>177</v>
      </c>
    </row>
    <row r="1010" spans="1:1" x14ac:dyDescent="0.3">
      <c r="A1010">
        <f>INDEX(Sheet1!B1010:B3808,MATCH(MAX(Sheet1!N1010:N3808),Sheet1!N1010:N3808,0))</f>
        <v>177</v>
      </c>
    </row>
    <row r="1011" spans="1:1" x14ac:dyDescent="0.3">
      <c r="A1011">
        <f>INDEX(Sheet1!B1011:B3809,MATCH(MAX(Sheet1!N1011:N3809),Sheet1!N1011:N3809,0))</f>
        <v>179</v>
      </c>
    </row>
    <row r="1012" spans="1:1" x14ac:dyDescent="0.3">
      <c r="A1012">
        <f>INDEX(Sheet1!B1012:B3810,MATCH(MAX(Sheet1!N1012:N3810),Sheet1!N1012:N3810,0))</f>
        <v>179</v>
      </c>
    </row>
    <row r="1013" spans="1:1" x14ac:dyDescent="0.3">
      <c r="A1013">
        <f>INDEX(Sheet1!B1013:B3811,MATCH(MAX(Sheet1!N1013:N3811),Sheet1!N1013:N3811,0))</f>
        <v>179</v>
      </c>
    </row>
    <row r="1014" spans="1:1" x14ac:dyDescent="0.3">
      <c r="A1014">
        <f>INDEX(Sheet1!B1014:B3812,MATCH(MAX(Sheet1!N1014:N3812),Sheet1!N1014:N3812,0))</f>
        <v>179</v>
      </c>
    </row>
    <row r="1015" spans="1:1" x14ac:dyDescent="0.3">
      <c r="A1015">
        <f>INDEX(Sheet1!B1015:B3813,MATCH(MAX(Sheet1!N1015:N3813),Sheet1!N1015:N3813,0))</f>
        <v>179</v>
      </c>
    </row>
    <row r="1016" spans="1:1" x14ac:dyDescent="0.3">
      <c r="A1016">
        <f>INDEX(Sheet1!B1016:B3814,MATCH(MAX(Sheet1!N1016:N3814),Sheet1!N1016:N3814,0))</f>
        <v>179</v>
      </c>
    </row>
    <row r="1017" spans="1:1" x14ac:dyDescent="0.3">
      <c r="A1017">
        <f>INDEX(Sheet1!B1017:B3815,MATCH(MAX(Sheet1!N1017:N3815),Sheet1!N1017:N3815,0))</f>
        <v>179</v>
      </c>
    </row>
    <row r="1018" spans="1:1" x14ac:dyDescent="0.3">
      <c r="A1018">
        <f>INDEX(Sheet1!B1018:B3816,MATCH(MAX(Sheet1!N1018:N3816),Sheet1!N1018:N3816,0))</f>
        <v>179</v>
      </c>
    </row>
    <row r="1019" spans="1:1" x14ac:dyDescent="0.3">
      <c r="A1019">
        <f>INDEX(Sheet1!B1019:B3817,MATCH(MAX(Sheet1!N1019:N3817),Sheet1!N1019:N3817,0))</f>
        <v>181</v>
      </c>
    </row>
    <row r="1020" spans="1:1" x14ac:dyDescent="0.3">
      <c r="A1020">
        <f>INDEX(Sheet1!B1020:B3818,MATCH(MAX(Sheet1!N1020:N3818),Sheet1!N1020:N3818,0))</f>
        <v>181</v>
      </c>
    </row>
    <row r="1021" spans="1:1" x14ac:dyDescent="0.3">
      <c r="A1021">
        <f>INDEX(Sheet1!B1021:B3819,MATCH(MAX(Sheet1!N1021:N3819),Sheet1!N1021:N3819,0))</f>
        <v>181</v>
      </c>
    </row>
    <row r="1022" spans="1:1" x14ac:dyDescent="0.3">
      <c r="A1022">
        <f>INDEX(Sheet1!B1022:B3820,MATCH(MAX(Sheet1!N1022:N3820),Sheet1!N1022:N3820,0))</f>
        <v>181</v>
      </c>
    </row>
    <row r="1023" spans="1:1" x14ac:dyDescent="0.3">
      <c r="A1023">
        <f>INDEX(Sheet1!B1023:B3821,MATCH(MAX(Sheet1!N1023:N3821),Sheet1!N1023:N3821,0))</f>
        <v>181</v>
      </c>
    </row>
    <row r="1024" spans="1:1" x14ac:dyDescent="0.3">
      <c r="A1024">
        <f>INDEX(Sheet1!B1024:B3822,MATCH(MAX(Sheet1!N1024:N3822),Sheet1!N1024:N3822,0))</f>
        <v>181</v>
      </c>
    </row>
    <row r="1025" spans="1:1" x14ac:dyDescent="0.3">
      <c r="A1025">
        <f>INDEX(Sheet1!B1025:B3823,MATCH(MAX(Sheet1!N1025:N3823),Sheet1!N1025:N3823,0))</f>
        <v>181</v>
      </c>
    </row>
    <row r="1026" spans="1:1" x14ac:dyDescent="0.3">
      <c r="A1026">
        <f>INDEX(Sheet1!B1026:B3824,MATCH(MAX(Sheet1!N1026:N3824),Sheet1!N1026:N3824,0))</f>
        <v>181</v>
      </c>
    </row>
    <row r="1027" spans="1:1" x14ac:dyDescent="0.3">
      <c r="A1027">
        <f>INDEX(Sheet1!B1027:B3825,MATCH(MAX(Sheet1!N1027:N3825),Sheet1!N1027:N3825,0))</f>
        <v>181</v>
      </c>
    </row>
    <row r="1028" spans="1:1" x14ac:dyDescent="0.3">
      <c r="A1028">
        <f>INDEX(Sheet1!B1028:B3826,MATCH(MAX(Sheet1!N1028:N3826),Sheet1!N1028:N3826,0))</f>
        <v>182</v>
      </c>
    </row>
    <row r="1029" spans="1:1" x14ac:dyDescent="0.3">
      <c r="A1029">
        <f>INDEX(Sheet1!B1029:B3827,MATCH(MAX(Sheet1!N1029:N3827),Sheet1!N1029:N3827,0))</f>
        <v>182</v>
      </c>
    </row>
    <row r="1030" spans="1:1" x14ac:dyDescent="0.3">
      <c r="A1030">
        <f>INDEX(Sheet1!B1030:B3828,MATCH(MAX(Sheet1!N1030:N3828),Sheet1!N1030:N3828,0))</f>
        <v>182</v>
      </c>
    </row>
    <row r="1031" spans="1:1" x14ac:dyDescent="0.3">
      <c r="A1031">
        <f>INDEX(Sheet1!B1031:B3829,MATCH(MAX(Sheet1!N1031:N3829),Sheet1!N1031:N3829,0))</f>
        <v>182</v>
      </c>
    </row>
    <row r="1032" spans="1:1" x14ac:dyDescent="0.3">
      <c r="A1032">
        <f>INDEX(Sheet1!B1032:B3830,MATCH(MAX(Sheet1!N1032:N3830),Sheet1!N1032:N3830,0))</f>
        <v>182</v>
      </c>
    </row>
    <row r="1033" spans="1:1" x14ac:dyDescent="0.3">
      <c r="A1033">
        <f>INDEX(Sheet1!B1033:B3831,MATCH(MAX(Sheet1!N1033:N3831),Sheet1!N1033:N3831,0))</f>
        <v>184</v>
      </c>
    </row>
    <row r="1034" spans="1:1" x14ac:dyDescent="0.3">
      <c r="A1034">
        <f>INDEX(Sheet1!B1034:B3832,MATCH(MAX(Sheet1!N1034:N3832),Sheet1!N1034:N3832,0))</f>
        <v>184</v>
      </c>
    </row>
    <row r="1035" spans="1:1" x14ac:dyDescent="0.3">
      <c r="A1035">
        <f>INDEX(Sheet1!B1035:B3833,MATCH(MAX(Sheet1!N1035:N3833),Sheet1!N1035:N3833,0))</f>
        <v>184</v>
      </c>
    </row>
    <row r="1036" spans="1:1" x14ac:dyDescent="0.3">
      <c r="A1036">
        <f>INDEX(Sheet1!B1036:B3834,MATCH(MAX(Sheet1!N1036:N3834),Sheet1!N1036:N3834,0))</f>
        <v>184</v>
      </c>
    </row>
    <row r="1037" spans="1:1" x14ac:dyDescent="0.3">
      <c r="A1037">
        <f>INDEX(Sheet1!B1037:B3835,MATCH(MAX(Sheet1!N1037:N3835),Sheet1!N1037:N3835,0))</f>
        <v>184</v>
      </c>
    </row>
    <row r="1038" spans="1:1" x14ac:dyDescent="0.3">
      <c r="A1038">
        <f>INDEX(Sheet1!B1038:B3836,MATCH(MAX(Sheet1!N1038:N3836),Sheet1!N1038:N3836,0))</f>
        <v>184</v>
      </c>
    </row>
    <row r="1039" spans="1:1" x14ac:dyDescent="0.3">
      <c r="A1039">
        <f>INDEX(Sheet1!B1039:B3837,MATCH(MAX(Sheet1!N1039:N3837),Sheet1!N1039:N3837,0))</f>
        <v>184</v>
      </c>
    </row>
    <row r="1040" spans="1:1" x14ac:dyDescent="0.3">
      <c r="A1040">
        <f>INDEX(Sheet1!B1040:B3838,MATCH(MAX(Sheet1!N1040:N3838),Sheet1!N1040:N3838,0))</f>
        <v>184</v>
      </c>
    </row>
    <row r="1041" spans="1:1" x14ac:dyDescent="0.3">
      <c r="A1041">
        <f>INDEX(Sheet1!B1041:B3839,MATCH(MAX(Sheet1!N1041:N3839),Sheet1!N1041:N3839,0))</f>
        <v>186</v>
      </c>
    </row>
    <row r="1042" spans="1:1" x14ac:dyDescent="0.3">
      <c r="A1042">
        <f>INDEX(Sheet1!B1042:B3840,MATCH(MAX(Sheet1!N1042:N3840),Sheet1!N1042:N3840,0))</f>
        <v>186</v>
      </c>
    </row>
    <row r="1043" spans="1:1" x14ac:dyDescent="0.3">
      <c r="A1043">
        <f>INDEX(Sheet1!B1043:B3841,MATCH(MAX(Sheet1!N1043:N3841),Sheet1!N1043:N3841,0))</f>
        <v>186</v>
      </c>
    </row>
    <row r="1044" spans="1:1" x14ac:dyDescent="0.3">
      <c r="A1044">
        <f>INDEX(Sheet1!B1044:B3842,MATCH(MAX(Sheet1!N1044:N3842),Sheet1!N1044:N3842,0))</f>
        <v>186</v>
      </c>
    </row>
    <row r="1045" spans="1:1" x14ac:dyDescent="0.3">
      <c r="A1045">
        <f>INDEX(Sheet1!B1045:B3843,MATCH(MAX(Sheet1!N1045:N3843),Sheet1!N1045:N3843,0))</f>
        <v>186</v>
      </c>
    </row>
    <row r="1046" spans="1:1" x14ac:dyDescent="0.3">
      <c r="A1046">
        <f>INDEX(Sheet1!B1046:B3844,MATCH(MAX(Sheet1!N1046:N3844),Sheet1!N1046:N3844,0))</f>
        <v>186</v>
      </c>
    </row>
    <row r="1047" spans="1:1" x14ac:dyDescent="0.3">
      <c r="A1047">
        <f>INDEX(Sheet1!B1047:B3845,MATCH(MAX(Sheet1!N1047:N3845),Sheet1!N1047:N3845,0))</f>
        <v>187</v>
      </c>
    </row>
    <row r="1048" spans="1:1" x14ac:dyDescent="0.3">
      <c r="A1048">
        <f>INDEX(Sheet1!B1048:B3846,MATCH(MAX(Sheet1!N1048:N3846),Sheet1!N1048:N3846,0))</f>
        <v>187</v>
      </c>
    </row>
    <row r="1049" spans="1:1" x14ac:dyDescent="0.3">
      <c r="A1049">
        <f>INDEX(Sheet1!B1049:B3847,MATCH(MAX(Sheet1!N1049:N3847),Sheet1!N1049:N3847,0))</f>
        <v>187</v>
      </c>
    </row>
    <row r="1050" spans="1:1" x14ac:dyDescent="0.3">
      <c r="A1050">
        <f>INDEX(Sheet1!B1050:B3848,MATCH(MAX(Sheet1!N1050:N3848),Sheet1!N1050:N3848,0))</f>
        <v>187</v>
      </c>
    </row>
    <row r="1051" spans="1:1" x14ac:dyDescent="0.3">
      <c r="A1051">
        <f>INDEX(Sheet1!B1051:B3849,MATCH(MAX(Sheet1!N1051:N3849),Sheet1!N1051:N3849,0))</f>
        <v>188</v>
      </c>
    </row>
    <row r="1052" spans="1:1" x14ac:dyDescent="0.3">
      <c r="A1052">
        <f>INDEX(Sheet1!B1052:B3850,MATCH(MAX(Sheet1!N1052:N3850),Sheet1!N1052:N3850,0))</f>
        <v>188</v>
      </c>
    </row>
    <row r="1053" spans="1:1" x14ac:dyDescent="0.3">
      <c r="A1053">
        <f>INDEX(Sheet1!B1053:B3851,MATCH(MAX(Sheet1!N1053:N3851),Sheet1!N1053:N3851,0))</f>
        <v>188</v>
      </c>
    </row>
    <row r="1054" spans="1:1" x14ac:dyDescent="0.3">
      <c r="A1054">
        <f>INDEX(Sheet1!B1054:B3852,MATCH(MAX(Sheet1!N1054:N3852),Sheet1!N1054:N3852,0))</f>
        <v>188</v>
      </c>
    </row>
    <row r="1055" spans="1:1" x14ac:dyDescent="0.3">
      <c r="A1055">
        <f>INDEX(Sheet1!B1055:B3853,MATCH(MAX(Sheet1!N1055:N3853),Sheet1!N1055:N3853,0))</f>
        <v>188</v>
      </c>
    </row>
    <row r="1056" spans="1:1" x14ac:dyDescent="0.3">
      <c r="A1056">
        <f>INDEX(Sheet1!B1056:B3854,MATCH(MAX(Sheet1!N1056:N3854),Sheet1!N1056:N3854,0))</f>
        <v>188</v>
      </c>
    </row>
    <row r="1057" spans="1:1" x14ac:dyDescent="0.3">
      <c r="A1057">
        <f>INDEX(Sheet1!B1057:B3855,MATCH(MAX(Sheet1!N1057:N3855),Sheet1!N1057:N3855,0))</f>
        <v>188</v>
      </c>
    </row>
    <row r="1058" spans="1:1" x14ac:dyDescent="0.3">
      <c r="A1058">
        <f>INDEX(Sheet1!B1058:B3856,MATCH(MAX(Sheet1!N1058:N3856),Sheet1!N1058:N3856,0))</f>
        <v>189</v>
      </c>
    </row>
    <row r="1059" spans="1:1" x14ac:dyDescent="0.3">
      <c r="A1059">
        <f>INDEX(Sheet1!B1059:B3857,MATCH(MAX(Sheet1!N1059:N3857),Sheet1!N1059:N3857,0))</f>
        <v>189</v>
      </c>
    </row>
    <row r="1060" spans="1:1" x14ac:dyDescent="0.3">
      <c r="A1060">
        <f>INDEX(Sheet1!B1060:B3858,MATCH(MAX(Sheet1!N1060:N3858),Sheet1!N1060:N3858,0))</f>
        <v>189</v>
      </c>
    </row>
    <row r="1061" spans="1:1" x14ac:dyDescent="0.3">
      <c r="A1061">
        <f>INDEX(Sheet1!B1061:B3859,MATCH(MAX(Sheet1!N1061:N3859),Sheet1!N1061:N3859,0))</f>
        <v>189</v>
      </c>
    </row>
    <row r="1062" spans="1:1" x14ac:dyDescent="0.3">
      <c r="A1062">
        <f>INDEX(Sheet1!B1062:B3860,MATCH(MAX(Sheet1!N1062:N3860),Sheet1!N1062:N3860,0))</f>
        <v>189</v>
      </c>
    </row>
    <row r="1063" spans="1:1" x14ac:dyDescent="0.3">
      <c r="A1063">
        <f>INDEX(Sheet1!B1063:B3861,MATCH(MAX(Sheet1!N1063:N3861),Sheet1!N1063:N3861,0))</f>
        <v>189</v>
      </c>
    </row>
    <row r="1064" spans="1:1" x14ac:dyDescent="0.3">
      <c r="A1064">
        <f>INDEX(Sheet1!B1064:B3862,MATCH(MAX(Sheet1!N1064:N3862),Sheet1!N1064:N3862,0))</f>
        <v>191</v>
      </c>
    </row>
    <row r="1065" spans="1:1" x14ac:dyDescent="0.3">
      <c r="A1065">
        <f>INDEX(Sheet1!B1065:B3863,MATCH(MAX(Sheet1!N1065:N3863),Sheet1!N1065:N3863,0))</f>
        <v>191</v>
      </c>
    </row>
    <row r="1066" spans="1:1" x14ac:dyDescent="0.3">
      <c r="A1066">
        <f>INDEX(Sheet1!B1066:B3864,MATCH(MAX(Sheet1!N1066:N3864),Sheet1!N1066:N3864,0))</f>
        <v>191</v>
      </c>
    </row>
    <row r="1067" spans="1:1" x14ac:dyDescent="0.3">
      <c r="A1067">
        <f>INDEX(Sheet1!B1067:B3865,MATCH(MAX(Sheet1!N1067:N3865),Sheet1!N1067:N3865,0))</f>
        <v>191</v>
      </c>
    </row>
    <row r="1068" spans="1:1" x14ac:dyDescent="0.3">
      <c r="A1068">
        <f>INDEX(Sheet1!B1068:B3866,MATCH(MAX(Sheet1!N1068:N3866),Sheet1!N1068:N3866,0))</f>
        <v>191</v>
      </c>
    </row>
    <row r="1069" spans="1:1" x14ac:dyDescent="0.3">
      <c r="A1069">
        <f>INDEX(Sheet1!B1069:B3867,MATCH(MAX(Sheet1!N1069:N3867),Sheet1!N1069:N3867,0))</f>
        <v>191</v>
      </c>
    </row>
    <row r="1070" spans="1:1" x14ac:dyDescent="0.3">
      <c r="A1070">
        <f>INDEX(Sheet1!B1070:B3868,MATCH(MAX(Sheet1!N1070:N3868),Sheet1!N1070:N3868,0))</f>
        <v>191</v>
      </c>
    </row>
    <row r="1071" spans="1:1" x14ac:dyDescent="0.3">
      <c r="A1071">
        <f>INDEX(Sheet1!B1071:B3869,MATCH(MAX(Sheet1!N1071:N3869),Sheet1!N1071:N3869,0))</f>
        <v>192</v>
      </c>
    </row>
    <row r="1072" spans="1:1" x14ac:dyDescent="0.3">
      <c r="A1072">
        <f>INDEX(Sheet1!B1072:B3870,MATCH(MAX(Sheet1!N1072:N3870),Sheet1!N1072:N3870,0))</f>
        <v>192</v>
      </c>
    </row>
    <row r="1073" spans="1:1" x14ac:dyDescent="0.3">
      <c r="A1073">
        <f>INDEX(Sheet1!B1073:B3871,MATCH(MAX(Sheet1!N1073:N3871),Sheet1!N1073:N3871,0))</f>
        <v>192</v>
      </c>
    </row>
    <row r="1074" spans="1:1" x14ac:dyDescent="0.3">
      <c r="A1074">
        <f>INDEX(Sheet1!B1074:B3872,MATCH(MAX(Sheet1!N1074:N3872),Sheet1!N1074:N3872,0))</f>
        <v>192</v>
      </c>
    </row>
    <row r="1075" spans="1:1" x14ac:dyDescent="0.3">
      <c r="A1075">
        <f>INDEX(Sheet1!B1075:B3873,MATCH(MAX(Sheet1!N1075:N3873),Sheet1!N1075:N3873,0))</f>
        <v>192</v>
      </c>
    </row>
    <row r="1076" spans="1:1" x14ac:dyDescent="0.3">
      <c r="A1076">
        <f>INDEX(Sheet1!B1076:B3874,MATCH(MAX(Sheet1!N1076:N3874),Sheet1!N1076:N3874,0))</f>
        <v>192</v>
      </c>
    </row>
    <row r="1077" spans="1:1" x14ac:dyDescent="0.3">
      <c r="A1077">
        <f>INDEX(Sheet1!B1077:B3875,MATCH(MAX(Sheet1!N1077:N3875),Sheet1!N1077:N3875,0))</f>
        <v>192</v>
      </c>
    </row>
    <row r="1078" spans="1:1" x14ac:dyDescent="0.3">
      <c r="A1078">
        <f>INDEX(Sheet1!B1078:B3876,MATCH(MAX(Sheet1!N1078:N3876),Sheet1!N1078:N3876,0))</f>
        <v>192</v>
      </c>
    </row>
    <row r="1079" spans="1:1" x14ac:dyDescent="0.3">
      <c r="A1079">
        <f>INDEX(Sheet1!B1079:B3877,MATCH(MAX(Sheet1!N1079:N3877),Sheet1!N1079:N3877,0))</f>
        <v>192</v>
      </c>
    </row>
    <row r="1080" spans="1:1" x14ac:dyDescent="0.3">
      <c r="A1080">
        <f>INDEX(Sheet1!B1080:B3878,MATCH(MAX(Sheet1!N1080:N3878),Sheet1!N1080:N3878,0))</f>
        <v>192</v>
      </c>
    </row>
    <row r="1081" spans="1:1" x14ac:dyDescent="0.3">
      <c r="A1081">
        <f>INDEX(Sheet1!B1081:B3879,MATCH(MAX(Sheet1!N1081:N3879),Sheet1!N1081:N3879,0))</f>
        <v>192</v>
      </c>
    </row>
    <row r="1082" spans="1:1" x14ac:dyDescent="0.3">
      <c r="A1082">
        <f>INDEX(Sheet1!B1082:B3880,MATCH(MAX(Sheet1!N1082:N3880),Sheet1!N1082:N3880,0))</f>
        <v>192</v>
      </c>
    </row>
    <row r="1083" spans="1:1" x14ac:dyDescent="0.3">
      <c r="A1083">
        <f>INDEX(Sheet1!B1083:B3881,MATCH(MAX(Sheet1!N1083:N3881),Sheet1!N1083:N3881,0))</f>
        <v>193</v>
      </c>
    </row>
    <row r="1084" spans="1:1" x14ac:dyDescent="0.3">
      <c r="A1084">
        <f>INDEX(Sheet1!B1084:B3882,MATCH(MAX(Sheet1!N1084:N3882),Sheet1!N1084:N3882,0))</f>
        <v>193</v>
      </c>
    </row>
    <row r="1085" spans="1:1" x14ac:dyDescent="0.3">
      <c r="A1085">
        <f>INDEX(Sheet1!B1085:B3883,MATCH(MAX(Sheet1!N1085:N3883),Sheet1!N1085:N3883,0))</f>
        <v>193</v>
      </c>
    </row>
    <row r="1086" spans="1:1" x14ac:dyDescent="0.3">
      <c r="A1086">
        <f>INDEX(Sheet1!B1086:B3884,MATCH(MAX(Sheet1!N1086:N3884),Sheet1!N1086:N3884,0))</f>
        <v>193</v>
      </c>
    </row>
    <row r="1087" spans="1:1" x14ac:dyDescent="0.3">
      <c r="A1087">
        <f>INDEX(Sheet1!B1087:B3885,MATCH(MAX(Sheet1!N1087:N3885),Sheet1!N1087:N3885,0))</f>
        <v>193</v>
      </c>
    </row>
    <row r="1088" spans="1:1" x14ac:dyDescent="0.3">
      <c r="A1088">
        <f>INDEX(Sheet1!B1088:B3886,MATCH(MAX(Sheet1!N1088:N3886),Sheet1!N1088:N3886,0))</f>
        <v>193</v>
      </c>
    </row>
    <row r="1089" spans="1:1" x14ac:dyDescent="0.3">
      <c r="A1089">
        <f>INDEX(Sheet1!B1089:B3887,MATCH(MAX(Sheet1!N1089:N3887),Sheet1!N1089:N3887,0))</f>
        <v>194</v>
      </c>
    </row>
    <row r="1090" spans="1:1" x14ac:dyDescent="0.3">
      <c r="A1090">
        <f>INDEX(Sheet1!B1090:B3888,MATCH(MAX(Sheet1!N1090:N3888),Sheet1!N1090:N3888,0))</f>
        <v>194</v>
      </c>
    </row>
    <row r="1091" spans="1:1" x14ac:dyDescent="0.3">
      <c r="A1091">
        <f>INDEX(Sheet1!B1091:B3889,MATCH(MAX(Sheet1!N1091:N3889),Sheet1!N1091:N3889,0))</f>
        <v>194</v>
      </c>
    </row>
    <row r="1092" spans="1:1" x14ac:dyDescent="0.3">
      <c r="A1092">
        <f>INDEX(Sheet1!B1092:B3890,MATCH(MAX(Sheet1!N1092:N3890),Sheet1!N1092:N3890,0))</f>
        <v>194</v>
      </c>
    </row>
    <row r="1093" spans="1:1" x14ac:dyDescent="0.3">
      <c r="A1093">
        <f>INDEX(Sheet1!B1093:B3891,MATCH(MAX(Sheet1!N1093:N3891),Sheet1!N1093:N3891,0))</f>
        <v>194</v>
      </c>
    </row>
    <row r="1094" spans="1:1" x14ac:dyDescent="0.3">
      <c r="A1094">
        <f>INDEX(Sheet1!B1094:B3892,MATCH(MAX(Sheet1!N1094:N3892),Sheet1!N1094:N3892,0))</f>
        <v>194</v>
      </c>
    </row>
    <row r="1095" spans="1:1" x14ac:dyDescent="0.3">
      <c r="A1095">
        <f>INDEX(Sheet1!B1095:B3893,MATCH(MAX(Sheet1!N1095:N3893),Sheet1!N1095:N3893,0))</f>
        <v>194</v>
      </c>
    </row>
    <row r="1096" spans="1:1" x14ac:dyDescent="0.3">
      <c r="A1096">
        <f>INDEX(Sheet1!B1096:B3894,MATCH(MAX(Sheet1!N1096:N3894),Sheet1!N1096:N3894,0))</f>
        <v>195</v>
      </c>
    </row>
    <row r="1097" spans="1:1" x14ac:dyDescent="0.3">
      <c r="A1097">
        <f>INDEX(Sheet1!B1097:B3895,MATCH(MAX(Sheet1!N1097:N3895),Sheet1!N1097:N3895,0))</f>
        <v>195</v>
      </c>
    </row>
    <row r="1098" spans="1:1" x14ac:dyDescent="0.3">
      <c r="A1098">
        <f>INDEX(Sheet1!B1098:B3896,MATCH(MAX(Sheet1!N1098:N3896),Sheet1!N1098:N3896,0))</f>
        <v>195</v>
      </c>
    </row>
    <row r="1099" spans="1:1" x14ac:dyDescent="0.3">
      <c r="A1099">
        <f>INDEX(Sheet1!B1099:B3897,MATCH(MAX(Sheet1!N1099:N3897),Sheet1!N1099:N3897,0))</f>
        <v>196</v>
      </c>
    </row>
    <row r="1100" spans="1:1" x14ac:dyDescent="0.3">
      <c r="A1100">
        <f>INDEX(Sheet1!B1100:B3898,MATCH(MAX(Sheet1!N1100:N3898),Sheet1!N1100:N3898,0))</f>
        <v>196</v>
      </c>
    </row>
    <row r="1101" spans="1:1" x14ac:dyDescent="0.3">
      <c r="A1101">
        <f>INDEX(Sheet1!B1101:B3899,MATCH(MAX(Sheet1!N1101:N3899),Sheet1!N1101:N3899,0))</f>
        <v>196</v>
      </c>
    </row>
    <row r="1102" spans="1:1" x14ac:dyDescent="0.3">
      <c r="A1102">
        <f>INDEX(Sheet1!B1102:B3900,MATCH(MAX(Sheet1!N1102:N3900),Sheet1!N1102:N3900,0))</f>
        <v>196</v>
      </c>
    </row>
    <row r="1103" spans="1:1" x14ac:dyDescent="0.3">
      <c r="A1103">
        <f>INDEX(Sheet1!B1103:B3901,MATCH(MAX(Sheet1!N1103:N3901),Sheet1!N1103:N3901,0))</f>
        <v>196</v>
      </c>
    </row>
    <row r="1104" spans="1:1" x14ac:dyDescent="0.3">
      <c r="A1104">
        <f>INDEX(Sheet1!B1104:B3902,MATCH(MAX(Sheet1!N1104:N3902),Sheet1!N1104:N3902,0))</f>
        <v>197</v>
      </c>
    </row>
    <row r="1105" spans="1:1" x14ac:dyDescent="0.3">
      <c r="A1105">
        <f>INDEX(Sheet1!B1105:B3903,MATCH(MAX(Sheet1!N1105:N3903),Sheet1!N1105:N3903,0))</f>
        <v>197</v>
      </c>
    </row>
    <row r="1106" spans="1:1" x14ac:dyDescent="0.3">
      <c r="A1106">
        <f>INDEX(Sheet1!B1106:B3904,MATCH(MAX(Sheet1!N1106:N3904),Sheet1!N1106:N3904,0))</f>
        <v>197</v>
      </c>
    </row>
    <row r="1107" spans="1:1" x14ac:dyDescent="0.3">
      <c r="A1107">
        <f>INDEX(Sheet1!B1107:B3905,MATCH(MAX(Sheet1!N1107:N3905),Sheet1!N1107:N3905,0))</f>
        <v>197</v>
      </c>
    </row>
    <row r="1108" spans="1:1" x14ac:dyDescent="0.3">
      <c r="A1108">
        <f>INDEX(Sheet1!B1108:B3906,MATCH(MAX(Sheet1!N1108:N3906),Sheet1!N1108:N3906,0))</f>
        <v>197</v>
      </c>
    </row>
    <row r="1109" spans="1:1" x14ac:dyDescent="0.3">
      <c r="A1109">
        <f>INDEX(Sheet1!B1109:B3907,MATCH(MAX(Sheet1!N1109:N3907),Sheet1!N1109:N3907,0))</f>
        <v>197</v>
      </c>
    </row>
    <row r="1110" spans="1:1" x14ac:dyDescent="0.3">
      <c r="A1110">
        <f>INDEX(Sheet1!B1110:B3908,MATCH(MAX(Sheet1!N1110:N3908),Sheet1!N1110:N3908,0))</f>
        <v>198</v>
      </c>
    </row>
    <row r="1111" spans="1:1" x14ac:dyDescent="0.3">
      <c r="A1111">
        <f>INDEX(Sheet1!B1111:B3909,MATCH(MAX(Sheet1!N1111:N3909),Sheet1!N1111:N3909,0))</f>
        <v>198</v>
      </c>
    </row>
    <row r="1112" spans="1:1" x14ac:dyDescent="0.3">
      <c r="A1112">
        <f>INDEX(Sheet1!B1112:B3910,MATCH(MAX(Sheet1!N1112:N3910),Sheet1!N1112:N3910,0))</f>
        <v>198</v>
      </c>
    </row>
    <row r="1113" spans="1:1" x14ac:dyDescent="0.3">
      <c r="A1113">
        <f>INDEX(Sheet1!B1113:B3911,MATCH(MAX(Sheet1!N1113:N3911),Sheet1!N1113:N3911,0))</f>
        <v>198</v>
      </c>
    </row>
    <row r="1114" spans="1:1" x14ac:dyDescent="0.3">
      <c r="A1114">
        <f>INDEX(Sheet1!B1114:B3912,MATCH(MAX(Sheet1!N1114:N3912),Sheet1!N1114:N3912,0))</f>
        <v>198</v>
      </c>
    </row>
    <row r="1115" spans="1:1" x14ac:dyDescent="0.3">
      <c r="A1115">
        <f>INDEX(Sheet1!B1115:B3913,MATCH(MAX(Sheet1!N1115:N3913),Sheet1!N1115:N3913,0))</f>
        <v>199</v>
      </c>
    </row>
    <row r="1116" spans="1:1" x14ac:dyDescent="0.3">
      <c r="A1116">
        <f>INDEX(Sheet1!B1116:B3914,MATCH(MAX(Sheet1!N1116:N3914),Sheet1!N1116:N3914,0))</f>
        <v>199</v>
      </c>
    </row>
    <row r="1117" spans="1:1" x14ac:dyDescent="0.3">
      <c r="A1117">
        <f>INDEX(Sheet1!B1117:B3915,MATCH(MAX(Sheet1!N1117:N3915),Sheet1!N1117:N3915,0))</f>
        <v>199</v>
      </c>
    </row>
    <row r="1118" spans="1:1" x14ac:dyDescent="0.3">
      <c r="A1118">
        <f>INDEX(Sheet1!B1118:B3916,MATCH(MAX(Sheet1!N1118:N3916),Sheet1!N1118:N3916,0))</f>
        <v>199</v>
      </c>
    </row>
    <row r="1119" spans="1:1" x14ac:dyDescent="0.3">
      <c r="A1119">
        <f>INDEX(Sheet1!B1119:B3917,MATCH(MAX(Sheet1!N1119:N3917),Sheet1!N1119:N3917,0))</f>
        <v>199</v>
      </c>
    </row>
    <row r="1120" spans="1:1" x14ac:dyDescent="0.3">
      <c r="A1120">
        <f>INDEX(Sheet1!B1120:B3918,MATCH(MAX(Sheet1!N1120:N3918),Sheet1!N1120:N3918,0))</f>
        <v>200</v>
      </c>
    </row>
    <row r="1121" spans="1:1" x14ac:dyDescent="0.3">
      <c r="A1121">
        <f>INDEX(Sheet1!B1121:B3919,MATCH(MAX(Sheet1!N1121:N3919),Sheet1!N1121:N3919,0))</f>
        <v>200</v>
      </c>
    </row>
    <row r="1122" spans="1:1" x14ac:dyDescent="0.3">
      <c r="A1122">
        <f>INDEX(Sheet1!B1122:B3920,MATCH(MAX(Sheet1!N1122:N3920),Sheet1!N1122:N3920,0))</f>
        <v>200</v>
      </c>
    </row>
    <row r="1123" spans="1:1" x14ac:dyDescent="0.3">
      <c r="A1123">
        <f>INDEX(Sheet1!B1123:B3921,MATCH(MAX(Sheet1!N1123:N3921),Sheet1!N1123:N3921,0))</f>
        <v>200</v>
      </c>
    </row>
    <row r="1124" spans="1:1" x14ac:dyDescent="0.3">
      <c r="A1124">
        <f>INDEX(Sheet1!B1124:B3922,MATCH(MAX(Sheet1!N1124:N3922),Sheet1!N1124:N3922,0))</f>
        <v>201</v>
      </c>
    </row>
    <row r="1125" spans="1:1" x14ac:dyDescent="0.3">
      <c r="A1125">
        <f>INDEX(Sheet1!B1125:B3923,MATCH(MAX(Sheet1!N1125:N3923),Sheet1!N1125:N3923,0))</f>
        <v>201</v>
      </c>
    </row>
    <row r="1126" spans="1:1" x14ac:dyDescent="0.3">
      <c r="A1126">
        <f>INDEX(Sheet1!B1126:B3924,MATCH(MAX(Sheet1!N1126:N3924),Sheet1!N1126:N3924,0))</f>
        <v>201</v>
      </c>
    </row>
    <row r="1127" spans="1:1" x14ac:dyDescent="0.3">
      <c r="A1127">
        <f>INDEX(Sheet1!B1127:B3925,MATCH(MAX(Sheet1!N1127:N3925),Sheet1!N1127:N3925,0))</f>
        <v>201</v>
      </c>
    </row>
    <row r="1128" spans="1:1" x14ac:dyDescent="0.3">
      <c r="A1128">
        <f>INDEX(Sheet1!B1128:B3926,MATCH(MAX(Sheet1!N1128:N3926),Sheet1!N1128:N3926,0))</f>
        <v>201</v>
      </c>
    </row>
    <row r="1129" spans="1:1" x14ac:dyDescent="0.3">
      <c r="A1129">
        <f>INDEX(Sheet1!B1129:B3927,MATCH(MAX(Sheet1!N1129:N3927),Sheet1!N1129:N3927,0))</f>
        <v>201</v>
      </c>
    </row>
    <row r="1130" spans="1:1" x14ac:dyDescent="0.3">
      <c r="A1130">
        <f>INDEX(Sheet1!B1130:B3928,MATCH(MAX(Sheet1!N1130:N3928),Sheet1!N1130:N3928,0))</f>
        <v>203</v>
      </c>
    </row>
    <row r="1131" spans="1:1" x14ac:dyDescent="0.3">
      <c r="A1131">
        <f>INDEX(Sheet1!B1131:B3929,MATCH(MAX(Sheet1!N1131:N3929),Sheet1!N1131:N3929,0))</f>
        <v>203</v>
      </c>
    </row>
    <row r="1132" spans="1:1" x14ac:dyDescent="0.3">
      <c r="A1132">
        <f>INDEX(Sheet1!B1132:B3930,MATCH(MAX(Sheet1!N1132:N3930),Sheet1!N1132:N3930,0))</f>
        <v>203</v>
      </c>
    </row>
    <row r="1133" spans="1:1" x14ac:dyDescent="0.3">
      <c r="A1133">
        <f>INDEX(Sheet1!B1133:B3931,MATCH(MAX(Sheet1!N1133:N3931),Sheet1!N1133:N3931,0))</f>
        <v>203</v>
      </c>
    </row>
    <row r="1134" spans="1:1" x14ac:dyDescent="0.3">
      <c r="A1134">
        <f>INDEX(Sheet1!B1134:B3932,MATCH(MAX(Sheet1!N1134:N3932),Sheet1!N1134:N3932,0))</f>
        <v>203</v>
      </c>
    </row>
    <row r="1135" spans="1:1" x14ac:dyDescent="0.3">
      <c r="A1135">
        <f>INDEX(Sheet1!B1135:B3933,MATCH(MAX(Sheet1!N1135:N3933),Sheet1!N1135:N3933,0))</f>
        <v>203</v>
      </c>
    </row>
    <row r="1136" spans="1:1" x14ac:dyDescent="0.3">
      <c r="A1136">
        <f>INDEX(Sheet1!B1136:B3934,MATCH(MAX(Sheet1!N1136:N3934),Sheet1!N1136:N3934,0))</f>
        <v>203</v>
      </c>
    </row>
    <row r="1137" spans="1:1" x14ac:dyDescent="0.3">
      <c r="A1137">
        <f>INDEX(Sheet1!B1137:B3935,MATCH(MAX(Sheet1!N1137:N3935),Sheet1!N1137:N3935,0))</f>
        <v>204</v>
      </c>
    </row>
    <row r="1138" spans="1:1" x14ac:dyDescent="0.3">
      <c r="A1138">
        <f>INDEX(Sheet1!B1138:B3936,MATCH(MAX(Sheet1!N1138:N3936),Sheet1!N1138:N3936,0))</f>
        <v>204</v>
      </c>
    </row>
    <row r="1139" spans="1:1" x14ac:dyDescent="0.3">
      <c r="A1139">
        <f>INDEX(Sheet1!B1139:B3937,MATCH(MAX(Sheet1!N1139:N3937),Sheet1!N1139:N3937,0))</f>
        <v>204</v>
      </c>
    </row>
    <row r="1140" spans="1:1" x14ac:dyDescent="0.3">
      <c r="A1140">
        <f>INDEX(Sheet1!B1140:B3938,MATCH(MAX(Sheet1!N1140:N3938),Sheet1!N1140:N3938,0))</f>
        <v>204</v>
      </c>
    </row>
    <row r="1141" spans="1:1" x14ac:dyDescent="0.3">
      <c r="A1141">
        <f>INDEX(Sheet1!B1141:B3939,MATCH(MAX(Sheet1!N1141:N3939),Sheet1!N1141:N3939,0))</f>
        <v>204</v>
      </c>
    </row>
    <row r="1142" spans="1:1" x14ac:dyDescent="0.3">
      <c r="A1142">
        <f>INDEX(Sheet1!B1142:B3940,MATCH(MAX(Sheet1!N1142:N3940),Sheet1!N1142:N3940,0))</f>
        <v>204</v>
      </c>
    </row>
    <row r="1143" spans="1:1" x14ac:dyDescent="0.3">
      <c r="A1143">
        <f>INDEX(Sheet1!B1143:B3941,MATCH(MAX(Sheet1!N1143:N3941),Sheet1!N1143:N3941,0))</f>
        <v>205</v>
      </c>
    </row>
    <row r="1144" spans="1:1" x14ac:dyDescent="0.3">
      <c r="A1144">
        <f>INDEX(Sheet1!B1144:B3942,MATCH(MAX(Sheet1!N1144:N3942),Sheet1!N1144:N3942,0))</f>
        <v>205</v>
      </c>
    </row>
    <row r="1145" spans="1:1" x14ac:dyDescent="0.3">
      <c r="A1145">
        <f>INDEX(Sheet1!B1145:B3943,MATCH(MAX(Sheet1!N1145:N3943),Sheet1!N1145:N3943,0))</f>
        <v>206</v>
      </c>
    </row>
    <row r="1146" spans="1:1" x14ac:dyDescent="0.3">
      <c r="A1146">
        <f>INDEX(Sheet1!B1146:B3944,MATCH(MAX(Sheet1!N1146:N3944),Sheet1!N1146:N3944,0))</f>
        <v>206</v>
      </c>
    </row>
    <row r="1147" spans="1:1" x14ac:dyDescent="0.3">
      <c r="A1147">
        <f>INDEX(Sheet1!B1147:B3945,MATCH(MAX(Sheet1!N1147:N3945),Sheet1!N1147:N3945,0))</f>
        <v>206</v>
      </c>
    </row>
    <row r="1148" spans="1:1" x14ac:dyDescent="0.3">
      <c r="A1148">
        <f>INDEX(Sheet1!B1148:B3946,MATCH(MAX(Sheet1!N1148:N3946),Sheet1!N1148:N3946,0))</f>
        <v>206</v>
      </c>
    </row>
    <row r="1149" spans="1:1" x14ac:dyDescent="0.3">
      <c r="A1149">
        <f>INDEX(Sheet1!B1149:B3947,MATCH(MAX(Sheet1!N1149:N3947),Sheet1!N1149:N3947,0))</f>
        <v>206</v>
      </c>
    </row>
    <row r="1150" spans="1:1" x14ac:dyDescent="0.3">
      <c r="A1150">
        <f>INDEX(Sheet1!B1150:B3948,MATCH(MAX(Sheet1!N1150:N3948),Sheet1!N1150:N3948,0))</f>
        <v>206</v>
      </c>
    </row>
    <row r="1151" spans="1:1" x14ac:dyDescent="0.3">
      <c r="A1151">
        <f>INDEX(Sheet1!B1151:B3949,MATCH(MAX(Sheet1!N1151:N3949),Sheet1!N1151:N3949,0))</f>
        <v>206</v>
      </c>
    </row>
    <row r="1152" spans="1:1" x14ac:dyDescent="0.3">
      <c r="A1152">
        <f>INDEX(Sheet1!B1152:B3950,MATCH(MAX(Sheet1!N1152:N3950),Sheet1!N1152:N3950,0))</f>
        <v>206</v>
      </c>
    </row>
    <row r="1153" spans="1:1" x14ac:dyDescent="0.3">
      <c r="A1153">
        <f>INDEX(Sheet1!B1153:B3951,MATCH(MAX(Sheet1!N1153:N3951),Sheet1!N1153:N3951,0))</f>
        <v>206</v>
      </c>
    </row>
    <row r="1154" spans="1:1" x14ac:dyDescent="0.3">
      <c r="A1154">
        <f>INDEX(Sheet1!B1154:B3952,MATCH(MAX(Sheet1!N1154:N3952),Sheet1!N1154:N3952,0))</f>
        <v>206</v>
      </c>
    </row>
    <row r="1155" spans="1:1" x14ac:dyDescent="0.3">
      <c r="A1155">
        <f>INDEX(Sheet1!B1155:B3953,MATCH(MAX(Sheet1!N1155:N3953),Sheet1!N1155:N3953,0))</f>
        <v>206</v>
      </c>
    </row>
    <row r="1156" spans="1:1" x14ac:dyDescent="0.3">
      <c r="A1156">
        <f>INDEX(Sheet1!B1156:B3954,MATCH(MAX(Sheet1!N1156:N3954),Sheet1!N1156:N3954,0))</f>
        <v>206</v>
      </c>
    </row>
    <row r="1157" spans="1:1" x14ac:dyDescent="0.3">
      <c r="A1157">
        <f>INDEX(Sheet1!B1157:B3955,MATCH(MAX(Sheet1!N1157:N3955),Sheet1!N1157:N3955,0))</f>
        <v>206</v>
      </c>
    </row>
    <row r="1158" spans="1:1" x14ac:dyDescent="0.3">
      <c r="A1158">
        <f>INDEX(Sheet1!B1158:B3956,MATCH(MAX(Sheet1!N1158:N3956),Sheet1!N1158:N3956,0))</f>
        <v>206</v>
      </c>
    </row>
    <row r="1159" spans="1:1" x14ac:dyDescent="0.3">
      <c r="A1159">
        <f>INDEX(Sheet1!B1159:B3957,MATCH(MAX(Sheet1!N1159:N3957),Sheet1!N1159:N3957,0))</f>
        <v>208</v>
      </c>
    </row>
    <row r="1160" spans="1:1" x14ac:dyDescent="0.3">
      <c r="A1160">
        <f>INDEX(Sheet1!B1160:B3958,MATCH(MAX(Sheet1!N1160:N3958),Sheet1!N1160:N3958,0))</f>
        <v>208</v>
      </c>
    </row>
    <row r="1161" spans="1:1" x14ac:dyDescent="0.3">
      <c r="A1161">
        <f>INDEX(Sheet1!B1161:B3959,MATCH(MAX(Sheet1!N1161:N3959),Sheet1!N1161:N3959,0))</f>
        <v>208</v>
      </c>
    </row>
    <row r="1162" spans="1:1" x14ac:dyDescent="0.3">
      <c r="A1162">
        <f>INDEX(Sheet1!B1162:B3960,MATCH(MAX(Sheet1!N1162:N3960),Sheet1!N1162:N3960,0))</f>
        <v>208</v>
      </c>
    </row>
    <row r="1163" spans="1:1" x14ac:dyDescent="0.3">
      <c r="A1163">
        <f>INDEX(Sheet1!B1163:B3961,MATCH(MAX(Sheet1!N1163:N3961),Sheet1!N1163:N3961,0))</f>
        <v>208</v>
      </c>
    </row>
    <row r="1164" spans="1:1" x14ac:dyDescent="0.3">
      <c r="A1164">
        <f>INDEX(Sheet1!B1164:B3962,MATCH(MAX(Sheet1!N1164:N3962),Sheet1!N1164:N3962,0))</f>
        <v>208</v>
      </c>
    </row>
    <row r="1165" spans="1:1" x14ac:dyDescent="0.3">
      <c r="A1165">
        <f>INDEX(Sheet1!B1165:B3963,MATCH(MAX(Sheet1!N1165:N3963),Sheet1!N1165:N3963,0))</f>
        <v>208</v>
      </c>
    </row>
    <row r="1166" spans="1:1" x14ac:dyDescent="0.3">
      <c r="A1166">
        <f>INDEX(Sheet1!B1166:B3964,MATCH(MAX(Sheet1!N1166:N3964),Sheet1!N1166:N3964,0))</f>
        <v>208</v>
      </c>
    </row>
    <row r="1167" spans="1:1" x14ac:dyDescent="0.3">
      <c r="A1167">
        <f>INDEX(Sheet1!B1167:B3965,MATCH(MAX(Sheet1!N1167:N3965),Sheet1!N1167:N3965,0))</f>
        <v>208</v>
      </c>
    </row>
    <row r="1168" spans="1:1" x14ac:dyDescent="0.3">
      <c r="A1168">
        <f>INDEX(Sheet1!B1168:B3966,MATCH(MAX(Sheet1!N1168:N3966),Sheet1!N1168:N3966,0))</f>
        <v>208</v>
      </c>
    </row>
    <row r="1169" spans="1:1" x14ac:dyDescent="0.3">
      <c r="A1169">
        <f>INDEX(Sheet1!B1169:B3967,MATCH(MAX(Sheet1!N1169:N3967),Sheet1!N1169:N3967,0))</f>
        <v>209</v>
      </c>
    </row>
    <row r="1170" spans="1:1" x14ac:dyDescent="0.3">
      <c r="A1170">
        <f>INDEX(Sheet1!B1170:B3968,MATCH(MAX(Sheet1!N1170:N3968),Sheet1!N1170:N3968,0))</f>
        <v>209</v>
      </c>
    </row>
    <row r="1171" spans="1:1" x14ac:dyDescent="0.3">
      <c r="A1171">
        <f>INDEX(Sheet1!B1171:B3969,MATCH(MAX(Sheet1!N1171:N3969),Sheet1!N1171:N3969,0))</f>
        <v>209</v>
      </c>
    </row>
    <row r="1172" spans="1:1" x14ac:dyDescent="0.3">
      <c r="A1172">
        <f>INDEX(Sheet1!B1172:B3970,MATCH(MAX(Sheet1!N1172:N3970),Sheet1!N1172:N3970,0))</f>
        <v>209</v>
      </c>
    </row>
    <row r="1173" spans="1:1" x14ac:dyDescent="0.3">
      <c r="A1173">
        <f>INDEX(Sheet1!B1173:B3971,MATCH(MAX(Sheet1!N1173:N3971),Sheet1!N1173:N3971,0))</f>
        <v>209</v>
      </c>
    </row>
    <row r="1174" spans="1:1" x14ac:dyDescent="0.3">
      <c r="A1174">
        <f>INDEX(Sheet1!B1174:B3972,MATCH(MAX(Sheet1!N1174:N3972),Sheet1!N1174:N3972,0))</f>
        <v>209</v>
      </c>
    </row>
    <row r="1175" spans="1:1" x14ac:dyDescent="0.3">
      <c r="A1175">
        <f>INDEX(Sheet1!B1175:B3973,MATCH(MAX(Sheet1!N1175:N3973),Sheet1!N1175:N3973,0))</f>
        <v>210</v>
      </c>
    </row>
    <row r="1176" spans="1:1" x14ac:dyDescent="0.3">
      <c r="A1176">
        <f>INDEX(Sheet1!B1176:B3974,MATCH(MAX(Sheet1!N1176:N3974),Sheet1!N1176:N3974,0))</f>
        <v>210</v>
      </c>
    </row>
    <row r="1177" spans="1:1" x14ac:dyDescent="0.3">
      <c r="A1177">
        <f>INDEX(Sheet1!B1177:B3975,MATCH(MAX(Sheet1!N1177:N3975),Sheet1!N1177:N3975,0))</f>
        <v>210</v>
      </c>
    </row>
    <row r="1178" spans="1:1" x14ac:dyDescent="0.3">
      <c r="A1178">
        <f>INDEX(Sheet1!B1178:B3976,MATCH(MAX(Sheet1!N1178:N3976),Sheet1!N1178:N3976,0))</f>
        <v>210</v>
      </c>
    </row>
    <row r="1179" spans="1:1" x14ac:dyDescent="0.3">
      <c r="A1179">
        <f>INDEX(Sheet1!B1179:B3977,MATCH(MAX(Sheet1!N1179:N3977),Sheet1!N1179:N3977,0))</f>
        <v>210</v>
      </c>
    </row>
    <row r="1180" spans="1:1" x14ac:dyDescent="0.3">
      <c r="A1180">
        <f>INDEX(Sheet1!B1180:B3978,MATCH(MAX(Sheet1!N1180:N3978),Sheet1!N1180:N3978,0))</f>
        <v>210</v>
      </c>
    </row>
    <row r="1181" spans="1:1" x14ac:dyDescent="0.3">
      <c r="A1181">
        <f>INDEX(Sheet1!B1181:B3979,MATCH(MAX(Sheet1!N1181:N3979),Sheet1!N1181:N3979,0))</f>
        <v>211</v>
      </c>
    </row>
    <row r="1182" spans="1:1" x14ac:dyDescent="0.3">
      <c r="A1182">
        <f>INDEX(Sheet1!B1182:B3980,MATCH(MAX(Sheet1!N1182:N3980),Sheet1!N1182:N3980,0))</f>
        <v>211</v>
      </c>
    </row>
    <row r="1183" spans="1:1" x14ac:dyDescent="0.3">
      <c r="A1183">
        <f>INDEX(Sheet1!B1183:B3981,MATCH(MAX(Sheet1!N1183:N3981),Sheet1!N1183:N3981,0))</f>
        <v>211</v>
      </c>
    </row>
    <row r="1184" spans="1:1" x14ac:dyDescent="0.3">
      <c r="A1184">
        <f>INDEX(Sheet1!B1184:B3982,MATCH(MAX(Sheet1!N1184:N3982),Sheet1!N1184:N3982,0))</f>
        <v>211</v>
      </c>
    </row>
    <row r="1185" spans="1:1" x14ac:dyDescent="0.3">
      <c r="A1185">
        <f>INDEX(Sheet1!B1185:B3983,MATCH(MAX(Sheet1!N1185:N3983),Sheet1!N1185:N3983,0))</f>
        <v>211</v>
      </c>
    </row>
    <row r="1186" spans="1:1" x14ac:dyDescent="0.3">
      <c r="A1186">
        <f>INDEX(Sheet1!B1186:B3984,MATCH(MAX(Sheet1!N1186:N3984),Sheet1!N1186:N3984,0))</f>
        <v>211</v>
      </c>
    </row>
    <row r="1187" spans="1:1" x14ac:dyDescent="0.3">
      <c r="A1187">
        <f>INDEX(Sheet1!B1187:B3985,MATCH(MAX(Sheet1!N1187:N3985),Sheet1!N1187:N3985,0))</f>
        <v>211</v>
      </c>
    </row>
    <row r="1188" spans="1:1" x14ac:dyDescent="0.3">
      <c r="A1188">
        <f>INDEX(Sheet1!B1188:B3986,MATCH(MAX(Sheet1!N1188:N3986),Sheet1!N1188:N3986,0))</f>
        <v>211</v>
      </c>
    </row>
    <row r="1189" spans="1:1" x14ac:dyDescent="0.3">
      <c r="A1189">
        <f>INDEX(Sheet1!B1189:B3987,MATCH(MAX(Sheet1!N1189:N3987),Sheet1!N1189:N3987,0))</f>
        <v>212</v>
      </c>
    </row>
    <row r="1190" spans="1:1" x14ac:dyDescent="0.3">
      <c r="A1190">
        <f>INDEX(Sheet1!B1190:B3988,MATCH(MAX(Sheet1!N1190:N3988),Sheet1!N1190:N3988,0))</f>
        <v>212</v>
      </c>
    </row>
    <row r="1191" spans="1:1" x14ac:dyDescent="0.3">
      <c r="A1191">
        <f>INDEX(Sheet1!B1191:B3989,MATCH(MAX(Sheet1!N1191:N3989),Sheet1!N1191:N3989,0))</f>
        <v>212</v>
      </c>
    </row>
    <row r="1192" spans="1:1" x14ac:dyDescent="0.3">
      <c r="A1192">
        <f>INDEX(Sheet1!B1192:B3990,MATCH(MAX(Sheet1!N1192:N3990),Sheet1!N1192:N3990,0))</f>
        <v>212</v>
      </c>
    </row>
    <row r="1193" spans="1:1" x14ac:dyDescent="0.3">
      <c r="A1193">
        <f>INDEX(Sheet1!B1193:B3991,MATCH(MAX(Sheet1!N1193:N3991),Sheet1!N1193:N3991,0))</f>
        <v>212</v>
      </c>
    </row>
    <row r="1194" spans="1:1" x14ac:dyDescent="0.3">
      <c r="A1194">
        <f>INDEX(Sheet1!B1194:B3992,MATCH(MAX(Sheet1!N1194:N3992),Sheet1!N1194:N3992,0))</f>
        <v>214</v>
      </c>
    </row>
    <row r="1195" spans="1:1" x14ac:dyDescent="0.3">
      <c r="A1195">
        <f>INDEX(Sheet1!B1195:B3993,MATCH(MAX(Sheet1!N1195:N3993),Sheet1!N1195:N3993,0))</f>
        <v>214</v>
      </c>
    </row>
    <row r="1196" spans="1:1" x14ac:dyDescent="0.3">
      <c r="A1196">
        <f>INDEX(Sheet1!B1196:B3994,MATCH(MAX(Sheet1!N1196:N3994),Sheet1!N1196:N3994,0))</f>
        <v>214</v>
      </c>
    </row>
    <row r="1197" spans="1:1" x14ac:dyDescent="0.3">
      <c r="A1197">
        <f>INDEX(Sheet1!B1197:B3995,MATCH(MAX(Sheet1!N1197:N3995),Sheet1!N1197:N3995,0))</f>
        <v>214</v>
      </c>
    </row>
    <row r="1198" spans="1:1" x14ac:dyDescent="0.3">
      <c r="A1198">
        <f>INDEX(Sheet1!B1198:B3996,MATCH(MAX(Sheet1!N1198:N3996),Sheet1!N1198:N3996,0))</f>
        <v>214</v>
      </c>
    </row>
    <row r="1199" spans="1:1" x14ac:dyDescent="0.3">
      <c r="A1199">
        <f>INDEX(Sheet1!B1199:B3997,MATCH(MAX(Sheet1!N1199:N3997),Sheet1!N1199:N3997,0))</f>
        <v>214</v>
      </c>
    </row>
    <row r="1200" spans="1:1" x14ac:dyDescent="0.3">
      <c r="A1200">
        <f>INDEX(Sheet1!B1200:B3998,MATCH(MAX(Sheet1!N1200:N3998),Sheet1!N1200:N3998,0))</f>
        <v>214</v>
      </c>
    </row>
    <row r="1201" spans="1:1" x14ac:dyDescent="0.3">
      <c r="A1201">
        <f>INDEX(Sheet1!B1201:B3999,MATCH(MAX(Sheet1!N1201:N3999),Sheet1!N1201:N3999,0))</f>
        <v>214</v>
      </c>
    </row>
    <row r="1202" spans="1:1" x14ac:dyDescent="0.3">
      <c r="A1202">
        <f>INDEX(Sheet1!B1202:B4000,MATCH(MAX(Sheet1!N1202:N4000),Sheet1!N1202:N4000,0))</f>
        <v>214</v>
      </c>
    </row>
    <row r="1203" spans="1:1" x14ac:dyDescent="0.3">
      <c r="A1203">
        <f>INDEX(Sheet1!B1203:B4001,MATCH(MAX(Sheet1!N1203:N4001),Sheet1!N1203:N4001,0))</f>
        <v>214</v>
      </c>
    </row>
    <row r="1204" spans="1:1" x14ac:dyDescent="0.3">
      <c r="A1204">
        <f>INDEX(Sheet1!B1204:B4002,MATCH(MAX(Sheet1!N1204:N4002),Sheet1!N1204:N4002,0))</f>
        <v>215</v>
      </c>
    </row>
    <row r="1205" spans="1:1" x14ac:dyDescent="0.3">
      <c r="A1205">
        <f>INDEX(Sheet1!B1205:B4003,MATCH(MAX(Sheet1!N1205:N4003),Sheet1!N1205:N4003,0))</f>
        <v>215</v>
      </c>
    </row>
    <row r="1206" spans="1:1" x14ac:dyDescent="0.3">
      <c r="A1206">
        <f>INDEX(Sheet1!B1206:B4004,MATCH(MAX(Sheet1!N1206:N4004),Sheet1!N1206:N4004,0))</f>
        <v>215</v>
      </c>
    </row>
    <row r="1207" spans="1:1" x14ac:dyDescent="0.3">
      <c r="A1207">
        <f>INDEX(Sheet1!B1207:B4005,MATCH(MAX(Sheet1!N1207:N4005),Sheet1!N1207:N4005,0))</f>
        <v>215</v>
      </c>
    </row>
    <row r="1208" spans="1:1" x14ac:dyDescent="0.3">
      <c r="A1208">
        <f>INDEX(Sheet1!B1208:B4006,MATCH(MAX(Sheet1!N1208:N4006),Sheet1!N1208:N4006,0))</f>
        <v>215</v>
      </c>
    </row>
    <row r="1209" spans="1:1" x14ac:dyDescent="0.3">
      <c r="A1209">
        <f>INDEX(Sheet1!B1209:B4007,MATCH(MAX(Sheet1!N1209:N4007),Sheet1!N1209:N4007,0))</f>
        <v>215</v>
      </c>
    </row>
    <row r="1210" spans="1:1" x14ac:dyDescent="0.3">
      <c r="A1210">
        <f>INDEX(Sheet1!B1210:B4008,MATCH(MAX(Sheet1!N1210:N4008),Sheet1!N1210:N4008,0))</f>
        <v>215</v>
      </c>
    </row>
    <row r="1211" spans="1:1" x14ac:dyDescent="0.3">
      <c r="A1211">
        <f>INDEX(Sheet1!B1211:B4009,MATCH(MAX(Sheet1!N1211:N4009),Sheet1!N1211:N4009,0))</f>
        <v>215</v>
      </c>
    </row>
    <row r="1212" spans="1:1" x14ac:dyDescent="0.3">
      <c r="A1212">
        <f>INDEX(Sheet1!B1212:B4010,MATCH(MAX(Sheet1!N1212:N4010),Sheet1!N1212:N4010,0))</f>
        <v>215</v>
      </c>
    </row>
    <row r="1213" spans="1:1" x14ac:dyDescent="0.3">
      <c r="A1213">
        <f>INDEX(Sheet1!B1213:B4011,MATCH(MAX(Sheet1!N1213:N4011),Sheet1!N1213:N4011,0))</f>
        <v>216</v>
      </c>
    </row>
    <row r="1214" spans="1:1" x14ac:dyDescent="0.3">
      <c r="A1214">
        <f>INDEX(Sheet1!B1214:B4012,MATCH(MAX(Sheet1!N1214:N4012),Sheet1!N1214:N4012,0))</f>
        <v>216</v>
      </c>
    </row>
    <row r="1215" spans="1:1" x14ac:dyDescent="0.3">
      <c r="A1215">
        <f>INDEX(Sheet1!B1215:B4013,MATCH(MAX(Sheet1!N1215:N4013),Sheet1!N1215:N4013,0))</f>
        <v>216</v>
      </c>
    </row>
    <row r="1216" spans="1:1" x14ac:dyDescent="0.3">
      <c r="A1216">
        <f>INDEX(Sheet1!B1216:B4014,MATCH(MAX(Sheet1!N1216:N4014),Sheet1!N1216:N4014,0))</f>
        <v>216</v>
      </c>
    </row>
    <row r="1217" spans="1:1" x14ac:dyDescent="0.3">
      <c r="A1217">
        <f>INDEX(Sheet1!B1217:B4015,MATCH(MAX(Sheet1!N1217:N4015),Sheet1!N1217:N4015,0))</f>
        <v>217</v>
      </c>
    </row>
    <row r="1218" spans="1:1" x14ac:dyDescent="0.3">
      <c r="A1218">
        <f>INDEX(Sheet1!B1218:B4016,MATCH(MAX(Sheet1!N1218:N4016),Sheet1!N1218:N4016,0))</f>
        <v>217</v>
      </c>
    </row>
    <row r="1219" spans="1:1" x14ac:dyDescent="0.3">
      <c r="A1219">
        <f>INDEX(Sheet1!B1219:B4017,MATCH(MAX(Sheet1!N1219:N4017),Sheet1!N1219:N4017,0))</f>
        <v>217</v>
      </c>
    </row>
    <row r="1220" spans="1:1" x14ac:dyDescent="0.3">
      <c r="A1220">
        <f>INDEX(Sheet1!B1220:B4018,MATCH(MAX(Sheet1!N1220:N4018),Sheet1!N1220:N4018,0))</f>
        <v>218</v>
      </c>
    </row>
    <row r="1221" spans="1:1" x14ac:dyDescent="0.3">
      <c r="A1221">
        <f>INDEX(Sheet1!B1221:B4019,MATCH(MAX(Sheet1!N1221:N4019),Sheet1!N1221:N4019,0))</f>
        <v>218</v>
      </c>
    </row>
    <row r="1222" spans="1:1" x14ac:dyDescent="0.3">
      <c r="A1222">
        <f>INDEX(Sheet1!B1222:B4020,MATCH(MAX(Sheet1!N1222:N4020),Sheet1!N1222:N4020,0))</f>
        <v>218</v>
      </c>
    </row>
    <row r="1223" spans="1:1" x14ac:dyDescent="0.3">
      <c r="A1223">
        <f>INDEX(Sheet1!B1223:B4021,MATCH(MAX(Sheet1!N1223:N4021),Sheet1!N1223:N4021,0))</f>
        <v>218</v>
      </c>
    </row>
    <row r="1224" spans="1:1" x14ac:dyDescent="0.3">
      <c r="A1224">
        <f>INDEX(Sheet1!B1224:B4022,MATCH(MAX(Sheet1!N1224:N4022),Sheet1!N1224:N4022,0))</f>
        <v>218</v>
      </c>
    </row>
    <row r="1225" spans="1:1" x14ac:dyDescent="0.3">
      <c r="A1225">
        <f>INDEX(Sheet1!B1225:B4023,MATCH(MAX(Sheet1!N1225:N4023),Sheet1!N1225:N4023,0))</f>
        <v>218</v>
      </c>
    </row>
    <row r="1226" spans="1:1" x14ac:dyDescent="0.3">
      <c r="A1226">
        <f>INDEX(Sheet1!B1226:B4024,MATCH(MAX(Sheet1!N1226:N4024),Sheet1!N1226:N4024,0))</f>
        <v>218</v>
      </c>
    </row>
    <row r="1227" spans="1:1" x14ac:dyDescent="0.3">
      <c r="A1227">
        <f>INDEX(Sheet1!B1227:B4025,MATCH(MAX(Sheet1!N1227:N4025),Sheet1!N1227:N4025,0))</f>
        <v>218</v>
      </c>
    </row>
    <row r="1228" spans="1:1" x14ac:dyDescent="0.3">
      <c r="A1228">
        <f>INDEX(Sheet1!B1228:B4026,MATCH(MAX(Sheet1!N1228:N4026),Sheet1!N1228:N4026,0))</f>
        <v>218</v>
      </c>
    </row>
    <row r="1229" spans="1:1" x14ac:dyDescent="0.3">
      <c r="A1229">
        <f>INDEX(Sheet1!B1229:B4027,MATCH(MAX(Sheet1!N1229:N4027),Sheet1!N1229:N4027,0))</f>
        <v>218</v>
      </c>
    </row>
    <row r="1230" spans="1:1" x14ac:dyDescent="0.3">
      <c r="A1230">
        <f>INDEX(Sheet1!B1230:B4028,MATCH(MAX(Sheet1!N1230:N4028),Sheet1!N1230:N4028,0))</f>
        <v>218</v>
      </c>
    </row>
    <row r="1231" spans="1:1" x14ac:dyDescent="0.3">
      <c r="A1231">
        <f>INDEX(Sheet1!B1231:B4029,MATCH(MAX(Sheet1!N1231:N4029),Sheet1!N1231:N4029,0))</f>
        <v>218</v>
      </c>
    </row>
    <row r="1232" spans="1:1" x14ac:dyDescent="0.3">
      <c r="A1232">
        <f>INDEX(Sheet1!B1232:B4030,MATCH(MAX(Sheet1!N1232:N4030),Sheet1!N1232:N4030,0))</f>
        <v>218</v>
      </c>
    </row>
    <row r="1233" spans="1:1" x14ac:dyDescent="0.3">
      <c r="A1233">
        <f>INDEX(Sheet1!B1233:B4031,MATCH(MAX(Sheet1!N1233:N4031),Sheet1!N1233:N4031,0))</f>
        <v>218</v>
      </c>
    </row>
    <row r="1234" spans="1:1" x14ac:dyDescent="0.3">
      <c r="A1234">
        <f>INDEX(Sheet1!B1234:B4032,MATCH(MAX(Sheet1!N1234:N4032),Sheet1!N1234:N4032,0))</f>
        <v>218</v>
      </c>
    </row>
    <row r="1235" spans="1:1" x14ac:dyDescent="0.3">
      <c r="A1235">
        <f>INDEX(Sheet1!B1235:B4033,MATCH(MAX(Sheet1!N1235:N4033),Sheet1!N1235:N4033,0))</f>
        <v>219</v>
      </c>
    </row>
    <row r="1236" spans="1:1" x14ac:dyDescent="0.3">
      <c r="A1236">
        <f>INDEX(Sheet1!B1236:B4034,MATCH(MAX(Sheet1!N1236:N4034),Sheet1!N1236:N4034,0))</f>
        <v>219</v>
      </c>
    </row>
    <row r="1237" spans="1:1" x14ac:dyDescent="0.3">
      <c r="A1237">
        <f>INDEX(Sheet1!B1237:B4035,MATCH(MAX(Sheet1!N1237:N4035),Sheet1!N1237:N4035,0))</f>
        <v>220</v>
      </c>
    </row>
    <row r="1238" spans="1:1" x14ac:dyDescent="0.3">
      <c r="A1238">
        <f>INDEX(Sheet1!B1238:B4036,MATCH(MAX(Sheet1!N1238:N4036),Sheet1!N1238:N4036,0))</f>
        <v>220</v>
      </c>
    </row>
    <row r="1239" spans="1:1" x14ac:dyDescent="0.3">
      <c r="A1239">
        <f>INDEX(Sheet1!B1239:B4037,MATCH(MAX(Sheet1!N1239:N4037),Sheet1!N1239:N4037,0))</f>
        <v>220</v>
      </c>
    </row>
    <row r="1240" spans="1:1" x14ac:dyDescent="0.3">
      <c r="A1240">
        <f>INDEX(Sheet1!B1240:B4038,MATCH(MAX(Sheet1!N1240:N4038),Sheet1!N1240:N4038,0))</f>
        <v>220</v>
      </c>
    </row>
    <row r="1241" spans="1:1" x14ac:dyDescent="0.3">
      <c r="A1241">
        <f>INDEX(Sheet1!B1241:B4039,MATCH(MAX(Sheet1!N1241:N4039),Sheet1!N1241:N4039,0))</f>
        <v>220</v>
      </c>
    </row>
    <row r="1242" spans="1:1" x14ac:dyDescent="0.3">
      <c r="A1242">
        <f>INDEX(Sheet1!B1242:B4040,MATCH(MAX(Sheet1!N1242:N4040),Sheet1!N1242:N4040,0))</f>
        <v>221</v>
      </c>
    </row>
    <row r="1243" spans="1:1" x14ac:dyDescent="0.3">
      <c r="A1243">
        <f>INDEX(Sheet1!B1243:B4041,MATCH(MAX(Sheet1!N1243:N4041),Sheet1!N1243:N4041,0))</f>
        <v>221</v>
      </c>
    </row>
    <row r="1244" spans="1:1" x14ac:dyDescent="0.3">
      <c r="A1244">
        <f>INDEX(Sheet1!B1244:B4042,MATCH(MAX(Sheet1!N1244:N4042),Sheet1!N1244:N4042,0))</f>
        <v>222</v>
      </c>
    </row>
    <row r="1245" spans="1:1" x14ac:dyDescent="0.3">
      <c r="A1245">
        <f>INDEX(Sheet1!B1245:B4043,MATCH(MAX(Sheet1!N1245:N4043),Sheet1!N1245:N4043,0))</f>
        <v>222</v>
      </c>
    </row>
    <row r="1246" spans="1:1" x14ac:dyDescent="0.3">
      <c r="A1246">
        <f>INDEX(Sheet1!B1246:B4044,MATCH(MAX(Sheet1!N1246:N4044),Sheet1!N1246:N4044,0))</f>
        <v>222</v>
      </c>
    </row>
    <row r="1247" spans="1:1" x14ac:dyDescent="0.3">
      <c r="A1247">
        <f>INDEX(Sheet1!B1247:B4045,MATCH(MAX(Sheet1!N1247:N4045),Sheet1!N1247:N4045,0))</f>
        <v>222</v>
      </c>
    </row>
    <row r="1248" spans="1:1" x14ac:dyDescent="0.3">
      <c r="A1248">
        <f>INDEX(Sheet1!B1248:B4046,MATCH(MAX(Sheet1!N1248:N4046),Sheet1!N1248:N4046,0))</f>
        <v>223</v>
      </c>
    </row>
    <row r="1249" spans="1:1" x14ac:dyDescent="0.3">
      <c r="A1249">
        <f>INDEX(Sheet1!B1249:B4047,MATCH(MAX(Sheet1!N1249:N4047),Sheet1!N1249:N4047,0))</f>
        <v>223</v>
      </c>
    </row>
    <row r="1250" spans="1:1" x14ac:dyDescent="0.3">
      <c r="A1250">
        <f>INDEX(Sheet1!B1250:B4048,MATCH(MAX(Sheet1!N1250:N4048),Sheet1!N1250:N4048,0))</f>
        <v>223</v>
      </c>
    </row>
    <row r="1251" spans="1:1" x14ac:dyDescent="0.3">
      <c r="A1251">
        <f>INDEX(Sheet1!B1251:B4049,MATCH(MAX(Sheet1!N1251:N4049),Sheet1!N1251:N4049,0))</f>
        <v>223</v>
      </c>
    </row>
    <row r="1252" spans="1:1" x14ac:dyDescent="0.3">
      <c r="A1252">
        <f>INDEX(Sheet1!B1252:B4050,MATCH(MAX(Sheet1!N1252:N4050),Sheet1!N1252:N4050,0))</f>
        <v>223</v>
      </c>
    </row>
    <row r="1253" spans="1:1" x14ac:dyDescent="0.3">
      <c r="A1253">
        <f>INDEX(Sheet1!B1253:B4051,MATCH(MAX(Sheet1!N1253:N4051),Sheet1!N1253:N4051,0))</f>
        <v>223</v>
      </c>
    </row>
    <row r="1254" spans="1:1" x14ac:dyDescent="0.3">
      <c r="A1254">
        <f>INDEX(Sheet1!B1254:B4052,MATCH(MAX(Sheet1!N1254:N4052),Sheet1!N1254:N4052,0))</f>
        <v>223</v>
      </c>
    </row>
    <row r="1255" spans="1:1" x14ac:dyDescent="0.3">
      <c r="A1255">
        <f>INDEX(Sheet1!B1255:B4053,MATCH(MAX(Sheet1!N1255:N4053),Sheet1!N1255:N4053,0))</f>
        <v>223</v>
      </c>
    </row>
    <row r="1256" spans="1:1" x14ac:dyDescent="0.3">
      <c r="A1256">
        <f>INDEX(Sheet1!B1256:B4054,MATCH(MAX(Sheet1!N1256:N4054),Sheet1!N1256:N4054,0))</f>
        <v>223</v>
      </c>
    </row>
    <row r="1257" spans="1:1" x14ac:dyDescent="0.3">
      <c r="A1257">
        <f>INDEX(Sheet1!B1257:B4055,MATCH(MAX(Sheet1!N1257:N4055),Sheet1!N1257:N4055,0))</f>
        <v>223</v>
      </c>
    </row>
    <row r="1258" spans="1:1" x14ac:dyDescent="0.3">
      <c r="A1258">
        <f>INDEX(Sheet1!B1258:B4056,MATCH(MAX(Sheet1!N1258:N4056),Sheet1!N1258:N4056,0))</f>
        <v>224</v>
      </c>
    </row>
    <row r="1259" spans="1:1" x14ac:dyDescent="0.3">
      <c r="A1259">
        <f>INDEX(Sheet1!B1259:B4057,MATCH(MAX(Sheet1!N1259:N4057),Sheet1!N1259:N4057,0))</f>
        <v>224</v>
      </c>
    </row>
    <row r="1260" spans="1:1" x14ac:dyDescent="0.3">
      <c r="A1260">
        <f>INDEX(Sheet1!B1260:B4058,MATCH(MAX(Sheet1!N1260:N4058),Sheet1!N1260:N4058,0))</f>
        <v>224</v>
      </c>
    </row>
    <row r="1261" spans="1:1" x14ac:dyDescent="0.3">
      <c r="A1261">
        <f>INDEX(Sheet1!B1261:B4059,MATCH(MAX(Sheet1!N1261:N4059),Sheet1!N1261:N4059,0))</f>
        <v>224</v>
      </c>
    </row>
    <row r="1262" spans="1:1" x14ac:dyDescent="0.3">
      <c r="A1262">
        <f>INDEX(Sheet1!B1262:B4060,MATCH(MAX(Sheet1!N1262:N4060),Sheet1!N1262:N4060,0))</f>
        <v>224</v>
      </c>
    </row>
    <row r="1263" spans="1:1" x14ac:dyDescent="0.3">
      <c r="A1263">
        <f>INDEX(Sheet1!B1263:B4061,MATCH(MAX(Sheet1!N1263:N4061),Sheet1!N1263:N4061,0))</f>
        <v>224</v>
      </c>
    </row>
    <row r="1264" spans="1:1" x14ac:dyDescent="0.3">
      <c r="A1264">
        <f>INDEX(Sheet1!B1264:B4062,MATCH(MAX(Sheet1!N1264:N4062),Sheet1!N1264:N4062,0))</f>
        <v>224</v>
      </c>
    </row>
    <row r="1265" spans="1:1" x14ac:dyDescent="0.3">
      <c r="A1265">
        <f>INDEX(Sheet1!B1265:B4063,MATCH(MAX(Sheet1!N1265:N4063),Sheet1!N1265:N4063,0))</f>
        <v>225</v>
      </c>
    </row>
    <row r="1266" spans="1:1" x14ac:dyDescent="0.3">
      <c r="A1266">
        <f>INDEX(Sheet1!B1266:B4064,MATCH(MAX(Sheet1!N1266:N4064),Sheet1!N1266:N4064,0))</f>
        <v>225</v>
      </c>
    </row>
    <row r="1267" spans="1:1" x14ac:dyDescent="0.3">
      <c r="A1267">
        <f>INDEX(Sheet1!B1267:B4065,MATCH(MAX(Sheet1!N1267:N4065),Sheet1!N1267:N4065,0))</f>
        <v>225</v>
      </c>
    </row>
    <row r="1268" spans="1:1" x14ac:dyDescent="0.3">
      <c r="A1268">
        <f>INDEX(Sheet1!B1268:B4066,MATCH(MAX(Sheet1!N1268:N4066),Sheet1!N1268:N4066,0))</f>
        <v>225</v>
      </c>
    </row>
    <row r="1269" spans="1:1" x14ac:dyDescent="0.3">
      <c r="A1269">
        <f>INDEX(Sheet1!B1269:B4067,MATCH(MAX(Sheet1!N1269:N4067),Sheet1!N1269:N4067,0))</f>
        <v>225</v>
      </c>
    </row>
    <row r="1270" spans="1:1" x14ac:dyDescent="0.3">
      <c r="A1270">
        <f>INDEX(Sheet1!B1270:B4068,MATCH(MAX(Sheet1!N1270:N4068),Sheet1!N1270:N4068,0))</f>
        <v>226</v>
      </c>
    </row>
    <row r="1271" spans="1:1" x14ac:dyDescent="0.3">
      <c r="A1271">
        <f>INDEX(Sheet1!B1271:B4069,MATCH(MAX(Sheet1!N1271:N4069),Sheet1!N1271:N4069,0))</f>
        <v>226</v>
      </c>
    </row>
    <row r="1272" spans="1:1" x14ac:dyDescent="0.3">
      <c r="A1272">
        <f>INDEX(Sheet1!B1272:B4070,MATCH(MAX(Sheet1!N1272:N4070),Sheet1!N1272:N4070,0))</f>
        <v>226</v>
      </c>
    </row>
    <row r="1273" spans="1:1" x14ac:dyDescent="0.3">
      <c r="A1273">
        <f>INDEX(Sheet1!B1273:B4071,MATCH(MAX(Sheet1!N1273:N4071),Sheet1!N1273:N4071,0))</f>
        <v>226</v>
      </c>
    </row>
    <row r="1274" spans="1:1" x14ac:dyDescent="0.3">
      <c r="A1274">
        <f>INDEX(Sheet1!B1274:B4072,MATCH(MAX(Sheet1!N1274:N4072),Sheet1!N1274:N4072,0))</f>
        <v>226</v>
      </c>
    </row>
    <row r="1275" spans="1:1" x14ac:dyDescent="0.3">
      <c r="A1275">
        <f>INDEX(Sheet1!B1275:B4073,MATCH(MAX(Sheet1!N1275:N4073),Sheet1!N1275:N4073,0))</f>
        <v>226</v>
      </c>
    </row>
    <row r="1276" spans="1:1" x14ac:dyDescent="0.3">
      <c r="A1276">
        <f>INDEX(Sheet1!B1276:B4074,MATCH(MAX(Sheet1!N1276:N4074),Sheet1!N1276:N4074,0))</f>
        <v>227</v>
      </c>
    </row>
    <row r="1277" spans="1:1" x14ac:dyDescent="0.3">
      <c r="A1277">
        <f>INDEX(Sheet1!B1277:B4075,MATCH(MAX(Sheet1!N1277:N4075),Sheet1!N1277:N4075,0))</f>
        <v>227</v>
      </c>
    </row>
    <row r="1278" spans="1:1" x14ac:dyDescent="0.3">
      <c r="A1278">
        <f>INDEX(Sheet1!B1278:B4076,MATCH(MAX(Sheet1!N1278:N4076),Sheet1!N1278:N4076,0))</f>
        <v>227</v>
      </c>
    </row>
    <row r="1279" spans="1:1" x14ac:dyDescent="0.3">
      <c r="A1279">
        <f>INDEX(Sheet1!B1279:B4077,MATCH(MAX(Sheet1!N1279:N4077),Sheet1!N1279:N4077,0))</f>
        <v>227</v>
      </c>
    </row>
    <row r="1280" spans="1:1" x14ac:dyDescent="0.3">
      <c r="A1280">
        <f>INDEX(Sheet1!B1280:B4078,MATCH(MAX(Sheet1!N1280:N4078),Sheet1!N1280:N4078,0))</f>
        <v>227</v>
      </c>
    </row>
    <row r="1281" spans="1:1" x14ac:dyDescent="0.3">
      <c r="A1281">
        <f>INDEX(Sheet1!B1281:B4079,MATCH(MAX(Sheet1!N1281:N4079),Sheet1!N1281:N4079,0))</f>
        <v>227</v>
      </c>
    </row>
    <row r="1282" spans="1:1" x14ac:dyDescent="0.3">
      <c r="A1282">
        <f>INDEX(Sheet1!B1282:B4080,MATCH(MAX(Sheet1!N1282:N4080),Sheet1!N1282:N4080,0))</f>
        <v>227</v>
      </c>
    </row>
    <row r="1283" spans="1:1" x14ac:dyDescent="0.3">
      <c r="A1283">
        <f>INDEX(Sheet1!B1283:B4081,MATCH(MAX(Sheet1!N1283:N4081),Sheet1!N1283:N4081,0))</f>
        <v>227</v>
      </c>
    </row>
    <row r="1284" spans="1:1" x14ac:dyDescent="0.3">
      <c r="A1284">
        <f>INDEX(Sheet1!B1284:B4082,MATCH(MAX(Sheet1!N1284:N4082),Sheet1!N1284:N4082,0))</f>
        <v>227</v>
      </c>
    </row>
    <row r="1285" spans="1:1" x14ac:dyDescent="0.3">
      <c r="A1285">
        <f>INDEX(Sheet1!B1285:B4083,MATCH(MAX(Sheet1!N1285:N4083),Sheet1!N1285:N4083,0))</f>
        <v>227</v>
      </c>
    </row>
    <row r="1286" spans="1:1" x14ac:dyDescent="0.3">
      <c r="A1286">
        <f>INDEX(Sheet1!B1286:B4084,MATCH(MAX(Sheet1!N1286:N4084),Sheet1!N1286:N4084,0))</f>
        <v>227</v>
      </c>
    </row>
    <row r="1287" spans="1:1" x14ac:dyDescent="0.3">
      <c r="A1287">
        <f>INDEX(Sheet1!B1287:B4085,MATCH(MAX(Sheet1!N1287:N4085),Sheet1!N1287:N4085,0))</f>
        <v>227</v>
      </c>
    </row>
    <row r="1288" spans="1:1" x14ac:dyDescent="0.3">
      <c r="A1288">
        <f>INDEX(Sheet1!B1288:B4086,MATCH(MAX(Sheet1!N1288:N4086),Sheet1!N1288:N4086,0))</f>
        <v>228</v>
      </c>
    </row>
    <row r="1289" spans="1:1" x14ac:dyDescent="0.3">
      <c r="A1289">
        <f>INDEX(Sheet1!B1289:B4087,MATCH(MAX(Sheet1!N1289:N4087),Sheet1!N1289:N4087,0))</f>
        <v>228</v>
      </c>
    </row>
    <row r="1290" spans="1:1" x14ac:dyDescent="0.3">
      <c r="A1290">
        <f>INDEX(Sheet1!B1290:B4088,MATCH(MAX(Sheet1!N1290:N4088),Sheet1!N1290:N4088,0))</f>
        <v>228</v>
      </c>
    </row>
    <row r="1291" spans="1:1" x14ac:dyDescent="0.3">
      <c r="A1291">
        <f>INDEX(Sheet1!B1291:B4089,MATCH(MAX(Sheet1!N1291:N4089),Sheet1!N1291:N4089,0))</f>
        <v>228</v>
      </c>
    </row>
    <row r="1292" spans="1:1" x14ac:dyDescent="0.3">
      <c r="A1292">
        <f>INDEX(Sheet1!B1292:B4090,MATCH(MAX(Sheet1!N1292:N4090),Sheet1!N1292:N4090,0))</f>
        <v>228</v>
      </c>
    </row>
    <row r="1293" spans="1:1" x14ac:dyDescent="0.3">
      <c r="A1293">
        <f>INDEX(Sheet1!B1293:B4091,MATCH(MAX(Sheet1!N1293:N4091),Sheet1!N1293:N4091,0))</f>
        <v>229</v>
      </c>
    </row>
    <row r="1294" spans="1:1" x14ac:dyDescent="0.3">
      <c r="A1294">
        <f>INDEX(Sheet1!B1294:B4092,MATCH(MAX(Sheet1!N1294:N4092),Sheet1!N1294:N4092,0))</f>
        <v>229</v>
      </c>
    </row>
    <row r="1295" spans="1:1" x14ac:dyDescent="0.3">
      <c r="A1295">
        <f>INDEX(Sheet1!B1295:B4093,MATCH(MAX(Sheet1!N1295:N4093),Sheet1!N1295:N4093,0))</f>
        <v>229</v>
      </c>
    </row>
    <row r="1296" spans="1:1" x14ac:dyDescent="0.3">
      <c r="A1296">
        <f>INDEX(Sheet1!B1296:B4094,MATCH(MAX(Sheet1!N1296:N4094),Sheet1!N1296:N4094,0))</f>
        <v>229</v>
      </c>
    </row>
    <row r="1297" spans="1:1" x14ac:dyDescent="0.3">
      <c r="A1297">
        <f>INDEX(Sheet1!B1297:B4095,MATCH(MAX(Sheet1!N1297:N4095),Sheet1!N1297:N4095,0))</f>
        <v>229</v>
      </c>
    </row>
    <row r="1298" spans="1:1" x14ac:dyDescent="0.3">
      <c r="A1298">
        <f>INDEX(Sheet1!B1298:B4096,MATCH(MAX(Sheet1!N1298:N4096),Sheet1!N1298:N4096,0))</f>
        <v>230</v>
      </c>
    </row>
    <row r="1299" spans="1:1" x14ac:dyDescent="0.3">
      <c r="A1299">
        <f>INDEX(Sheet1!B1299:B4097,MATCH(MAX(Sheet1!N1299:N4097),Sheet1!N1299:N4097,0))</f>
        <v>230</v>
      </c>
    </row>
    <row r="1300" spans="1:1" x14ac:dyDescent="0.3">
      <c r="A1300">
        <f>INDEX(Sheet1!B1300:B4098,MATCH(MAX(Sheet1!N1300:N4098),Sheet1!N1300:N4098,0))</f>
        <v>230</v>
      </c>
    </row>
    <row r="1301" spans="1:1" x14ac:dyDescent="0.3">
      <c r="A1301">
        <f>INDEX(Sheet1!B1301:B4099,MATCH(MAX(Sheet1!N1301:N4099),Sheet1!N1301:N4099,0))</f>
        <v>230</v>
      </c>
    </row>
    <row r="1302" spans="1:1" x14ac:dyDescent="0.3">
      <c r="A1302">
        <f>INDEX(Sheet1!B1302:B4100,MATCH(MAX(Sheet1!N1302:N4100),Sheet1!N1302:N4100,0))</f>
        <v>230</v>
      </c>
    </row>
    <row r="1303" spans="1:1" x14ac:dyDescent="0.3">
      <c r="A1303">
        <f>INDEX(Sheet1!B1303:B4101,MATCH(MAX(Sheet1!N1303:N4101),Sheet1!N1303:N4101,0))</f>
        <v>232</v>
      </c>
    </row>
    <row r="1304" spans="1:1" x14ac:dyDescent="0.3">
      <c r="A1304">
        <f>INDEX(Sheet1!B1304:B4102,MATCH(MAX(Sheet1!N1304:N4102),Sheet1!N1304:N4102,0))</f>
        <v>232</v>
      </c>
    </row>
    <row r="1305" spans="1:1" x14ac:dyDescent="0.3">
      <c r="A1305">
        <f>INDEX(Sheet1!B1305:B4103,MATCH(MAX(Sheet1!N1305:N4103),Sheet1!N1305:N4103,0))</f>
        <v>234</v>
      </c>
    </row>
    <row r="1306" spans="1:1" x14ac:dyDescent="0.3">
      <c r="A1306">
        <f>INDEX(Sheet1!B1306:B4104,MATCH(MAX(Sheet1!N1306:N4104),Sheet1!N1306:N4104,0))</f>
        <v>234</v>
      </c>
    </row>
    <row r="1307" spans="1:1" x14ac:dyDescent="0.3">
      <c r="A1307">
        <f>INDEX(Sheet1!B1307:B4105,MATCH(MAX(Sheet1!N1307:N4105),Sheet1!N1307:N4105,0))</f>
        <v>234</v>
      </c>
    </row>
    <row r="1308" spans="1:1" x14ac:dyDescent="0.3">
      <c r="A1308">
        <f>INDEX(Sheet1!B1308:B4106,MATCH(MAX(Sheet1!N1308:N4106),Sheet1!N1308:N4106,0))</f>
        <v>234</v>
      </c>
    </row>
    <row r="1309" spans="1:1" x14ac:dyDescent="0.3">
      <c r="A1309">
        <f>INDEX(Sheet1!B1309:B4107,MATCH(MAX(Sheet1!N1309:N4107),Sheet1!N1309:N4107,0))</f>
        <v>234</v>
      </c>
    </row>
    <row r="1310" spans="1:1" x14ac:dyDescent="0.3">
      <c r="A1310">
        <f>INDEX(Sheet1!B1310:B4108,MATCH(MAX(Sheet1!N1310:N4108),Sheet1!N1310:N4108,0))</f>
        <v>234</v>
      </c>
    </row>
    <row r="1311" spans="1:1" x14ac:dyDescent="0.3">
      <c r="A1311">
        <f>INDEX(Sheet1!B1311:B4109,MATCH(MAX(Sheet1!N1311:N4109),Sheet1!N1311:N4109,0))</f>
        <v>234</v>
      </c>
    </row>
    <row r="1312" spans="1:1" x14ac:dyDescent="0.3">
      <c r="A1312">
        <f>INDEX(Sheet1!B1312:B4110,MATCH(MAX(Sheet1!N1312:N4110),Sheet1!N1312:N4110,0))</f>
        <v>234</v>
      </c>
    </row>
    <row r="1313" spans="1:1" x14ac:dyDescent="0.3">
      <c r="A1313">
        <f>INDEX(Sheet1!B1313:B4111,MATCH(MAX(Sheet1!N1313:N4111),Sheet1!N1313:N4111,0))</f>
        <v>234</v>
      </c>
    </row>
    <row r="1314" spans="1:1" x14ac:dyDescent="0.3">
      <c r="A1314">
        <f>INDEX(Sheet1!B1314:B4112,MATCH(MAX(Sheet1!N1314:N4112),Sheet1!N1314:N4112,0))</f>
        <v>234</v>
      </c>
    </row>
    <row r="1315" spans="1:1" x14ac:dyDescent="0.3">
      <c r="A1315">
        <f>INDEX(Sheet1!B1315:B4113,MATCH(MAX(Sheet1!N1315:N4113),Sheet1!N1315:N4113,0))</f>
        <v>234</v>
      </c>
    </row>
    <row r="1316" spans="1:1" x14ac:dyDescent="0.3">
      <c r="A1316">
        <f>INDEX(Sheet1!B1316:B4114,MATCH(MAX(Sheet1!N1316:N4114),Sheet1!N1316:N4114,0))</f>
        <v>235</v>
      </c>
    </row>
    <row r="1317" spans="1:1" x14ac:dyDescent="0.3">
      <c r="A1317">
        <f>INDEX(Sheet1!B1317:B4115,MATCH(MAX(Sheet1!N1317:N4115),Sheet1!N1317:N4115,0))</f>
        <v>235</v>
      </c>
    </row>
    <row r="1318" spans="1:1" x14ac:dyDescent="0.3">
      <c r="A1318">
        <f>INDEX(Sheet1!B1318:B4116,MATCH(MAX(Sheet1!N1318:N4116),Sheet1!N1318:N4116,0))</f>
        <v>235</v>
      </c>
    </row>
    <row r="1319" spans="1:1" x14ac:dyDescent="0.3">
      <c r="A1319">
        <f>INDEX(Sheet1!B1319:B4117,MATCH(MAX(Sheet1!N1319:N4117),Sheet1!N1319:N4117,0))</f>
        <v>235</v>
      </c>
    </row>
    <row r="1320" spans="1:1" x14ac:dyDescent="0.3">
      <c r="A1320">
        <f>INDEX(Sheet1!B1320:B4118,MATCH(MAX(Sheet1!N1320:N4118),Sheet1!N1320:N4118,0))</f>
        <v>235</v>
      </c>
    </row>
    <row r="1321" spans="1:1" x14ac:dyDescent="0.3">
      <c r="A1321">
        <f>INDEX(Sheet1!B1321:B4119,MATCH(MAX(Sheet1!N1321:N4119),Sheet1!N1321:N4119,0))</f>
        <v>235</v>
      </c>
    </row>
    <row r="1322" spans="1:1" x14ac:dyDescent="0.3">
      <c r="A1322">
        <f>INDEX(Sheet1!B1322:B4120,MATCH(MAX(Sheet1!N1322:N4120),Sheet1!N1322:N4120,0))</f>
        <v>235</v>
      </c>
    </row>
    <row r="1323" spans="1:1" x14ac:dyDescent="0.3">
      <c r="A1323">
        <f>INDEX(Sheet1!B1323:B4121,MATCH(MAX(Sheet1!N1323:N4121),Sheet1!N1323:N4121,0))</f>
        <v>235</v>
      </c>
    </row>
    <row r="1324" spans="1:1" x14ac:dyDescent="0.3">
      <c r="A1324">
        <f>INDEX(Sheet1!B1324:B4122,MATCH(MAX(Sheet1!N1324:N4122),Sheet1!N1324:N4122,0))</f>
        <v>235</v>
      </c>
    </row>
    <row r="1325" spans="1:1" x14ac:dyDescent="0.3">
      <c r="A1325">
        <f>INDEX(Sheet1!B1325:B4123,MATCH(MAX(Sheet1!N1325:N4123),Sheet1!N1325:N4123,0))</f>
        <v>235</v>
      </c>
    </row>
    <row r="1326" spans="1:1" x14ac:dyDescent="0.3">
      <c r="A1326">
        <f>INDEX(Sheet1!B1326:B4124,MATCH(MAX(Sheet1!N1326:N4124),Sheet1!N1326:N4124,0))</f>
        <v>235</v>
      </c>
    </row>
    <row r="1327" spans="1:1" x14ac:dyDescent="0.3">
      <c r="A1327">
        <f>INDEX(Sheet1!B1327:B4125,MATCH(MAX(Sheet1!N1327:N4125),Sheet1!N1327:N4125,0))</f>
        <v>235</v>
      </c>
    </row>
    <row r="1328" spans="1:1" x14ac:dyDescent="0.3">
      <c r="A1328">
        <f>INDEX(Sheet1!B1328:B4126,MATCH(MAX(Sheet1!N1328:N4126),Sheet1!N1328:N4126,0))</f>
        <v>235</v>
      </c>
    </row>
    <row r="1329" spans="1:1" x14ac:dyDescent="0.3">
      <c r="A1329">
        <f>INDEX(Sheet1!B1329:B4127,MATCH(MAX(Sheet1!N1329:N4127),Sheet1!N1329:N4127,0))</f>
        <v>237</v>
      </c>
    </row>
    <row r="1330" spans="1:1" x14ac:dyDescent="0.3">
      <c r="A1330">
        <f>INDEX(Sheet1!B1330:B4128,MATCH(MAX(Sheet1!N1330:N4128),Sheet1!N1330:N4128,0))</f>
        <v>237</v>
      </c>
    </row>
    <row r="1331" spans="1:1" x14ac:dyDescent="0.3">
      <c r="A1331">
        <f>INDEX(Sheet1!B1331:B4129,MATCH(MAX(Sheet1!N1331:N4129),Sheet1!N1331:N4129,0))</f>
        <v>237</v>
      </c>
    </row>
    <row r="1332" spans="1:1" x14ac:dyDescent="0.3">
      <c r="A1332">
        <f>INDEX(Sheet1!B1332:B4130,MATCH(MAX(Sheet1!N1332:N4130),Sheet1!N1332:N4130,0))</f>
        <v>237</v>
      </c>
    </row>
    <row r="1333" spans="1:1" x14ac:dyDescent="0.3">
      <c r="A1333">
        <f>INDEX(Sheet1!B1333:B4131,MATCH(MAX(Sheet1!N1333:N4131),Sheet1!N1333:N4131,0))</f>
        <v>237</v>
      </c>
    </row>
    <row r="1334" spans="1:1" x14ac:dyDescent="0.3">
      <c r="A1334">
        <f>INDEX(Sheet1!B1334:B4132,MATCH(MAX(Sheet1!N1334:N4132),Sheet1!N1334:N4132,0))</f>
        <v>237</v>
      </c>
    </row>
    <row r="1335" spans="1:1" x14ac:dyDescent="0.3">
      <c r="A1335">
        <f>INDEX(Sheet1!B1335:B4133,MATCH(MAX(Sheet1!N1335:N4133),Sheet1!N1335:N4133,0))</f>
        <v>237</v>
      </c>
    </row>
    <row r="1336" spans="1:1" x14ac:dyDescent="0.3">
      <c r="A1336">
        <f>INDEX(Sheet1!B1336:B4134,MATCH(MAX(Sheet1!N1336:N4134),Sheet1!N1336:N4134,0))</f>
        <v>237</v>
      </c>
    </row>
    <row r="1337" spans="1:1" x14ac:dyDescent="0.3">
      <c r="A1337">
        <f>INDEX(Sheet1!B1337:B4135,MATCH(MAX(Sheet1!N1337:N4135),Sheet1!N1337:N4135,0))</f>
        <v>237</v>
      </c>
    </row>
    <row r="1338" spans="1:1" x14ac:dyDescent="0.3">
      <c r="A1338">
        <f>INDEX(Sheet1!B1338:B4136,MATCH(MAX(Sheet1!N1338:N4136),Sheet1!N1338:N4136,0))</f>
        <v>238</v>
      </c>
    </row>
    <row r="1339" spans="1:1" x14ac:dyDescent="0.3">
      <c r="A1339">
        <f>INDEX(Sheet1!B1339:B4137,MATCH(MAX(Sheet1!N1339:N4137),Sheet1!N1339:N4137,0))</f>
        <v>238</v>
      </c>
    </row>
    <row r="1340" spans="1:1" x14ac:dyDescent="0.3">
      <c r="A1340">
        <f>INDEX(Sheet1!B1340:B4138,MATCH(MAX(Sheet1!N1340:N4138),Sheet1!N1340:N4138,0))</f>
        <v>238</v>
      </c>
    </row>
    <row r="1341" spans="1:1" x14ac:dyDescent="0.3">
      <c r="A1341">
        <f>INDEX(Sheet1!B1341:B4139,MATCH(MAX(Sheet1!N1341:N4139),Sheet1!N1341:N4139,0))</f>
        <v>238</v>
      </c>
    </row>
    <row r="1342" spans="1:1" x14ac:dyDescent="0.3">
      <c r="A1342">
        <f>INDEX(Sheet1!B1342:B4140,MATCH(MAX(Sheet1!N1342:N4140),Sheet1!N1342:N4140,0))</f>
        <v>239</v>
      </c>
    </row>
    <row r="1343" spans="1:1" x14ac:dyDescent="0.3">
      <c r="A1343">
        <f>INDEX(Sheet1!B1343:B4141,MATCH(MAX(Sheet1!N1343:N4141),Sheet1!N1343:N4141,0))</f>
        <v>239</v>
      </c>
    </row>
    <row r="1344" spans="1:1" x14ac:dyDescent="0.3">
      <c r="A1344">
        <f>INDEX(Sheet1!B1344:B4142,MATCH(MAX(Sheet1!N1344:N4142),Sheet1!N1344:N4142,0))</f>
        <v>239</v>
      </c>
    </row>
    <row r="1345" spans="1:1" x14ac:dyDescent="0.3">
      <c r="A1345">
        <f>INDEX(Sheet1!B1345:B4143,MATCH(MAX(Sheet1!N1345:N4143),Sheet1!N1345:N4143,0))</f>
        <v>239</v>
      </c>
    </row>
    <row r="1346" spans="1:1" x14ac:dyDescent="0.3">
      <c r="A1346">
        <f>INDEX(Sheet1!B1346:B4144,MATCH(MAX(Sheet1!N1346:N4144),Sheet1!N1346:N4144,0))</f>
        <v>239</v>
      </c>
    </row>
    <row r="1347" spans="1:1" x14ac:dyDescent="0.3">
      <c r="A1347">
        <f>INDEX(Sheet1!B1347:B4145,MATCH(MAX(Sheet1!N1347:N4145),Sheet1!N1347:N4145,0))</f>
        <v>239</v>
      </c>
    </row>
    <row r="1348" spans="1:1" x14ac:dyDescent="0.3">
      <c r="A1348">
        <f>INDEX(Sheet1!B1348:B4146,MATCH(MAX(Sheet1!N1348:N4146),Sheet1!N1348:N4146,0))</f>
        <v>239</v>
      </c>
    </row>
    <row r="1349" spans="1:1" x14ac:dyDescent="0.3">
      <c r="A1349">
        <f>INDEX(Sheet1!B1349:B4147,MATCH(MAX(Sheet1!N1349:N4147),Sheet1!N1349:N4147,0))</f>
        <v>239</v>
      </c>
    </row>
    <row r="1350" spans="1:1" x14ac:dyDescent="0.3">
      <c r="A1350">
        <f>INDEX(Sheet1!B1350:B4148,MATCH(MAX(Sheet1!N1350:N4148),Sheet1!N1350:N4148,0))</f>
        <v>239</v>
      </c>
    </row>
    <row r="1351" spans="1:1" x14ac:dyDescent="0.3">
      <c r="A1351">
        <f>INDEX(Sheet1!B1351:B4149,MATCH(MAX(Sheet1!N1351:N4149),Sheet1!N1351:N4149,0))</f>
        <v>240</v>
      </c>
    </row>
    <row r="1352" spans="1:1" x14ac:dyDescent="0.3">
      <c r="A1352">
        <f>INDEX(Sheet1!B1352:B4150,MATCH(MAX(Sheet1!N1352:N4150),Sheet1!N1352:N4150,0))</f>
        <v>240</v>
      </c>
    </row>
    <row r="1353" spans="1:1" x14ac:dyDescent="0.3">
      <c r="A1353">
        <f>INDEX(Sheet1!B1353:B4151,MATCH(MAX(Sheet1!N1353:N4151),Sheet1!N1353:N4151,0))</f>
        <v>240</v>
      </c>
    </row>
    <row r="1354" spans="1:1" x14ac:dyDescent="0.3">
      <c r="A1354">
        <f>INDEX(Sheet1!B1354:B4152,MATCH(MAX(Sheet1!N1354:N4152),Sheet1!N1354:N4152,0))</f>
        <v>240</v>
      </c>
    </row>
    <row r="1355" spans="1:1" x14ac:dyDescent="0.3">
      <c r="A1355">
        <f>INDEX(Sheet1!B1355:B4153,MATCH(MAX(Sheet1!N1355:N4153),Sheet1!N1355:N4153,0))</f>
        <v>240</v>
      </c>
    </row>
    <row r="1356" spans="1:1" x14ac:dyDescent="0.3">
      <c r="A1356">
        <f>INDEX(Sheet1!B1356:B4154,MATCH(MAX(Sheet1!N1356:N4154),Sheet1!N1356:N4154,0))</f>
        <v>240</v>
      </c>
    </row>
    <row r="1357" spans="1:1" x14ac:dyDescent="0.3">
      <c r="A1357">
        <f>INDEX(Sheet1!B1357:B4155,MATCH(MAX(Sheet1!N1357:N4155),Sheet1!N1357:N4155,0))</f>
        <v>240</v>
      </c>
    </row>
    <row r="1358" spans="1:1" x14ac:dyDescent="0.3">
      <c r="A1358">
        <f>INDEX(Sheet1!B1358:B4156,MATCH(MAX(Sheet1!N1358:N4156),Sheet1!N1358:N4156,0))</f>
        <v>241</v>
      </c>
    </row>
    <row r="1359" spans="1:1" x14ac:dyDescent="0.3">
      <c r="A1359">
        <f>INDEX(Sheet1!B1359:B4157,MATCH(MAX(Sheet1!N1359:N4157),Sheet1!N1359:N4157,0))</f>
        <v>241</v>
      </c>
    </row>
    <row r="1360" spans="1:1" x14ac:dyDescent="0.3">
      <c r="A1360">
        <f>INDEX(Sheet1!B1360:B4158,MATCH(MAX(Sheet1!N1360:N4158),Sheet1!N1360:N4158,0))</f>
        <v>241</v>
      </c>
    </row>
    <row r="1361" spans="1:1" x14ac:dyDescent="0.3">
      <c r="A1361">
        <f>INDEX(Sheet1!B1361:B4159,MATCH(MAX(Sheet1!N1361:N4159),Sheet1!N1361:N4159,0))</f>
        <v>241</v>
      </c>
    </row>
    <row r="1362" spans="1:1" x14ac:dyDescent="0.3">
      <c r="A1362">
        <f>INDEX(Sheet1!B1362:B4160,MATCH(MAX(Sheet1!N1362:N4160),Sheet1!N1362:N4160,0))</f>
        <v>241</v>
      </c>
    </row>
    <row r="1363" spans="1:1" x14ac:dyDescent="0.3">
      <c r="A1363">
        <f>INDEX(Sheet1!B1363:B4161,MATCH(MAX(Sheet1!N1363:N4161),Sheet1!N1363:N4161,0))</f>
        <v>241</v>
      </c>
    </row>
    <row r="1364" spans="1:1" x14ac:dyDescent="0.3">
      <c r="A1364">
        <f>INDEX(Sheet1!B1364:B4162,MATCH(MAX(Sheet1!N1364:N4162),Sheet1!N1364:N4162,0))</f>
        <v>242</v>
      </c>
    </row>
    <row r="1365" spans="1:1" x14ac:dyDescent="0.3">
      <c r="A1365">
        <f>INDEX(Sheet1!B1365:B4163,MATCH(MAX(Sheet1!N1365:N4163),Sheet1!N1365:N4163,0))</f>
        <v>242</v>
      </c>
    </row>
    <row r="1366" spans="1:1" x14ac:dyDescent="0.3">
      <c r="A1366">
        <f>INDEX(Sheet1!B1366:B4164,MATCH(MAX(Sheet1!N1366:N4164),Sheet1!N1366:N4164,0))</f>
        <v>242</v>
      </c>
    </row>
    <row r="1367" spans="1:1" x14ac:dyDescent="0.3">
      <c r="A1367">
        <f>INDEX(Sheet1!B1367:B4165,MATCH(MAX(Sheet1!N1367:N4165),Sheet1!N1367:N4165,0))</f>
        <v>242</v>
      </c>
    </row>
    <row r="1368" spans="1:1" x14ac:dyDescent="0.3">
      <c r="A1368">
        <f>INDEX(Sheet1!B1368:B4166,MATCH(MAX(Sheet1!N1368:N4166),Sheet1!N1368:N4166,0))</f>
        <v>243</v>
      </c>
    </row>
    <row r="1369" spans="1:1" x14ac:dyDescent="0.3">
      <c r="A1369">
        <f>INDEX(Sheet1!B1369:B4167,MATCH(MAX(Sheet1!N1369:N4167),Sheet1!N1369:N4167,0))</f>
        <v>243</v>
      </c>
    </row>
    <row r="1370" spans="1:1" x14ac:dyDescent="0.3">
      <c r="A1370">
        <f>INDEX(Sheet1!B1370:B4168,MATCH(MAX(Sheet1!N1370:N4168),Sheet1!N1370:N4168,0))</f>
        <v>243</v>
      </c>
    </row>
    <row r="1371" spans="1:1" x14ac:dyDescent="0.3">
      <c r="A1371">
        <f>INDEX(Sheet1!B1371:B4169,MATCH(MAX(Sheet1!N1371:N4169),Sheet1!N1371:N4169,0))</f>
        <v>243</v>
      </c>
    </row>
    <row r="1372" spans="1:1" x14ac:dyDescent="0.3">
      <c r="A1372">
        <f>INDEX(Sheet1!B1372:B4170,MATCH(MAX(Sheet1!N1372:N4170),Sheet1!N1372:N4170,0))</f>
        <v>243</v>
      </c>
    </row>
    <row r="1373" spans="1:1" x14ac:dyDescent="0.3">
      <c r="A1373">
        <f>INDEX(Sheet1!B1373:B4171,MATCH(MAX(Sheet1!N1373:N4171),Sheet1!N1373:N4171,0))</f>
        <v>243</v>
      </c>
    </row>
    <row r="1374" spans="1:1" x14ac:dyDescent="0.3">
      <c r="A1374">
        <f>INDEX(Sheet1!B1374:B4172,MATCH(MAX(Sheet1!N1374:N4172),Sheet1!N1374:N4172,0))</f>
        <v>243</v>
      </c>
    </row>
    <row r="1375" spans="1:1" x14ac:dyDescent="0.3">
      <c r="A1375">
        <f>INDEX(Sheet1!B1375:B4173,MATCH(MAX(Sheet1!N1375:N4173),Sheet1!N1375:N4173,0))</f>
        <v>244</v>
      </c>
    </row>
    <row r="1376" spans="1:1" x14ac:dyDescent="0.3">
      <c r="A1376">
        <f>INDEX(Sheet1!B1376:B4174,MATCH(MAX(Sheet1!N1376:N4174),Sheet1!N1376:N4174,0))</f>
        <v>244</v>
      </c>
    </row>
    <row r="1377" spans="1:1" x14ac:dyDescent="0.3">
      <c r="A1377">
        <f>INDEX(Sheet1!B1377:B4175,MATCH(MAX(Sheet1!N1377:N4175),Sheet1!N1377:N4175,0))</f>
        <v>244</v>
      </c>
    </row>
    <row r="1378" spans="1:1" x14ac:dyDescent="0.3">
      <c r="A1378">
        <f>INDEX(Sheet1!B1378:B4176,MATCH(MAX(Sheet1!N1378:N4176),Sheet1!N1378:N4176,0))</f>
        <v>244</v>
      </c>
    </row>
    <row r="1379" spans="1:1" x14ac:dyDescent="0.3">
      <c r="A1379">
        <f>INDEX(Sheet1!B1379:B4177,MATCH(MAX(Sheet1!N1379:N4177),Sheet1!N1379:N4177,0))</f>
        <v>244</v>
      </c>
    </row>
    <row r="1380" spans="1:1" x14ac:dyDescent="0.3">
      <c r="A1380">
        <f>INDEX(Sheet1!B1380:B4178,MATCH(MAX(Sheet1!N1380:N4178),Sheet1!N1380:N4178,0))</f>
        <v>244</v>
      </c>
    </row>
    <row r="1381" spans="1:1" x14ac:dyDescent="0.3">
      <c r="A1381">
        <f>INDEX(Sheet1!B1381:B4179,MATCH(MAX(Sheet1!N1381:N4179),Sheet1!N1381:N4179,0))</f>
        <v>244</v>
      </c>
    </row>
    <row r="1382" spans="1:1" x14ac:dyDescent="0.3">
      <c r="A1382">
        <f>INDEX(Sheet1!B1382:B4180,MATCH(MAX(Sheet1!N1382:N4180),Sheet1!N1382:N4180,0))</f>
        <v>244</v>
      </c>
    </row>
    <row r="1383" spans="1:1" x14ac:dyDescent="0.3">
      <c r="A1383">
        <f>INDEX(Sheet1!B1383:B4181,MATCH(MAX(Sheet1!N1383:N4181),Sheet1!N1383:N4181,0))</f>
        <v>244</v>
      </c>
    </row>
    <row r="1384" spans="1:1" x14ac:dyDescent="0.3">
      <c r="A1384">
        <f>INDEX(Sheet1!B1384:B4182,MATCH(MAX(Sheet1!N1384:N4182),Sheet1!N1384:N4182,0))</f>
        <v>244</v>
      </c>
    </row>
    <row r="1385" spans="1:1" x14ac:dyDescent="0.3">
      <c r="A1385">
        <f>INDEX(Sheet1!B1385:B4183,MATCH(MAX(Sheet1!N1385:N4183),Sheet1!N1385:N4183,0))</f>
        <v>245</v>
      </c>
    </row>
    <row r="1386" spans="1:1" x14ac:dyDescent="0.3">
      <c r="A1386">
        <f>INDEX(Sheet1!B1386:B4184,MATCH(MAX(Sheet1!N1386:N4184),Sheet1!N1386:N4184,0))</f>
        <v>245</v>
      </c>
    </row>
    <row r="1387" spans="1:1" x14ac:dyDescent="0.3">
      <c r="A1387">
        <f>INDEX(Sheet1!B1387:B4185,MATCH(MAX(Sheet1!N1387:N4185),Sheet1!N1387:N4185,0))</f>
        <v>245</v>
      </c>
    </row>
    <row r="1388" spans="1:1" x14ac:dyDescent="0.3">
      <c r="A1388">
        <f>INDEX(Sheet1!B1388:B4186,MATCH(MAX(Sheet1!N1388:N4186),Sheet1!N1388:N4186,0))</f>
        <v>245</v>
      </c>
    </row>
    <row r="1389" spans="1:1" x14ac:dyDescent="0.3">
      <c r="A1389">
        <f>INDEX(Sheet1!B1389:B4187,MATCH(MAX(Sheet1!N1389:N4187),Sheet1!N1389:N4187,0))</f>
        <v>245</v>
      </c>
    </row>
    <row r="1390" spans="1:1" x14ac:dyDescent="0.3">
      <c r="A1390">
        <f>INDEX(Sheet1!B1390:B4188,MATCH(MAX(Sheet1!N1390:N4188),Sheet1!N1390:N4188,0))</f>
        <v>246</v>
      </c>
    </row>
    <row r="1391" spans="1:1" x14ac:dyDescent="0.3">
      <c r="A1391">
        <f>INDEX(Sheet1!B1391:B4189,MATCH(MAX(Sheet1!N1391:N4189),Sheet1!N1391:N4189,0))</f>
        <v>246</v>
      </c>
    </row>
    <row r="1392" spans="1:1" x14ac:dyDescent="0.3">
      <c r="A1392">
        <f>INDEX(Sheet1!B1392:B4190,MATCH(MAX(Sheet1!N1392:N4190),Sheet1!N1392:N4190,0))</f>
        <v>246</v>
      </c>
    </row>
    <row r="1393" spans="1:1" x14ac:dyDescent="0.3">
      <c r="A1393">
        <f>INDEX(Sheet1!B1393:B4191,MATCH(MAX(Sheet1!N1393:N4191),Sheet1!N1393:N4191,0))</f>
        <v>246</v>
      </c>
    </row>
    <row r="1394" spans="1:1" x14ac:dyDescent="0.3">
      <c r="A1394">
        <f>INDEX(Sheet1!B1394:B4192,MATCH(MAX(Sheet1!N1394:N4192),Sheet1!N1394:N4192,0))</f>
        <v>246</v>
      </c>
    </row>
    <row r="1395" spans="1:1" x14ac:dyDescent="0.3">
      <c r="A1395">
        <f>INDEX(Sheet1!B1395:B4193,MATCH(MAX(Sheet1!N1395:N4193),Sheet1!N1395:N4193,0))</f>
        <v>248</v>
      </c>
    </row>
    <row r="1396" spans="1:1" x14ac:dyDescent="0.3">
      <c r="A1396">
        <f>INDEX(Sheet1!B1396:B4194,MATCH(MAX(Sheet1!N1396:N4194),Sheet1!N1396:N4194,0))</f>
        <v>248</v>
      </c>
    </row>
    <row r="1397" spans="1:1" x14ac:dyDescent="0.3">
      <c r="A1397">
        <f>INDEX(Sheet1!B1397:B4195,MATCH(MAX(Sheet1!N1397:N4195),Sheet1!N1397:N4195,0))</f>
        <v>248</v>
      </c>
    </row>
    <row r="1398" spans="1:1" x14ac:dyDescent="0.3">
      <c r="A1398">
        <f>INDEX(Sheet1!B1398:B4196,MATCH(MAX(Sheet1!N1398:N4196),Sheet1!N1398:N4196,0))</f>
        <v>248</v>
      </c>
    </row>
    <row r="1399" spans="1:1" x14ac:dyDescent="0.3">
      <c r="A1399">
        <f>INDEX(Sheet1!B1399:B4197,MATCH(MAX(Sheet1!N1399:N4197),Sheet1!N1399:N4197,0))</f>
        <v>248</v>
      </c>
    </row>
    <row r="1400" spans="1:1" x14ac:dyDescent="0.3">
      <c r="A1400">
        <f>INDEX(Sheet1!B1400:B4198,MATCH(MAX(Sheet1!N1400:N4198),Sheet1!N1400:N4198,0))</f>
        <v>248</v>
      </c>
    </row>
    <row r="1401" spans="1:1" x14ac:dyDescent="0.3">
      <c r="A1401">
        <f>INDEX(Sheet1!B1401:B4199,MATCH(MAX(Sheet1!N1401:N4199),Sheet1!N1401:N4199,0))</f>
        <v>248</v>
      </c>
    </row>
    <row r="1402" spans="1:1" x14ac:dyDescent="0.3">
      <c r="A1402">
        <f>INDEX(Sheet1!B1402:B4200,MATCH(MAX(Sheet1!N1402:N4200),Sheet1!N1402:N4200,0))</f>
        <v>248</v>
      </c>
    </row>
    <row r="1403" spans="1:1" x14ac:dyDescent="0.3">
      <c r="A1403">
        <f>INDEX(Sheet1!B1403:B4201,MATCH(MAX(Sheet1!N1403:N4201),Sheet1!N1403:N4201,0))</f>
        <v>248</v>
      </c>
    </row>
    <row r="1404" spans="1:1" x14ac:dyDescent="0.3">
      <c r="A1404">
        <f>INDEX(Sheet1!B1404:B4202,MATCH(MAX(Sheet1!N1404:N4202),Sheet1!N1404:N4202,0))</f>
        <v>248</v>
      </c>
    </row>
    <row r="1405" spans="1:1" x14ac:dyDescent="0.3">
      <c r="A1405">
        <f>INDEX(Sheet1!B1405:B4203,MATCH(MAX(Sheet1!N1405:N4203),Sheet1!N1405:N4203,0))</f>
        <v>248</v>
      </c>
    </row>
    <row r="1406" spans="1:1" x14ac:dyDescent="0.3">
      <c r="A1406">
        <f>INDEX(Sheet1!B1406:B4204,MATCH(MAX(Sheet1!N1406:N4204),Sheet1!N1406:N4204,0))</f>
        <v>248</v>
      </c>
    </row>
    <row r="1407" spans="1:1" x14ac:dyDescent="0.3">
      <c r="A1407">
        <f>INDEX(Sheet1!B1407:B4205,MATCH(MAX(Sheet1!N1407:N4205),Sheet1!N1407:N4205,0))</f>
        <v>248</v>
      </c>
    </row>
    <row r="1408" spans="1:1" x14ac:dyDescent="0.3">
      <c r="A1408">
        <f>INDEX(Sheet1!B1408:B4206,MATCH(MAX(Sheet1!N1408:N4206),Sheet1!N1408:N4206,0))</f>
        <v>249</v>
      </c>
    </row>
    <row r="1409" spans="1:1" x14ac:dyDescent="0.3">
      <c r="A1409">
        <f>INDEX(Sheet1!B1409:B4207,MATCH(MAX(Sheet1!N1409:N4207),Sheet1!N1409:N4207,0))</f>
        <v>249</v>
      </c>
    </row>
    <row r="1410" spans="1:1" x14ac:dyDescent="0.3">
      <c r="A1410">
        <f>INDEX(Sheet1!B1410:B4208,MATCH(MAX(Sheet1!N1410:N4208),Sheet1!N1410:N4208,0))</f>
        <v>252</v>
      </c>
    </row>
    <row r="1411" spans="1:1" x14ac:dyDescent="0.3">
      <c r="A1411">
        <f>INDEX(Sheet1!B1411:B4209,MATCH(MAX(Sheet1!N1411:N4209),Sheet1!N1411:N4209,0))</f>
        <v>252</v>
      </c>
    </row>
    <row r="1412" spans="1:1" x14ac:dyDescent="0.3">
      <c r="A1412">
        <f>INDEX(Sheet1!B1412:B4210,MATCH(MAX(Sheet1!N1412:N4210),Sheet1!N1412:N4210,0))</f>
        <v>252</v>
      </c>
    </row>
    <row r="1413" spans="1:1" x14ac:dyDescent="0.3">
      <c r="A1413">
        <f>INDEX(Sheet1!B1413:B4211,MATCH(MAX(Sheet1!N1413:N4211),Sheet1!N1413:N4211,0))</f>
        <v>252</v>
      </c>
    </row>
    <row r="1414" spans="1:1" x14ac:dyDescent="0.3">
      <c r="A1414">
        <f>INDEX(Sheet1!B1414:B4212,MATCH(MAX(Sheet1!N1414:N4212),Sheet1!N1414:N4212,0))</f>
        <v>252</v>
      </c>
    </row>
    <row r="1415" spans="1:1" x14ac:dyDescent="0.3">
      <c r="A1415">
        <f>INDEX(Sheet1!B1415:B4213,MATCH(MAX(Sheet1!N1415:N4213),Sheet1!N1415:N4213,0))</f>
        <v>252</v>
      </c>
    </row>
    <row r="1416" spans="1:1" x14ac:dyDescent="0.3">
      <c r="A1416">
        <f>INDEX(Sheet1!B1416:B4214,MATCH(MAX(Sheet1!N1416:N4214),Sheet1!N1416:N4214,0))</f>
        <v>252</v>
      </c>
    </row>
    <row r="1417" spans="1:1" x14ac:dyDescent="0.3">
      <c r="A1417">
        <f>INDEX(Sheet1!B1417:B4215,MATCH(MAX(Sheet1!N1417:N4215),Sheet1!N1417:N4215,0))</f>
        <v>252</v>
      </c>
    </row>
    <row r="1418" spans="1:1" x14ac:dyDescent="0.3">
      <c r="A1418">
        <f>INDEX(Sheet1!B1418:B4216,MATCH(MAX(Sheet1!N1418:N4216),Sheet1!N1418:N4216,0))</f>
        <v>252</v>
      </c>
    </row>
    <row r="1419" spans="1:1" x14ac:dyDescent="0.3">
      <c r="A1419">
        <f>INDEX(Sheet1!B1419:B4217,MATCH(MAX(Sheet1!N1419:N4217),Sheet1!N1419:N4217,0))</f>
        <v>252</v>
      </c>
    </row>
    <row r="1420" spans="1:1" x14ac:dyDescent="0.3">
      <c r="A1420">
        <f>INDEX(Sheet1!B1420:B4218,MATCH(MAX(Sheet1!N1420:N4218),Sheet1!N1420:N4218,0))</f>
        <v>252</v>
      </c>
    </row>
    <row r="1421" spans="1:1" x14ac:dyDescent="0.3">
      <c r="A1421">
        <f>INDEX(Sheet1!B1421:B4219,MATCH(MAX(Sheet1!N1421:N4219),Sheet1!N1421:N4219,0))</f>
        <v>252</v>
      </c>
    </row>
    <row r="1422" spans="1:1" x14ac:dyDescent="0.3">
      <c r="A1422">
        <f>INDEX(Sheet1!B1422:B4220,MATCH(MAX(Sheet1!N1422:N4220),Sheet1!N1422:N4220,0))</f>
        <v>252</v>
      </c>
    </row>
    <row r="1423" spans="1:1" x14ac:dyDescent="0.3">
      <c r="A1423">
        <f>INDEX(Sheet1!B1423:B4221,MATCH(MAX(Sheet1!N1423:N4221),Sheet1!N1423:N4221,0))</f>
        <v>252</v>
      </c>
    </row>
    <row r="1424" spans="1:1" x14ac:dyDescent="0.3">
      <c r="A1424">
        <f>INDEX(Sheet1!B1424:B4222,MATCH(MAX(Sheet1!N1424:N4222),Sheet1!N1424:N4222,0))</f>
        <v>252</v>
      </c>
    </row>
    <row r="1425" spans="1:1" x14ac:dyDescent="0.3">
      <c r="A1425">
        <f>INDEX(Sheet1!B1425:B4223,MATCH(MAX(Sheet1!N1425:N4223),Sheet1!N1425:N4223,0))</f>
        <v>252</v>
      </c>
    </row>
    <row r="1426" spans="1:1" x14ac:dyDescent="0.3">
      <c r="A1426">
        <f>INDEX(Sheet1!B1426:B4224,MATCH(MAX(Sheet1!N1426:N4224),Sheet1!N1426:N4224,0))</f>
        <v>253</v>
      </c>
    </row>
    <row r="1427" spans="1:1" x14ac:dyDescent="0.3">
      <c r="A1427">
        <f>INDEX(Sheet1!B1427:B4225,MATCH(MAX(Sheet1!N1427:N4225),Sheet1!N1427:N4225,0))</f>
        <v>253</v>
      </c>
    </row>
    <row r="1428" spans="1:1" x14ac:dyDescent="0.3">
      <c r="A1428">
        <f>INDEX(Sheet1!B1428:B4226,MATCH(MAX(Sheet1!N1428:N4226),Sheet1!N1428:N4226,0))</f>
        <v>253</v>
      </c>
    </row>
    <row r="1429" spans="1:1" x14ac:dyDescent="0.3">
      <c r="A1429">
        <f>INDEX(Sheet1!B1429:B4227,MATCH(MAX(Sheet1!N1429:N4227),Sheet1!N1429:N4227,0))</f>
        <v>253</v>
      </c>
    </row>
    <row r="1430" spans="1:1" x14ac:dyDescent="0.3">
      <c r="A1430">
        <f>INDEX(Sheet1!B1430:B4228,MATCH(MAX(Sheet1!N1430:N4228),Sheet1!N1430:N4228,0))</f>
        <v>253</v>
      </c>
    </row>
    <row r="1431" spans="1:1" x14ac:dyDescent="0.3">
      <c r="A1431">
        <f>INDEX(Sheet1!B1431:B4229,MATCH(MAX(Sheet1!N1431:N4229),Sheet1!N1431:N4229,0))</f>
        <v>253</v>
      </c>
    </row>
    <row r="1432" spans="1:1" x14ac:dyDescent="0.3">
      <c r="A1432">
        <f>INDEX(Sheet1!B1432:B4230,MATCH(MAX(Sheet1!N1432:N4230),Sheet1!N1432:N4230,0))</f>
        <v>253</v>
      </c>
    </row>
    <row r="1433" spans="1:1" x14ac:dyDescent="0.3">
      <c r="A1433">
        <f>INDEX(Sheet1!B1433:B4231,MATCH(MAX(Sheet1!N1433:N4231),Sheet1!N1433:N4231,0))</f>
        <v>253</v>
      </c>
    </row>
    <row r="1434" spans="1:1" x14ac:dyDescent="0.3">
      <c r="A1434">
        <f>INDEX(Sheet1!B1434:B4232,MATCH(MAX(Sheet1!N1434:N4232),Sheet1!N1434:N4232,0))</f>
        <v>253</v>
      </c>
    </row>
    <row r="1435" spans="1:1" x14ac:dyDescent="0.3">
      <c r="A1435">
        <f>INDEX(Sheet1!B1435:B4233,MATCH(MAX(Sheet1!N1435:N4233),Sheet1!N1435:N4233,0))</f>
        <v>253</v>
      </c>
    </row>
    <row r="1436" spans="1:1" x14ac:dyDescent="0.3">
      <c r="A1436">
        <f>INDEX(Sheet1!B1436:B4234,MATCH(MAX(Sheet1!N1436:N4234),Sheet1!N1436:N4234,0))</f>
        <v>253</v>
      </c>
    </row>
    <row r="1437" spans="1:1" x14ac:dyDescent="0.3">
      <c r="A1437">
        <f>INDEX(Sheet1!B1437:B4235,MATCH(MAX(Sheet1!N1437:N4235),Sheet1!N1437:N4235,0))</f>
        <v>253</v>
      </c>
    </row>
    <row r="1438" spans="1:1" x14ac:dyDescent="0.3">
      <c r="A1438">
        <f>INDEX(Sheet1!B1438:B4236,MATCH(MAX(Sheet1!N1438:N4236),Sheet1!N1438:N4236,0))</f>
        <v>253</v>
      </c>
    </row>
    <row r="1439" spans="1:1" x14ac:dyDescent="0.3">
      <c r="A1439">
        <f>INDEX(Sheet1!B1439:B4237,MATCH(MAX(Sheet1!N1439:N4237),Sheet1!N1439:N4237,0))</f>
        <v>254</v>
      </c>
    </row>
    <row r="1440" spans="1:1" x14ac:dyDescent="0.3">
      <c r="A1440">
        <f>INDEX(Sheet1!B1440:B4238,MATCH(MAX(Sheet1!N1440:N4238),Sheet1!N1440:N4238,0))</f>
        <v>254</v>
      </c>
    </row>
    <row r="1441" spans="1:1" x14ac:dyDescent="0.3">
      <c r="A1441">
        <f>INDEX(Sheet1!B1441:B4239,MATCH(MAX(Sheet1!N1441:N4239),Sheet1!N1441:N4239,0))</f>
        <v>254</v>
      </c>
    </row>
    <row r="1442" spans="1:1" x14ac:dyDescent="0.3">
      <c r="A1442">
        <f>INDEX(Sheet1!B1442:B4240,MATCH(MAX(Sheet1!N1442:N4240),Sheet1!N1442:N4240,0))</f>
        <v>254</v>
      </c>
    </row>
    <row r="1443" spans="1:1" x14ac:dyDescent="0.3">
      <c r="A1443">
        <f>INDEX(Sheet1!B1443:B4241,MATCH(MAX(Sheet1!N1443:N4241),Sheet1!N1443:N4241,0))</f>
        <v>254</v>
      </c>
    </row>
    <row r="1444" spans="1:1" x14ac:dyDescent="0.3">
      <c r="A1444">
        <f>INDEX(Sheet1!B1444:B4242,MATCH(MAX(Sheet1!N1444:N4242),Sheet1!N1444:N4242,0))</f>
        <v>254</v>
      </c>
    </row>
    <row r="1445" spans="1:1" x14ac:dyDescent="0.3">
      <c r="A1445">
        <f>INDEX(Sheet1!B1445:B4243,MATCH(MAX(Sheet1!N1445:N4243),Sheet1!N1445:N4243,0))</f>
        <v>254</v>
      </c>
    </row>
    <row r="1446" spans="1:1" x14ac:dyDescent="0.3">
      <c r="A1446">
        <f>INDEX(Sheet1!B1446:B4244,MATCH(MAX(Sheet1!N1446:N4244),Sheet1!N1446:N4244,0))</f>
        <v>254</v>
      </c>
    </row>
    <row r="1447" spans="1:1" x14ac:dyDescent="0.3">
      <c r="A1447">
        <f>INDEX(Sheet1!B1447:B4245,MATCH(MAX(Sheet1!N1447:N4245),Sheet1!N1447:N4245,0))</f>
        <v>255</v>
      </c>
    </row>
    <row r="1448" spans="1:1" x14ac:dyDescent="0.3">
      <c r="A1448">
        <f>INDEX(Sheet1!B1448:B4246,MATCH(MAX(Sheet1!N1448:N4246),Sheet1!N1448:N4246,0))</f>
        <v>255</v>
      </c>
    </row>
    <row r="1449" spans="1:1" x14ac:dyDescent="0.3">
      <c r="A1449">
        <f>INDEX(Sheet1!B1449:B4247,MATCH(MAX(Sheet1!N1449:N4247),Sheet1!N1449:N4247,0))</f>
        <v>255</v>
      </c>
    </row>
    <row r="1450" spans="1:1" x14ac:dyDescent="0.3">
      <c r="A1450">
        <f>INDEX(Sheet1!B1450:B4248,MATCH(MAX(Sheet1!N1450:N4248),Sheet1!N1450:N4248,0))</f>
        <v>255</v>
      </c>
    </row>
    <row r="1451" spans="1:1" x14ac:dyDescent="0.3">
      <c r="A1451">
        <f>INDEX(Sheet1!B1451:B4249,MATCH(MAX(Sheet1!N1451:N4249),Sheet1!N1451:N4249,0))</f>
        <v>255</v>
      </c>
    </row>
    <row r="1452" spans="1:1" x14ac:dyDescent="0.3">
      <c r="A1452">
        <f>INDEX(Sheet1!B1452:B4250,MATCH(MAX(Sheet1!N1452:N4250),Sheet1!N1452:N4250,0))</f>
        <v>256</v>
      </c>
    </row>
    <row r="1453" spans="1:1" x14ac:dyDescent="0.3">
      <c r="A1453">
        <f>INDEX(Sheet1!B1453:B4251,MATCH(MAX(Sheet1!N1453:N4251),Sheet1!N1453:N4251,0))</f>
        <v>256</v>
      </c>
    </row>
    <row r="1454" spans="1:1" x14ac:dyDescent="0.3">
      <c r="A1454">
        <f>INDEX(Sheet1!B1454:B4252,MATCH(MAX(Sheet1!N1454:N4252),Sheet1!N1454:N4252,0))</f>
        <v>256</v>
      </c>
    </row>
    <row r="1455" spans="1:1" x14ac:dyDescent="0.3">
      <c r="A1455">
        <f>INDEX(Sheet1!B1455:B4253,MATCH(MAX(Sheet1!N1455:N4253),Sheet1!N1455:N4253,0))</f>
        <v>256</v>
      </c>
    </row>
    <row r="1456" spans="1:1" x14ac:dyDescent="0.3">
      <c r="A1456">
        <f>INDEX(Sheet1!B1456:B4254,MATCH(MAX(Sheet1!N1456:N4254),Sheet1!N1456:N4254,0))</f>
        <v>256</v>
      </c>
    </row>
    <row r="1457" spans="1:1" x14ac:dyDescent="0.3">
      <c r="A1457">
        <f>INDEX(Sheet1!B1457:B4255,MATCH(MAX(Sheet1!N1457:N4255),Sheet1!N1457:N4255,0))</f>
        <v>256</v>
      </c>
    </row>
    <row r="1458" spans="1:1" x14ac:dyDescent="0.3">
      <c r="A1458">
        <f>INDEX(Sheet1!B1458:B4256,MATCH(MAX(Sheet1!N1458:N4256),Sheet1!N1458:N4256,0))</f>
        <v>256</v>
      </c>
    </row>
    <row r="1459" spans="1:1" x14ac:dyDescent="0.3">
      <c r="A1459">
        <f>INDEX(Sheet1!B1459:B4257,MATCH(MAX(Sheet1!N1459:N4257),Sheet1!N1459:N4257,0))</f>
        <v>256</v>
      </c>
    </row>
    <row r="1460" spans="1:1" x14ac:dyDescent="0.3">
      <c r="A1460">
        <f>INDEX(Sheet1!B1460:B4258,MATCH(MAX(Sheet1!N1460:N4258),Sheet1!N1460:N4258,0))</f>
        <v>256</v>
      </c>
    </row>
    <row r="1461" spans="1:1" x14ac:dyDescent="0.3">
      <c r="A1461">
        <f>INDEX(Sheet1!B1461:B4259,MATCH(MAX(Sheet1!N1461:N4259),Sheet1!N1461:N4259,0))</f>
        <v>256</v>
      </c>
    </row>
    <row r="1462" spans="1:1" x14ac:dyDescent="0.3">
      <c r="A1462">
        <f>INDEX(Sheet1!B1462:B4260,MATCH(MAX(Sheet1!N1462:N4260),Sheet1!N1462:N4260,0))</f>
        <v>257</v>
      </c>
    </row>
    <row r="1463" spans="1:1" x14ac:dyDescent="0.3">
      <c r="A1463">
        <f>INDEX(Sheet1!B1463:B4261,MATCH(MAX(Sheet1!N1463:N4261),Sheet1!N1463:N4261,0))</f>
        <v>257</v>
      </c>
    </row>
    <row r="1464" spans="1:1" x14ac:dyDescent="0.3">
      <c r="A1464">
        <f>INDEX(Sheet1!B1464:B4262,MATCH(MAX(Sheet1!N1464:N4262),Sheet1!N1464:N4262,0))</f>
        <v>257</v>
      </c>
    </row>
    <row r="1465" spans="1:1" x14ac:dyDescent="0.3">
      <c r="A1465">
        <f>INDEX(Sheet1!B1465:B4263,MATCH(MAX(Sheet1!N1465:N4263),Sheet1!N1465:N4263,0))</f>
        <v>257</v>
      </c>
    </row>
    <row r="1466" spans="1:1" x14ac:dyDescent="0.3">
      <c r="A1466">
        <f>INDEX(Sheet1!B1466:B4264,MATCH(MAX(Sheet1!N1466:N4264),Sheet1!N1466:N4264,0))</f>
        <v>258</v>
      </c>
    </row>
    <row r="1467" spans="1:1" x14ac:dyDescent="0.3">
      <c r="A1467">
        <f>INDEX(Sheet1!B1467:B4265,MATCH(MAX(Sheet1!N1467:N4265),Sheet1!N1467:N4265,0))</f>
        <v>258</v>
      </c>
    </row>
    <row r="1468" spans="1:1" x14ac:dyDescent="0.3">
      <c r="A1468">
        <f>INDEX(Sheet1!B1468:B4266,MATCH(MAX(Sheet1!N1468:N4266),Sheet1!N1468:N4266,0))</f>
        <v>258</v>
      </c>
    </row>
    <row r="1469" spans="1:1" x14ac:dyDescent="0.3">
      <c r="A1469">
        <f>INDEX(Sheet1!B1469:B4267,MATCH(MAX(Sheet1!N1469:N4267),Sheet1!N1469:N4267,0))</f>
        <v>259</v>
      </c>
    </row>
    <row r="1470" spans="1:1" x14ac:dyDescent="0.3">
      <c r="A1470">
        <f>INDEX(Sheet1!B1470:B4268,MATCH(MAX(Sheet1!N1470:N4268),Sheet1!N1470:N4268,0))</f>
        <v>259</v>
      </c>
    </row>
    <row r="1471" spans="1:1" x14ac:dyDescent="0.3">
      <c r="A1471">
        <f>INDEX(Sheet1!B1471:B4269,MATCH(MAX(Sheet1!N1471:N4269),Sheet1!N1471:N4269,0))</f>
        <v>259</v>
      </c>
    </row>
    <row r="1472" spans="1:1" x14ac:dyDescent="0.3">
      <c r="A1472">
        <f>INDEX(Sheet1!B1472:B4270,MATCH(MAX(Sheet1!N1472:N4270),Sheet1!N1472:N4270,0))</f>
        <v>259</v>
      </c>
    </row>
    <row r="1473" spans="1:1" x14ac:dyDescent="0.3">
      <c r="A1473">
        <f>INDEX(Sheet1!B1473:B4271,MATCH(MAX(Sheet1!N1473:N4271),Sheet1!N1473:N4271,0))</f>
        <v>259</v>
      </c>
    </row>
    <row r="1474" spans="1:1" x14ac:dyDescent="0.3">
      <c r="A1474">
        <f>INDEX(Sheet1!B1474:B4272,MATCH(MAX(Sheet1!N1474:N4272),Sheet1!N1474:N4272,0))</f>
        <v>260</v>
      </c>
    </row>
    <row r="1475" spans="1:1" x14ac:dyDescent="0.3">
      <c r="A1475">
        <f>INDEX(Sheet1!B1475:B4273,MATCH(MAX(Sheet1!N1475:N4273),Sheet1!N1475:N4273,0))</f>
        <v>260</v>
      </c>
    </row>
    <row r="1476" spans="1:1" x14ac:dyDescent="0.3">
      <c r="A1476">
        <f>INDEX(Sheet1!B1476:B4274,MATCH(MAX(Sheet1!N1476:N4274),Sheet1!N1476:N4274,0))</f>
        <v>260</v>
      </c>
    </row>
    <row r="1477" spans="1:1" x14ac:dyDescent="0.3">
      <c r="A1477">
        <f>INDEX(Sheet1!B1477:B4275,MATCH(MAX(Sheet1!N1477:N4275),Sheet1!N1477:N4275,0))</f>
        <v>260</v>
      </c>
    </row>
    <row r="1478" spans="1:1" x14ac:dyDescent="0.3">
      <c r="A1478">
        <f>INDEX(Sheet1!B1478:B4276,MATCH(MAX(Sheet1!N1478:N4276),Sheet1!N1478:N4276,0))</f>
        <v>260</v>
      </c>
    </row>
    <row r="1479" spans="1:1" x14ac:dyDescent="0.3">
      <c r="A1479">
        <f>INDEX(Sheet1!B1479:B4277,MATCH(MAX(Sheet1!N1479:N4277),Sheet1!N1479:N4277,0))</f>
        <v>261</v>
      </c>
    </row>
    <row r="1480" spans="1:1" x14ac:dyDescent="0.3">
      <c r="A1480">
        <f>INDEX(Sheet1!B1480:B4278,MATCH(MAX(Sheet1!N1480:N4278),Sheet1!N1480:N4278,0))</f>
        <v>261</v>
      </c>
    </row>
    <row r="1481" spans="1:1" x14ac:dyDescent="0.3">
      <c r="A1481">
        <f>INDEX(Sheet1!B1481:B4279,MATCH(MAX(Sheet1!N1481:N4279),Sheet1!N1481:N4279,0))</f>
        <v>261</v>
      </c>
    </row>
    <row r="1482" spans="1:1" x14ac:dyDescent="0.3">
      <c r="A1482">
        <f>INDEX(Sheet1!B1482:B4280,MATCH(MAX(Sheet1!N1482:N4280),Sheet1!N1482:N4280,0))</f>
        <v>261</v>
      </c>
    </row>
    <row r="1483" spans="1:1" x14ac:dyDescent="0.3">
      <c r="A1483">
        <f>INDEX(Sheet1!B1483:B4281,MATCH(MAX(Sheet1!N1483:N4281),Sheet1!N1483:N4281,0))</f>
        <v>261</v>
      </c>
    </row>
    <row r="1484" spans="1:1" x14ac:dyDescent="0.3">
      <c r="A1484">
        <f>INDEX(Sheet1!B1484:B4282,MATCH(MAX(Sheet1!N1484:N4282),Sheet1!N1484:N4282,0))</f>
        <v>262</v>
      </c>
    </row>
    <row r="1485" spans="1:1" x14ac:dyDescent="0.3">
      <c r="A1485">
        <f>INDEX(Sheet1!B1485:B4283,MATCH(MAX(Sheet1!N1485:N4283),Sheet1!N1485:N4283,0))</f>
        <v>262</v>
      </c>
    </row>
    <row r="1486" spans="1:1" x14ac:dyDescent="0.3">
      <c r="A1486">
        <f>INDEX(Sheet1!B1486:B4284,MATCH(MAX(Sheet1!N1486:N4284),Sheet1!N1486:N4284,0))</f>
        <v>262</v>
      </c>
    </row>
    <row r="1487" spans="1:1" x14ac:dyDescent="0.3">
      <c r="A1487">
        <f>INDEX(Sheet1!B1487:B4285,MATCH(MAX(Sheet1!N1487:N4285),Sheet1!N1487:N4285,0))</f>
        <v>262</v>
      </c>
    </row>
    <row r="1488" spans="1:1" x14ac:dyDescent="0.3">
      <c r="A1488">
        <f>INDEX(Sheet1!B1488:B4286,MATCH(MAX(Sheet1!N1488:N4286),Sheet1!N1488:N4286,0))</f>
        <v>263</v>
      </c>
    </row>
    <row r="1489" spans="1:1" x14ac:dyDescent="0.3">
      <c r="A1489">
        <f>INDEX(Sheet1!B1489:B4287,MATCH(MAX(Sheet1!N1489:N4287),Sheet1!N1489:N4287,0))</f>
        <v>263</v>
      </c>
    </row>
    <row r="1490" spans="1:1" x14ac:dyDescent="0.3">
      <c r="A1490">
        <f>INDEX(Sheet1!B1490:B4288,MATCH(MAX(Sheet1!N1490:N4288),Sheet1!N1490:N4288,0))</f>
        <v>263</v>
      </c>
    </row>
    <row r="1491" spans="1:1" x14ac:dyDescent="0.3">
      <c r="A1491">
        <f>INDEX(Sheet1!B1491:B4289,MATCH(MAX(Sheet1!N1491:N4289),Sheet1!N1491:N4289,0))</f>
        <v>263</v>
      </c>
    </row>
    <row r="1492" spans="1:1" x14ac:dyDescent="0.3">
      <c r="A1492">
        <f>INDEX(Sheet1!B1492:B4290,MATCH(MAX(Sheet1!N1492:N4290),Sheet1!N1492:N4290,0))</f>
        <v>263</v>
      </c>
    </row>
    <row r="1493" spans="1:1" x14ac:dyDescent="0.3">
      <c r="A1493">
        <f>INDEX(Sheet1!B1493:B4291,MATCH(MAX(Sheet1!N1493:N4291),Sheet1!N1493:N4291,0))</f>
        <v>264</v>
      </c>
    </row>
    <row r="1494" spans="1:1" x14ac:dyDescent="0.3">
      <c r="A1494">
        <f>INDEX(Sheet1!B1494:B4292,MATCH(MAX(Sheet1!N1494:N4292),Sheet1!N1494:N4292,0))</f>
        <v>264</v>
      </c>
    </row>
    <row r="1495" spans="1:1" x14ac:dyDescent="0.3">
      <c r="A1495">
        <f>INDEX(Sheet1!B1495:B4293,MATCH(MAX(Sheet1!N1495:N4293),Sheet1!N1495:N4293,0))</f>
        <v>264</v>
      </c>
    </row>
    <row r="1496" spans="1:1" x14ac:dyDescent="0.3">
      <c r="A1496">
        <f>INDEX(Sheet1!B1496:B4294,MATCH(MAX(Sheet1!N1496:N4294),Sheet1!N1496:N4294,0))</f>
        <v>264</v>
      </c>
    </row>
    <row r="1497" spans="1:1" x14ac:dyDescent="0.3">
      <c r="A1497">
        <f>INDEX(Sheet1!B1497:B4295,MATCH(MAX(Sheet1!N1497:N4295),Sheet1!N1497:N4295,0))</f>
        <v>264</v>
      </c>
    </row>
    <row r="1498" spans="1:1" x14ac:dyDescent="0.3">
      <c r="A1498">
        <f>INDEX(Sheet1!B1498:B4296,MATCH(MAX(Sheet1!N1498:N4296),Sheet1!N1498:N4296,0))</f>
        <v>264</v>
      </c>
    </row>
    <row r="1499" spans="1:1" x14ac:dyDescent="0.3">
      <c r="A1499">
        <f>INDEX(Sheet1!B1499:B4297,MATCH(MAX(Sheet1!N1499:N4297),Sheet1!N1499:N4297,0))</f>
        <v>264</v>
      </c>
    </row>
    <row r="1500" spans="1:1" x14ac:dyDescent="0.3">
      <c r="A1500">
        <f>INDEX(Sheet1!B1500:B4298,MATCH(MAX(Sheet1!N1500:N4298),Sheet1!N1500:N4298,0))</f>
        <v>264</v>
      </c>
    </row>
    <row r="1501" spans="1:1" x14ac:dyDescent="0.3">
      <c r="A1501">
        <f>INDEX(Sheet1!B1501:B4299,MATCH(MAX(Sheet1!N1501:N4299),Sheet1!N1501:N4299,0))</f>
        <v>265</v>
      </c>
    </row>
    <row r="1502" spans="1:1" x14ac:dyDescent="0.3">
      <c r="A1502">
        <f>INDEX(Sheet1!B1502:B4300,MATCH(MAX(Sheet1!N1502:N4300),Sheet1!N1502:N4300,0))</f>
        <v>265</v>
      </c>
    </row>
    <row r="1503" spans="1:1" x14ac:dyDescent="0.3">
      <c r="A1503">
        <f>INDEX(Sheet1!B1503:B4301,MATCH(MAX(Sheet1!N1503:N4301),Sheet1!N1503:N4301,0))</f>
        <v>265</v>
      </c>
    </row>
    <row r="1504" spans="1:1" x14ac:dyDescent="0.3">
      <c r="A1504">
        <f>INDEX(Sheet1!B1504:B4302,MATCH(MAX(Sheet1!N1504:N4302),Sheet1!N1504:N4302,0))</f>
        <v>265</v>
      </c>
    </row>
    <row r="1505" spans="1:1" x14ac:dyDescent="0.3">
      <c r="A1505">
        <f>INDEX(Sheet1!B1505:B4303,MATCH(MAX(Sheet1!N1505:N4303),Sheet1!N1505:N4303,0))</f>
        <v>266</v>
      </c>
    </row>
    <row r="1506" spans="1:1" x14ac:dyDescent="0.3">
      <c r="A1506">
        <f>INDEX(Sheet1!B1506:B4304,MATCH(MAX(Sheet1!N1506:N4304),Sheet1!N1506:N4304,0))</f>
        <v>266</v>
      </c>
    </row>
    <row r="1507" spans="1:1" x14ac:dyDescent="0.3">
      <c r="A1507">
        <f>INDEX(Sheet1!B1507:B4305,MATCH(MAX(Sheet1!N1507:N4305),Sheet1!N1507:N4305,0))</f>
        <v>266</v>
      </c>
    </row>
    <row r="1508" spans="1:1" x14ac:dyDescent="0.3">
      <c r="A1508">
        <f>INDEX(Sheet1!B1508:B4306,MATCH(MAX(Sheet1!N1508:N4306),Sheet1!N1508:N4306,0))</f>
        <v>266</v>
      </c>
    </row>
    <row r="1509" spans="1:1" x14ac:dyDescent="0.3">
      <c r="A1509">
        <f>INDEX(Sheet1!B1509:B4307,MATCH(MAX(Sheet1!N1509:N4307),Sheet1!N1509:N4307,0))</f>
        <v>266</v>
      </c>
    </row>
    <row r="1510" spans="1:1" x14ac:dyDescent="0.3">
      <c r="A1510">
        <f>INDEX(Sheet1!B1510:B4308,MATCH(MAX(Sheet1!N1510:N4308),Sheet1!N1510:N4308,0))</f>
        <v>266</v>
      </c>
    </row>
    <row r="1511" spans="1:1" x14ac:dyDescent="0.3">
      <c r="A1511">
        <f>INDEX(Sheet1!B1511:B4309,MATCH(MAX(Sheet1!N1511:N4309),Sheet1!N1511:N4309,0))</f>
        <v>267</v>
      </c>
    </row>
    <row r="1512" spans="1:1" x14ac:dyDescent="0.3">
      <c r="A1512">
        <f>INDEX(Sheet1!B1512:B4310,MATCH(MAX(Sheet1!N1512:N4310),Sheet1!N1512:N4310,0))</f>
        <v>267</v>
      </c>
    </row>
    <row r="1513" spans="1:1" x14ac:dyDescent="0.3">
      <c r="A1513">
        <f>INDEX(Sheet1!B1513:B4311,MATCH(MAX(Sheet1!N1513:N4311),Sheet1!N1513:N4311,0))</f>
        <v>267</v>
      </c>
    </row>
    <row r="1514" spans="1:1" x14ac:dyDescent="0.3">
      <c r="A1514">
        <f>INDEX(Sheet1!B1514:B4312,MATCH(MAX(Sheet1!N1514:N4312),Sheet1!N1514:N4312,0))</f>
        <v>267</v>
      </c>
    </row>
    <row r="1515" spans="1:1" x14ac:dyDescent="0.3">
      <c r="A1515">
        <f>INDEX(Sheet1!B1515:B4313,MATCH(MAX(Sheet1!N1515:N4313),Sheet1!N1515:N4313,0))</f>
        <v>267</v>
      </c>
    </row>
    <row r="1516" spans="1:1" x14ac:dyDescent="0.3">
      <c r="A1516">
        <f>INDEX(Sheet1!B1516:B4314,MATCH(MAX(Sheet1!N1516:N4314),Sheet1!N1516:N4314,0))</f>
        <v>267</v>
      </c>
    </row>
    <row r="1517" spans="1:1" x14ac:dyDescent="0.3">
      <c r="A1517">
        <f>INDEX(Sheet1!B1517:B4315,MATCH(MAX(Sheet1!N1517:N4315),Sheet1!N1517:N4315,0))</f>
        <v>267</v>
      </c>
    </row>
    <row r="1518" spans="1:1" x14ac:dyDescent="0.3">
      <c r="A1518">
        <f>INDEX(Sheet1!B1518:B4316,MATCH(MAX(Sheet1!N1518:N4316),Sheet1!N1518:N4316,0))</f>
        <v>267</v>
      </c>
    </row>
    <row r="1519" spans="1:1" x14ac:dyDescent="0.3">
      <c r="A1519">
        <f>INDEX(Sheet1!B1519:B4317,MATCH(MAX(Sheet1!N1519:N4317),Sheet1!N1519:N4317,0))</f>
        <v>267</v>
      </c>
    </row>
    <row r="1520" spans="1:1" x14ac:dyDescent="0.3">
      <c r="A1520">
        <f>INDEX(Sheet1!B1520:B4318,MATCH(MAX(Sheet1!N1520:N4318),Sheet1!N1520:N4318,0))</f>
        <v>267</v>
      </c>
    </row>
    <row r="1521" spans="1:1" x14ac:dyDescent="0.3">
      <c r="A1521">
        <f>INDEX(Sheet1!B1521:B4319,MATCH(MAX(Sheet1!N1521:N4319),Sheet1!N1521:N4319,0))</f>
        <v>268</v>
      </c>
    </row>
    <row r="1522" spans="1:1" x14ac:dyDescent="0.3">
      <c r="A1522">
        <f>INDEX(Sheet1!B1522:B4320,MATCH(MAX(Sheet1!N1522:N4320),Sheet1!N1522:N4320,0))</f>
        <v>268</v>
      </c>
    </row>
    <row r="1523" spans="1:1" x14ac:dyDescent="0.3">
      <c r="A1523">
        <f>INDEX(Sheet1!B1523:B4321,MATCH(MAX(Sheet1!N1523:N4321),Sheet1!N1523:N4321,0))</f>
        <v>268</v>
      </c>
    </row>
    <row r="1524" spans="1:1" x14ac:dyDescent="0.3">
      <c r="A1524">
        <f>INDEX(Sheet1!B1524:B4322,MATCH(MAX(Sheet1!N1524:N4322),Sheet1!N1524:N4322,0))</f>
        <v>268</v>
      </c>
    </row>
    <row r="1525" spans="1:1" x14ac:dyDescent="0.3">
      <c r="A1525">
        <f>INDEX(Sheet1!B1525:B4323,MATCH(MAX(Sheet1!N1525:N4323),Sheet1!N1525:N4323,0))</f>
        <v>269</v>
      </c>
    </row>
    <row r="1526" spans="1:1" x14ac:dyDescent="0.3">
      <c r="A1526">
        <f>INDEX(Sheet1!B1526:B4324,MATCH(MAX(Sheet1!N1526:N4324),Sheet1!N1526:N4324,0))</f>
        <v>269</v>
      </c>
    </row>
    <row r="1527" spans="1:1" x14ac:dyDescent="0.3">
      <c r="A1527">
        <f>INDEX(Sheet1!B1527:B4325,MATCH(MAX(Sheet1!N1527:N4325),Sheet1!N1527:N4325,0))</f>
        <v>269</v>
      </c>
    </row>
    <row r="1528" spans="1:1" x14ac:dyDescent="0.3">
      <c r="A1528">
        <f>INDEX(Sheet1!B1528:B4326,MATCH(MAX(Sheet1!N1528:N4326),Sheet1!N1528:N4326,0))</f>
        <v>270</v>
      </c>
    </row>
    <row r="1529" spans="1:1" x14ac:dyDescent="0.3">
      <c r="A1529">
        <f>INDEX(Sheet1!B1529:B4327,MATCH(MAX(Sheet1!N1529:N4327),Sheet1!N1529:N4327,0))</f>
        <v>270</v>
      </c>
    </row>
    <row r="1530" spans="1:1" x14ac:dyDescent="0.3">
      <c r="A1530">
        <f>INDEX(Sheet1!B1530:B4328,MATCH(MAX(Sheet1!N1530:N4328),Sheet1!N1530:N4328,0))</f>
        <v>270</v>
      </c>
    </row>
    <row r="1531" spans="1:1" x14ac:dyDescent="0.3">
      <c r="A1531">
        <f>INDEX(Sheet1!B1531:B4329,MATCH(MAX(Sheet1!N1531:N4329),Sheet1!N1531:N4329,0))</f>
        <v>270</v>
      </c>
    </row>
    <row r="1532" spans="1:1" x14ac:dyDescent="0.3">
      <c r="A1532">
        <f>INDEX(Sheet1!B1532:B4330,MATCH(MAX(Sheet1!N1532:N4330),Sheet1!N1532:N4330,0))</f>
        <v>271</v>
      </c>
    </row>
    <row r="1533" spans="1:1" x14ac:dyDescent="0.3">
      <c r="A1533">
        <f>INDEX(Sheet1!B1533:B4331,MATCH(MAX(Sheet1!N1533:N4331),Sheet1!N1533:N4331,0))</f>
        <v>271</v>
      </c>
    </row>
    <row r="1534" spans="1:1" x14ac:dyDescent="0.3">
      <c r="A1534">
        <f>INDEX(Sheet1!B1534:B4332,MATCH(MAX(Sheet1!N1534:N4332),Sheet1!N1534:N4332,0))</f>
        <v>271</v>
      </c>
    </row>
    <row r="1535" spans="1:1" x14ac:dyDescent="0.3">
      <c r="A1535">
        <f>INDEX(Sheet1!B1535:B4333,MATCH(MAX(Sheet1!N1535:N4333),Sheet1!N1535:N4333,0))</f>
        <v>271</v>
      </c>
    </row>
    <row r="1536" spans="1:1" x14ac:dyDescent="0.3">
      <c r="A1536">
        <f>INDEX(Sheet1!B1536:B4334,MATCH(MAX(Sheet1!N1536:N4334),Sheet1!N1536:N4334,0))</f>
        <v>271</v>
      </c>
    </row>
    <row r="1537" spans="1:1" x14ac:dyDescent="0.3">
      <c r="A1537">
        <f>INDEX(Sheet1!B1537:B4335,MATCH(MAX(Sheet1!N1537:N4335),Sheet1!N1537:N4335,0))</f>
        <v>272</v>
      </c>
    </row>
    <row r="1538" spans="1:1" x14ac:dyDescent="0.3">
      <c r="A1538">
        <f>INDEX(Sheet1!B1538:B4336,MATCH(MAX(Sheet1!N1538:N4336),Sheet1!N1538:N4336,0))</f>
        <v>272</v>
      </c>
    </row>
    <row r="1539" spans="1:1" x14ac:dyDescent="0.3">
      <c r="A1539">
        <f>INDEX(Sheet1!B1539:B4337,MATCH(MAX(Sheet1!N1539:N4337),Sheet1!N1539:N4337,0))</f>
        <v>272</v>
      </c>
    </row>
    <row r="1540" spans="1:1" x14ac:dyDescent="0.3">
      <c r="A1540">
        <f>INDEX(Sheet1!B1540:B4338,MATCH(MAX(Sheet1!N1540:N4338),Sheet1!N1540:N4338,0))</f>
        <v>272</v>
      </c>
    </row>
    <row r="1541" spans="1:1" x14ac:dyDescent="0.3">
      <c r="A1541">
        <f>INDEX(Sheet1!B1541:B4339,MATCH(MAX(Sheet1!N1541:N4339),Sheet1!N1541:N4339,0))</f>
        <v>273</v>
      </c>
    </row>
    <row r="1542" spans="1:1" x14ac:dyDescent="0.3">
      <c r="A1542">
        <f>INDEX(Sheet1!B1542:B4340,MATCH(MAX(Sheet1!N1542:N4340),Sheet1!N1542:N4340,0))</f>
        <v>273</v>
      </c>
    </row>
    <row r="1543" spans="1:1" x14ac:dyDescent="0.3">
      <c r="A1543">
        <f>INDEX(Sheet1!B1543:B4341,MATCH(MAX(Sheet1!N1543:N4341),Sheet1!N1543:N4341,0))</f>
        <v>273</v>
      </c>
    </row>
    <row r="1544" spans="1:1" x14ac:dyDescent="0.3">
      <c r="A1544">
        <f>INDEX(Sheet1!B1544:B4342,MATCH(MAX(Sheet1!N1544:N4342),Sheet1!N1544:N4342,0))</f>
        <v>273</v>
      </c>
    </row>
    <row r="1545" spans="1:1" x14ac:dyDescent="0.3">
      <c r="A1545">
        <f>INDEX(Sheet1!B1545:B4343,MATCH(MAX(Sheet1!N1545:N4343),Sheet1!N1545:N4343,0))</f>
        <v>273</v>
      </c>
    </row>
    <row r="1546" spans="1:1" x14ac:dyDescent="0.3">
      <c r="A1546">
        <f>INDEX(Sheet1!B1546:B4344,MATCH(MAX(Sheet1!N1546:N4344),Sheet1!N1546:N4344,0))</f>
        <v>273</v>
      </c>
    </row>
    <row r="1547" spans="1:1" x14ac:dyDescent="0.3">
      <c r="A1547">
        <f>INDEX(Sheet1!B1547:B4345,MATCH(MAX(Sheet1!N1547:N4345),Sheet1!N1547:N4345,0))</f>
        <v>274</v>
      </c>
    </row>
    <row r="1548" spans="1:1" x14ac:dyDescent="0.3">
      <c r="A1548">
        <f>INDEX(Sheet1!B1548:B4346,MATCH(MAX(Sheet1!N1548:N4346),Sheet1!N1548:N4346,0))</f>
        <v>274</v>
      </c>
    </row>
    <row r="1549" spans="1:1" x14ac:dyDescent="0.3">
      <c r="A1549">
        <f>INDEX(Sheet1!B1549:B4347,MATCH(MAX(Sheet1!N1549:N4347),Sheet1!N1549:N4347,0))</f>
        <v>274</v>
      </c>
    </row>
    <row r="1550" spans="1:1" x14ac:dyDescent="0.3">
      <c r="A1550">
        <f>INDEX(Sheet1!B1550:B4348,MATCH(MAX(Sheet1!N1550:N4348),Sheet1!N1550:N4348,0))</f>
        <v>274</v>
      </c>
    </row>
    <row r="1551" spans="1:1" x14ac:dyDescent="0.3">
      <c r="A1551">
        <f>INDEX(Sheet1!B1551:B4349,MATCH(MAX(Sheet1!N1551:N4349),Sheet1!N1551:N4349,0))</f>
        <v>274</v>
      </c>
    </row>
    <row r="1552" spans="1:1" x14ac:dyDescent="0.3">
      <c r="A1552">
        <f>INDEX(Sheet1!B1552:B4350,MATCH(MAX(Sheet1!N1552:N4350),Sheet1!N1552:N4350,0))</f>
        <v>274</v>
      </c>
    </row>
    <row r="1553" spans="1:1" x14ac:dyDescent="0.3">
      <c r="A1553">
        <f>INDEX(Sheet1!B1553:B4351,MATCH(MAX(Sheet1!N1553:N4351),Sheet1!N1553:N4351,0))</f>
        <v>275</v>
      </c>
    </row>
    <row r="1554" spans="1:1" x14ac:dyDescent="0.3">
      <c r="A1554">
        <f>INDEX(Sheet1!B1554:B4352,MATCH(MAX(Sheet1!N1554:N4352),Sheet1!N1554:N4352,0))</f>
        <v>275</v>
      </c>
    </row>
    <row r="1555" spans="1:1" x14ac:dyDescent="0.3">
      <c r="A1555">
        <f>INDEX(Sheet1!B1555:B4353,MATCH(MAX(Sheet1!N1555:N4353),Sheet1!N1555:N4353,0))</f>
        <v>275</v>
      </c>
    </row>
    <row r="1556" spans="1:1" x14ac:dyDescent="0.3">
      <c r="A1556">
        <f>INDEX(Sheet1!B1556:B4354,MATCH(MAX(Sheet1!N1556:N4354),Sheet1!N1556:N4354,0))</f>
        <v>275</v>
      </c>
    </row>
    <row r="1557" spans="1:1" x14ac:dyDescent="0.3">
      <c r="A1557">
        <f>INDEX(Sheet1!B1557:B4355,MATCH(MAX(Sheet1!N1557:N4355),Sheet1!N1557:N4355,0))</f>
        <v>275</v>
      </c>
    </row>
    <row r="1558" spans="1:1" x14ac:dyDescent="0.3">
      <c r="A1558">
        <f>INDEX(Sheet1!B1558:B4356,MATCH(MAX(Sheet1!N1558:N4356),Sheet1!N1558:N4356,0))</f>
        <v>275</v>
      </c>
    </row>
    <row r="1559" spans="1:1" x14ac:dyDescent="0.3">
      <c r="A1559">
        <f>INDEX(Sheet1!B1559:B4357,MATCH(MAX(Sheet1!N1559:N4357),Sheet1!N1559:N4357,0))</f>
        <v>275</v>
      </c>
    </row>
    <row r="1560" spans="1:1" x14ac:dyDescent="0.3">
      <c r="A1560">
        <f>INDEX(Sheet1!B1560:B4358,MATCH(MAX(Sheet1!N1560:N4358),Sheet1!N1560:N4358,0))</f>
        <v>276</v>
      </c>
    </row>
    <row r="1561" spans="1:1" x14ac:dyDescent="0.3">
      <c r="A1561">
        <f>INDEX(Sheet1!B1561:B4359,MATCH(MAX(Sheet1!N1561:N4359),Sheet1!N1561:N4359,0))</f>
        <v>276</v>
      </c>
    </row>
    <row r="1562" spans="1:1" x14ac:dyDescent="0.3">
      <c r="A1562">
        <f>INDEX(Sheet1!B1562:B4360,MATCH(MAX(Sheet1!N1562:N4360),Sheet1!N1562:N4360,0))</f>
        <v>276</v>
      </c>
    </row>
    <row r="1563" spans="1:1" x14ac:dyDescent="0.3">
      <c r="A1563">
        <f>INDEX(Sheet1!B1563:B4361,MATCH(MAX(Sheet1!N1563:N4361),Sheet1!N1563:N4361,0))</f>
        <v>276</v>
      </c>
    </row>
    <row r="1564" spans="1:1" x14ac:dyDescent="0.3">
      <c r="A1564">
        <f>INDEX(Sheet1!B1564:B4362,MATCH(MAX(Sheet1!N1564:N4362),Sheet1!N1564:N4362,0))</f>
        <v>277</v>
      </c>
    </row>
    <row r="1565" spans="1:1" x14ac:dyDescent="0.3">
      <c r="A1565">
        <f>INDEX(Sheet1!B1565:B4363,MATCH(MAX(Sheet1!N1565:N4363),Sheet1!N1565:N4363,0))</f>
        <v>277</v>
      </c>
    </row>
    <row r="1566" spans="1:1" x14ac:dyDescent="0.3">
      <c r="A1566">
        <f>INDEX(Sheet1!B1566:B4364,MATCH(MAX(Sheet1!N1566:N4364),Sheet1!N1566:N4364,0))</f>
        <v>277</v>
      </c>
    </row>
    <row r="1567" spans="1:1" x14ac:dyDescent="0.3">
      <c r="A1567">
        <f>INDEX(Sheet1!B1567:B4365,MATCH(MAX(Sheet1!N1567:N4365),Sheet1!N1567:N4365,0))</f>
        <v>277</v>
      </c>
    </row>
    <row r="1568" spans="1:1" x14ac:dyDescent="0.3">
      <c r="A1568">
        <f>INDEX(Sheet1!B1568:B4366,MATCH(MAX(Sheet1!N1568:N4366),Sheet1!N1568:N4366,0))</f>
        <v>278</v>
      </c>
    </row>
    <row r="1569" spans="1:1" x14ac:dyDescent="0.3">
      <c r="A1569">
        <f>INDEX(Sheet1!B1569:B4367,MATCH(MAX(Sheet1!N1569:N4367),Sheet1!N1569:N4367,0))</f>
        <v>278</v>
      </c>
    </row>
    <row r="1570" spans="1:1" x14ac:dyDescent="0.3">
      <c r="A1570">
        <f>INDEX(Sheet1!B1570:B4368,MATCH(MAX(Sheet1!N1570:N4368),Sheet1!N1570:N4368,0))</f>
        <v>278</v>
      </c>
    </row>
    <row r="1571" spans="1:1" x14ac:dyDescent="0.3">
      <c r="A1571">
        <f>INDEX(Sheet1!B1571:B4369,MATCH(MAX(Sheet1!N1571:N4369),Sheet1!N1571:N4369,0))</f>
        <v>278</v>
      </c>
    </row>
    <row r="1572" spans="1:1" x14ac:dyDescent="0.3">
      <c r="A1572">
        <f>INDEX(Sheet1!B1572:B4370,MATCH(MAX(Sheet1!N1572:N4370),Sheet1!N1572:N4370,0))</f>
        <v>278</v>
      </c>
    </row>
    <row r="1573" spans="1:1" x14ac:dyDescent="0.3">
      <c r="A1573">
        <f>INDEX(Sheet1!B1573:B4371,MATCH(MAX(Sheet1!N1573:N4371),Sheet1!N1573:N4371,0))</f>
        <v>279</v>
      </c>
    </row>
    <row r="1574" spans="1:1" x14ac:dyDescent="0.3">
      <c r="A1574">
        <f>INDEX(Sheet1!B1574:B4372,MATCH(MAX(Sheet1!N1574:N4372),Sheet1!N1574:N4372,0))</f>
        <v>279</v>
      </c>
    </row>
    <row r="1575" spans="1:1" x14ac:dyDescent="0.3">
      <c r="A1575">
        <f>INDEX(Sheet1!B1575:B4373,MATCH(MAX(Sheet1!N1575:N4373),Sheet1!N1575:N4373,0))</f>
        <v>279</v>
      </c>
    </row>
    <row r="1576" spans="1:1" x14ac:dyDescent="0.3">
      <c r="A1576">
        <f>INDEX(Sheet1!B1576:B4374,MATCH(MAX(Sheet1!N1576:N4374),Sheet1!N1576:N4374,0))</f>
        <v>279</v>
      </c>
    </row>
    <row r="1577" spans="1:1" x14ac:dyDescent="0.3">
      <c r="A1577">
        <f>INDEX(Sheet1!B1577:B4375,MATCH(MAX(Sheet1!N1577:N4375),Sheet1!N1577:N4375,0))</f>
        <v>279</v>
      </c>
    </row>
    <row r="1578" spans="1:1" x14ac:dyDescent="0.3">
      <c r="A1578">
        <f>INDEX(Sheet1!B1578:B4376,MATCH(MAX(Sheet1!N1578:N4376),Sheet1!N1578:N4376,0))</f>
        <v>279</v>
      </c>
    </row>
    <row r="1579" spans="1:1" x14ac:dyDescent="0.3">
      <c r="A1579">
        <f>INDEX(Sheet1!B1579:B4377,MATCH(MAX(Sheet1!N1579:N4377),Sheet1!N1579:N4377,0))</f>
        <v>280</v>
      </c>
    </row>
    <row r="1580" spans="1:1" x14ac:dyDescent="0.3">
      <c r="A1580">
        <f>INDEX(Sheet1!B1580:B4378,MATCH(MAX(Sheet1!N1580:N4378),Sheet1!N1580:N4378,0))</f>
        <v>280</v>
      </c>
    </row>
    <row r="1581" spans="1:1" x14ac:dyDescent="0.3">
      <c r="A1581">
        <f>INDEX(Sheet1!B1581:B4379,MATCH(MAX(Sheet1!N1581:N4379),Sheet1!N1581:N4379,0))</f>
        <v>280</v>
      </c>
    </row>
    <row r="1582" spans="1:1" x14ac:dyDescent="0.3">
      <c r="A1582">
        <f>INDEX(Sheet1!B1582:B4380,MATCH(MAX(Sheet1!N1582:N4380),Sheet1!N1582:N4380,0))</f>
        <v>281</v>
      </c>
    </row>
    <row r="1583" spans="1:1" x14ac:dyDescent="0.3">
      <c r="A1583">
        <f>INDEX(Sheet1!B1583:B4381,MATCH(MAX(Sheet1!N1583:N4381),Sheet1!N1583:N4381,0))</f>
        <v>281</v>
      </c>
    </row>
    <row r="1584" spans="1:1" x14ac:dyDescent="0.3">
      <c r="A1584">
        <f>INDEX(Sheet1!B1584:B4382,MATCH(MAX(Sheet1!N1584:N4382),Sheet1!N1584:N4382,0))</f>
        <v>281</v>
      </c>
    </row>
    <row r="1585" spans="1:1" x14ac:dyDescent="0.3">
      <c r="A1585">
        <f>INDEX(Sheet1!B1585:B4383,MATCH(MAX(Sheet1!N1585:N4383),Sheet1!N1585:N4383,0))</f>
        <v>281</v>
      </c>
    </row>
    <row r="1586" spans="1:1" x14ac:dyDescent="0.3">
      <c r="A1586">
        <f>INDEX(Sheet1!B1586:B4384,MATCH(MAX(Sheet1!N1586:N4384),Sheet1!N1586:N4384,0))</f>
        <v>282</v>
      </c>
    </row>
    <row r="1587" spans="1:1" x14ac:dyDescent="0.3">
      <c r="A1587">
        <f>INDEX(Sheet1!B1587:B4385,MATCH(MAX(Sheet1!N1587:N4385),Sheet1!N1587:N4385,0))</f>
        <v>282</v>
      </c>
    </row>
    <row r="1588" spans="1:1" x14ac:dyDescent="0.3">
      <c r="A1588">
        <f>INDEX(Sheet1!B1588:B4386,MATCH(MAX(Sheet1!N1588:N4386),Sheet1!N1588:N4386,0))</f>
        <v>282</v>
      </c>
    </row>
    <row r="1589" spans="1:1" x14ac:dyDescent="0.3">
      <c r="A1589">
        <f>INDEX(Sheet1!B1589:B4387,MATCH(MAX(Sheet1!N1589:N4387),Sheet1!N1589:N4387,0))</f>
        <v>282</v>
      </c>
    </row>
    <row r="1590" spans="1:1" x14ac:dyDescent="0.3">
      <c r="A1590">
        <f>INDEX(Sheet1!B1590:B4388,MATCH(MAX(Sheet1!N1590:N4388),Sheet1!N1590:N4388,0))</f>
        <v>283</v>
      </c>
    </row>
    <row r="1591" spans="1:1" x14ac:dyDescent="0.3">
      <c r="A1591">
        <f>INDEX(Sheet1!B1591:B4389,MATCH(MAX(Sheet1!N1591:N4389),Sheet1!N1591:N4389,0))</f>
        <v>283</v>
      </c>
    </row>
    <row r="1592" spans="1:1" x14ac:dyDescent="0.3">
      <c r="A1592">
        <f>INDEX(Sheet1!B1592:B4390,MATCH(MAX(Sheet1!N1592:N4390),Sheet1!N1592:N4390,0))</f>
        <v>283</v>
      </c>
    </row>
    <row r="1593" spans="1:1" x14ac:dyDescent="0.3">
      <c r="A1593">
        <f>INDEX(Sheet1!B1593:B4391,MATCH(MAX(Sheet1!N1593:N4391),Sheet1!N1593:N4391,0))</f>
        <v>283</v>
      </c>
    </row>
    <row r="1594" spans="1:1" x14ac:dyDescent="0.3">
      <c r="A1594">
        <f>INDEX(Sheet1!B1594:B4392,MATCH(MAX(Sheet1!N1594:N4392),Sheet1!N1594:N4392,0))</f>
        <v>283</v>
      </c>
    </row>
    <row r="1595" spans="1:1" x14ac:dyDescent="0.3">
      <c r="A1595">
        <f>INDEX(Sheet1!B1595:B4393,MATCH(MAX(Sheet1!N1595:N4393),Sheet1!N1595:N4393,0))</f>
        <v>285</v>
      </c>
    </row>
    <row r="1596" spans="1:1" x14ac:dyDescent="0.3">
      <c r="A1596">
        <f>INDEX(Sheet1!B1596:B4394,MATCH(MAX(Sheet1!N1596:N4394),Sheet1!N1596:N4394,0))</f>
        <v>285</v>
      </c>
    </row>
    <row r="1597" spans="1:1" x14ac:dyDescent="0.3">
      <c r="A1597">
        <f>INDEX(Sheet1!B1597:B4395,MATCH(MAX(Sheet1!N1597:N4395),Sheet1!N1597:N4395,0))</f>
        <v>285</v>
      </c>
    </row>
    <row r="1598" spans="1:1" x14ac:dyDescent="0.3">
      <c r="A1598">
        <f>INDEX(Sheet1!B1598:B4396,MATCH(MAX(Sheet1!N1598:N4396),Sheet1!N1598:N4396,0))</f>
        <v>285</v>
      </c>
    </row>
    <row r="1599" spans="1:1" x14ac:dyDescent="0.3">
      <c r="A1599">
        <f>INDEX(Sheet1!B1599:B4397,MATCH(MAX(Sheet1!N1599:N4397),Sheet1!N1599:N4397,0))</f>
        <v>285</v>
      </c>
    </row>
    <row r="1600" spans="1:1" x14ac:dyDescent="0.3">
      <c r="A1600">
        <f>INDEX(Sheet1!B1600:B4398,MATCH(MAX(Sheet1!N1600:N4398),Sheet1!N1600:N4398,0))</f>
        <v>285</v>
      </c>
    </row>
    <row r="1601" spans="1:1" x14ac:dyDescent="0.3">
      <c r="A1601">
        <f>INDEX(Sheet1!B1601:B4399,MATCH(MAX(Sheet1!N1601:N4399),Sheet1!N1601:N4399,0))</f>
        <v>285</v>
      </c>
    </row>
    <row r="1602" spans="1:1" x14ac:dyDescent="0.3">
      <c r="A1602">
        <f>INDEX(Sheet1!B1602:B4400,MATCH(MAX(Sheet1!N1602:N4400),Sheet1!N1602:N4400,0))</f>
        <v>285</v>
      </c>
    </row>
    <row r="1603" spans="1:1" x14ac:dyDescent="0.3">
      <c r="A1603">
        <f>INDEX(Sheet1!B1603:B4401,MATCH(MAX(Sheet1!N1603:N4401),Sheet1!N1603:N4401,0))</f>
        <v>285</v>
      </c>
    </row>
    <row r="1604" spans="1:1" x14ac:dyDescent="0.3">
      <c r="A1604">
        <f>INDEX(Sheet1!B1604:B4402,MATCH(MAX(Sheet1!N1604:N4402),Sheet1!N1604:N4402,0))</f>
        <v>285</v>
      </c>
    </row>
    <row r="1605" spans="1:1" x14ac:dyDescent="0.3">
      <c r="A1605">
        <f>INDEX(Sheet1!B1605:B4403,MATCH(MAX(Sheet1!N1605:N4403),Sheet1!N1605:N4403,0))</f>
        <v>285</v>
      </c>
    </row>
    <row r="1606" spans="1:1" x14ac:dyDescent="0.3">
      <c r="A1606">
        <f>INDEX(Sheet1!B1606:B4404,MATCH(MAX(Sheet1!N1606:N4404),Sheet1!N1606:N4404,0))</f>
        <v>286</v>
      </c>
    </row>
    <row r="1607" spans="1:1" x14ac:dyDescent="0.3">
      <c r="A1607">
        <f>INDEX(Sheet1!B1607:B4405,MATCH(MAX(Sheet1!N1607:N4405),Sheet1!N1607:N4405,0))</f>
        <v>286</v>
      </c>
    </row>
    <row r="1608" spans="1:1" x14ac:dyDescent="0.3">
      <c r="A1608">
        <f>INDEX(Sheet1!B1608:B4406,MATCH(MAX(Sheet1!N1608:N4406),Sheet1!N1608:N4406,0))</f>
        <v>286</v>
      </c>
    </row>
    <row r="1609" spans="1:1" x14ac:dyDescent="0.3">
      <c r="A1609">
        <f>INDEX(Sheet1!B1609:B4407,MATCH(MAX(Sheet1!N1609:N4407),Sheet1!N1609:N4407,0))</f>
        <v>286</v>
      </c>
    </row>
    <row r="1610" spans="1:1" x14ac:dyDescent="0.3">
      <c r="A1610">
        <f>INDEX(Sheet1!B1610:B4408,MATCH(MAX(Sheet1!N1610:N4408),Sheet1!N1610:N4408,0))</f>
        <v>287</v>
      </c>
    </row>
    <row r="1611" spans="1:1" x14ac:dyDescent="0.3">
      <c r="A1611">
        <f>INDEX(Sheet1!B1611:B4409,MATCH(MAX(Sheet1!N1611:N4409),Sheet1!N1611:N4409,0))</f>
        <v>287</v>
      </c>
    </row>
    <row r="1612" spans="1:1" x14ac:dyDescent="0.3">
      <c r="A1612">
        <f>INDEX(Sheet1!B1612:B4410,MATCH(MAX(Sheet1!N1612:N4410),Sheet1!N1612:N4410,0))</f>
        <v>287</v>
      </c>
    </row>
    <row r="1613" spans="1:1" x14ac:dyDescent="0.3">
      <c r="A1613">
        <f>INDEX(Sheet1!B1613:B4411,MATCH(MAX(Sheet1!N1613:N4411),Sheet1!N1613:N4411,0))</f>
        <v>287</v>
      </c>
    </row>
    <row r="1614" spans="1:1" x14ac:dyDescent="0.3">
      <c r="A1614">
        <f>INDEX(Sheet1!B1614:B4412,MATCH(MAX(Sheet1!N1614:N4412),Sheet1!N1614:N4412,0))</f>
        <v>287</v>
      </c>
    </row>
    <row r="1615" spans="1:1" x14ac:dyDescent="0.3">
      <c r="A1615">
        <f>INDEX(Sheet1!B1615:B4413,MATCH(MAX(Sheet1!N1615:N4413),Sheet1!N1615:N4413,0))</f>
        <v>287</v>
      </c>
    </row>
    <row r="1616" spans="1:1" x14ac:dyDescent="0.3">
      <c r="A1616">
        <f>INDEX(Sheet1!B1616:B4414,MATCH(MAX(Sheet1!N1616:N4414),Sheet1!N1616:N4414,0))</f>
        <v>287</v>
      </c>
    </row>
    <row r="1617" spans="1:1" x14ac:dyDescent="0.3">
      <c r="A1617">
        <f>INDEX(Sheet1!B1617:B4415,MATCH(MAX(Sheet1!N1617:N4415),Sheet1!N1617:N4415,0))</f>
        <v>288</v>
      </c>
    </row>
    <row r="1618" spans="1:1" x14ac:dyDescent="0.3">
      <c r="A1618">
        <f>INDEX(Sheet1!B1618:B4416,MATCH(MAX(Sheet1!N1618:N4416),Sheet1!N1618:N4416,0))</f>
        <v>288</v>
      </c>
    </row>
    <row r="1619" spans="1:1" x14ac:dyDescent="0.3">
      <c r="A1619">
        <f>INDEX(Sheet1!B1619:B4417,MATCH(MAX(Sheet1!N1619:N4417),Sheet1!N1619:N4417,0))</f>
        <v>288</v>
      </c>
    </row>
    <row r="1620" spans="1:1" x14ac:dyDescent="0.3">
      <c r="A1620">
        <f>INDEX(Sheet1!B1620:B4418,MATCH(MAX(Sheet1!N1620:N4418),Sheet1!N1620:N4418,0))</f>
        <v>288</v>
      </c>
    </row>
    <row r="1621" spans="1:1" x14ac:dyDescent="0.3">
      <c r="A1621">
        <f>INDEX(Sheet1!B1621:B4419,MATCH(MAX(Sheet1!N1621:N4419),Sheet1!N1621:N4419,0))</f>
        <v>288</v>
      </c>
    </row>
    <row r="1622" spans="1:1" x14ac:dyDescent="0.3">
      <c r="A1622">
        <f>INDEX(Sheet1!B1622:B4420,MATCH(MAX(Sheet1!N1622:N4420),Sheet1!N1622:N4420,0))</f>
        <v>288</v>
      </c>
    </row>
    <row r="1623" spans="1:1" x14ac:dyDescent="0.3">
      <c r="A1623">
        <f>INDEX(Sheet1!B1623:B4421,MATCH(MAX(Sheet1!N1623:N4421),Sheet1!N1623:N4421,0))</f>
        <v>288</v>
      </c>
    </row>
    <row r="1624" spans="1:1" x14ac:dyDescent="0.3">
      <c r="A1624">
        <f>INDEX(Sheet1!B1624:B4422,MATCH(MAX(Sheet1!N1624:N4422),Sheet1!N1624:N4422,0))</f>
        <v>288</v>
      </c>
    </row>
    <row r="1625" spans="1:1" x14ac:dyDescent="0.3">
      <c r="A1625">
        <f>INDEX(Sheet1!B1625:B4423,MATCH(MAX(Sheet1!N1625:N4423),Sheet1!N1625:N4423,0))</f>
        <v>288</v>
      </c>
    </row>
    <row r="1626" spans="1:1" x14ac:dyDescent="0.3">
      <c r="A1626">
        <f>INDEX(Sheet1!B1626:B4424,MATCH(MAX(Sheet1!N1626:N4424),Sheet1!N1626:N4424,0))</f>
        <v>289</v>
      </c>
    </row>
    <row r="1627" spans="1:1" x14ac:dyDescent="0.3">
      <c r="A1627">
        <f>INDEX(Sheet1!B1627:B4425,MATCH(MAX(Sheet1!N1627:N4425),Sheet1!N1627:N4425,0))</f>
        <v>289</v>
      </c>
    </row>
    <row r="1628" spans="1:1" x14ac:dyDescent="0.3">
      <c r="A1628">
        <f>INDEX(Sheet1!B1628:B4426,MATCH(MAX(Sheet1!N1628:N4426),Sheet1!N1628:N4426,0))</f>
        <v>289</v>
      </c>
    </row>
    <row r="1629" spans="1:1" x14ac:dyDescent="0.3">
      <c r="A1629">
        <f>INDEX(Sheet1!B1629:B4427,MATCH(MAX(Sheet1!N1629:N4427),Sheet1!N1629:N4427,0))</f>
        <v>289</v>
      </c>
    </row>
    <row r="1630" spans="1:1" x14ac:dyDescent="0.3">
      <c r="A1630">
        <f>INDEX(Sheet1!B1630:B4428,MATCH(MAX(Sheet1!N1630:N4428),Sheet1!N1630:N4428,0))</f>
        <v>289</v>
      </c>
    </row>
    <row r="1631" spans="1:1" x14ac:dyDescent="0.3">
      <c r="A1631">
        <f>INDEX(Sheet1!B1631:B4429,MATCH(MAX(Sheet1!N1631:N4429),Sheet1!N1631:N4429,0))</f>
        <v>289</v>
      </c>
    </row>
    <row r="1632" spans="1:1" x14ac:dyDescent="0.3">
      <c r="A1632">
        <f>INDEX(Sheet1!B1632:B4430,MATCH(MAX(Sheet1!N1632:N4430),Sheet1!N1632:N4430,0))</f>
        <v>289</v>
      </c>
    </row>
    <row r="1633" spans="1:1" x14ac:dyDescent="0.3">
      <c r="A1633">
        <f>INDEX(Sheet1!B1633:B4431,MATCH(MAX(Sheet1!N1633:N4431),Sheet1!N1633:N4431,0))</f>
        <v>289</v>
      </c>
    </row>
    <row r="1634" spans="1:1" x14ac:dyDescent="0.3">
      <c r="A1634">
        <f>INDEX(Sheet1!B1634:B4432,MATCH(MAX(Sheet1!N1634:N4432),Sheet1!N1634:N4432,0))</f>
        <v>290</v>
      </c>
    </row>
    <row r="1635" spans="1:1" x14ac:dyDescent="0.3">
      <c r="A1635">
        <f>INDEX(Sheet1!B1635:B4433,MATCH(MAX(Sheet1!N1635:N4433),Sheet1!N1635:N4433,0))</f>
        <v>290</v>
      </c>
    </row>
    <row r="1636" spans="1:1" x14ac:dyDescent="0.3">
      <c r="A1636">
        <f>INDEX(Sheet1!B1636:B4434,MATCH(MAX(Sheet1!N1636:N4434),Sheet1!N1636:N4434,0))</f>
        <v>290</v>
      </c>
    </row>
    <row r="1637" spans="1:1" x14ac:dyDescent="0.3">
      <c r="A1637">
        <f>INDEX(Sheet1!B1637:B4435,MATCH(MAX(Sheet1!N1637:N4435),Sheet1!N1637:N4435,0))</f>
        <v>290</v>
      </c>
    </row>
    <row r="1638" spans="1:1" x14ac:dyDescent="0.3">
      <c r="A1638">
        <f>INDEX(Sheet1!B1638:B4436,MATCH(MAX(Sheet1!N1638:N4436),Sheet1!N1638:N4436,0))</f>
        <v>290</v>
      </c>
    </row>
    <row r="1639" spans="1:1" x14ac:dyDescent="0.3">
      <c r="A1639">
        <f>INDEX(Sheet1!B1639:B4437,MATCH(MAX(Sheet1!N1639:N4437),Sheet1!N1639:N4437,0))</f>
        <v>290</v>
      </c>
    </row>
    <row r="1640" spans="1:1" x14ac:dyDescent="0.3">
      <c r="A1640">
        <f>INDEX(Sheet1!B1640:B4438,MATCH(MAX(Sheet1!N1640:N4438),Sheet1!N1640:N4438,0))</f>
        <v>291</v>
      </c>
    </row>
    <row r="1641" spans="1:1" x14ac:dyDescent="0.3">
      <c r="A1641">
        <f>INDEX(Sheet1!B1641:B4439,MATCH(MAX(Sheet1!N1641:N4439),Sheet1!N1641:N4439,0))</f>
        <v>291</v>
      </c>
    </row>
    <row r="1642" spans="1:1" x14ac:dyDescent="0.3">
      <c r="A1642">
        <f>INDEX(Sheet1!B1642:B4440,MATCH(MAX(Sheet1!N1642:N4440),Sheet1!N1642:N4440,0))</f>
        <v>291</v>
      </c>
    </row>
    <row r="1643" spans="1:1" x14ac:dyDescent="0.3">
      <c r="A1643">
        <f>INDEX(Sheet1!B1643:B4441,MATCH(MAX(Sheet1!N1643:N4441),Sheet1!N1643:N4441,0))</f>
        <v>291</v>
      </c>
    </row>
    <row r="1644" spans="1:1" x14ac:dyDescent="0.3">
      <c r="A1644">
        <f>INDEX(Sheet1!B1644:B4442,MATCH(MAX(Sheet1!N1644:N4442),Sheet1!N1644:N4442,0))</f>
        <v>291</v>
      </c>
    </row>
    <row r="1645" spans="1:1" x14ac:dyDescent="0.3">
      <c r="A1645">
        <f>INDEX(Sheet1!B1645:B4443,MATCH(MAX(Sheet1!N1645:N4443),Sheet1!N1645:N4443,0))</f>
        <v>292</v>
      </c>
    </row>
    <row r="1646" spans="1:1" x14ac:dyDescent="0.3">
      <c r="A1646">
        <f>INDEX(Sheet1!B1646:B4444,MATCH(MAX(Sheet1!N1646:N4444),Sheet1!N1646:N4444,0))</f>
        <v>292</v>
      </c>
    </row>
    <row r="1647" spans="1:1" x14ac:dyDescent="0.3">
      <c r="A1647">
        <f>INDEX(Sheet1!B1647:B4445,MATCH(MAX(Sheet1!N1647:N4445),Sheet1!N1647:N4445,0))</f>
        <v>292</v>
      </c>
    </row>
    <row r="1648" spans="1:1" x14ac:dyDescent="0.3">
      <c r="A1648">
        <f>INDEX(Sheet1!B1648:B4446,MATCH(MAX(Sheet1!N1648:N4446),Sheet1!N1648:N4446,0))</f>
        <v>292</v>
      </c>
    </row>
    <row r="1649" spans="1:1" x14ac:dyDescent="0.3">
      <c r="A1649">
        <f>INDEX(Sheet1!B1649:B4447,MATCH(MAX(Sheet1!N1649:N4447),Sheet1!N1649:N4447,0))</f>
        <v>292</v>
      </c>
    </row>
    <row r="1650" spans="1:1" x14ac:dyDescent="0.3">
      <c r="A1650">
        <f>INDEX(Sheet1!B1650:B4448,MATCH(MAX(Sheet1!N1650:N4448),Sheet1!N1650:N4448,0))</f>
        <v>292</v>
      </c>
    </row>
    <row r="1651" spans="1:1" x14ac:dyDescent="0.3">
      <c r="A1651">
        <f>INDEX(Sheet1!B1651:B4449,MATCH(MAX(Sheet1!N1651:N4449),Sheet1!N1651:N4449,0))</f>
        <v>292</v>
      </c>
    </row>
    <row r="1652" spans="1:1" x14ac:dyDescent="0.3">
      <c r="A1652">
        <f>INDEX(Sheet1!B1652:B4450,MATCH(MAX(Sheet1!N1652:N4450),Sheet1!N1652:N4450,0))</f>
        <v>292</v>
      </c>
    </row>
    <row r="1653" spans="1:1" x14ac:dyDescent="0.3">
      <c r="A1653">
        <f>INDEX(Sheet1!B1653:B4451,MATCH(MAX(Sheet1!N1653:N4451),Sheet1!N1653:N4451,0))</f>
        <v>293</v>
      </c>
    </row>
    <row r="1654" spans="1:1" x14ac:dyDescent="0.3">
      <c r="A1654">
        <f>INDEX(Sheet1!B1654:B4452,MATCH(MAX(Sheet1!N1654:N4452),Sheet1!N1654:N4452,0))</f>
        <v>293</v>
      </c>
    </row>
    <row r="1655" spans="1:1" x14ac:dyDescent="0.3">
      <c r="A1655">
        <f>INDEX(Sheet1!B1655:B4453,MATCH(MAX(Sheet1!N1655:N4453),Sheet1!N1655:N4453,0))</f>
        <v>294</v>
      </c>
    </row>
    <row r="1656" spans="1:1" x14ac:dyDescent="0.3">
      <c r="A1656">
        <f>INDEX(Sheet1!B1656:B4454,MATCH(MAX(Sheet1!N1656:N4454),Sheet1!N1656:N4454,0))</f>
        <v>295</v>
      </c>
    </row>
    <row r="1657" spans="1:1" x14ac:dyDescent="0.3">
      <c r="A1657">
        <f>INDEX(Sheet1!B1657:B4455,MATCH(MAX(Sheet1!N1657:N4455),Sheet1!N1657:N4455,0))</f>
        <v>295</v>
      </c>
    </row>
    <row r="1658" spans="1:1" x14ac:dyDescent="0.3">
      <c r="A1658">
        <f>INDEX(Sheet1!B1658:B4456,MATCH(MAX(Sheet1!N1658:N4456),Sheet1!N1658:N4456,0))</f>
        <v>295</v>
      </c>
    </row>
    <row r="1659" spans="1:1" x14ac:dyDescent="0.3">
      <c r="A1659">
        <f>INDEX(Sheet1!B1659:B4457,MATCH(MAX(Sheet1!N1659:N4457),Sheet1!N1659:N4457,0))</f>
        <v>295</v>
      </c>
    </row>
    <row r="1660" spans="1:1" x14ac:dyDescent="0.3">
      <c r="A1660">
        <f>INDEX(Sheet1!B1660:B4458,MATCH(MAX(Sheet1!N1660:N4458),Sheet1!N1660:N4458,0))</f>
        <v>295</v>
      </c>
    </row>
    <row r="1661" spans="1:1" x14ac:dyDescent="0.3">
      <c r="A1661">
        <f>INDEX(Sheet1!B1661:B4459,MATCH(MAX(Sheet1!N1661:N4459),Sheet1!N1661:N4459,0))</f>
        <v>295</v>
      </c>
    </row>
    <row r="1662" spans="1:1" x14ac:dyDescent="0.3">
      <c r="A1662">
        <f>INDEX(Sheet1!B1662:B4460,MATCH(MAX(Sheet1!N1662:N4460),Sheet1!N1662:N4460,0))</f>
        <v>296</v>
      </c>
    </row>
    <row r="1663" spans="1:1" x14ac:dyDescent="0.3">
      <c r="A1663">
        <f>INDEX(Sheet1!B1663:B4461,MATCH(MAX(Sheet1!N1663:N4461),Sheet1!N1663:N4461,0))</f>
        <v>296</v>
      </c>
    </row>
    <row r="1664" spans="1:1" x14ac:dyDescent="0.3">
      <c r="A1664">
        <f>INDEX(Sheet1!B1664:B4462,MATCH(MAX(Sheet1!N1664:N4462),Sheet1!N1664:N4462,0))</f>
        <v>296</v>
      </c>
    </row>
    <row r="1665" spans="1:1" x14ac:dyDescent="0.3">
      <c r="A1665">
        <f>INDEX(Sheet1!B1665:B4463,MATCH(MAX(Sheet1!N1665:N4463),Sheet1!N1665:N4463,0))</f>
        <v>296</v>
      </c>
    </row>
    <row r="1666" spans="1:1" x14ac:dyDescent="0.3">
      <c r="A1666">
        <f>INDEX(Sheet1!B1666:B4464,MATCH(MAX(Sheet1!N1666:N4464),Sheet1!N1666:N4464,0))</f>
        <v>296</v>
      </c>
    </row>
    <row r="1667" spans="1:1" x14ac:dyDescent="0.3">
      <c r="A1667">
        <f>INDEX(Sheet1!B1667:B4465,MATCH(MAX(Sheet1!N1667:N4465),Sheet1!N1667:N4465,0))</f>
        <v>297</v>
      </c>
    </row>
    <row r="1668" spans="1:1" x14ac:dyDescent="0.3">
      <c r="A1668">
        <f>INDEX(Sheet1!B1668:B4466,MATCH(MAX(Sheet1!N1668:N4466),Sheet1!N1668:N4466,0))</f>
        <v>297</v>
      </c>
    </row>
    <row r="1669" spans="1:1" x14ac:dyDescent="0.3">
      <c r="A1669">
        <f>INDEX(Sheet1!B1669:B4467,MATCH(MAX(Sheet1!N1669:N4467),Sheet1!N1669:N4467,0))</f>
        <v>297</v>
      </c>
    </row>
    <row r="1670" spans="1:1" x14ac:dyDescent="0.3">
      <c r="A1670">
        <f>INDEX(Sheet1!B1670:B4468,MATCH(MAX(Sheet1!N1670:N4468),Sheet1!N1670:N4468,0))</f>
        <v>297</v>
      </c>
    </row>
    <row r="1671" spans="1:1" x14ac:dyDescent="0.3">
      <c r="A1671">
        <f>INDEX(Sheet1!B1671:B4469,MATCH(MAX(Sheet1!N1671:N4469),Sheet1!N1671:N4469,0))</f>
        <v>297</v>
      </c>
    </row>
    <row r="1672" spans="1:1" x14ac:dyDescent="0.3">
      <c r="A1672">
        <f>INDEX(Sheet1!B1672:B4470,MATCH(MAX(Sheet1!N1672:N4470),Sheet1!N1672:N4470,0))</f>
        <v>297</v>
      </c>
    </row>
    <row r="1673" spans="1:1" x14ac:dyDescent="0.3">
      <c r="A1673">
        <f>INDEX(Sheet1!B1673:B4471,MATCH(MAX(Sheet1!N1673:N4471),Sheet1!N1673:N4471,0))</f>
        <v>297</v>
      </c>
    </row>
    <row r="1674" spans="1:1" x14ac:dyDescent="0.3">
      <c r="A1674">
        <f>INDEX(Sheet1!B1674:B4472,MATCH(MAX(Sheet1!N1674:N4472),Sheet1!N1674:N4472,0))</f>
        <v>297</v>
      </c>
    </row>
    <row r="1675" spans="1:1" x14ac:dyDescent="0.3">
      <c r="A1675">
        <f>INDEX(Sheet1!B1675:B4473,MATCH(MAX(Sheet1!N1675:N4473),Sheet1!N1675:N4473,0))</f>
        <v>297</v>
      </c>
    </row>
    <row r="1676" spans="1:1" x14ac:dyDescent="0.3">
      <c r="A1676">
        <f>INDEX(Sheet1!B1676:B4474,MATCH(MAX(Sheet1!N1676:N4474),Sheet1!N1676:N4474,0))</f>
        <v>297</v>
      </c>
    </row>
    <row r="1677" spans="1:1" x14ac:dyDescent="0.3">
      <c r="A1677">
        <f>INDEX(Sheet1!B1677:B4475,MATCH(MAX(Sheet1!N1677:N4475),Sheet1!N1677:N4475,0))</f>
        <v>297</v>
      </c>
    </row>
    <row r="1678" spans="1:1" x14ac:dyDescent="0.3">
      <c r="A1678">
        <f>INDEX(Sheet1!B1678:B4476,MATCH(MAX(Sheet1!N1678:N4476),Sheet1!N1678:N4476,0))</f>
        <v>297</v>
      </c>
    </row>
    <row r="1679" spans="1:1" x14ac:dyDescent="0.3">
      <c r="A1679">
        <f>INDEX(Sheet1!B1679:B4477,MATCH(MAX(Sheet1!N1679:N4477),Sheet1!N1679:N4477,0))</f>
        <v>297</v>
      </c>
    </row>
    <row r="1680" spans="1:1" x14ac:dyDescent="0.3">
      <c r="A1680">
        <f>INDEX(Sheet1!B1680:B4478,MATCH(MAX(Sheet1!N1680:N4478),Sheet1!N1680:N4478,0))</f>
        <v>298</v>
      </c>
    </row>
    <row r="1681" spans="1:1" x14ac:dyDescent="0.3">
      <c r="A1681">
        <f>INDEX(Sheet1!B1681:B4479,MATCH(MAX(Sheet1!N1681:N4479),Sheet1!N1681:N4479,0))</f>
        <v>298</v>
      </c>
    </row>
    <row r="1682" spans="1:1" x14ac:dyDescent="0.3">
      <c r="A1682">
        <f>INDEX(Sheet1!B1682:B4480,MATCH(MAX(Sheet1!N1682:N4480),Sheet1!N1682:N4480,0))</f>
        <v>298</v>
      </c>
    </row>
    <row r="1683" spans="1:1" x14ac:dyDescent="0.3">
      <c r="A1683">
        <f>INDEX(Sheet1!B1683:B4481,MATCH(MAX(Sheet1!N1683:N4481),Sheet1!N1683:N4481,0))</f>
        <v>298</v>
      </c>
    </row>
    <row r="1684" spans="1:1" x14ac:dyDescent="0.3">
      <c r="A1684">
        <f>INDEX(Sheet1!B1684:B4482,MATCH(MAX(Sheet1!N1684:N4482),Sheet1!N1684:N4482,0))</f>
        <v>298</v>
      </c>
    </row>
    <row r="1685" spans="1:1" x14ac:dyDescent="0.3">
      <c r="A1685">
        <f>INDEX(Sheet1!B1685:B4483,MATCH(MAX(Sheet1!N1685:N4483),Sheet1!N1685:N4483,0))</f>
        <v>298</v>
      </c>
    </row>
    <row r="1686" spans="1:1" x14ac:dyDescent="0.3">
      <c r="A1686">
        <f>INDEX(Sheet1!B1686:B4484,MATCH(MAX(Sheet1!N1686:N4484),Sheet1!N1686:N4484,0))</f>
        <v>298</v>
      </c>
    </row>
    <row r="1687" spans="1:1" x14ac:dyDescent="0.3">
      <c r="A1687">
        <f>INDEX(Sheet1!B1687:B4485,MATCH(MAX(Sheet1!N1687:N4485),Sheet1!N1687:N4485,0))</f>
        <v>299</v>
      </c>
    </row>
    <row r="1688" spans="1:1" x14ac:dyDescent="0.3">
      <c r="A1688">
        <f>INDEX(Sheet1!B1688:B4486,MATCH(MAX(Sheet1!N1688:N4486),Sheet1!N1688:N4486,0))</f>
        <v>299</v>
      </c>
    </row>
    <row r="1689" spans="1:1" x14ac:dyDescent="0.3">
      <c r="A1689">
        <f>INDEX(Sheet1!B1689:B4487,MATCH(MAX(Sheet1!N1689:N4487),Sheet1!N1689:N4487,0))</f>
        <v>299</v>
      </c>
    </row>
    <row r="1690" spans="1:1" x14ac:dyDescent="0.3">
      <c r="A1690">
        <f>INDEX(Sheet1!B1690:B4488,MATCH(MAX(Sheet1!N1690:N4488),Sheet1!N1690:N4488,0))</f>
        <v>299</v>
      </c>
    </row>
    <row r="1691" spans="1:1" x14ac:dyDescent="0.3">
      <c r="A1691">
        <f>INDEX(Sheet1!B1691:B4489,MATCH(MAX(Sheet1!N1691:N4489),Sheet1!N1691:N4489,0))</f>
        <v>299</v>
      </c>
    </row>
    <row r="1692" spans="1:1" x14ac:dyDescent="0.3">
      <c r="A1692">
        <f>INDEX(Sheet1!B1692:B4490,MATCH(MAX(Sheet1!N1692:N4490),Sheet1!N1692:N4490,0))</f>
        <v>299</v>
      </c>
    </row>
    <row r="1693" spans="1:1" x14ac:dyDescent="0.3">
      <c r="A1693">
        <f>INDEX(Sheet1!B1693:B4491,MATCH(MAX(Sheet1!N1693:N4491),Sheet1!N1693:N4491,0))</f>
        <v>300</v>
      </c>
    </row>
    <row r="1694" spans="1:1" x14ac:dyDescent="0.3">
      <c r="A1694">
        <f>INDEX(Sheet1!B1694:B4492,MATCH(MAX(Sheet1!N1694:N4492),Sheet1!N1694:N4492,0))</f>
        <v>301</v>
      </c>
    </row>
    <row r="1695" spans="1:1" x14ac:dyDescent="0.3">
      <c r="A1695">
        <f>INDEX(Sheet1!B1695:B4493,MATCH(MAX(Sheet1!N1695:N4493),Sheet1!N1695:N4493,0))</f>
        <v>301</v>
      </c>
    </row>
    <row r="1696" spans="1:1" x14ac:dyDescent="0.3">
      <c r="A1696">
        <f>INDEX(Sheet1!B1696:B4494,MATCH(MAX(Sheet1!N1696:N4494),Sheet1!N1696:N4494,0))</f>
        <v>301</v>
      </c>
    </row>
    <row r="1697" spans="1:1" x14ac:dyDescent="0.3">
      <c r="A1697">
        <f>INDEX(Sheet1!B1697:B4495,MATCH(MAX(Sheet1!N1697:N4495),Sheet1!N1697:N4495,0))</f>
        <v>302</v>
      </c>
    </row>
    <row r="1698" spans="1:1" x14ac:dyDescent="0.3">
      <c r="A1698">
        <f>INDEX(Sheet1!B1698:B4496,MATCH(MAX(Sheet1!N1698:N4496),Sheet1!N1698:N4496,0))</f>
        <v>302</v>
      </c>
    </row>
    <row r="1699" spans="1:1" x14ac:dyDescent="0.3">
      <c r="A1699">
        <f>INDEX(Sheet1!B1699:B4497,MATCH(MAX(Sheet1!N1699:N4497),Sheet1!N1699:N4497,0))</f>
        <v>302</v>
      </c>
    </row>
    <row r="1700" spans="1:1" x14ac:dyDescent="0.3">
      <c r="A1700">
        <f>INDEX(Sheet1!B1700:B4498,MATCH(MAX(Sheet1!N1700:N4498),Sheet1!N1700:N4498,0))</f>
        <v>302</v>
      </c>
    </row>
    <row r="1701" spans="1:1" x14ac:dyDescent="0.3">
      <c r="A1701">
        <f>INDEX(Sheet1!B1701:B4499,MATCH(MAX(Sheet1!N1701:N4499),Sheet1!N1701:N4499,0))</f>
        <v>302</v>
      </c>
    </row>
    <row r="1702" spans="1:1" x14ac:dyDescent="0.3">
      <c r="A1702">
        <f>INDEX(Sheet1!B1702:B4500,MATCH(MAX(Sheet1!N1702:N4500),Sheet1!N1702:N4500,0))</f>
        <v>302</v>
      </c>
    </row>
    <row r="1703" spans="1:1" x14ac:dyDescent="0.3">
      <c r="A1703">
        <f>INDEX(Sheet1!B1703:B4501,MATCH(MAX(Sheet1!N1703:N4501),Sheet1!N1703:N4501,0))</f>
        <v>302</v>
      </c>
    </row>
    <row r="1704" spans="1:1" x14ac:dyDescent="0.3">
      <c r="A1704">
        <f>INDEX(Sheet1!B1704:B4502,MATCH(MAX(Sheet1!N1704:N4502),Sheet1!N1704:N4502,0))</f>
        <v>302</v>
      </c>
    </row>
    <row r="1705" spans="1:1" x14ac:dyDescent="0.3">
      <c r="A1705">
        <f>INDEX(Sheet1!B1705:B4503,MATCH(MAX(Sheet1!N1705:N4503),Sheet1!N1705:N4503,0))</f>
        <v>302</v>
      </c>
    </row>
    <row r="1706" spans="1:1" x14ac:dyDescent="0.3">
      <c r="A1706">
        <f>INDEX(Sheet1!B1706:B4504,MATCH(MAX(Sheet1!N1706:N4504),Sheet1!N1706:N4504,0))</f>
        <v>303</v>
      </c>
    </row>
    <row r="1707" spans="1:1" x14ac:dyDescent="0.3">
      <c r="A1707">
        <f>INDEX(Sheet1!B1707:B4505,MATCH(MAX(Sheet1!N1707:N4505),Sheet1!N1707:N4505,0))</f>
        <v>303</v>
      </c>
    </row>
    <row r="1708" spans="1:1" x14ac:dyDescent="0.3">
      <c r="A1708">
        <f>INDEX(Sheet1!B1708:B4506,MATCH(MAX(Sheet1!N1708:N4506),Sheet1!N1708:N4506,0))</f>
        <v>304</v>
      </c>
    </row>
    <row r="1709" spans="1:1" x14ac:dyDescent="0.3">
      <c r="A1709">
        <f>INDEX(Sheet1!B1709:B4507,MATCH(MAX(Sheet1!N1709:N4507),Sheet1!N1709:N4507,0))</f>
        <v>304</v>
      </c>
    </row>
    <row r="1710" spans="1:1" x14ac:dyDescent="0.3">
      <c r="A1710">
        <f>INDEX(Sheet1!B1710:B4508,MATCH(MAX(Sheet1!N1710:N4508),Sheet1!N1710:N4508,0))</f>
        <v>304</v>
      </c>
    </row>
    <row r="1711" spans="1:1" x14ac:dyDescent="0.3">
      <c r="A1711">
        <f>INDEX(Sheet1!B1711:B4509,MATCH(MAX(Sheet1!N1711:N4509),Sheet1!N1711:N4509,0))</f>
        <v>304</v>
      </c>
    </row>
    <row r="1712" spans="1:1" x14ac:dyDescent="0.3">
      <c r="A1712">
        <f>INDEX(Sheet1!B1712:B4510,MATCH(MAX(Sheet1!N1712:N4510),Sheet1!N1712:N4510,0))</f>
        <v>304</v>
      </c>
    </row>
    <row r="1713" spans="1:1" x14ac:dyDescent="0.3">
      <c r="A1713">
        <f>INDEX(Sheet1!B1713:B4511,MATCH(MAX(Sheet1!N1713:N4511),Sheet1!N1713:N4511,0))</f>
        <v>304</v>
      </c>
    </row>
    <row r="1714" spans="1:1" x14ac:dyDescent="0.3">
      <c r="A1714">
        <f>INDEX(Sheet1!B1714:B4512,MATCH(MAX(Sheet1!N1714:N4512),Sheet1!N1714:N4512,0))</f>
        <v>304</v>
      </c>
    </row>
    <row r="1715" spans="1:1" x14ac:dyDescent="0.3">
      <c r="A1715">
        <f>INDEX(Sheet1!B1715:B4513,MATCH(MAX(Sheet1!N1715:N4513),Sheet1!N1715:N4513,0))</f>
        <v>305</v>
      </c>
    </row>
    <row r="1716" spans="1:1" x14ac:dyDescent="0.3">
      <c r="A1716">
        <f>INDEX(Sheet1!B1716:B4514,MATCH(MAX(Sheet1!N1716:N4514),Sheet1!N1716:N4514,0))</f>
        <v>305</v>
      </c>
    </row>
    <row r="1717" spans="1:1" x14ac:dyDescent="0.3">
      <c r="A1717">
        <f>INDEX(Sheet1!B1717:B4515,MATCH(MAX(Sheet1!N1717:N4515),Sheet1!N1717:N4515,0))</f>
        <v>305</v>
      </c>
    </row>
    <row r="1718" spans="1:1" x14ac:dyDescent="0.3">
      <c r="A1718">
        <f>INDEX(Sheet1!B1718:B4516,MATCH(MAX(Sheet1!N1718:N4516),Sheet1!N1718:N4516,0))</f>
        <v>305</v>
      </c>
    </row>
    <row r="1719" spans="1:1" x14ac:dyDescent="0.3">
      <c r="A1719">
        <f>INDEX(Sheet1!B1719:B4517,MATCH(MAX(Sheet1!N1719:N4517),Sheet1!N1719:N4517,0))</f>
        <v>305</v>
      </c>
    </row>
    <row r="1720" spans="1:1" x14ac:dyDescent="0.3">
      <c r="A1720">
        <f>INDEX(Sheet1!B1720:B4518,MATCH(MAX(Sheet1!N1720:N4518),Sheet1!N1720:N4518,0))</f>
        <v>305</v>
      </c>
    </row>
    <row r="1721" spans="1:1" x14ac:dyDescent="0.3">
      <c r="A1721">
        <f>INDEX(Sheet1!B1721:B4519,MATCH(MAX(Sheet1!N1721:N4519),Sheet1!N1721:N4519,0))</f>
        <v>305</v>
      </c>
    </row>
    <row r="1722" spans="1:1" x14ac:dyDescent="0.3">
      <c r="A1722">
        <f>INDEX(Sheet1!B1722:B4520,MATCH(MAX(Sheet1!N1722:N4520),Sheet1!N1722:N4520,0))</f>
        <v>305</v>
      </c>
    </row>
    <row r="1723" spans="1:1" x14ac:dyDescent="0.3">
      <c r="A1723">
        <f>INDEX(Sheet1!B1723:B4521,MATCH(MAX(Sheet1!N1723:N4521),Sheet1!N1723:N4521,0))</f>
        <v>305</v>
      </c>
    </row>
    <row r="1724" spans="1:1" x14ac:dyDescent="0.3">
      <c r="A1724">
        <f>INDEX(Sheet1!B1724:B4522,MATCH(MAX(Sheet1!N1724:N4522),Sheet1!N1724:N4522,0))</f>
        <v>305</v>
      </c>
    </row>
    <row r="1725" spans="1:1" x14ac:dyDescent="0.3">
      <c r="A1725">
        <f>INDEX(Sheet1!B1725:B4523,MATCH(MAX(Sheet1!N1725:N4523),Sheet1!N1725:N4523,0))</f>
        <v>305</v>
      </c>
    </row>
    <row r="1726" spans="1:1" x14ac:dyDescent="0.3">
      <c r="A1726">
        <f>INDEX(Sheet1!B1726:B4524,MATCH(MAX(Sheet1!N1726:N4524),Sheet1!N1726:N4524,0))</f>
        <v>305</v>
      </c>
    </row>
    <row r="1727" spans="1:1" x14ac:dyDescent="0.3">
      <c r="A1727">
        <f>INDEX(Sheet1!B1727:B4525,MATCH(MAX(Sheet1!N1727:N4525),Sheet1!N1727:N4525,0))</f>
        <v>305</v>
      </c>
    </row>
    <row r="1728" spans="1:1" x14ac:dyDescent="0.3">
      <c r="A1728">
        <f>INDEX(Sheet1!B1728:B4526,MATCH(MAX(Sheet1!N1728:N4526),Sheet1!N1728:N4526,0))</f>
        <v>305</v>
      </c>
    </row>
    <row r="1729" spans="1:1" x14ac:dyDescent="0.3">
      <c r="A1729">
        <f>INDEX(Sheet1!B1729:B4527,MATCH(MAX(Sheet1!N1729:N4527),Sheet1!N1729:N4527,0))</f>
        <v>306</v>
      </c>
    </row>
    <row r="1730" spans="1:1" x14ac:dyDescent="0.3">
      <c r="A1730">
        <f>INDEX(Sheet1!B1730:B4528,MATCH(MAX(Sheet1!N1730:N4528),Sheet1!N1730:N4528,0))</f>
        <v>306</v>
      </c>
    </row>
    <row r="1731" spans="1:1" x14ac:dyDescent="0.3">
      <c r="A1731">
        <f>INDEX(Sheet1!B1731:B4529,MATCH(MAX(Sheet1!N1731:N4529),Sheet1!N1731:N4529,0))</f>
        <v>306</v>
      </c>
    </row>
    <row r="1732" spans="1:1" x14ac:dyDescent="0.3">
      <c r="A1732">
        <f>INDEX(Sheet1!B1732:B4530,MATCH(MAX(Sheet1!N1732:N4530),Sheet1!N1732:N4530,0))</f>
        <v>306</v>
      </c>
    </row>
    <row r="1733" spans="1:1" x14ac:dyDescent="0.3">
      <c r="A1733">
        <f>INDEX(Sheet1!B1733:B4531,MATCH(MAX(Sheet1!N1733:N4531),Sheet1!N1733:N4531,0))</f>
        <v>306</v>
      </c>
    </row>
    <row r="1734" spans="1:1" x14ac:dyDescent="0.3">
      <c r="A1734">
        <f>INDEX(Sheet1!B1734:B4532,MATCH(MAX(Sheet1!N1734:N4532),Sheet1!N1734:N4532,0))</f>
        <v>306</v>
      </c>
    </row>
    <row r="1735" spans="1:1" x14ac:dyDescent="0.3">
      <c r="A1735">
        <f>INDEX(Sheet1!B1735:B4533,MATCH(MAX(Sheet1!N1735:N4533),Sheet1!N1735:N4533,0))</f>
        <v>307</v>
      </c>
    </row>
    <row r="1736" spans="1:1" x14ac:dyDescent="0.3">
      <c r="A1736">
        <f>INDEX(Sheet1!B1736:B4534,MATCH(MAX(Sheet1!N1736:N4534),Sheet1!N1736:N4534,0))</f>
        <v>307</v>
      </c>
    </row>
    <row r="1737" spans="1:1" x14ac:dyDescent="0.3">
      <c r="A1737">
        <f>INDEX(Sheet1!B1737:B4535,MATCH(MAX(Sheet1!N1737:N4535),Sheet1!N1737:N4535,0))</f>
        <v>307</v>
      </c>
    </row>
    <row r="1738" spans="1:1" x14ac:dyDescent="0.3">
      <c r="A1738">
        <f>INDEX(Sheet1!B1738:B4536,MATCH(MAX(Sheet1!N1738:N4536),Sheet1!N1738:N4536,0))</f>
        <v>307</v>
      </c>
    </row>
    <row r="1739" spans="1:1" x14ac:dyDescent="0.3">
      <c r="A1739">
        <f>INDEX(Sheet1!B1739:B4537,MATCH(MAX(Sheet1!N1739:N4537),Sheet1!N1739:N4537,0))</f>
        <v>308</v>
      </c>
    </row>
    <row r="1740" spans="1:1" x14ac:dyDescent="0.3">
      <c r="A1740">
        <f>INDEX(Sheet1!B1740:B4538,MATCH(MAX(Sheet1!N1740:N4538),Sheet1!N1740:N4538,0))</f>
        <v>308</v>
      </c>
    </row>
    <row r="1741" spans="1:1" x14ac:dyDescent="0.3">
      <c r="A1741">
        <f>INDEX(Sheet1!B1741:B4539,MATCH(MAX(Sheet1!N1741:N4539),Sheet1!N1741:N4539,0))</f>
        <v>308</v>
      </c>
    </row>
    <row r="1742" spans="1:1" x14ac:dyDescent="0.3">
      <c r="A1742">
        <f>INDEX(Sheet1!B1742:B4540,MATCH(MAX(Sheet1!N1742:N4540),Sheet1!N1742:N4540,0))</f>
        <v>308</v>
      </c>
    </row>
    <row r="1743" spans="1:1" x14ac:dyDescent="0.3">
      <c r="A1743">
        <f>INDEX(Sheet1!B1743:B4541,MATCH(MAX(Sheet1!N1743:N4541),Sheet1!N1743:N4541,0))</f>
        <v>309</v>
      </c>
    </row>
    <row r="1744" spans="1:1" x14ac:dyDescent="0.3">
      <c r="A1744">
        <f>INDEX(Sheet1!B1744:B4542,MATCH(MAX(Sheet1!N1744:N4542),Sheet1!N1744:N4542,0))</f>
        <v>309</v>
      </c>
    </row>
    <row r="1745" spans="1:1" x14ac:dyDescent="0.3">
      <c r="A1745">
        <f>INDEX(Sheet1!B1745:B4543,MATCH(MAX(Sheet1!N1745:N4543),Sheet1!N1745:N4543,0))</f>
        <v>309</v>
      </c>
    </row>
    <row r="1746" spans="1:1" x14ac:dyDescent="0.3">
      <c r="A1746">
        <f>INDEX(Sheet1!B1746:B4544,MATCH(MAX(Sheet1!N1746:N4544),Sheet1!N1746:N4544,0))</f>
        <v>309</v>
      </c>
    </row>
    <row r="1747" spans="1:1" x14ac:dyDescent="0.3">
      <c r="A1747">
        <f>INDEX(Sheet1!B1747:B4545,MATCH(MAX(Sheet1!N1747:N4545),Sheet1!N1747:N4545,0))</f>
        <v>309</v>
      </c>
    </row>
    <row r="1748" spans="1:1" x14ac:dyDescent="0.3">
      <c r="A1748">
        <f>INDEX(Sheet1!B1748:B4546,MATCH(MAX(Sheet1!N1748:N4546),Sheet1!N1748:N4546,0))</f>
        <v>309</v>
      </c>
    </row>
    <row r="1749" spans="1:1" x14ac:dyDescent="0.3">
      <c r="A1749">
        <f>INDEX(Sheet1!B1749:B4547,MATCH(MAX(Sheet1!N1749:N4547),Sheet1!N1749:N4547,0))</f>
        <v>310</v>
      </c>
    </row>
    <row r="1750" spans="1:1" x14ac:dyDescent="0.3">
      <c r="A1750">
        <f>INDEX(Sheet1!B1750:B4548,MATCH(MAX(Sheet1!N1750:N4548),Sheet1!N1750:N4548,0))</f>
        <v>310</v>
      </c>
    </row>
    <row r="1751" spans="1:1" x14ac:dyDescent="0.3">
      <c r="A1751">
        <f>INDEX(Sheet1!B1751:B4549,MATCH(MAX(Sheet1!N1751:N4549),Sheet1!N1751:N4549,0))</f>
        <v>310</v>
      </c>
    </row>
    <row r="1752" spans="1:1" x14ac:dyDescent="0.3">
      <c r="A1752">
        <f>INDEX(Sheet1!B1752:B4550,MATCH(MAX(Sheet1!N1752:N4550),Sheet1!N1752:N4550,0))</f>
        <v>310</v>
      </c>
    </row>
    <row r="1753" spans="1:1" x14ac:dyDescent="0.3">
      <c r="A1753">
        <f>INDEX(Sheet1!B1753:B4551,MATCH(MAX(Sheet1!N1753:N4551),Sheet1!N1753:N4551,0))</f>
        <v>311</v>
      </c>
    </row>
    <row r="1754" spans="1:1" x14ac:dyDescent="0.3">
      <c r="A1754">
        <f>INDEX(Sheet1!B1754:B4552,MATCH(MAX(Sheet1!N1754:N4552),Sheet1!N1754:N4552,0))</f>
        <v>311</v>
      </c>
    </row>
    <row r="1755" spans="1:1" x14ac:dyDescent="0.3">
      <c r="A1755">
        <f>INDEX(Sheet1!B1755:B4553,MATCH(MAX(Sheet1!N1755:N4553),Sheet1!N1755:N4553,0))</f>
        <v>311</v>
      </c>
    </row>
    <row r="1756" spans="1:1" x14ac:dyDescent="0.3">
      <c r="A1756">
        <f>INDEX(Sheet1!B1756:B4554,MATCH(MAX(Sheet1!N1756:N4554),Sheet1!N1756:N4554,0))</f>
        <v>311</v>
      </c>
    </row>
    <row r="1757" spans="1:1" x14ac:dyDescent="0.3">
      <c r="A1757">
        <f>INDEX(Sheet1!B1757:B4555,MATCH(MAX(Sheet1!N1757:N4555),Sheet1!N1757:N4555,0))</f>
        <v>311</v>
      </c>
    </row>
    <row r="1758" spans="1:1" x14ac:dyDescent="0.3">
      <c r="A1758">
        <f>INDEX(Sheet1!B1758:B4556,MATCH(MAX(Sheet1!N1758:N4556),Sheet1!N1758:N4556,0))</f>
        <v>311</v>
      </c>
    </row>
    <row r="1759" spans="1:1" x14ac:dyDescent="0.3">
      <c r="A1759">
        <f>INDEX(Sheet1!B1759:B4557,MATCH(MAX(Sheet1!N1759:N4557),Sheet1!N1759:N4557,0))</f>
        <v>311</v>
      </c>
    </row>
    <row r="1760" spans="1:1" x14ac:dyDescent="0.3">
      <c r="A1760">
        <f>INDEX(Sheet1!B1760:B4558,MATCH(MAX(Sheet1!N1760:N4558),Sheet1!N1760:N4558,0))</f>
        <v>311</v>
      </c>
    </row>
    <row r="1761" spans="1:1" x14ac:dyDescent="0.3">
      <c r="A1761">
        <f>INDEX(Sheet1!B1761:B4559,MATCH(MAX(Sheet1!N1761:N4559),Sheet1!N1761:N4559,0))</f>
        <v>311</v>
      </c>
    </row>
    <row r="1762" spans="1:1" x14ac:dyDescent="0.3">
      <c r="A1762">
        <f>INDEX(Sheet1!B1762:B4560,MATCH(MAX(Sheet1!N1762:N4560),Sheet1!N1762:N4560,0))</f>
        <v>311</v>
      </c>
    </row>
    <row r="1763" spans="1:1" x14ac:dyDescent="0.3">
      <c r="A1763">
        <f>INDEX(Sheet1!B1763:B4561,MATCH(MAX(Sheet1!N1763:N4561),Sheet1!N1763:N4561,0))</f>
        <v>312</v>
      </c>
    </row>
    <row r="1764" spans="1:1" x14ac:dyDescent="0.3">
      <c r="A1764">
        <f>INDEX(Sheet1!B1764:B4562,MATCH(MAX(Sheet1!N1764:N4562),Sheet1!N1764:N4562,0))</f>
        <v>312</v>
      </c>
    </row>
    <row r="1765" spans="1:1" x14ac:dyDescent="0.3">
      <c r="A1765">
        <f>INDEX(Sheet1!B1765:B4563,MATCH(MAX(Sheet1!N1765:N4563),Sheet1!N1765:N4563,0))</f>
        <v>312</v>
      </c>
    </row>
    <row r="1766" spans="1:1" x14ac:dyDescent="0.3">
      <c r="A1766">
        <f>INDEX(Sheet1!B1766:B4564,MATCH(MAX(Sheet1!N1766:N4564),Sheet1!N1766:N4564,0))</f>
        <v>312</v>
      </c>
    </row>
    <row r="1767" spans="1:1" x14ac:dyDescent="0.3">
      <c r="A1767">
        <f>INDEX(Sheet1!B1767:B4565,MATCH(MAX(Sheet1!N1767:N4565),Sheet1!N1767:N4565,0))</f>
        <v>313</v>
      </c>
    </row>
    <row r="1768" spans="1:1" x14ac:dyDescent="0.3">
      <c r="A1768">
        <f>INDEX(Sheet1!B1768:B4566,MATCH(MAX(Sheet1!N1768:N4566),Sheet1!N1768:N4566,0))</f>
        <v>313</v>
      </c>
    </row>
    <row r="1769" spans="1:1" x14ac:dyDescent="0.3">
      <c r="A1769">
        <f>INDEX(Sheet1!B1769:B4567,MATCH(MAX(Sheet1!N1769:N4567),Sheet1!N1769:N4567,0))</f>
        <v>313</v>
      </c>
    </row>
    <row r="1770" spans="1:1" x14ac:dyDescent="0.3">
      <c r="A1770">
        <f>INDEX(Sheet1!B1770:B4568,MATCH(MAX(Sheet1!N1770:N4568),Sheet1!N1770:N4568,0))</f>
        <v>313</v>
      </c>
    </row>
    <row r="1771" spans="1:1" x14ac:dyDescent="0.3">
      <c r="A1771">
        <f>INDEX(Sheet1!B1771:B4569,MATCH(MAX(Sheet1!N1771:N4569),Sheet1!N1771:N4569,0))</f>
        <v>313</v>
      </c>
    </row>
    <row r="1772" spans="1:1" x14ac:dyDescent="0.3">
      <c r="A1772">
        <f>INDEX(Sheet1!B1772:B4570,MATCH(MAX(Sheet1!N1772:N4570),Sheet1!N1772:N4570,0))</f>
        <v>314</v>
      </c>
    </row>
    <row r="1773" spans="1:1" x14ac:dyDescent="0.3">
      <c r="A1773">
        <f>INDEX(Sheet1!B1773:B4571,MATCH(MAX(Sheet1!N1773:N4571),Sheet1!N1773:N4571,0))</f>
        <v>314</v>
      </c>
    </row>
    <row r="1774" spans="1:1" x14ac:dyDescent="0.3">
      <c r="A1774">
        <f>INDEX(Sheet1!B1774:B4572,MATCH(MAX(Sheet1!N1774:N4572),Sheet1!N1774:N4572,0))</f>
        <v>314</v>
      </c>
    </row>
    <row r="1775" spans="1:1" x14ac:dyDescent="0.3">
      <c r="A1775">
        <f>INDEX(Sheet1!B1775:B4573,MATCH(MAX(Sheet1!N1775:N4573),Sheet1!N1775:N4573,0))</f>
        <v>314</v>
      </c>
    </row>
    <row r="1776" spans="1:1" x14ac:dyDescent="0.3">
      <c r="A1776">
        <f>INDEX(Sheet1!B1776:B4574,MATCH(MAX(Sheet1!N1776:N4574),Sheet1!N1776:N4574,0))</f>
        <v>314</v>
      </c>
    </row>
    <row r="1777" spans="1:1" x14ac:dyDescent="0.3">
      <c r="A1777">
        <f>INDEX(Sheet1!B1777:B4575,MATCH(MAX(Sheet1!N1777:N4575),Sheet1!N1777:N4575,0))</f>
        <v>315</v>
      </c>
    </row>
    <row r="1778" spans="1:1" x14ac:dyDescent="0.3">
      <c r="A1778">
        <f>INDEX(Sheet1!B1778:B4576,MATCH(MAX(Sheet1!N1778:N4576),Sheet1!N1778:N4576,0))</f>
        <v>315</v>
      </c>
    </row>
    <row r="1779" spans="1:1" x14ac:dyDescent="0.3">
      <c r="A1779">
        <f>INDEX(Sheet1!B1779:B4577,MATCH(MAX(Sheet1!N1779:N4577),Sheet1!N1779:N4577,0))</f>
        <v>315</v>
      </c>
    </row>
    <row r="1780" spans="1:1" x14ac:dyDescent="0.3">
      <c r="A1780">
        <f>INDEX(Sheet1!B1780:B4578,MATCH(MAX(Sheet1!N1780:N4578),Sheet1!N1780:N4578,0))</f>
        <v>315</v>
      </c>
    </row>
    <row r="1781" spans="1:1" x14ac:dyDescent="0.3">
      <c r="A1781">
        <f>INDEX(Sheet1!B1781:B4579,MATCH(MAX(Sheet1!N1781:N4579),Sheet1!N1781:N4579,0))</f>
        <v>315</v>
      </c>
    </row>
    <row r="1782" spans="1:1" x14ac:dyDescent="0.3">
      <c r="A1782">
        <f>INDEX(Sheet1!B1782:B4580,MATCH(MAX(Sheet1!N1782:N4580),Sheet1!N1782:N4580,0))</f>
        <v>315</v>
      </c>
    </row>
    <row r="1783" spans="1:1" x14ac:dyDescent="0.3">
      <c r="A1783">
        <f>INDEX(Sheet1!B1783:B4581,MATCH(MAX(Sheet1!N1783:N4581),Sheet1!N1783:N4581,0))</f>
        <v>315</v>
      </c>
    </row>
    <row r="1784" spans="1:1" x14ac:dyDescent="0.3">
      <c r="A1784">
        <f>INDEX(Sheet1!B1784:B4582,MATCH(MAX(Sheet1!N1784:N4582),Sheet1!N1784:N4582,0))</f>
        <v>316</v>
      </c>
    </row>
    <row r="1785" spans="1:1" x14ac:dyDescent="0.3">
      <c r="A1785">
        <f>INDEX(Sheet1!B1785:B4583,MATCH(MAX(Sheet1!N1785:N4583),Sheet1!N1785:N4583,0))</f>
        <v>316</v>
      </c>
    </row>
    <row r="1786" spans="1:1" x14ac:dyDescent="0.3">
      <c r="A1786">
        <f>INDEX(Sheet1!B1786:B4584,MATCH(MAX(Sheet1!N1786:N4584),Sheet1!N1786:N4584,0))</f>
        <v>316</v>
      </c>
    </row>
    <row r="1787" spans="1:1" x14ac:dyDescent="0.3">
      <c r="A1787">
        <f>INDEX(Sheet1!B1787:B4585,MATCH(MAX(Sheet1!N1787:N4585),Sheet1!N1787:N4585,0))</f>
        <v>316</v>
      </c>
    </row>
    <row r="1788" spans="1:1" x14ac:dyDescent="0.3">
      <c r="A1788">
        <f>INDEX(Sheet1!B1788:B4586,MATCH(MAX(Sheet1!N1788:N4586),Sheet1!N1788:N4586,0))</f>
        <v>316</v>
      </c>
    </row>
    <row r="1789" spans="1:1" x14ac:dyDescent="0.3">
      <c r="A1789">
        <f>INDEX(Sheet1!B1789:B4587,MATCH(MAX(Sheet1!N1789:N4587),Sheet1!N1789:N4587,0))</f>
        <v>316</v>
      </c>
    </row>
    <row r="1790" spans="1:1" x14ac:dyDescent="0.3">
      <c r="A1790">
        <f>INDEX(Sheet1!B1790:B4588,MATCH(MAX(Sheet1!N1790:N4588),Sheet1!N1790:N4588,0))</f>
        <v>316</v>
      </c>
    </row>
    <row r="1791" spans="1:1" x14ac:dyDescent="0.3">
      <c r="A1791">
        <f>INDEX(Sheet1!B1791:B4589,MATCH(MAX(Sheet1!N1791:N4589),Sheet1!N1791:N4589,0))</f>
        <v>316</v>
      </c>
    </row>
    <row r="1792" spans="1:1" x14ac:dyDescent="0.3">
      <c r="A1792">
        <f>INDEX(Sheet1!B1792:B4590,MATCH(MAX(Sheet1!N1792:N4590),Sheet1!N1792:N4590,0))</f>
        <v>316</v>
      </c>
    </row>
    <row r="1793" spans="1:1" x14ac:dyDescent="0.3">
      <c r="A1793">
        <f>INDEX(Sheet1!B1793:B4591,MATCH(MAX(Sheet1!N1793:N4591),Sheet1!N1793:N4591,0))</f>
        <v>317</v>
      </c>
    </row>
    <row r="1794" spans="1:1" x14ac:dyDescent="0.3">
      <c r="A1794">
        <f>INDEX(Sheet1!B1794:B4592,MATCH(MAX(Sheet1!N1794:N4592),Sheet1!N1794:N4592,0))</f>
        <v>317</v>
      </c>
    </row>
    <row r="1795" spans="1:1" x14ac:dyDescent="0.3">
      <c r="A1795">
        <f>INDEX(Sheet1!B1795:B4593,MATCH(MAX(Sheet1!N1795:N4593),Sheet1!N1795:N4593,0))</f>
        <v>317</v>
      </c>
    </row>
    <row r="1796" spans="1:1" x14ac:dyDescent="0.3">
      <c r="A1796">
        <f>INDEX(Sheet1!B1796:B4594,MATCH(MAX(Sheet1!N1796:N4594),Sheet1!N1796:N4594,0))</f>
        <v>318</v>
      </c>
    </row>
    <row r="1797" spans="1:1" x14ac:dyDescent="0.3">
      <c r="A1797">
        <f>INDEX(Sheet1!B1797:B4595,MATCH(MAX(Sheet1!N1797:N4595),Sheet1!N1797:N4595,0))</f>
        <v>318</v>
      </c>
    </row>
    <row r="1798" spans="1:1" x14ac:dyDescent="0.3">
      <c r="A1798">
        <f>INDEX(Sheet1!B1798:B4596,MATCH(MAX(Sheet1!N1798:N4596),Sheet1!N1798:N4596,0))</f>
        <v>318</v>
      </c>
    </row>
    <row r="1799" spans="1:1" x14ac:dyDescent="0.3">
      <c r="A1799">
        <f>INDEX(Sheet1!B1799:B4597,MATCH(MAX(Sheet1!N1799:N4597),Sheet1!N1799:N4597,0))</f>
        <v>318</v>
      </c>
    </row>
    <row r="1800" spans="1:1" x14ac:dyDescent="0.3">
      <c r="A1800">
        <f>INDEX(Sheet1!B1800:B4598,MATCH(MAX(Sheet1!N1800:N4598),Sheet1!N1800:N4598,0))</f>
        <v>319</v>
      </c>
    </row>
    <row r="1801" spans="1:1" x14ac:dyDescent="0.3">
      <c r="A1801">
        <f>INDEX(Sheet1!B1801:B4599,MATCH(MAX(Sheet1!N1801:N4599),Sheet1!N1801:N4599,0))</f>
        <v>319</v>
      </c>
    </row>
    <row r="1802" spans="1:1" x14ac:dyDescent="0.3">
      <c r="A1802">
        <f>INDEX(Sheet1!B1802:B4600,MATCH(MAX(Sheet1!N1802:N4600),Sheet1!N1802:N4600,0))</f>
        <v>319</v>
      </c>
    </row>
    <row r="1803" spans="1:1" x14ac:dyDescent="0.3">
      <c r="A1803">
        <f>INDEX(Sheet1!B1803:B4601,MATCH(MAX(Sheet1!N1803:N4601),Sheet1!N1803:N4601,0))</f>
        <v>319</v>
      </c>
    </row>
    <row r="1804" spans="1:1" x14ac:dyDescent="0.3">
      <c r="A1804">
        <f>INDEX(Sheet1!B1804:B4602,MATCH(MAX(Sheet1!N1804:N4602),Sheet1!N1804:N4602,0))</f>
        <v>319</v>
      </c>
    </row>
    <row r="1805" spans="1:1" x14ac:dyDescent="0.3">
      <c r="A1805">
        <f>INDEX(Sheet1!B1805:B4603,MATCH(MAX(Sheet1!N1805:N4603),Sheet1!N1805:N4603,0))</f>
        <v>320</v>
      </c>
    </row>
    <row r="1806" spans="1:1" x14ac:dyDescent="0.3">
      <c r="A1806">
        <f>INDEX(Sheet1!B1806:B4604,MATCH(MAX(Sheet1!N1806:N4604),Sheet1!N1806:N4604,0))</f>
        <v>320</v>
      </c>
    </row>
    <row r="1807" spans="1:1" x14ac:dyDescent="0.3">
      <c r="A1807">
        <f>INDEX(Sheet1!B1807:B4605,MATCH(MAX(Sheet1!N1807:N4605),Sheet1!N1807:N4605,0))</f>
        <v>320</v>
      </c>
    </row>
    <row r="1808" spans="1:1" x14ac:dyDescent="0.3">
      <c r="A1808">
        <f>INDEX(Sheet1!B1808:B4606,MATCH(MAX(Sheet1!N1808:N4606),Sheet1!N1808:N4606,0))</f>
        <v>320</v>
      </c>
    </row>
    <row r="1809" spans="1:1" x14ac:dyDescent="0.3">
      <c r="A1809">
        <f>INDEX(Sheet1!B1809:B4607,MATCH(MAX(Sheet1!N1809:N4607),Sheet1!N1809:N4607,0))</f>
        <v>321</v>
      </c>
    </row>
    <row r="1810" spans="1:1" x14ac:dyDescent="0.3">
      <c r="A1810">
        <f>INDEX(Sheet1!B1810:B4608,MATCH(MAX(Sheet1!N1810:N4608),Sheet1!N1810:N4608,0))</f>
        <v>321</v>
      </c>
    </row>
    <row r="1811" spans="1:1" x14ac:dyDescent="0.3">
      <c r="A1811">
        <f>INDEX(Sheet1!B1811:B4609,MATCH(MAX(Sheet1!N1811:N4609),Sheet1!N1811:N4609,0))</f>
        <v>321</v>
      </c>
    </row>
    <row r="1812" spans="1:1" x14ac:dyDescent="0.3">
      <c r="A1812">
        <f>INDEX(Sheet1!B1812:B4610,MATCH(MAX(Sheet1!N1812:N4610),Sheet1!N1812:N4610,0))</f>
        <v>321</v>
      </c>
    </row>
    <row r="1813" spans="1:1" x14ac:dyDescent="0.3">
      <c r="A1813">
        <f>INDEX(Sheet1!B1813:B4611,MATCH(MAX(Sheet1!N1813:N4611),Sheet1!N1813:N4611,0))</f>
        <v>323</v>
      </c>
    </row>
    <row r="1814" spans="1:1" x14ac:dyDescent="0.3">
      <c r="A1814">
        <f>INDEX(Sheet1!B1814:B4612,MATCH(MAX(Sheet1!N1814:N4612),Sheet1!N1814:N4612,0))</f>
        <v>323</v>
      </c>
    </row>
    <row r="1815" spans="1:1" x14ac:dyDescent="0.3">
      <c r="A1815">
        <f>INDEX(Sheet1!B1815:B4613,MATCH(MAX(Sheet1!N1815:N4613),Sheet1!N1815:N4613,0))</f>
        <v>323</v>
      </c>
    </row>
    <row r="1816" spans="1:1" x14ac:dyDescent="0.3">
      <c r="A1816">
        <f>INDEX(Sheet1!B1816:B4614,MATCH(MAX(Sheet1!N1816:N4614),Sheet1!N1816:N4614,0))</f>
        <v>323</v>
      </c>
    </row>
    <row r="1817" spans="1:1" x14ac:dyDescent="0.3">
      <c r="A1817">
        <f>INDEX(Sheet1!B1817:B4615,MATCH(MAX(Sheet1!N1817:N4615),Sheet1!N1817:N4615,0))</f>
        <v>323</v>
      </c>
    </row>
    <row r="1818" spans="1:1" x14ac:dyDescent="0.3">
      <c r="A1818">
        <f>INDEX(Sheet1!B1818:B4616,MATCH(MAX(Sheet1!N1818:N4616),Sheet1!N1818:N4616,0))</f>
        <v>323</v>
      </c>
    </row>
    <row r="1819" spans="1:1" x14ac:dyDescent="0.3">
      <c r="A1819">
        <f>INDEX(Sheet1!B1819:B4617,MATCH(MAX(Sheet1!N1819:N4617),Sheet1!N1819:N4617,0))</f>
        <v>323</v>
      </c>
    </row>
    <row r="1820" spans="1:1" x14ac:dyDescent="0.3">
      <c r="A1820">
        <f>INDEX(Sheet1!B1820:B4618,MATCH(MAX(Sheet1!N1820:N4618),Sheet1!N1820:N4618,0))</f>
        <v>323</v>
      </c>
    </row>
    <row r="1821" spans="1:1" x14ac:dyDescent="0.3">
      <c r="A1821">
        <f>INDEX(Sheet1!B1821:B4619,MATCH(MAX(Sheet1!N1821:N4619),Sheet1!N1821:N4619,0))</f>
        <v>323</v>
      </c>
    </row>
    <row r="1822" spans="1:1" x14ac:dyDescent="0.3">
      <c r="A1822">
        <f>INDEX(Sheet1!B1822:B4620,MATCH(MAX(Sheet1!N1822:N4620),Sheet1!N1822:N4620,0))</f>
        <v>323</v>
      </c>
    </row>
    <row r="1823" spans="1:1" x14ac:dyDescent="0.3">
      <c r="A1823">
        <f>INDEX(Sheet1!B1823:B4621,MATCH(MAX(Sheet1!N1823:N4621),Sheet1!N1823:N4621,0))</f>
        <v>324</v>
      </c>
    </row>
    <row r="1824" spans="1:1" x14ac:dyDescent="0.3">
      <c r="A1824">
        <f>INDEX(Sheet1!B1824:B4622,MATCH(MAX(Sheet1!N1824:N4622),Sheet1!N1824:N4622,0))</f>
        <v>324</v>
      </c>
    </row>
    <row r="1825" spans="1:1" x14ac:dyDescent="0.3">
      <c r="A1825">
        <f>INDEX(Sheet1!B1825:B4623,MATCH(MAX(Sheet1!N1825:N4623),Sheet1!N1825:N4623,0))</f>
        <v>324</v>
      </c>
    </row>
    <row r="1826" spans="1:1" x14ac:dyDescent="0.3">
      <c r="A1826">
        <f>INDEX(Sheet1!B1826:B4624,MATCH(MAX(Sheet1!N1826:N4624),Sheet1!N1826:N4624,0))</f>
        <v>324</v>
      </c>
    </row>
    <row r="1827" spans="1:1" x14ac:dyDescent="0.3">
      <c r="A1827">
        <f>INDEX(Sheet1!B1827:B4625,MATCH(MAX(Sheet1!N1827:N4625),Sheet1!N1827:N4625,0))</f>
        <v>324</v>
      </c>
    </row>
    <row r="1828" spans="1:1" x14ac:dyDescent="0.3">
      <c r="A1828">
        <f>INDEX(Sheet1!B1828:B4626,MATCH(MAX(Sheet1!N1828:N4626),Sheet1!N1828:N4626,0))</f>
        <v>324</v>
      </c>
    </row>
    <row r="1829" spans="1:1" x14ac:dyDescent="0.3">
      <c r="A1829">
        <f>INDEX(Sheet1!B1829:B4627,MATCH(MAX(Sheet1!N1829:N4627),Sheet1!N1829:N4627,0))</f>
        <v>324</v>
      </c>
    </row>
    <row r="1830" spans="1:1" x14ac:dyDescent="0.3">
      <c r="A1830">
        <f>INDEX(Sheet1!B1830:B4628,MATCH(MAX(Sheet1!N1830:N4628),Sheet1!N1830:N4628,0))</f>
        <v>324</v>
      </c>
    </row>
    <row r="1831" spans="1:1" x14ac:dyDescent="0.3">
      <c r="A1831">
        <f>INDEX(Sheet1!B1831:B4629,MATCH(MAX(Sheet1!N1831:N4629),Sheet1!N1831:N4629,0))</f>
        <v>326</v>
      </c>
    </row>
    <row r="1832" spans="1:1" x14ac:dyDescent="0.3">
      <c r="A1832">
        <f>INDEX(Sheet1!B1832:B4630,MATCH(MAX(Sheet1!N1832:N4630),Sheet1!N1832:N4630,0))</f>
        <v>326</v>
      </c>
    </row>
    <row r="1833" spans="1:1" x14ac:dyDescent="0.3">
      <c r="A1833">
        <f>INDEX(Sheet1!B1833:B4631,MATCH(MAX(Sheet1!N1833:N4631),Sheet1!N1833:N4631,0))</f>
        <v>326</v>
      </c>
    </row>
    <row r="1834" spans="1:1" x14ac:dyDescent="0.3">
      <c r="A1834">
        <f>INDEX(Sheet1!B1834:B4632,MATCH(MAX(Sheet1!N1834:N4632),Sheet1!N1834:N4632,0))</f>
        <v>326</v>
      </c>
    </row>
    <row r="1835" spans="1:1" x14ac:dyDescent="0.3">
      <c r="A1835">
        <f>INDEX(Sheet1!B1835:B4633,MATCH(MAX(Sheet1!N1835:N4633),Sheet1!N1835:N4633,0))</f>
        <v>326</v>
      </c>
    </row>
    <row r="1836" spans="1:1" x14ac:dyDescent="0.3">
      <c r="A1836">
        <f>INDEX(Sheet1!B1836:B4634,MATCH(MAX(Sheet1!N1836:N4634),Sheet1!N1836:N4634,0))</f>
        <v>326</v>
      </c>
    </row>
    <row r="1837" spans="1:1" x14ac:dyDescent="0.3">
      <c r="A1837">
        <f>INDEX(Sheet1!B1837:B4635,MATCH(MAX(Sheet1!N1837:N4635),Sheet1!N1837:N4635,0))</f>
        <v>326</v>
      </c>
    </row>
    <row r="1838" spans="1:1" x14ac:dyDescent="0.3">
      <c r="A1838">
        <f>INDEX(Sheet1!B1838:B4636,MATCH(MAX(Sheet1!N1838:N4636),Sheet1!N1838:N4636,0))</f>
        <v>327</v>
      </c>
    </row>
    <row r="1839" spans="1:1" x14ac:dyDescent="0.3">
      <c r="A1839">
        <f>INDEX(Sheet1!B1839:B4637,MATCH(MAX(Sheet1!N1839:N4637),Sheet1!N1839:N4637,0))</f>
        <v>327</v>
      </c>
    </row>
    <row r="1840" spans="1:1" x14ac:dyDescent="0.3">
      <c r="A1840">
        <f>INDEX(Sheet1!B1840:B4638,MATCH(MAX(Sheet1!N1840:N4638),Sheet1!N1840:N4638,0))</f>
        <v>327</v>
      </c>
    </row>
    <row r="1841" spans="1:1" x14ac:dyDescent="0.3">
      <c r="A1841">
        <f>INDEX(Sheet1!B1841:B4639,MATCH(MAX(Sheet1!N1841:N4639),Sheet1!N1841:N4639,0))</f>
        <v>327</v>
      </c>
    </row>
    <row r="1842" spans="1:1" x14ac:dyDescent="0.3">
      <c r="A1842">
        <f>INDEX(Sheet1!B1842:B4640,MATCH(MAX(Sheet1!N1842:N4640),Sheet1!N1842:N4640,0))</f>
        <v>328</v>
      </c>
    </row>
    <row r="1843" spans="1:1" x14ac:dyDescent="0.3">
      <c r="A1843">
        <f>INDEX(Sheet1!B1843:B4641,MATCH(MAX(Sheet1!N1843:N4641),Sheet1!N1843:N4641,0))</f>
        <v>328</v>
      </c>
    </row>
    <row r="1844" spans="1:1" x14ac:dyDescent="0.3">
      <c r="A1844">
        <f>INDEX(Sheet1!B1844:B4642,MATCH(MAX(Sheet1!N1844:N4642),Sheet1!N1844:N4642,0))</f>
        <v>328</v>
      </c>
    </row>
    <row r="1845" spans="1:1" x14ac:dyDescent="0.3">
      <c r="A1845">
        <f>INDEX(Sheet1!B1845:B4643,MATCH(MAX(Sheet1!N1845:N4643),Sheet1!N1845:N4643,0))</f>
        <v>328</v>
      </c>
    </row>
    <row r="1846" spans="1:1" x14ac:dyDescent="0.3">
      <c r="A1846">
        <f>INDEX(Sheet1!B1846:B4644,MATCH(MAX(Sheet1!N1846:N4644),Sheet1!N1846:N4644,0))</f>
        <v>329</v>
      </c>
    </row>
    <row r="1847" spans="1:1" x14ac:dyDescent="0.3">
      <c r="A1847">
        <f>INDEX(Sheet1!B1847:B4645,MATCH(MAX(Sheet1!N1847:N4645),Sheet1!N1847:N4645,0))</f>
        <v>329</v>
      </c>
    </row>
    <row r="1848" spans="1:1" x14ac:dyDescent="0.3">
      <c r="A1848">
        <f>INDEX(Sheet1!B1848:B4646,MATCH(MAX(Sheet1!N1848:N4646),Sheet1!N1848:N4646,0))</f>
        <v>329</v>
      </c>
    </row>
    <row r="1849" spans="1:1" x14ac:dyDescent="0.3">
      <c r="A1849">
        <f>INDEX(Sheet1!B1849:B4647,MATCH(MAX(Sheet1!N1849:N4647),Sheet1!N1849:N4647,0))</f>
        <v>329</v>
      </c>
    </row>
    <row r="1850" spans="1:1" x14ac:dyDescent="0.3">
      <c r="A1850">
        <f>INDEX(Sheet1!B1850:B4648,MATCH(MAX(Sheet1!N1850:N4648),Sheet1!N1850:N4648,0))</f>
        <v>329</v>
      </c>
    </row>
    <row r="1851" spans="1:1" x14ac:dyDescent="0.3">
      <c r="A1851">
        <f>INDEX(Sheet1!B1851:B4649,MATCH(MAX(Sheet1!N1851:N4649),Sheet1!N1851:N4649,0))</f>
        <v>329</v>
      </c>
    </row>
    <row r="1852" spans="1:1" x14ac:dyDescent="0.3">
      <c r="A1852">
        <f>INDEX(Sheet1!B1852:B4650,MATCH(MAX(Sheet1!N1852:N4650),Sheet1!N1852:N4650,0))</f>
        <v>329</v>
      </c>
    </row>
    <row r="1853" spans="1:1" x14ac:dyDescent="0.3">
      <c r="A1853">
        <f>INDEX(Sheet1!B1853:B4651,MATCH(MAX(Sheet1!N1853:N4651),Sheet1!N1853:N4651,0))</f>
        <v>329</v>
      </c>
    </row>
    <row r="1854" spans="1:1" x14ac:dyDescent="0.3">
      <c r="A1854">
        <f>INDEX(Sheet1!B1854:B4652,MATCH(MAX(Sheet1!N1854:N4652),Sheet1!N1854:N4652,0))</f>
        <v>330</v>
      </c>
    </row>
    <row r="1855" spans="1:1" x14ac:dyDescent="0.3">
      <c r="A1855">
        <f>INDEX(Sheet1!B1855:B4653,MATCH(MAX(Sheet1!N1855:N4653),Sheet1!N1855:N4653,0))</f>
        <v>330</v>
      </c>
    </row>
    <row r="1856" spans="1:1" x14ac:dyDescent="0.3">
      <c r="A1856">
        <f>INDEX(Sheet1!B1856:B4654,MATCH(MAX(Sheet1!N1856:N4654),Sheet1!N1856:N4654,0))</f>
        <v>330</v>
      </c>
    </row>
    <row r="1857" spans="1:1" x14ac:dyDescent="0.3">
      <c r="A1857">
        <f>INDEX(Sheet1!B1857:B4655,MATCH(MAX(Sheet1!N1857:N4655),Sheet1!N1857:N4655,0))</f>
        <v>330</v>
      </c>
    </row>
    <row r="1858" spans="1:1" x14ac:dyDescent="0.3">
      <c r="A1858">
        <f>INDEX(Sheet1!B1858:B4656,MATCH(MAX(Sheet1!N1858:N4656),Sheet1!N1858:N4656,0))</f>
        <v>330</v>
      </c>
    </row>
    <row r="1859" spans="1:1" x14ac:dyDescent="0.3">
      <c r="A1859">
        <f>INDEX(Sheet1!B1859:B4657,MATCH(MAX(Sheet1!N1859:N4657),Sheet1!N1859:N4657,0))</f>
        <v>331</v>
      </c>
    </row>
    <row r="1860" spans="1:1" x14ac:dyDescent="0.3">
      <c r="A1860">
        <f>INDEX(Sheet1!B1860:B4658,MATCH(MAX(Sheet1!N1860:N4658),Sheet1!N1860:N4658,0))</f>
        <v>331</v>
      </c>
    </row>
    <row r="1861" spans="1:1" x14ac:dyDescent="0.3">
      <c r="A1861">
        <f>INDEX(Sheet1!B1861:B4659,MATCH(MAX(Sheet1!N1861:N4659),Sheet1!N1861:N4659,0))</f>
        <v>331</v>
      </c>
    </row>
    <row r="1862" spans="1:1" x14ac:dyDescent="0.3">
      <c r="A1862">
        <f>INDEX(Sheet1!B1862:B4660,MATCH(MAX(Sheet1!N1862:N4660),Sheet1!N1862:N4660,0))</f>
        <v>331</v>
      </c>
    </row>
    <row r="1863" spans="1:1" x14ac:dyDescent="0.3">
      <c r="A1863">
        <f>INDEX(Sheet1!B1863:B4661,MATCH(MAX(Sheet1!N1863:N4661),Sheet1!N1863:N4661,0))</f>
        <v>331</v>
      </c>
    </row>
    <row r="1864" spans="1:1" x14ac:dyDescent="0.3">
      <c r="A1864">
        <f>INDEX(Sheet1!B1864:B4662,MATCH(MAX(Sheet1!N1864:N4662),Sheet1!N1864:N4662,0))</f>
        <v>331</v>
      </c>
    </row>
    <row r="1865" spans="1:1" x14ac:dyDescent="0.3">
      <c r="A1865">
        <f>INDEX(Sheet1!B1865:B4663,MATCH(MAX(Sheet1!N1865:N4663),Sheet1!N1865:N4663,0))</f>
        <v>331</v>
      </c>
    </row>
    <row r="1866" spans="1:1" x14ac:dyDescent="0.3">
      <c r="A1866">
        <f>INDEX(Sheet1!B1866:B4664,MATCH(MAX(Sheet1!N1866:N4664),Sheet1!N1866:N4664,0))</f>
        <v>331</v>
      </c>
    </row>
    <row r="1867" spans="1:1" x14ac:dyDescent="0.3">
      <c r="A1867">
        <f>INDEX(Sheet1!B1867:B4665,MATCH(MAX(Sheet1!N1867:N4665),Sheet1!N1867:N4665,0))</f>
        <v>331</v>
      </c>
    </row>
    <row r="1868" spans="1:1" x14ac:dyDescent="0.3">
      <c r="A1868">
        <f>INDEX(Sheet1!B1868:B4666,MATCH(MAX(Sheet1!N1868:N4666),Sheet1!N1868:N4666,0))</f>
        <v>332</v>
      </c>
    </row>
    <row r="1869" spans="1:1" x14ac:dyDescent="0.3">
      <c r="A1869">
        <f>INDEX(Sheet1!B1869:B4667,MATCH(MAX(Sheet1!N1869:N4667),Sheet1!N1869:N4667,0))</f>
        <v>332</v>
      </c>
    </row>
    <row r="1870" spans="1:1" x14ac:dyDescent="0.3">
      <c r="A1870">
        <f>INDEX(Sheet1!B1870:B4668,MATCH(MAX(Sheet1!N1870:N4668),Sheet1!N1870:N4668,0))</f>
        <v>332</v>
      </c>
    </row>
    <row r="1871" spans="1:1" x14ac:dyDescent="0.3">
      <c r="A1871">
        <f>INDEX(Sheet1!B1871:B4669,MATCH(MAX(Sheet1!N1871:N4669),Sheet1!N1871:N4669,0))</f>
        <v>333</v>
      </c>
    </row>
    <row r="1872" spans="1:1" x14ac:dyDescent="0.3">
      <c r="A1872">
        <f>INDEX(Sheet1!B1872:B4670,MATCH(MAX(Sheet1!N1872:N4670),Sheet1!N1872:N4670,0))</f>
        <v>333</v>
      </c>
    </row>
    <row r="1873" spans="1:1" x14ac:dyDescent="0.3">
      <c r="A1873">
        <f>INDEX(Sheet1!B1873:B4671,MATCH(MAX(Sheet1!N1873:N4671),Sheet1!N1873:N4671,0))</f>
        <v>334</v>
      </c>
    </row>
    <row r="1874" spans="1:1" x14ac:dyDescent="0.3">
      <c r="A1874">
        <f>INDEX(Sheet1!B1874:B4672,MATCH(MAX(Sheet1!N1874:N4672),Sheet1!N1874:N4672,0))</f>
        <v>334</v>
      </c>
    </row>
    <row r="1875" spans="1:1" x14ac:dyDescent="0.3">
      <c r="A1875">
        <f>INDEX(Sheet1!B1875:B4673,MATCH(MAX(Sheet1!N1875:N4673),Sheet1!N1875:N4673,0))</f>
        <v>334</v>
      </c>
    </row>
    <row r="1876" spans="1:1" x14ac:dyDescent="0.3">
      <c r="A1876">
        <f>INDEX(Sheet1!B1876:B4674,MATCH(MAX(Sheet1!N1876:N4674),Sheet1!N1876:N4674,0))</f>
        <v>334</v>
      </c>
    </row>
    <row r="1877" spans="1:1" x14ac:dyDescent="0.3">
      <c r="A1877">
        <f>INDEX(Sheet1!B1877:B4675,MATCH(MAX(Sheet1!N1877:N4675),Sheet1!N1877:N4675,0))</f>
        <v>334</v>
      </c>
    </row>
    <row r="1878" spans="1:1" x14ac:dyDescent="0.3">
      <c r="A1878">
        <f>INDEX(Sheet1!B1878:B4676,MATCH(MAX(Sheet1!N1878:N4676),Sheet1!N1878:N4676,0))</f>
        <v>334</v>
      </c>
    </row>
    <row r="1879" spans="1:1" x14ac:dyDescent="0.3">
      <c r="A1879">
        <f>INDEX(Sheet1!B1879:B4677,MATCH(MAX(Sheet1!N1879:N4677),Sheet1!N1879:N4677,0))</f>
        <v>334</v>
      </c>
    </row>
    <row r="1880" spans="1:1" x14ac:dyDescent="0.3">
      <c r="A1880">
        <f>INDEX(Sheet1!B1880:B4678,MATCH(MAX(Sheet1!N1880:N4678),Sheet1!N1880:N4678,0))</f>
        <v>335</v>
      </c>
    </row>
    <row r="1881" spans="1:1" x14ac:dyDescent="0.3">
      <c r="A1881">
        <f>INDEX(Sheet1!B1881:B4679,MATCH(MAX(Sheet1!N1881:N4679),Sheet1!N1881:N4679,0))</f>
        <v>335</v>
      </c>
    </row>
    <row r="1882" spans="1:1" x14ac:dyDescent="0.3">
      <c r="A1882">
        <f>INDEX(Sheet1!B1882:B4680,MATCH(MAX(Sheet1!N1882:N4680),Sheet1!N1882:N4680,0))</f>
        <v>337</v>
      </c>
    </row>
    <row r="1883" spans="1:1" x14ac:dyDescent="0.3">
      <c r="A1883">
        <f>INDEX(Sheet1!B1883:B4681,MATCH(MAX(Sheet1!N1883:N4681),Sheet1!N1883:N4681,0))</f>
        <v>337</v>
      </c>
    </row>
    <row r="1884" spans="1:1" x14ac:dyDescent="0.3">
      <c r="A1884">
        <f>INDEX(Sheet1!B1884:B4682,MATCH(MAX(Sheet1!N1884:N4682),Sheet1!N1884:N4682,0))</f>
        <v>337</v>
      </c>
    </row>
    <row r="1885" spans="1:1" x14ac:dyDescent="0.3">
      <c r="A1885">
        <f>INDEX(Sheet1!B1885:B4683,MATCH(MAX(Sheet1!N1885:N4683),Sheet1!N1885:N4683,0))</f>
        <v>337</v>
      </c>
    </row>
    <row r="1886" spans="1:1" x14ac:dyDescent="0.3">
      <c r="A1886">
        <f>INDEX(Sheet1!B1886:B4684,MATCH(MAX(Sheet1!N1886:N4684),Sheet1!N1886:N4684,0))</f>
        <v>337</v>
      </c>
    </row>
    <row r="1887" spans="1:1" x14ac:dyDescent="0.3">
      <c r="A1887">
        <f>INDEX(Sheet1!B1887:B4685,MATCH(MAX(Sheet1!N1887:N4685),Sheet1!N1887:N4685,0))</f>
        <v>337</v>
      </c>
    </row>
    <row r="1888" spans="1:1" x14ac:dyDescent="0.3">
      <c r="A1888">
        <f>INDEX(Sheet1!B1888:B4686,MATCH(MAX(Sheet1!N1888:N4686),Sheet1!N1888:N4686,0))</f>
        <v>337</v>
      </c>
    </row>
    <row r="1889" spans="1:1" x14ac:dyDescent="0.3">
      <c r="A1889">
        <f>INDEX(Sheet1!B1889:B4687,MATCH(MAX(Sheet1!N1889:N4687),Sheet1!N1889:N4687,0))</f>
        <v>337</v>
      </c>
    </row>
    <row r="1890" spans="1:1" x14ac:dyDescent="0.3">
      <c r="A1890">
        <f>INDEX(Sheet1!B1890:B4688,MATCH(MAX(Sheet1!N1890:N4688),Sheet1!N1890:N4688,0))</f>
        <v>337</v>
      </c>
    </row>
    <row r="1891" spans="1:1" x14ac:dyDescent="0.3">
      <c r="A1891">
        <f>INDEX(Sheet1!B1891:B4689,MATCH(MAX(Sheet1!N1891:N4689),Sheet1!N1891:N4689,0))</f>
        <v>337</v>
      </c>
    </row>
    <row r="1892" spans="1:1" x14ac:dyDescent="0.3">
      <c r="A1892">
        <f>INDEX(Sheet1!B1892:B4690,MATCH(MAX(Sheet1!N1892:N4690),Sheet1!N1892:N4690,0))</f>
        <v>337</v>
      </c>
    </row>
    <row r="1893" spans="1:1" x14ac:dyDescent="0.3">
      <c r="A1893">
        <f>INDEX(Sheet1!B1893:B4691,MATCH(MAX(Sheet1!N1893:N4691),Sheet1!N1893:N4691,0))</f>
        <v>337</v>
      </c>
    </row>
    <row r="1894" spans="1:1" x14ac:dyDescent="0.3">
      <c r="A1894">
        <f>INDEX(Sheet1!B1894:B4692,MATCH(MAX(Sheet1!N1894:N4692),Sheet1!N1894:N4692,0))</f>
        <v>337</v>
      </c>
    </row>
    <row r="1895" spans="1:1" x14ac:dyDescent="0.3">
      <c r="A1895">
        <f>INDEX(Sheet1!B1895:B4693,MATCH(MAX(Sheet1!N1895:N4693),Sheet1!N1895:N4693,0))</f>
        <v>337</v>
      </c>
    </row>
    <row r="1896" spans="1:1" x14ac:dyDescent="0.3">
      <c r="A1896">
        <f>INDEX(Sheet1!B1896:B4694,MATCH(MAX(Sheet1!N1896:N4694),Sheet1!N1896:N4694,0))</f>
        <v>338</v>
      </c>
    </row>
    <row r="1897" spans="1:1" x14ac:dyDescent="0.3">
      <c r="A1897">
        <f>INDEX(Sheet1!B1897:B4695,MATCH(MAX(Sheet1!N1897:N4695),Sheet1!N1897:N4695,0))</f>
        <v>338</v>
      </c>
    </row>
    <row r="1898" spans="1:1" x14ac:dyDescent="0.3">
      <c r="A1898">
        <f>INDEX(Sheet1!B1898:B4696,MATCH(MAX(Sheet1!N1898:N4696),Sheet1!N1898:N4696,0))</f>
        <v>338</v>
      </c>
    </row>
    <row r="1899" spans="1:1" x14ac:dyDescent="0.3">
      <c r="A1899">
        <f>INDEX(Sheet1!B1899:B4697,MATCH(MAX(Sheet1!N1899:N4697),Sheet1!N1899:N4697,0))</f>
        <v>338</v>
      </c>
    </row>
    <row r="1900" spans="1:1" x14ac:dyDescent="0.3">
      <c r="A1900">
        <f>INDEX(Sheet1!B1900:B4698,MATCH(MAX(Sheet1!N1900:N4698),Sheet1!N1900:N4698,0))</f>
        <v>338</v>
      </c>
    </row>
    <row r="1901" spans="1:1" x14ac:dyDescent="0.3">
      <c r="A1901">
        <f>INDEX(Sheet1!B1901:B4699,MATCH(MAX(Sheet1!N1901:N4699),Sheet1!N1901:N4699,0))</f>
        <v>338</v>
      </c>
    </row>
    <row r="1902" spans="1:1" x14ac:dyDescent="0.3">
      <c r="A1902">
        <f>INDEX(Sheet1!B1902:B4700,MATCH(MAX(Sheet1!N1902:N4700),Sheet1!N1902:N4700,0))</f>
        <v>338</v>
      </c>
    </row>
    <row r="1903" spans="1:1" x14ac:dyDescent="0.3">
      <c r="A1903">
        <f>INDEX(Sheet1!B1903:B4701,MATCH(MAX(Sheet1!N1903:N4701),Sheet1!N1903:N4701,0))</f>
        <v>338</v>
      </c>
    </row>
    <row r="1904" spans="1:1" x14ac:dyDescent="0.3">
      <c r="A1904">
        <f>INDEX(Sheet1!B1904:B4702,MATCH(MAX(Sheet1!N1904:N4702),Sheet1!N1904:N4702,0))</f>
        <v>338</v>
      </c>
    </row>
    <row r="1905" spans="1:1" x14ac:dyDescent="0.3">
      <c r="A1905">
        <f>INDEX(Sheet1!B1905:B4703,MATCH(MAX(Sheet1!N1905:N4703),Sheet1!N1905:N4703,0))</f>
        <v>338</v>
      </c>
    </row>
    <row r="1906" spans="1:1" x14ac:dyDescent="0.3">
      <c r="A1906">
        <f>INDEX(Sheet1!B1906:B4704,MATCH(MAX(Sheet1!N1906:N4704),Sheet1!N1906:N4704,0))</f>
        <v>338</v>
      </c>
    </row>
    <row r="1907" spans="1:1" x14ac:dyDescent="0.3">
      <c r="A1907">
        <f>INDEX(Sheet1!B1907:B4705,MATCH(MAX(Sheet1!N1907:N4705),Sheet1!N1907:N4705,0))</f>
        <v>339</v>
      </c>
    </row>
    <row r="1908" spans="1:1" x14ac:dyDescent="0.3">
      <c r="A1908">
        <f>INDEX(Sheet1!B1908:B4706,MATCH(MAX(Sheet1!N1908:N4706),Sheet1!N1908:N4706,0))</f>
        <v>339</v>
      </c>
    </row>
    <row r="1909" spans="1:1" x14ac:dyDescent="0.3">
      <c r="A1909">
        <f>INDEX(Sheet1!B1909:B4707,MATCH(MAX(Sheet1!N1909:N4707),Sheet1!N1909:N4707,0))</f>
        <v>339</v>
      </c>
    </row>
    <row r="1910" spans="1:1" x14ac:dyDescent="0.3">
      <c r="A1910">
        <f>INDEX(Sheet1!B1910:B4708,MATCH(MAX(Sheet1!N1910:N4708),Sheet1!N1910:N4708,0))</f>
        <v>339</v>
      </c>
    </row>
    <row r="1911" spans="1:1" x14ac:dyDescent="0.3">
      <c r="A1911">
        <f>INDEX(Sheet1!B1911:B4709,MATCH(MAX(Sheet1!N1911:N4709),Sheet1!N1911:N4709,0))</f>
        <v>339</v>
      </c>
    </row>
    <row r="1912" spans="1:1" x14ac:dyDescent="0.3">
      <c r="A1912">
        <f>INDEX(Sheet1!B1912:B4710,MATCH(MAX(Sheet1!N1912:N4710),Sheet1!N1912:N4710,0))</f>
        <v>339</v>
      </c>
    </row>
    <row r="1913" spans="1:1" x14ac:dyDescent="0.3">
      <c r="A1913">
        <f>INDEX(Sheet1!B1913:B4711,MATCH(MAX(Sheet1!N1913:N4711),Sheet1!N1913:N4711,0))</f>
        <v>340</v>
      </c>
    </row>
    <row r="1914" spans="1:1" x14ac:dyDescent="0.3">
      <c r="A1914">
        <f>INDEX(Sheet1!B1914:B4712,MATCH(MAX(Sheet1!N1914:N4712),Sheet1!N1914:N4712,0))</f>
        <v>340</v>
      </c>
    </row>
    <row r="1915" spans="1:1" x14ac:dyDescent="0.3">
      <c r="A1915">
        <f>INDEX(Sheet1!B1915:B4713,MATCH(MAX(Sheet1!N1915:N4713),Sheet1!N1915:N4713,0))</f>
        <v>340</v>
      </c>
    </row>
    <row r="1916" spans="1:1" x14ac:dyDescent="0.3">
      <c r="A1916">
        <f>INDEX(Sheet1!B1916:B4714,MATCH(MAX(Sheet1!N1916:N4714),Sheet1!N1916:N4714,0))</f>
        <v>340</v>
      </c>
    </row>
    <row r="1917" spans="1:1" x14ac:dyDescent="0.3">
      <c r="A1917">
        <f>INDEX(Sheet1!B1917:B4715,MATCH(MAX(Sheet1!N1917:N4715),Sheet1!N1917:N4715,0))</f>
        <v>340</v>
      </c>
    </row>
    <row r="1918" spans="1:1" x14ac:dyDescent="0.3">
      <c r="A1918">
        <f>INDEX(Sheet1!B1918:B4716,MATCH(MAX(Sheet1!N1918:N4716),Sheet1!N1918:N4716,0))</f>
        <v>340</v>
      </c>
    </row>
    <row r="1919" spans="1:1" x14ac:dyDescent="0.3">
      <c r="A1919">
        <f>INDEX(Sheet1!B1919:B4717,MATCH(MAX(Sheet1!N1919:N4717),Sheet1!N1919:N4717,0))</f>
        <v>340</v>
      </c>
    </row>
    <row r="1920" spans="1:1" x14ac:dyDescent="0.3">
      <c r="A1920">
        <f>INDEX(Sheet1!B1920:B4718,MATCH(MAX(Sheet1!N1920:N4718),Sheet1!N1920:N4718,0))</f>
        <v>340</v>
      </c>
    </row>
    <row r="1921" spans="1:1" x14ac:dyDescent="0.3">
      <c r="A1921">
        <f>INDEX(Sheet1!B1921:B4719,MATCH(MAX(Sheet1!N1921:N4719),Sheet1!N1921:N4719,0))</f>
        <v>340</v>
      </c>
    </row>
    <row r="1922" spans="1:1" x14ac:dyDescent="0.3">
      <c r="A1922">
        <f>INDEX(Sheet1!B1922:B4720,MATCH(MAX(Sheet1!N1922:N4720),Sheet1!N1922:N4720,0))</f>
        <v>340</v>
      </c>
    </row>
    <row r="1923" spans="1:1" x14ac:dyDescent="0.3">
      <c r="A1923">
        <f>INDEX(Sheet1!B1923:B4721,MATCH(MAX(Sheet1!N1923:N4721),Sheet1!N1923:N4721,0))</f>
        <v>343</v>
      </c>
    </row>
    <row r="1924" spans="1:1" x14ac:dyDescent="0.3">
      <c r="A1924">
        <f>INDEX(Sheet1!B1924:B4722,MATCH(MAX(Sheet1!N1924:N4722),Sheet1!N1924:N4722,0))</f>
        <v>343</v>
      </c>
    </row>
    <row r="1925" spans="1:1" x14ac:dyDescent="0.3">
      <c r="A1925">
        <f>INDEX(Sheet1!B1925:B4723,MATCH(MAX(Sheet1!N1925:N4723),Sheet1!N1925:N4723,0))</f>
        <v>343</v>
      </c>
    </row>
    <row r="1926" spans="1:1" x14ac:dyDescent="0.3">
      <c r="A1926">
        <f>INDEX(Sheet1!B1926:B4724,MATCH(MAX(Sheet1!N1926:N4724),Sheet1!N1926:N4724,0))</f>
        <v>343</v>
      </c>
    </row>
    <row r="1927" spans="1:1" x14ac:dyDescent="0.3">
      <c r="A1927">
        <f>INDEX(Sheet1!B1927:B4725,MATCH(MAX(Sheet1!N1927:N4725),Sheet1!N1927:N4725,0))</f>
        <v>343</v>
      </c>
    </row>
    <row r="1928" spans="1:1" x14ac:dyDescent="0.3">
      <c r="A1928">
        <f>INDEX(Sheet1!B1928:B4726,MATCH(MAX(Sheet1!N1928:N4726),Sheet1!N1928:N4726,0))</f>
        <v>343</v>
      </c>
    </row>
    <row r="1929" spans="1:1" x14ac:dyDescent="0.3">
      <c r="A1929">
        <f>INDEX(Sheet1!B1929:B4727,MATCH(MAX(Sheet1!N1929:N4727),Sheet1!N1929:N4727,0))</f>
        <v>343</v>
      </c>
    </row>
    <row r="1930" spans="1:1" x14ac:dyDescent="0.3">
      <c r="A1930">
        <f>INDEX(Sheet1!B1930:B4728,MATCH(MAX(Sheet1!N1930:N4728),Sheet1!N1930:N4728,0))</f>
        <v>343</v>
      </c>
    </row>
    <row r="1931" spans="1:1" x14ac:dyDescent="0.3">
      <c r="A1931">
        <f>INDEX(Sheet1!B1931:B4729,MATCH(MAX(Sheet1!N1931:N4729),Sheet1!N1931:N4729,0))</f>
        <v>343</v>
      </c>
    </row>
    <row r="1932" spans="1:1" x14ac:dyDescent="0.3">
      <c r="A1932">
        <f>INDEX(Sheet1!B1932:B4730,MATCH(MAX(Sheet1!N1932:N4730),Sheet1!N1932:N4730,0))</f>
        <v>343</v>
      </c>
    </row>
    <row r="1933" spans="1:1" x14ac:dyDescent="0.3">
      <c r="A1933">
        <f>INDEX(Sheet1!B1933:B4731,MATCH(MAX(Sheet1!N1933:N4731),Sheet1!N1933:N4731,0))</f>
        <v>344</v>
      </c>
    </row>
    <row r="1934" spans="1:1" x14ac:dyDescent="0.3">
      <c r="A1934">
        <f>INDEX(Sheet1!B1934:B4732,MATCH(MAX(Sheet1!N1934:N4732),Sheet1!N1934:N4732,0))</f>
        <v>344</v>
      </c>
    </row>
    <row r="1935" spans="1:1" x14ac:dyDescent="0.3">
      <c r="A1935">
        <f>INDEX(Sheet1!B1935:B4733,MATCH(MAX(Sheet1!N1935:N4733),Sheet1!N1935:N4733,0))</f>
        <v>344</v>
      </c>
    </row>
    <row r="1936" spans="1:1" x14ac:dyDescent="0.3">
      <c r="A1936">
        <f>INDEX(Sheet1!B1936:B4734,MATCH(MAX(Sheet1!N1936:N4734),Sheet1!N1936:N4734,0))</f>
        <v>344</v>
      </c>
    </row>
    <row r="1937" spans="1:1" x14ac:dyDescent="0.3">
      <c r="A1937">
        <f>INDEX(Sheet1!B1937:B4735,MATCH(MAX(Sheet1!N1937:N4735),Sheet1!N1937:N4735,0))</f>
        <v>344</v>
      </c>
    </row>
    <row r="1938" spans="1:1" x14ac:dyDescent="0.3">
      <c r="A1938">
        <f>INDEX(Sheet1!B1938:B4736,MATCH(MAX(Sheet1!N1938:N4736),Sheet1!N1938:N4736,0))</f>
        <v>344</v>
      </c>
    </row>
    <row r="1939" spans="1:1" x14ac:dyDescent="0.3">
      <c r="A1939">
        <f>INDEX(Sheet1!B1939:B4737,MATCH(MAX(Sheet1!N1939:N4737),Sheet1!N1939:N4737,0))</f>
        <v>345</v>
      </c>
    </row>
    <row r="1940" spans="1:1" x14ac:dyDescent="0.3">
      <c r="A1940">
        <f>INDEX(Sheet1!B1940:B4738,MATCH(MAX(Sheet1!N1940:N4738),Sheet1!N1940:N4738,0))</f>
        <v>345</v>
      </c>
    </row>
    <row r="1941" spans="1:1" x14ac:dyDescent="0.3">
      <c r="A1941">
        <f>INDEX(Sheet1!B1941:B4739,MATCH(MAX(Sheet1!N1941:N4739),Sheet1!N1941:N4739,0))</f>
        <v>346</v>
      </c>
    </row>
    <row r="1942" spans="1:1" x14ac:dyDescent="0.3">
      <c r="A1942">
        <f>INDEX(Sheet1!B1942:B4740,MATCH(MAX(Sheet1!N1942:N4740),Sheet1!N1942:N4740,0))</f>
        <v>346</v>
      </c>
    </row>
    <row r="1943" spans="1:1" x14ac:dyDescent="0.3">
      <c r="A1943">
        <f>INDEX(Sheet1!B1943:B4741,MATCH(MAX(Sheet1!N1943:N4741),Sheet1!N1943:N4741,0))</f>
        <v>346</v>
      </c>
    </row>
    <row r="1944" spans="1:1" x14ac:dyDescent="0.3">
      <c r="A1944">
        <f>INDEX(Sheet1!B1944:B4742,MATCH(MAX(Sheet1!N1944:N4742),Sheet1!N1944:N4742,0))</f>
        <v>346</v>
      </c>
    </row>
    <row r="1945" spans="1:1" x14ac:dyDescent="0.3">
      <c r="A1945">
        <f>INDEX(Sheet1!B1945:B4743,MATCH(MAX(Sheet1!N1945:N4743),Sheet1!N1945:N4743,0))</f>
        <v>346</v>
      </c>
    </row>
    <row r="1946" spans="1:1" x14ac:dyDescent="0.3">
      <c r="A1946">
        <f>INDEX(Sheet1!B1946:B4744,MATCH(MAX(Sheet1!N1946:N4744),Sheet1!N1946:N4744,0))</f>
        <v>346</v>
      </c>
    </row>
    <row r="1947" spans="1:1" x14ac:dyDescent="0.3">
      <c r="A1947">
        <f>INDEX(Sheet1!B1947:B4745,MATCH(MAX(Sheet1!N1947:N4745),Sheet1!N1947:N4745,0))</f>
        <v>346</v>
      </c>
    </row>
    <row r="1948" spans="1:1" x14ac:dyDescent="0.3">
      <c r="A1948">
        <f>INDEX(Sheet1!B1948:B4746,MATCH(MAX(Sheet1!N1948:N4746),Sheet1!N1948:N4746,0))</f>
        <v>346</v>
      </c>
    </row>
    <row r="1949" spans="1:1" x14ac:dyDescent="0.3">
      <c r="A1949">
        <f>INDEX(Sheet1!B1949:B4747,MATCH(MAX(Sheet1!N1949:N4747),Sheet1!N1949:N4747,0))</f>
        <v>346</v>
      </c>
    </row>
    <row r="1950" spans="1:1" x14ac:dyDescent="0.3">
      <c r="A1950">
        <f>INDEX(Sheet1!B1950:B4748,MATCH(MAX(Sheet1!N1950:N4748),Sheet1!N1950:N4748,0))</f>
        <v>346</v>
      </c>
    </row>
    <row r="1951" spans="1:1" x14ac:dyDescent="0.3">
      <c r="A1951">
        <f>INDEX(Sheet1!B1951:B4749,MATCH(MAX(Sheet1!N1951:N4749),Sheet1!N1951:N4749,0))</f>
        <v>346</v>
      </c>
    </row>
    <row r="1952" spans="1:1" x14ac:dyDescent="0.3">
      <c r="A1952">
        <f>INDEX(Sheet1!B1952:B4750,MATCH(MAX(Sheet1!N1952:N4750),Sheet1!N1952:N4750,0))</f>
        <v>346</v>
      </c>
    </row>
    <row r="1953" spans="1:1" x14ac:dyDescent="0.3">
      <c r="A1953">
        <f>INDEX(Sheet1!B1953:B4751,MATCH(MAX(Sheet1!N1953:N4751),Sheet1!N1953:N4751,0))</f>
        <v>346</v>
      </c>
    </row>
    <row r="1954" spans="1:1" x14ac:dyDescent="0.3">
      <c r="A1954">
        <f>INDEX(Sheet1!B1954:B4752,MATCH(MAX(Sheet1!N1954:N4752),Sheet1!N1954:N4752,0))</f>
        <v>346</v>
      </c>
    </row>
    <row r="1955" spans="1:1" x14ac:dyDescent="0.3">
      <c r="A1955">
        <f>INDEX(Sheet1!B1955:B4753,MATCH(MAX(Sheet1!N1955:N4753),Sheet1!N1955:N4753,0))</f>
        <v>347</v>
      </c>
    </row>
    <row r="1956" spans="1:1" x14ac:dyDescent="0.3">
      <c r="A1956">
        <f>INDEX(Sheet1!B1956:B4754,MATCH(MAX(Sheet1!N1956:N4754),Sheet1!N1956:N4754,0))</f>
        <v>347</v>
      </c>
    </row>
    <row r="1957" spans="1:1" x14ac:dyDescent="0.3">
      <c r="A1957">
        <f>INDEX(Sheet1!B1957:B4755,MATCH(MAX(Sheet1!N1957:N4755),Sheet1!N1957:N4755,0))</f>
        <v>347</v>
      </c>
    </row>
    <row r="1958" spans="1:1" x14ac:dyDescent="0.3">
      <c r="A1958">
        <f>INDEX(Sheet1!B1958:B4756,MATCH(MAX(Sheet1!N1958:N4756),Sheet1!N1958:N4756,0))</f>
        <v>347</v>
      </c>
    </row>
    <row r="1959" spans="1:1" x14ac:dyDescent="0.3">
      <c r="A1959">
        <f>INDEX(Sheet1!B1959:B4757,MATCH(MAX(Sheet1!N1959:N4757),Sheet1!N1959:N4757,0))</f>
        <v>347</v>
      </c>
    </row>
    <row r="1960" spans="1:1" x14ac:dyDescent="0.3">
      <c r="A1960">
        <f>INDEX(Sheet1!B1960:B4758,MATCH(MAX(Sheet1!N1960:N4758),Sheet1!N1960:N4758,0))</f>
        <v>347</v>
      </c>
    </row>
    <row r="1961" spans="1:1" x14ac:dyDescent="0.3">
      <c r="A1961">
        <f>INDEX(Sheet1!B1961:B4759,MATCH(MAX(Sheet1!N1961:N4759),Sheet1!N1961:N4759,0))</f>
        <v>347</v>
      </c>
    </row>
    <row r="1962" spans="1:1" x14ac:dyDescent="0.3">
      <c r="A1962">
        <f>INDEX(Sheet1!B1962:B4760,MATCH(MAX(Sheet1!N1962:N4760),Sheet1!N1962:N4760,0))</f>
        <v>347</v>
      </c>
    </row>
    <row r="1963" spans="1:1" x14ac:dyDescent="0.3">
      <c r="A1963">
        <f>INDEX(Sheet1!B1963:B4761,MATCH(MAX(Sheet1!N1963:N4761),Sheet1!N1963:N4761,0))</f>
        <v>347</v>
      </c>
    </row>
    <row r="1964" spans="1:1" x14ac:dyDescent="0.3">
      <c r="A1964">
        <f>INDEX(Sheet1!B1964:B4762,MATCH(MAX(Sheet1!N1964:N4762),Sheet1!N1964:N4762,0))</f>
        <v>347</v>
      </c>
    </row>
    <row r="1965" spans="1:1" x14ac:dyDescent="0.3">
      <c r="A1965">
        <f>INDEX(Sheet1!B1965:B4763,MATCH(MAX(Sheet1!N1965:N4763),Sheet1!N1965:N4763,0))</f>
        <v>348</v>
      </c>
    </row>
    <row r="1966" spans="1:1" x14ac:dyDescent="0.3">
      <c r="A1966">
        <f>INDEX(Sheet1!B1966:B4764,MATCH(MAX(Sheet1!N1966:N4764),Sheet1!N1966:N4764,0))</f>
        <v>348</v>
      </c>
    </row>
    <row r="1967" spans="1:1" x14ac:dyDescent="0.3">
      <c r="A1967">
        <f>INDEX(Sheet1!B1967:B4765,MATCH(MAX(Sheet1!N1967:N4765),Sheet1!N1967:N4765,0))</f>
        <v>348</v>
      </c>
    </row>
    <row r="1968" spans="1:1" x14ac:dyDescent="0.3">
      <c r="A1968">
        <f>INDEX(Sheet1!B1968:B4766,MATCH(MAX(Sheet1!N1968:N4766),Sheet1!N1968:N4766,0))</f>
        <v>349</v>
      </c>
    </row>
    <row r="1969" spans="1:1" x14ac:dyDescent="0.3">
      <c r="A1969">
        <f>INDEX(Sheet1!B1969:B4767,MATCH(MAX(Sheet1!N1969:N4767),Sheet1!N1969:N4767,0))</f>
        <v>349</v>
      </c>
    </row>
    <row r="1970" spans="1:1" x14ac:dyDescent="0.3">
      <c r="A1970">
        <f>INDEX(Sheet1!B1970:B4768,MATCH(MAX(Sheet1!N1970:N4768),Sheet1!N1970:N4768,0))</f>
        <v>349</v>
      </c>
    </row>
    <row r="1971" spans="1:1" x14ac:dyDescent="0.3">
      <c r="A1971">
        <f>INDEX(Sheet1!B1971:B4769,MATCH(MAX(Sheet1!N1971:N4769),Sheet1!N1971:N4769,0))</f>
        <v>349</v>
      </c>
    </row>
    <row r="1972" spans="1:1" x14ac:dyDescent="0.3">
      <c r="A1972">
        <f>INDEX(Sheet1!B1972:B4770,MATCH(MAX(Sheet1!N1972:N4770),Sheet1!N1972:N4770,0))</f>
        <v>350</v>
      </c>
    </row>
    <row r="1973" spans="1:1" x14ac:dyDescent="0.3">
      <c r="A1973">
        <f>INDEX(Sheet1!B1973:B4771,MATCH(MAX(Sheet1!N1973:N4771),Sheet1!N1973:N4771,0))</f>
        <v>350</v>
      </c>
    </row>
    <row r="1974" spans="1:1" x14ac:dyDescent="0.3">
      <c r="A1974">
        <f>INDEX(Sheet1!B1974:B4772,MATCH(MAX(Sheet1!N1974:N4772),Sheet1!N1974:N4772,0))</f>
        <v>350</v>
      </c>
    </row>
    <row r="1975" spans="1:1" x14ac:dyDescent="0.3">
      <c r="A1975">
        <f>INDEX(Sheet1!B1975:B4773,MATCH(MAX(Sheet1!N1975:N4773),Sheet1!N1975:N4773,0))</f>
        <v>350</v>
      </c>
    </row>
    <row r="1976" spans="1:1" x14ac:dyDescent="0.3">
      <c r="A1976">
        <f>INDEX(Sheet1!B1976:B4774,MATCH(MAX(Sheet1!N1976:N4774),Sheet1!N1976:N4774,0))</f>
        <v>350</v>
      </c>
    </row>
    <row r="1977" spans="1:1" x14ac:dyDescent="0.3">
      <c r="A1977">
        <f>INDEX(Sheet1!B1977:B4775,MATCH(MAX(Sheet1!N1977:N4775),Sheet1!N1977:N4775,0))</f>
        <v>350</v>
      </c>
    </row>
    <row r="1978" spans="1:1" x14ac:dyDescent="0.3">
      <c r="A1978">
        <f>INDEX(Sheet1!B1978:B4776,MATCH(MAX(Sheet1!N1978:N4776),Sheet1!N1978:N4776,0))</f>
        <v>350</v>
      </c>
    </row>
    <row r="1979" spans="1:1" x14ac:dyDescent="0.3">
      <c r="A1979">
        <f>INDEX(Sheet1!B1979:B4777,MATCH(MAX(Sheet1!N1979:N4777),Sheet1!N1979:N4777,0))</f>
        <v>351</v>
      </c>
    </row>
    <row r="1980" spans="1:1" x14ac:dyDescent="0.3">
      <c r="A1980">
        <f>INDEX(Sheet1!B1980:B4778,MATCH(MAX(Sheet1!N1980:N4778),Sheet1!N1980:N4778,0))</f>
        <v>352</v>
      </c>
    </row>
    <row r="1981" spans="1:1" x14ac:dyDescent="0.3">
      <c r="A1981">
        <f>INDEX(Sheet1!B1981:B4779,MATCH(MAX(Sheet1!N1981:N4779),Sheet1!N1981:N4779,0))</f>
        <v>352</v>
      </c>
    </row>
    <row r="1982" spans="1:1" x14ac:dyDescent="0.3">
      <c r="A1982">
        <f>INDEX(Sheet1!B1982:B4780,MATCH(MAX(Sheet1!N1982:N4780),Sheet1!N1982:N4780,0))</f>
        <v>352</v>
      </c>
    </row>
    <row r="1983" spans="1:1" x14ac:dyDescent="0.3">
      <c r="A1983">
        <f>INDEX(Sheet1!B1983:B4781,MATCH(MAX(Sheet1!N1983:N4781),Sheet1!N1983:N4781,0))</f>
        <v>352</v>
      </c>
    </row>
    <row r="1984" spans="1:1" x14ac:dyDescent="0.3">
      <c r="A1984">
        <f>INDEX(Sheet1!B1984:B4782,MATCH(MAX(Sheet1!N1984:N4782),Sheet1!N1984:N4782,0))</f>
        <v>352</v>
      </c>
    </row>
    <row r="1985" spans="1:1" x14ac:dyDescent="0.3">
      <c r="A1985">
        <f>INDEX(Sheet1!B1985:B4783,MATCH(MAX(Sheet1!N1985:N4783),Sheet1!N1985:N4783,0))</f>
        <v>352</v>
      </c>
    </row>
    <row r="1986" spans="1:1" x14ac:dyDescent="0.3">
      <c r="A1986">
        <f>INDEX(Sheet1!B1986:B4784,MATCH(MAX(Sheet1!N1986:N4784),Sheet1!N1986:N4784,0))</f>
        <v>352</v>
      </c>
    </row>
    <row r="1987" spans="1:1" x14ac:dyDescent="0.3">
      <c r="A1987">
        <f>INDEX(Sheet1!B1987:B4785,MATCH(MAX(Sheet1!N1987:N4785),Sheet1!N1987:N4785,0))</f>
        <v>352</v>
      </c>
    </row>
    <row r="1988" spans="1:1" x14ac:dyDescent="0.3">
      <c r="A1988">
        <f>INDEX(Sheet1!B1988:B4786,MATCH(MAX(Sheet1!N1988:N4786),Sheet1!N1988:N4786,0))</f>
        <v>353</v>
      </c>
    </row>
    <row r="1989" spans="1:1" x14ac:dyDescent="0.3">
      <c r="A1989">
        <f>INDEX(Sheet1!B1989:B4787,MATCH(MAX(Sheet1!N1989:N4787),Sheet1!N1989:N4787,0))</f>
        <v>353</v>
      </c>
    </row>
    <row r="1990" spans="1:1" x14ac:dyDescent="0.3">
      <c r="A1990">
        <f>INDEX(Sheet1!B1990:B4788,MATCH(MAX(Sheet1!N1990:N4788),Sheet1!N1990:N4788,0))</f>
        <v>353</v>
      </c>
    </row>
    <row r="1991" spans="1:1" x14ac:dyDescent="0.3">
      <c r="A1991">
        <f>INDEX(Sheet1!B1991:B4789,MATCH(MAX(Sheet1!N1991:N4789),Sheet1!N1991:N4789,0))</f>
        <v>353</v>
      </c>
    </row>
    <row r="1992" spans="1:1" x14ac:dyDescent="0.3">
      <c r="A1992">
        <f>INDEX(Sheet1!B1992:B4790,MATCH(MAX(Sheet1!N1992:N4790),Sheet1!N1992:N4790,0))</f>
        <v>353</v>
      </c>
    </row>
    <row r="1993" spans="1:1" x14ac:dyDescent="0.3">
      <c r="A1993">
        <f>INDEX(Sheet1!B1993:B4791,MATCH(MAX(Sheet1!N1993:N4791),Sheet1!N1993:N4791,0))</f>
        <v>353</v>
      </c>
    </row>
    <row r="1994" spans="1:1" x14ac:dyDescent="0.3">
      <c r="A1994">
        <f>INDEX(Sheet1!B1994:B4792,MATCH(MAX(Sheet1!N1994:N4792),Sheet1!N1994:N4792,0))</f>
        <v>353</v>
      </c>
    </row>
    <row r="1995" spans="1:1" x14ac:dyDescent="0.3">
      <c r="A1995">
        <f>INDEX(Sheet1!B1995:B4793,MATCH(MAX(Sheet1!N1995:N4793),Sheet1!N1995:N4793,0))</f>
        <v>353</v>
      </c>
    </row>
    <row r="1996" spans="1:1" x14ac:dyDescent="0.3">
      <c r="A1996">
        <f>INDEX(Sheet1!B1996:B4794,MATCH(MAX(Sheet1!N1996:N4794),Sheet1!N1996:N4794,0))</f>
        <v>353</v>
      </c>
    </row>
    <row r="1997" spans="1:1" x14ac:dyDescent="0.3">
      <c r="A1997">
        <f>INDEX(Sheet1!B1997:B4795,MATCH(MAX(Sheet1!N1997:N4795),Sheet1!N1997:N4795,0))</f>
        <v>353</v>
      </c>
    </row>
    <row r="1998" spans="1:1" x14ac:dyDescent="0.3">
      <c r="A1998">
        <f>INDEX(Sheet1!B1998:B4796,MATCH(MAX(Sheet1!N1998:N4796),Sheet1!N1998:N4796,0))</f>
        <v>354</v>
      </c>
    </row>
    <row r="1999" spans="1:1" x14ac:dyDescent="0.3">
      <c r="A1999">
        <f>INDEX(Sheet1!B1999:B4797,MATCH(MAX(Sheet1!N1999:N4797),Sheet1!N1999:N4797,0))</f>
        <v>354</v>
      </c>
    </row>
    <row r="2000" spans="1:1" x14ac:dyDescent="0.3">
      <c r="A2000">
        <f>INDEX(Sheet1!B2000:B4798,MATCH(MAX(Sheet1!N2000:N4798),Sheet1!N2000:N4798,0))</f>
        <v>354</v>
      </c>
    </row>
    <row r="2001" spans="1:1" x14ac:dyDescent="0.3">
      <c r="A2001">
        <f>INDEX(Sheet1!B2001:B4799,MATCH(MAX(Sheet1!N2001:N4799),Sheet1!N2001:N4799,0))</f>
        <v>354</v>
      </c>
    </row>
    <row r="2002" spans="1:1" x14ac:dyDescent="0.3">
      <c r="A2002">
        <f>INDEX(Sheet1!B2002:B4800,MATCH(MAX(Sheet1!N2002:N4800),Sheet1!N2002:N4800,0))</f>
        <v>354</v>
      </c>
    </row>
    <row r="2003" spans="1:1" x14ac:dyDescent="0.3">
      <c r="A2003">
        <f>INDEX(Sheet1!B2003:B4801,MATCH(MAX(Sheet1!N2003:N4801),Sheet1!N2003:N4801,0))</f>
        <v>354</v>
      </c>
    </row>
    <row r="2004" spans="1:1" x14ac:dyDescent="0.3">
      <c r="A2004">
        <f>INDEX(Sheet1!B2004:B4802,MATCH(MAX(Sheet1!N2004:N4802),Sheet1!N2004:N4802,0))</f>
        <v>354</v>
      </c>
    </row>
    <row r="2005" spans="1:1" x14ac:dyDescent="0.3">
      <c r="A2005">
        <f>INDEX(Sheet1!B2005:B4803,MATCH(MAX(Sheet1!N2005:N4803),Sheet1!N2005:N4803,0))</f>
        <v>354</v>
      </c>
    </row>
    <row r="2006" spans="1:1" x14ac:dyDescent="0.3">
      <c r="A2006">
        <f>INDEX(Sheet1!B2006:B4804,MATCH(MAX(Sheet1!N2006:N4804),Sheet1!N2006:N4804,0))</f>
        <v>354</v>
      </c>
    </row>
    <row r="2007" spans="1:1" x14ac:dyDescent="0.3">
      <c r="A2007">
        <f>INDEX(Sheet1!B2007:B4805,MATCH(MAX(Sheet1!N2007:N4805),Sheet1!N2007:N4805,0))</f>
        <v>354</v>
      </c>
    </row>
    <row r="2008" spans="1:1" x14ac:dyDescent="0.3">
      <c r="A2008">
        <f>INDEX(Sheet1!B2008:B4806,MATCH(MAX(Sheet1!N2008:N4806),Sheet1!N2008:N4806,0))</f>
        <v>354</v>
      </c>
    </row>
    <row r="2009" spans="1:1" x14ac:dyDescent="0.3">
      <c r="A2009">
        <f>INDEX(Sheet1!B2009:B4807,MATCH(MAX(Sheet1!N2009:N4807),Sheet1!N2009:N4807,0))</f>
        <v>356</v>
      </c>
    </row>
    <row r="2010" spans="1:1" x14ac:dyDescent="0.3">
      <c r="A2010">
        <f>INDEX(Sheet1!B2010:B4808,MATCH(MAX(Sheet1!N2010:N4808),Sheet1!N2010:N4808,0))</f>
        <v>356</v>
      </c>
    </row>
    <row r="2011" spans="1:1" x14ac:dyDescent="0.3">
      <c r="A2011">
        <f>INDEX(Sheet1!B2011:B4809,MATCH(MAX(Sheet1!N2011:N4809),Sheet1!N2011:N4809,0))</f>
        <v>356</v>
      </c>
    </row>
    <row r="2012" spans="1:1" x14ac:dyDescent="0.3">
      <c r="A2012">
        <f>INDEX(Sheet1!B2012:B4810,MATCH(MAX(Sheet1!N2012:N4810),Sheet1!N2012:N4810,0))</f>
        <v>356</v>
      </c>
    </row>
    <row r="2013" spans="1:1" x14ac:dyDescent="0.3">
      <c r="A2013">
        <f>INDEX(Sheet1!B2013:B4811,MATCH(MAX(Sheet1!N2013:N4811),Sheet1!N2013:N4811,0))</f>
        <v>356</v>
      </c>
    </row>
    <row r="2014" spans="1:1" x14ac:dyDescent="0.3">
      <c r="A2014">
        <f>INDEX(Sheet1!B2014:B4812,MATCH(MAX(Sheet1!N2014:N4812),Sheet1!N2014:N4812,0))</f>
        <v>356</v>
      </c>
    </row>
    <row r="2015" spans="1:1" x14ac:dyDescent="0.3">
      <c r="A2015">
        <f>INDEX(Sheet1!B2015:B4813,MATCH(MAX(Sheet1!N2015:N4813),Sheet1!N2015:N4813,0))</f>
        <v>356</v>
      </c>
    </row>
    <row r="2016" spans="1:1" x14ac:dyDescent="0.3">
      <c r="A2016">
        <f>INDEX(Sheet1!B2016:B4814,MATCH(MAX(Sheet1!N2016:N4814),Sheet1!N2016:N4814,0))</f>
        <v>356</v>
      </c>
    </row>
    <row r="2017" spans="1:1" x14ac:dyDescent="0.3">
      <c r="A2017">
        <f>INDEX(Sheet1!B2017:B4815,MATCH(MAX(Sheet1!N2017:N4815),Sheet1!N2017:N4815,0))</f>
        <v>356</v>
      </c>
    </row>
    <row r="2018" spans="1:1" x14ac:dyDescent="0.3">
      <c r="A2018">
        <f>INDEX(Sheet1!B2018:B4816,MATCH(MAX(Sheet1!N2018:N4816),Sheet1!N2018:N4816,0))</f>
        <v>357</v>
      </c>
    </row>
    <row r="2019" spans="1:1" x14ac:dyDescent="0.3">
      <c r="A2019">
        <f>INDEX(Sheet1!B2019:B4817,MATCH(MAX(Sheet1!N2019:N4817),Sheet1!N2019:N4817,0))</f>
        <v>357</v>
      </c>
    </row>
    <row r="2020" spans="1:1" x14ac:dyDescent="0.3">
      <c r="A2020">
        <f>INDEX(Sheet1!B2020:B4818,MATCH(MAX(Sheet1!N2020:N4818),Sheet1!N2020:N4818,0))</f>
        <v>357</v>
      </c>
    </row>
    <row r="2021" spans="1:1" x14ac:dyDescent="0.3">
      <c r="A2021">
        <f>INDEX(Sheet1!B2021:B4819,MATCH(MAX(Sheet1!N2021:N4819),Sheet1!N2021:N4819,0))</f>
        <v>357</v>
      </c>
    </row>
    <row r="2022" spans="1:1" x14ac:dyDescent="0.3">
      <c r="A2022">
        <f>INDEX(Sheet1!B2022:B4820,MATCH(MAX(Sheet1!N2022:N4820),Sheet1!N2022:N4820,0))</f>
        <v>357</v>
      </c>
    </row>
    <row r="2023" spans="1:1" x14ac:dyDescent="0.3">
      <c r="A2023">
        <f>INDEX(Sheet1!B2023:B4821,MATCH(MAX(Sheet1!N2023:N4821),Sheet1!N2023:N4821,0))</f>
        <v>357</v>
      </c>
    </row>
    <row r="2024" spans="1:1" x14ac:dyDescent="0.3">
      <c r="A2024">
        <f>INDEX(Sheet1!B2024:B4822,MATCH(MAX(Sheet1!N2024:N4822),Sheet1!N2024:N4822,0))</f>
        <v>357</v>
      </c>
    </row>
    <row r="2025" spans="1:1" x14ac:dyDescent="0.3">
      <c r="A2025">
        <f>INDEX(Sheet1!B2025:B4823,MATCH(MAX(Sheet1!N2025:N4823),Sheet1!N2025:N4823,0))</f>
        <v>358</v>
      </c>
    </row>
    <row r="2026" spans="1:1" x14ac:dyDescent="0.3">
      <c r="A2026">
        <f>INDEX(Sheet1!B2026:B4824,MATCH(MAX(Sheet1!N2026:N4824),Sheet1!N2026:N4824,0))</f>
        <v>358</v>
      </c>
    </row>
    <row r="2027" spans="1:1" x14ac:dyDescent="0.3">
      <c r="A2027">
        <f>INDEX(Sheet1!B2027:B4825,MATCH(MAX(Sheet1!N2027:N4825),Sheet1!N2027:N4825,0))</f>
        <v>358</v>
      </c>
    </row>
    <row r="2028" spans="1:1" x14ac:dyDescent="0.3">
      <c r="A2028">
        <f>INDEX(Sheet1!B2028:B4826,MATCH(MAX(Sheet1!N2028:N4826),Sheet1!N2028:N4826,0))</f>
        <v>358</v>
      </c>
    </row>
    <row r="2029" spans="1:1" x14ac:dyDescent="0.3">
      <c r="A2029">
        <f>INDEX(Sheet1!B2029:B4827,MATCH(MAX(Sheet1!N2029:N4827),Sheet1!N2029:N4827,0))</f>
        <v>359</v>
      </c>
    </row>
    <row r="2030" spans="1:1" x14ac:dyDescent="0.3">
      <c r="A2030">
        <f>INDEX(Sheet1!B2030:B4828,MATCH(MAX(Sheet1!N2030:N4828),Sheet1!N2030:N4828,0))</f>
        <v>359</v>
      </c>
    </row>
    <row r="2031" spans="1:1" x14ac:dyDescent="0.3">
      <c r="A2031">
        <f>INDEX(Sheet1!B2031:B4829,MATCH(MAX(Sheet1!N2031:N4829),Sheet1!N2031:N4829,0))</f>
        <v>359</v>
      </c>
    </row>
    <row r="2032" spans="1:1" x14ac:dyDescent="0.3">
      <c r="A2032">
        <f>INDEX(Sheet1!B2032:B4830,MATCH(MAX(Sheet1!N2032:N4830),Sheet1!N2032:N4830,0))</f>
        <v>359</v>
      </c>
    </row>
    <row r="2033" spans="1:1" x14ac:dyDescent="0.3">
      <c r="A2033">
        <f>INDEX(Sheet1!B2033:B4831,MATCH(MAX(Sheet1!N2033:N4831),Sheet1!N2033:N4831,0))</f>
        <v>359</v>
      </c>
    </row>
    <row r="2034" spans="1:1" x14ac:dyDescent="0.3">
      <c r="A2034">
        <f>INDEX(Sheet1!B2034:B4832,MATCH(MAX(Sheet1!N2034:N4832),Sheet1!N2034:N4832,0))</f>
        <v>359</v>
      </c>
    </row>
    <row r="2035" spans="1:1" x14ac:dyDescent="0.3">
      <c r="A2035">
        <f>INDEX(Sheet1!B2035:B4833,MATCH(MAX(Sheet1!N2035:N4833),Sheet1!N2035:N4833,0))</f>
        <v>359</v>
      </c>
    </row>
    <row r="2036" spans="1:1" x14ac:dyDescent="0.3">
      <c r="A2036">
        <f>INDEX(Sheet1!B2036:B4834,MATCH(MAX(Sheet1!N2036:N4834),Sheet1!N2036:N4834,0))</f>
        <v>359</v>
      </c>
    </row>
    <row r="2037" spans="1:1" x14ac:dyDescent="0.3">
      <c r="A2037">
        <f>INDEX(Sheet1!B2037:B4835,MATCH(MAX(Sheet1!N2037:N4835),Sheet1!N2037:N4835,0))</f>
        <v>359</v>
      </c>
    </row>
    <row r="2038" spans="1:1" x14ac:dyDescent="0.3">
      <c r="A2038">
        <f>INDEX(Sheet1!B2038:B4836,MATCH(MAX(Sheet1!N2038:N4836),Sheet1!N2038:N4836,0))</f>
        <v>360</v>
      </c>
    </row>
    <row r="2039" spans="1:1" x14ac:dyDescent="0.3">
      <c r="A2039">
        <f>INDEX(Sheet1!B2039:B4837,MATCH(MAX(Sheet1!N2039:N4837),Sheet1!N2039:N4837,0))</f>
        <v>360</v>
      </c>
    </row>
    <row r="2040" spans="1:1" x14ac:dyDescent="0.3">
      <c r="A2040">
        <f>INDEX(Sheet1!B2040:B4838,MATCH(MAX(Sheet1!N2040:N4838),Sheet1!N2040:N4838,0))</f>
        <v>360</v>
      </c>
    </row>
    <row r="2041" spans="1:1" x14ac:dyDescent="0.3">
      <c r="A2041">
        <f>INDEX(Sheet1!B2041:B4839,MATCH(MAX(Sheet1!N2041:N4839),Sheet1!N2041:N4839,0))</f>
        <v>360</v>
      </c>
    </row>
    <row r="2042" spans="1:1" x14ac:dyDescent="0.3">
      <c r="A2042">
        <f>INDEX(Sheet1!B2042:B4840,MATCH(MAX(Sheet1!N2042:N4840),Sheet1!N2042:N4840,0))</f>
        <v>360</v>
      </c>
    </row>
    <row r="2043" spans="1:1" x14ac:dyDescent="0.3">
      <c r="A2043">
        <f>INDEX(Sheet1!B2043:B4841,MATCH(MAX(Sheet1!N2043:N4841),Sheet1!N2043:N4841,0))</f>
        <v>360</v>
      </c>
    </row>
    <row r="2044" spans="1:1" x14ac:dyDescent="0.3">
      <c r="A2044">
        <f>INDEX(Sheet1!B2044:B4842,MATCH(MAX(Sheet1!N2044:N4842),Sheet1!N2044:N4842,0))</f>
        <v>361</v>
      </c>
    </row>
    <row r="2045" spans="1:1" x14ac:dyDescent="0.3">
      <c r="A2045">
        <f>INDEX(Sheet1!B2045:B4843,MATCH(MAX(Sheet1!N2045:N4843),Sheet1!N2045:N4843,0))</f>
        <v>361</v>
      </c>
    </row>
    <row r="2046" spans="1:1" x14ac:dyDescent="0.3">
      <c r="A2046">
        <f>INDEX(Sheet1!B2046:B4844,MATCH(MAX(Sheet1!N2046:N4844),Sheet1!N2046:N4844,0))</f>
        <v>361</v>
      </c>
    </row>
    <row r="2047" spans="1:1" x14ac:dyDescent="0.3">
      <c r="A2047">
        <f>INDEX(Sheet1!B2047:B4845,MATCH(MAX(Sheet1!N2047:N4845),Sheet1!N2047:N4845,0))</f>
        <v>361</v>
      </c>
    </row>
    <row r="2048" spans="1:1" x14ac:dyDescent="0.3">
      <c r="A2048">
        <f>INDEX(Sheet1!B2048:B4846,MATCH(MAX(Sheet1!N2048:N4846),Sheet1!N2048:N4846,0))</f>
        <v>361</v>
      </c>
    </row>
    <row r="2049" spans="1:1" x14ac:dyDescent="0.3">
      <c r="A2049">
        <f>INDEX(Sheet1!B2049:B4847,MATCH(MAX(Sheet1!N2049:N4847),Sheet1!N2049:N4847,0))</f>
        <v>361</v>
      </c>
    </row>
    <row r="2050" spans="1:1" x14ac:dyDescent="0.3">
      <c r="A2050">
        <f>INDEX(Sheet1!B2050:B4848,MATCH(MAX(Sheet1!N2050:N4848),Sheet1!N2050:N4848,0))</f>
        <v>361</v>
      </c>
    </row>
    <row r="2051" spans="1:1" x14ac:dyDescent="0.3">
      <c r="A2051">
        <f>INDEX(Sheet1!B2051:B4849,MATCH(MAX(Sheet1!N2051:N4849),Sheet1!N2051:N4849,0))</f>
        <v>362</v>
      </c>
    </row>
    <row r="2052" spans="1:1" x14ac:dyDescent="0.3">
      <c r="A2052">
        <f>INDEX(Sheet1!B2052:B4850,MATCH(MAX(Sheet1!N2052:N4850),Sheet1!N2052:N4850,0))</f>
        <v>363</v>
      </c>
    </row>
    <row r="2053" spans="1:1" x14ac:dyDescent="0.3">
      <c r="A2053">
        <f>INDEX(Sheet1!B2053:B4851,MATCH(MAX(Sheet1!N2053:N4851),Sheet1!N2053:N4851,0))</f>
        <v>363</v>
      </c>
    </row>
    <row r="2054" spans="1:1" x14ac:dyDescent="0.3">
      <c r="A2054">
        <f>INDEX(Sheet1!B2054:B4852,MATCH(MAX(Sheet1!N2054:N4852),Sheet1!N2054:N4852,0))</f>
        <v>363</v>
      </c>
    </row>
    <row r="2055" spans="1:1" x14ac:dyDescent="0.3">
      <c r="A2055">
        <f>INDEX(Sheet1!B2055:B4853,MATCH(MAX(Sheet1!N2055:N4853),Sheet1!N2055:N4853,0))</f>
        <v>363</v>
      </c>
    </row>
    <row r="2056" spans="1:1" x14ac:dyDescent="0.3">
      <c r="A2056">
        <f>INDEX(Sheet1!B2056:B4854,MATCH(MAX(Sheet1!N2056:N4854),Sheet1!N2056:N4854,0))</f>
        <v>363</v>
      </c>
    </row>
    <row r="2057" spans="1:1" x14ac:dyDescent="0.3">
      <c r="A2057">
        <f>INDEX(Sheet1!B2057:B4855,MATCH(MAX(Sheet1!N2057:N4855),Sheet1!N2057:N4855,0))</f>
        <v>363</v>
      </c>
    </row>
    <row r="2058" spans="1:1" x14ac:dyDescent="0.3">
      <c r="A2058">
        <f>INDEX(Sheet1!B2058:B4856,MATCH(MAX(Sheet1!N2058:N4856),Sheet1!N2058:N4856,0))</f>
        <v>363</v>
      </c>
    </row>
    <row r="2059" spans="1:1" x14ac:dyDescent="0.3">
      <c r="A2059">
        <f>INDEX(Sheet1!B2059:B4857,MATCH(MAX(Sheet1!N2059:N4857),Sheet1!N2059:N4857,0))</f>
        <v>363</v>
      </c>
    </row>
    <row r="2060" spans="1:1" x14ac:dyDescent="0.3">
      <c r="A2060">
        <f>INDEX(Sheet1!B2060:B4858,MATCH(MAX(Sheet1!N2060:N4858),Sheet1!N2060:N4858,0))</f>
        <v>363</v>
      </c>
    </row>
    <row r="2061" spans="1:1" x14ac:dyDescent="0.3">
      <c r="A2061">
        <f>INDEX(Sheet1!B2061:B4859,MATCH(MAX(Sheet1!N2061:N4859),Sheet1!N2061:N4859,0))</f>
        <v>363</v>
      </c>
    </row>
    <row r="2062" spans="1:1" x14ac:dyDescent="0.3">
      <c r="A2062">
        <f>INDEX(Sheet1!B2062:B4860,MATCH(MAX(Sheet1!N2062:N4860),Sheet1!N2062:N4860,0))</f>
        <v>365</v>
      </c>
    </row>
    <row r="2063" spans="1:1" x14ac:dyDescent="0.3">
      <c r="A2063">
        <f>INDEX(Sheet1!B2063:B4861,MATCH(MAX(Sheet1!N2063:N4861),Sheet1!N2063:N4861,0))</f>
        <v>365</v>
      </c>
    </row>
    <row r="2064" spans="1:1" x14ac:dyDescent="0.3">
      <c r="A2064">
        <f>INDEX(Sheet1!B2064:B4862,MATCH(MAX(Sheet1!N2064:N4862),Sheet1!N2064:N4862,0))</f>
        <v>365</v>
      </c>
    </row>
    <row r="2065" spans="1:1" x14ac:dyDescent="0.3">
      <c r="A2065">
        <f>INDEX(Sheet1!B2065:B4863,MATCH(MAX(Sheet1!N2065:N4863),Sheet1!N2065:N4863,0))</f>
        <v>365</v>
      </c>
    </row>
    <row r="2066" spans="1:1" x14ac:dyDescent="0.3">
      <c r="A2066">
        <f>INDEX(Sheet1!B2066:B4864,MATCH(MAX(Sheet1!N2066:N4864),Sheet1!N2066:N4864,0))</f>
        <v>365</v>
      </c>
    </row>
    <row r="2067" spans="1:1" x14ac:dyDescent="0.3">
      <c r="A2067">
        <f>INDEX(Sheet1!B2067:B4865,MATCH(MAX(Sheet1!N2067:N4865),Sheet1!N2067:N4865,0))</f>
        <v>365</v>
      </c>
    </row>
    <row r="2068" spans="1:1" x14ac:dyDescent="0.3">
      <c r="A2068">
        <f>INDEX(Sheet1!B2068:B4866,MATCH(MAX(Sheet1!N2068:N4866),Sheet1!N2068:N4866,0))</f>
        <v>365</v>
      </c>
    </row>
    <row r="2069" spans="1:1" x14ac:dyDescent="0.3">
      <c r="A2069">
        <f>INDEX(Sheet1!B2069:B4867,MATCH(MAX(Sheet1!N2069:N4867),Sheet1!N2069:N4867,0))</f>
        <v>365</v>
      </c>
    </row>
    <row r="2070" spans="1:1" x14ac:dyDescent="0.3">
      <c r="A2070">
        <f>INDEX(Sheet1!B2070:B4868,MATCH(MAX(Sheet1!N2070:N4868),Sheet1!N2070:N4868,0))</f>
        <v>366</v>
      </c>
    </row>
    <row r="2071" spans="1:1" x14ac:dyDescent="0.3">
      <c r="A2071">
        <f>INDEX(Sheet1!B2071:B4869,MATCH(MAX(Sheet1!N2071:N4869),Sheet1!N2071:N4869,0))</f>
        <v>366</v>
      </c>
    </row>
    <row r="2072" spans="1:1" x14ac:dyDescent="0.3">
      <c r="A2072">
        <f>INDEX(Sheet1!B2072:B4870,MATCH(MAX(Sheet1!N2072:N4870),Sheet1!N2072:N4870,0))</f>
        <v>366</v>
      </c>
    </row>
    <row r="2073" spans="1:1" x14ac:dyDescent="0.3">
      <c r="A2073">
        <f>INDEX(Sheet1!B2073:B4871,MATCH(MAX(Sheet1!N2073:N4871),Sheet1!N2073:N4871,0))</f>
        <v>366</v>
      </c>
    </row>
    <row r="2074" spans="1:1" x14ac:dyDescent="0.3">
      <c r="A2074">
        <f>INDEX(Sheet1!B2074:B4872,MATCH(MAX(Sheet1!N2074:N4872),Sheet1!N2074:N4872,0))</f>
        <v>366</v>
      </c>
    </row>
    <row r="2075" spans="1:1" x14ac:dyDescent="0.3">
      <c r="A2075">
        <f>INDEX(Sheet1!B2075:B4873,MATCH(MAX(Sheet1!N2075:N4873),Sheet1!N2075:N4873,0))</f>
        <v>366</v>
      </c>
    </row>
    <row r="2076" spans="1:1" x14ac:dyDescent="0.3">
      <c r="A2076">
        <f>INDEX(Sheet1!B2076:B4874,MATCH(MAX(Sheet1!N2076:N4874),Sheet1!N2076:N4874,0))</f>
        <v>366</v>
      </c>
    </row>
    <row r="2077" spans="1:1" x14ac:dyDescent="0.3">
      <c r="A2077">
        <f>INDEX(Sheet1!B2077:B4875,MATCH(MAX(Sheet1!N2077:N4875),Sheet1!N2077:N4875,0))</f>
        <v>366</v>
      </c>
    </row>
    <row r="2078" spans="1:1" x14ac:dyDescent="0.3">
      <c r="A2078">
        <f>INDEX(Sheet1!B2078:B4876,MATCH(MAX(Sheet1!N2078:N4876),Sheet1!N2078:N4876,0))</f>
        <v>366</v>
      </c>
    </row>
    <row r="2079" spans="1:1" x14ac:dyDescent="0.3">
      <c r="A2079">
        <f>INDEX(Sheet1!B2079:B4877,MATCH(MAX(Sheet1!N2079:N4877),Sheet1!N2079:N4877,0))</f>
        <v>368</v>
      </c>
    </row>
    <row r="2080" spans="1:1" x14ac:dyDescent="0.3">
      <c r="A2080">
        <f>INDEX(Sheet1!B2080:B4878,MATCH(MAX(Sheet1!N2080:N4878),Sheet1!N2080:N4878,0))</f>
        <v>368</v>
      </c>
    </row>
    <row r="2081" spans="1:1" x14ac:dyDescent="0.3">
      <c r="A2081">
        <f>INDEX(Sheet1!B2081:B4879,MATCH(MAX(Sheet1!N2081:N4879),Sheet1!N2081:N4879,0))</f>
        <v>368</v>
      </c>
    </row>
    <row r="2082" spans="1:1" x14ac:dyDescent="0.3">
      <c r="A2082">
        <f>INDEX(Sheet1!B2082:B4880,MATCH(MAX(Sheet1!N2082:N4880),Sheet1!N2082:N4880,0))</f>
        <v>369</v>
      </c>
    </row>
    <row r="2083" spans="1:1" x14ac:dyDescent="0.3">
      <c r="A2083">
        <f>INDEX(Sheet1!B2083:B4881,MATCH(MAX(Sheet1!N2083:N4881),Sheet1!N2083:N4881,0))</f>
        <v>369</v>
      </c>
    </row>
    <row r="2084" spans="1:1" x14ac:dyDescent="0.3">
      <c r="A2084">
        <f>INDEX(Sheet1!B2084:B4882,MATCH(MAX(Sheet1!N2084:N4882),Sheet1!N2084:N4882,0))</f>
        <v>369</v>
      </c>
    </row>
    <row r="2085" spans="1:1" x14ac:dyDescent="0.3">
      <c r="A2085">
        <f>INDEX(Sheet1!B2085:B4883,MATCH(MAX(Sheet1!N2085:N4883),Sheet1!N2085:N4883,0))</f>
        <v>369</v>
      </c>
    </row>
    <row r="2086" spans="1:1" x14ac:dyDescent="0.3">
      <c r="A2086">
        <f>INDEX(Sheet1!B2086:B4884,MATCH(MAX(Sheet1!N2086:N4884),Sheet1!N2086:N4884,0))</f>
        <v>369</v>
      </c>
    </row>
    <row r="2087" spans="1:1" x14ac:dyDescent="0.3">
      <c r="A2087">
        <f>INDEX(Sheet1!B2087:B4885,MATCH(MAX(Sheet1!N2087:N4885),Sheet1!N2087:N4885,0))</f>
        <v>369</v>
      </c>
    </row>
    <row r="2088" spans="1:1" x14ac:dyDescent="0.3">
      <c r="A2088">
        <f>INDEX(Sheet1!B2088:B4886,MATCH(MAX(Sheet1!N2088:N4886),Sheet1!N2088:N4886,0))</f>
        <v>370</v>
      </c>
    </row>
    <row r="2089" spans="1:1" x14ac:dyDescent="0.3">
      <c r="A2089">
        <f>INDEX(Sheet1!B2089:B4887,MATCH(MAX(Sheet1!N2089:N4887),Sheet1!N2089:N4887,0))</f>
        <v>370</v>
      </c>
    </row>
    <row r="2090" spans="1:1" x14ac:dyDescent="0.3">
      <c r="A2090">
        <f>INDEX(Sheet1!B2090:B4888,MATCH(MAX(Sheet1!N2090:N4888),Sheet1!N2090:N4888,0))</f>
        <v>370</v>
      </c>
    </row>
    <row r="2091" spans="1:1" x14ac:dyDescent="0.3">
      <c r="A2091">
        <f>INDEX(Sheet1!B2091:B4889,MATCH(MAX(Sheet1!N2091:N4889),Sheet1!N2091:N4889,0))</f>
        <v>370</v>
      </c>
    </row>
    <row r="2092" spans="1:1" x14ac:dyDescent="0.3">
      <c r="A2092">
        <f>INDEX(Sheet1!B2092:B4890,MATCH(MAX(Sheet1!N2092:N4890),Sheet1!N2092:N4890,0))</f>
        <v>370</v>
      </c>
    </row>
    <row r="2093" spans="1:1" x14ac:dyDescent="0.3">
      <c r="A2093">
        <f>INDEX(Sheet1!B2093:B4891,MATCH(MAX(Sheet1!N2093:N4891),Sheet1!N2093:N4891,0))</f>
        <v>370</v>
      </c>
    </row>
    <row r="2094" spans="1:1" x14ac:dyDescent="0.3">
      <c r="A2094">
        <f>INDEX(Sheet1!B2094:B4892,MATCH(MAX(Sheet1!N2094:N4892),Sheet1!N2094:N4892,0))</f>
        <v>370</v>
      </c>
    </row>
    <row r="2095" spans="1:1" x14ac:dyDescent="0.3">
      <c r="A2095">
        <f>INDEX(Sheet1!B2095:B4893,MATCH(MAX(Sheet1!N2095:N4893),Sheet1!N2095:N4893,0))</f>
        <v>370</v>
      </c>
    </row>
    <row r="2096" spans="1:1" x14ac:dyDescent="0.3">
      <c r="A2096">
        <f>INDEX(Sheet1!B2096:B4894,MATCH(MAX(Sheet1!N2096:N4894),Sheet1!N2096:N4894,0))</f>
        <v>370</v>
      </c>
    </row>
    <row r="2097" spans="1:1" x14ac:dyDescent="0.3">
      <c r="A2097">
        <f>INDEX(Sheet1!B2097:B4895,MATCH(MAX(Sheet1!N2097:N4895),Sheet1!N2097:N4895,0))</f>
        <v>371</v>
      </c>
    </row>
    <row r="2098" spans="1:1" x14ac:dyDescent="0.3">
      <c r="A2098">
        <f>INDEX(Sheet1!B2098:B4896,MATCH(MAX(Sheet1!N2098:N4896),Sheet1!N2098:N4896,0))</f>
        <v>371</v>
      </c>
    </row>
    <row r="2099" spans="1:1" x14ac:dyDescent="0.3">
      <c r="A2099">
        <f>INDEX(Sheet1!B2099:B4897,MATCH(MAX(Sheet1!N2099:N4897),Sheet1!N2099:N4897,0))</f>
        <v>372</v>
      </c>
    </row>
    <row r="2100" spans="1:1" x14ac:dyDescent="0.3">
      <c r="A2100">
        <f>INDEX(Sheet1!B2100:B4898,MATCH(MAX(Sheet1!N2100:N4898),Sheet1!N2100:N4898,0))</f>
        <v>372</v>
      </c>
    </row>
    <row r="2101" spans="1:1" x14ac:dyDescent="0.3">
      <c r="A2101">
        <f>INDEX(Sheet1!B2101:B4899,MATCH(MAX(Sheet1!N2101:N4899),Sheet1!N2101:N4899,0))</f>
        <v>372</v>
      </c>
    </row>
    <row r="2102" spans="1:1" x14ac:dyDescent="0.3">
      <c r="A2102">
        <f>INDEX(Sheet1!B2102:B4900,MATCH(MAX(Sheet1!N2102:N4900),Sheet1!N2102:N4900,0))</f>
        <v>372</v>
      </c>
    </row>
    <row r="2103" spans="1:1" x14ac:dyDescent="0.3">
      <c r="A2103">
        <f>INDEX(Sheet1!B2103:B4901,MATCH(MAX(Sheet1!N2103:N4901),Sheet1!N2103:N4901,0))</f>
        <v>372</v>
      </c>
    </row>
    <row r="2104" spans="1:1" x14ac:dyDescent="0.3">
      <c r="A2104">
        <f>INDEX(Sheet1!B2104:B4902,MATCH(MAX(Sheet1!N2104:N4902),Sheet1!N2104:N4902,0))</f>
        <v>372</v>
      </c>
    </row>
    <row r="2105" spans="1:1" x14ac:dyDescent="0.3">
      <c r="A2105">
        <f>INDEX(Sheet1!B2105:B4903,MATCH(MAX(Sheet1!N2105:N4903),Sheet1!N2105:N4903,0))</f>
        <v>372</v>
      </c>
    </row>
    <row r="2106" spans="1:1" x14ac:dyDescent="0.3">
      <c r="A2106">
        <f>INDEX(Sheet1!B2106:B4904,MATCH(MAX(Sheet1!N2106:N4904),Sheet1!N2106:N4904,0))</f>
        <v>372</v>
      </c>
    </row>
    <row r="2107" spans="1:1" x14ac:dyDescent="0.3">
      <c r="A2107">
        <f>INDEX(Sheet1!B2107:B4905,MATCH(MAX(Sheet1!N2107:N4905),Sheet1!N2107:N4905,0))</f>
        <v>372</v>
      </c>
    </row>
    <row r="2108" spans="1:1" x14ac:dyDescent="0.3">
      <c r="A2108">
        <f>INDEX(Sheet1!B2108:B4906,MATCH(MAX(Sheet1!N2108:N4906),Sheet1!N2108:N4906,0))</f>
        <v>373</v>
      </c>
    </row>
    <row r="2109" spans="1:1" x14ac:dyDescent="0.3">
      <c r="A2109">
        <f>INDEX(Sheet1!B2109:B4907,MATCH(MAX(Sheet1!N2109:N4907),Sheet1!N2109:N4907,0))</f>
        <v>373</v>
      </c>
    </row>
    <row r="2110" spans="1:1" x14ac:dyDescent="0.3">
      <c r="A2110">
        <f>INDEX(Sheet1!B2110:B4908,MATCH(MAX(Sheet1!N2110:N4908),Sheet1!N2110:N4908,0))</f>
        <v>373</v>
      </c>
    </row>
    <row r="2111" spans="1:1" x14ac:dyDescent="0.3">
      <c r="A2111">
        <f>INDEX(Sheet1!B2111:B4909,MATCH(MAX(Sheet1!N2111:N4909),Sheet1!N2111:N4909,0))</f>
        <v>373</v>
      </c>
    </row>
    <row r="2112" spans="1:1" x14ac:dyDescent="0.3">
      <c r="A2112">
        <f>INDEX(Sheet1!B2112:B4910,MATCH(MAX(Sheet1!N2112:N4910),Sheet1!N2112:N4910,0))</f>
        <v>373</v>
      </c>
    </row>
    <row r="2113" spans="1:1" x14ac:dyDescent="0.3">
      <c r="A2113">
        <f>INDEX(Sheet1!B2113:B4911,MATCH(MAX(Sheet1!N2113:N4911),Sheet1!N2113:N4911,0))</f>
        <v>373</v>
      </c>
    </row>
    <row r="2114" spans="1:1" x14ac:dyDescent="0.3">
      <c r="A2114">
        <f>INDEX(Sheet1!B2114:B4912,MATCH(MAX(Sheet1!N2114:N4912),Sheet1!N2114:N4912,0))</f>
        <v>373</v>
      </c>
    </row>
    <row r="2115" spans="1:1" x14ac:dyDescent="0.3">
      <c r="A2115">
        <f>INDEX(Sheet1!B2115:B4913,MATCH(MAX(Sheet1!N2115:N4913),Sheet1!N2115:N4913,0))</f>
        <v>373</v>
      </c>
    </row>
    <row r="2116" spans="1:1" x14ac:dyDescent="0.3">
      <c r="A2116">
        <f>INDEX(Sheet1!B2116:B4914,MATCH(MAX(Sheet1!N2116:N4914),Sheet1!N2116:N4914,0))</f>
        <v>373</v>
      </c>
    </row>
    <row r="2117" spans="1:1" x14ac:dyDescent="0.3">
      <c r="A2117">
        <f>INDEX(Sheet1!B2117:B4915,MATCH(MAX(Sheet1!N2117:N4915),Sheet1!N2117:N4915,0))</f>
        <v>374</v>
      </c>
    </row>
    <row r="2118" spans="1:1" x14ac:dyDescent="0.3">
      <c r="A2118">
        <f>INDEX(Sheet1!B2118:B4916,MATCH(MAX(Sheet1!N2118:N4916),Sheet1!N2118:N4916,0))</f>
        <v>374</v>
      </c>
    </row>
    <row r="2119" spans="1:1" x14ac:dyDescent="0.3">
      <c r="A2119">
        <f>INDEX(Sheet1!B2119:B4917,MATCH(MAX(Sheet1!N2119:N4917),Sheet1!N2119:N4917,0))</f>
        <v>374</v>
      </c>
    </row>
    <row r="2120" spans="1:1" x14ac:dyDescent="0.3">
      <c r="A2120">
        <f>INDEX(Sheet1!B2120:B4918,MATCH(MAX(Sheet1!N2120:N4918),Sheet1!N2120:N4918,0))</f>
        <v>374</v>
      </c>
    </row>
    <row r="2121" spans="1:1" x14ac:dyDescent="0.3">
      <c r="A2121">
        <f>INDEX(Sheet1!B2121:B4919,MATCH(MAX(Sheet1!N2121:N4919),Sheet1!N2121:N4919,0))</f>
        <v>374</v>
      </c>
    </row>
    <row r="2122" spans="1:1" x14ac:dyDescent="0.3">
      <c r="A2122">
        <f>INDEX(Sheet1!B2122:B4920,MATCH(MAX(Sheet1!N2122:N4920),Sheet1!N2122:N4920,0))</f>
        <v>375</v>
      </c>
    </row>
    <row r="2123" spans="1:1" x14ac:dyDescent="0.3">
      <c r="A2123">
        <f>INDEX(Sheet1!B2123:B4921,MATCH(MAX(Sheet1!N2123:N4921),Sheet1!N2123:N4921,0))</f>
        <v>375</v>
      </c>
    </row>
    <row r="2124" spans="1:1" x14ac:dyDescent="0.3">
      <c r="A2124">
        <f>INDEX(Sheet1!B2124:B4922,MATCH(MAX(Sheet1!N2124:N4922),Sheet1!N2124:N4922,0))</f>
        <v>375</v>
      </c>
    </row>
    <row r="2125" spans="1:1" x14ac:dyDescent="0.3">
      <c r="A2125">
        <f>INDEX(Sheet1!B2125:B4923,MATCH(MAX(Sheet1!N2125:N4923),Sheet1!N2125:N4923,0))</f>
        <v>377</v>
      </c>
    </row>
    <row r="2126" spans="1:1" x14ac:dyDescent="0.3">
      <c r="A2126">
        <f>INDEX(Sheet1!B2126:B4924,MATCH(MAX(Sheet1!N2126:N4924),Sheet1!N2126:N4924,0))</f>
        <v>377</v>
      </c>
    </row>
    <row r="2127" spans="1:1" x14ac:dyDescent="0.3">
      <c r="A2127">
        <f>INDEX(Sheet1!B2127:B4925,MATCH(MAX(Sheet1!N2127:N4925),Sheet1!N2127:N4925,0))</f>
        <v>377</v>
      </c>
    </row>
    <row r="2128" spans="1:1" x14ac:dyDescent="0.3">
      <c r="A2128">
        <f>INDEX(Sheet1!B2128:B4926,MATCH(MAX(Sheet1!N2128:N4926),Sheet1!N2128:N4926,0))</f>
        <v>377</v>
      </c>
    </row>
    <row r="2129" spans="1:1" x14ac:dyDescent="0.3">
      <c r="A2129">
        <f>INDEX(Sheet1!B2129:B4927,MATCH(MAX(Sheet1!N2129:N4927),Sheet1!N2129:N4927,0))</f>
        <v>377</v>
      </c>
    </row>
    <row r="2130" spans="1:1" x14ac:dyDescent="0.3">
      <c r="A2130">
        <f>INDEX(Sheet1!B2130:B4928,MATCH(MAX(Sheet1!N2130:N4928),Sheet1!N2130:N4928,0))</f>
        <v>377</v>
      </c>
    </row>
    <row r="2131" spans="1:1" x14ac:dyDescent="0.3">
      <c r="A2131">
        <f>INDEX(Sheet1!B2131:B4929,MATCH(MAX(Sheet1!N2131:N4929),Sheet1!N2131:N4929,0))</f>
        <v>377</v>
      </c>
    </row>
    <row r="2132" spans="1:1" x14ac:dyDescent="0.3">
      <c r="A2132">
        <f>INDEX(Sheet1!B2132:B4930,MATCH(MAX(Sheet1!N2132:N4930),Sheet1!N2132:N4930,0))</f>
        <v>377</v>
      </c>
    </row>
    <row r="2133" spans="1:1" x14ac:dyDescent="0.3">
      <c r="A2133">
        <f>INDEX(Sheet1!B2133:B4931,MATCH(MAX(Sheet1!N2133:N4931),Sheet1!N2133:N4931,0))</f>
        <v>377</v>
      </c>
    </row>
    <row r="2134" spans="1:1" x14ac:dyDescent="0.3">
      <c r="A2134">
        <f>INDEX(Sheet1!B2134:B4932,MATCH(MAX(Sheet1!N2134:N4932),Sheet1!N2134:N4932,0))</f>
        <v>377</v>
      </c>
    </row>
    <row r="2135" spans="1:1" x14ac:dyDescent="0.3">
      <c r="A2135">
        <f>INDEX(Sheet1!B2135:B4933,MATCH(MAX(Sheet1!N2135:N4933),Sheet1!N2135:N4933,0))</f>
        <v>378</v>
      </c>
    </row>
    <row r="2136" spans="1:1" x14ac:dyDescent="0.3">
      <c r="A2136">
        <f>INDEX(Sheet1!B2136:B4934,MATCH(MAX(Sheet1!N2136:N4934),Sheet1!N2136:N4934,0))</f>
        <v>378</v>
      </c>
    </row>
    <row r="2137" spans="1:1" x14ac:dyDescent="0.3">
      <c r="A2137">
        <f>INDEX(Sheet1!B2137:B4935,MATCH(MAX(Sheet1!N2137:N4935),Sheet1!N2137:N4935,0))</f>
        <v>380</v>
      </c>
    </row>
    <row r="2138" spans="1:1" x14ac:dyDescent="0.3">
      <c r="A2138">
        <f>INDEX(Sheet1!B2138:B4936,MATCH(MAX(Sheet1!N2138:N4936),Sheet1!N2138:N4936,0))</f>
        <v>380</v>
      </c>
    </row>
    <row r="2139" spans="1:1" x14ac:dyDescent="0.3">
      <c r="A2139">
        <f>INDEX(Sheet1!B2139:B4937,MATCH(MAX(Sheet1!N2139:N4937),Sheet1!N2139:N4937,0))</f>
        <v>380</v>
      </c>
    </row>
    <row r="2140" spans="1:1" x14ac:dyDescent="0.3">
      <c r="A2140">
        <f>INDEX(Sheet1!B2140:B4938,MATCH(MAX(Sheet1!N2140:N4938),Sheet1!N2140:N4938,0))</f>
        <v>380</v>
      </c>
    </row>
    <row r="2141" spans="1:1" x14ac:dyDescent="0.3">
      <c r="A2141">
        <f>INDEX(Sheet1!B2141:B4939,MATCH(MAX(Sheet1!N2141:N4939),Sheet1!N2141:N4939,0))</f>
        <v>380</v>
      </c>
    </row>
    <row r="2142" spans="1:1" x14ac:dyDescent="0.3">
      <c r="A2142">
        <f>INDEX(Sheet1!B2142:B4940,MATCH(MAX(Sheet1!N2142:N4940),Sheet1!N2142:N4940,0))</f>
        <v>380</v>
      </c>
    </row>
    <row r="2143" spans="1:1" x14ac:dyDescent="0.3">
      <c r="A2143">
        <f>INDEX(Sheet1!B2143:B4941,MATCH(MAX(Sheet1!N2143:N4941),Sheet1!N2143:N4941,0))</f>
        <v>380</v>
      </c>
    </row>
    <row r="2144" spans="1:1" x14ac:dyDescent="0.3">
      <c r="A2144">
        <f>INDEX(Sheet1!B2144:B4942,MATCH(MAX(Sheet1!N2144:N4942),Sheet1!N2144:N4942,0))</f>
        <v>380</v>
      </c>
    </row>
    <row r="2145" spans="1:1" x14ac:dyDescent="0.3">
      <c r="A2145">
        <f>INDEX(Sheet1!B2145:B4943,MATCH(MAX(Sheet1!N2145:N4943),Sheet1!N2145:N4943,0))</f>
        <v>380</v>
      </c>
    </row>
    <row r="2146" spans="1:1" x14ac:dyDescent="0.3">
      <c r="A2146">
        <f>INDEX(Sheet1!B2146:B4944,MATCH(MAX(Sheet1!N2146:N4944),Sheet1!N2146:N4944,0))</f>
        <v>380</v>
      </c>
    </row>
    <row r="2147" spans="1:1" x14ac:dyDescent="0.3">
      <c r="A2147">
        <f>INDEX(Sheet1!B2147:B4945,MATCH(MAX(Sheet1!N2147:N4945),Sheet1!N2147:N4945,0))</f>
        <v>380</v>
      </c>
    </row>
    <row r="2148" spans="1:1" x14ac:dyDescent="0.3">
      <c r="A2148">
        <f>INDEX(Sheet1!B2148:B4946,MATCH(MAX(Sheet1!N2148:N4946),Sheet1!N2148:N4946,0))</f>
        <v>380</v>
      </c>
    </row>
    <row r="2149" spans="1:1" x14ac:dyDescent="0.3">
      <c r="A2149">
        <f>INDEX(Sheet1!B2149:B4947,MATCH(MAX(Sheet1!N2149:N4947),Sheet1!N2149:N4947,0))</f>
        <v>380</v>
      </c>
    </row>
    <row r="2150" spans="1:1" x14ac:dyDescent="0.3">
      <c r="A2150">
        <f>INDEX(Sheet1!B2150:B4948,MATCH(MAX(Sheet1!N2150:N4948),Sheet1!N2150:N4948,0))</f>
        <v>382</v>
      </c>
    </row>
    <row r="2151" spans="1:1" x14ac:dyDescent="0.3">
      <c r="A2151">
        <f>INDEX(Sheet1!B2151:B4949,MATCH(MAX(Sheet1!N2151:N4949),Sheet1!N2151:N4949,0))</f>
        <v>382</v>
      </c>
    </row>
    <row r="2152" spans="1:1" x14ac:dyDescent="0.3">
      <c r="A2152">
        <f>INDEX(Sheet1!B2152:B4950,MATCH(MAX(Sheet1!N2152:N4950),Sheet1!N2152:N4950,0))</f>
        <v>382</v>
      </c>
    </row>
    <row r="2153" spans="1:1" x14ac:dyDescent="0.3">
      <c r="A2153">
        <f>INDEX(Sheet1!B2153:B4951,MATCH(MAX(Sheet1!N2153:N4951),Sheet1!N2153:N4951,0))</f>
        <v>382</v>
      </c>
    </row>
    <row r="2154" spans="1:1" x14ac:dyDescent="0.3">
      <c r="A2154">
        <f>INDEX(Sheet1!B2154:B4952,MATCH(MAX(Sheet1!N2154:N4952),Sheet1!N2154:N4952,0))</f>
        <v>382</v>
      </c>
    </row>
    <row r="2155" spans="1:1" x14ac:dyDescent="0.3">
      <c r="A2155">
        <f>INDEX(Sheet1!B2155:B4953,MATCH(MAX(Sheet1!N2155:N4953),Sheet1!N2155:N4953,0))</f>
        <v>383</v>
      </c>
    </row>
    <row r="2156" spans="1:1" x14ac:dyDescent="0.3">
      <c r="A2156">
        <f>INDEX(Sheet1!B2156:B4954,MATCH(MAX(Sheet1!N2156:N4954),Sheet1!N2156:N4954,0))</f>
        <v>383</v>
      </c>
    </row>
    <row r="2157" spans="1:1" x14ac:dyDescent="0.3">
      <c r="A2157">
        <f>INDEX(Sheet1!B2157:B4955,MATCH(MAX(Sheet1!N2157:N4955),Sheet1!N2157:N4955,0))</f>
        <v>383</v>
      </c>
    </row>
    <row r="2158" spans="1:1" x14ac:dyDescent="0.3">
      <c r="A2158">
        <f>INDEX(Sheet1!B2158:B4956,MATCH(MAX(Sheet1!N2158:N4956),Sheet1!N2158:N4956,0))</f>
        <v>383</v>
      </c>
    </row>
    <row r="2159" spans="1:1" x14ac:dyDescent="0.3">
      <c r="A2159">
        <f>INDEX(Sheet1!B2159:B4957,MATCH(MAX(Sheet1!N2159:N4957),Sheet1!N2159:N4957,0))</f>
        <v>383</v>
      </c>
    </row>
    <row r="2160" spans="1:1" x14ac:dyDescent="0.3">
      <c r="A2160">
        <f>INDEX(Sheet1!B2160:B4958,MATCH(MAX(Sheet1!N2160:N4958),Sheet1!N2160:N4958,0))</f>
        <v>384</v>
      </c>
    </row>
    <row r="2161" spans="1:1" x14ac:dyDescent="0.3">
      <c r="A2161">
        <f>INDEX(Sheet1!B2161:B4959,MATCH(MAX(Sheet1!N2161:N4959),Sheet1!N2161:N4959,0))</f>
        <v>384</v>
      </c>
    </row>
    <row r="2162" spans="1:1" x14ac:dyDescent="0.3">
      <c r="A2162">
        <f>INDEX(Sheet1!B2162:B4960,MATCH(MAX(Sheet1!N2162:N4960),Sheet1!N2162:N4960,0))</f>
        <v>384</v>
      </c>
    </row>
    <row r="2163" spans="1:1" x14ac:dyDescent="0.3">
      <c r="A2163">
        <f>INDEX(Sheet1!B2163:B4961,MATCH(MAX(Sheet1!N2163:N4961),Sheet1!N2163:N4961,0))</f>
        <v>384</v>
      </c>
    </row>
    <row r="2164" spans="1:1" x14ac:dyDescent="0.3">
      <c r="A2164">
        <f>INDEX(Sheet1!B2164:B4962,MATCH(MAX(Sheet1!N2164:N4962),Sheet1!N2164:N4962,0))</f>
        <v>384</v>
      </c>
    </row>
    <row r="2165" spans="1:1" x14ac:dyDescent="0.3">
      <c r="A2165">
        <f>INDEX(Sheet1!B2165:B4963,MATCH(MAX(Sheet1!N2165:N4963),Sheet1!N2165:N4963,0))</f>
        <v>384</v>
      </c>
    </row>
    <row r="2166" spans="1:1" x14ac:dyDescent="0.3">
      <c r="A2166">
        <f>INDEX(Sheet1!B2166:B4964,MATCH(MAX(Sheet1!N2166:N4964),Sheet1!N2166:N4964,0))</f>
        <v>384</v>
      </c>
    </row>
    <row r="2167" spans="1:1" x14ac:dyDescent="0.3">
      <c r="A2167">
        <f>INDEX(Sheet1!B2167:B4965,MATCH(MAX(Sheet1!N2167:N4965),Sheet1!N2167:N4965,0))</f>
        <v>384</v>
      </c>
    </row>
    <row r="2168" spans="1:1" x14ac:dyDescent="0.3">
      <c r="A2168">
        <f>INDEX(Sheet1!B2168:B4966,MATCH(MAX(Sheet1!N2168:N4966),Sheet1!N2168:N4966,0))</f>
        <v>384</v>
      </c>
    </row>
    <row r="2169" spans="1:1" x14ac:dyDescent="0.3">
      <c r="A2169">
        <f>INDEX(Sheet1!B2169:B4967,MATCH(MAX(Sheet1!N2169:N4967),Sheet1!N2169:N4967,0))</f>
        <v>385</v>
      </c>
    </row>
    <row r="2170" spans="1:1" x14ac:dyDescent="0.3">
      <c r="A2170">
        <f>INDEX(Sheet1!B2170:B4968,MATCH(MAX(Sheet1!N2170:N4968),Sheet1!N2170:N4968,0))</f>
        <v>386</v>
      </c>
    </row>
    <row r="2171" spans="1:1" x14ac:dyDescent="0.3">
      <c r="A2171">
        <f>INDEX(Sheet1!B2171:B4969,MATCH(MAX(Sheet1!N2171:N4969),Sheet1!N2171:N4969,0))</f>
        <v>386</v>
      </c>
    </row>
    <row r="2172" spans="1:1" x14ac:dyDescent="0.3">
      <c r="A2172">
        <f>INDEX(Sheet1!B2172:B4970,MATCH(MAX(Sheet1!N2172:N4970),Sheet1!N2172:N4970,0))</f>
        <v>386</v>
      </c>
    </row>
    <row r="2173" spans="1:1" x14ac:dyDescent="0.3">
      <c r="A2173">
        <f>INDEX(Sheet1!B2173:B4971,MATCH(MAX(Sheet1!N2173:N4971),Sheet1!N2173:N4971,0))</f>
        <v>386</v>
      </c>
    </row>
    <row r="2174" spans="1:1" x14ac:dyDescent="0.3">
      <c r="A2174">
        <f>INDEX(Sheet1!B2174:B4972,MATCH(MAX(Sheet1!N2174:N4972),Sheet1!N2174:N4972,0))</f>
        <v>386</v>
      </c>
    </row>
    <row r="2175" spans="1:1" x14ac:dyDescent="0.3">
      <c r="A2175">
        <f>INDEX(Sheet1!B2175:B4973,MATCH(MAX(Sheet1!N2175:N4973),Sheet1!N2175:N4973,0))</f>
        <v>386</v>
      </c>
    </row>
    <row r="2176" spans="1:1" x14ac:dyDescent="0.3">
      <c r="A2176">
        <f>INDEX(Sheet1!B2176:B4974,MATCH(MAX(Sheet1!N2176:N4974),Sheet1!N2176:N4974,0))</f>
        <v>386</v>
      </c>
    </row>
    <row r="2177" spans="1:1" x14ac:dyDescent="0.3">
      <c r="A2177">
        <f>INDEX(Sheet1!B2177:B4975,MATCH(MAX(Sheet1!N2177:N4975),Sheet1!N2177:N4975,0))</f>
        <v>386</v>
      </c>
    </row>
    <row r="2178" spans="1:1" x14ac:dyDescent="0.3">
      <c r="A2178">
        <f>INDEX(Sheet1!B2178:B4976,MATCH(MAX(Sheet1!N2178:N4976),Sheet1!N2178:N4976,0))</f>
        <v>386</v>
      </c>
    </row>
    <row r="2179" spans="1:1" x14ac:dyDescent="0.3">
      <c r="A2179">
        <f>INDEX(Sheet1!B2179:B4977,MATCH(MAX(Sheet1!N2179:N4977),Sheet1!N2179:N4977,0))</f>
        <v>386</v>
      </c>
    </row>
    <row r="2180" spans="1:1" x14ac:dyDescent="0.3">
      <c r="A2180">
        <f>INDEX(Sheet1!B2180:B4978,MATCH(MAX(Sheet1!N2180:N4978),Sheet1!N2180:N4978,0))</f>
        <v>386</v>
      </c>
    </row>
    <row r="2181" spans="1:1" x14ac:dyDescent="0.3">
      <c r="A2181">
        <f>INDEX(Sheet1!B2181:B4979,MATCH(MAX(Sheet1!N2181:N4979),Sheet1!N2181:N4979,0))</f>
        <v>386</v>
      </c>
    </row>
    <row r="2182" spans="1:1" x14ac:dyDescent="0.3">
      <c r="A2182">
        <f>INDEX(Sheet1!B2182:B4980,MATCH(MAX(Sheet1!N2182:N4980),Sheet1!N2182:N4980,0))</f>
        <v>386</v>
      </c>
    </row>
    <row r="2183" spans="1:1" x14ac:dyDescent="0.3">
      <c r="A2183">
        <f>INDEX(Sheet1!B2183:B4981,MATCH(MAX(Sheet1!N2183:N4981),Sheet1!N2183:N4981,0))</f>
        <v>386</v>
      </c>
    </row>
    <row r="2184" spans="1:1" x14ac:dyDescent="0.3">
      <c r="A2184">
        <f>INDEX(Sheet1!B2184:B4982,MATCH(MAX(Sheet1!N2184:N4982),Sheet1!N2184:N4982,0))</f>
        <v>386</v>
      </c>
    </row>
    <row r="2185" spans="1:1" x14ac:dyDescent="0.3">
      <c r="A2185">
        <f>INDEX(Sheet1!B2185:B4983,MATCH(MAX(Sheet1!N2185:N4983),Sheet1!N2185:N4983,0))</f>
        <v>386</v>
      </c>
    </row>
    <row r="2186" spans="1:1" x14ac:dyDescent="0.3">
      <c r="A2186">
        <f>INDEX(Sheet1!B2186:B4984,MATCH(MAX(Sheet1!N2186:N4984),Sheet1!N2186:N4984,0))</f>
        <v>387</v>
      </c>
    </row>
    <row r="2187" spans="1:1" x14ac:dyDescent="0.3">
      <c r="A2187">
        <f>INDEX(Sheet1!B2187:B4985,MATCH(MAX(Sheet1!N2187:N4985),Sheet1!N2187:N4985,0))</f>
        <v>387</v>
      </c>
    </row>
    <row r="2188" spans="1:1" x14ac:dyDescent="0.3">
      <c r="A2188">
        <f>INDEX(Sheet1!B2188:B4986,MATCH(MAX(Sheet1!N2188:N4986),Sheet1!N2188:N4986,0))</f>
        <v>387</v>
      </c>
    </row>
    <row r="2189" spans="1:1" x14ac:dyDescent="0.3">
      <c r="A2189">
        <f>INDEX(Sheet1!B2189:B4987,MATCH(MAX(Sheet1!N2189:N4987),Sheet1!N2189:N4987,0))</f>
        <v>387</v>
      </c>
    </row>
    <row r="2190" spans="1:1" x14ac:dyDescent="0.3">
      <c r="A2190">
        <f>INDEX(Sheet1!B2190:B4988,MATCH(MAX(Sheet1!N2190:N4988),Sheet1!N2190:N4988,0))</f>
        <v>387</v>
      </c>
    </row>
    <row r="2191" spans="1:1" x14ac:dyDescent="0.3">
      <c r="A2191">
        <f>INDEX(Sheet1!B2191:B4989,MATCH(MAX(Sheet1!N2191:N4989),Sheet1!N2191:N4989,0))</f>
        <v>387</v>
      </c>
    </row>
    <row r="2192" spans="1:1" x14ac:dyDescent="0.3">
      <c r="A2192">
        <f>INDEX(Sheet1!B2192:B4990,MATCH(MAX(Sheet1!N2192:N4990),Sheet1!N2192:N4990,0))</f>
        <v>388</v>
      </c>
    </row>
    <row r="2193" spans="1:1" x14ac:dyDescent="0.3">
      <c r="A2193">
        <f>INDEX(Sheet1!B2193:B4991,MATCH(MAX(Sheet1!N2193:N4991),Sheet1!N2193:N4991,0))</f>
        <v>388</v>
      </c>
    </row>
    <row r="2194" spans="1:1" x14ac:dyDescent="0.3">
      <c r="A2194">
        <f>INDEX(Sheet1!B2194:B4992,MATCH(MAX(Sheet1!N2194:N4992),Sheet1!N2194:N4992,0))</f>
        <v>388</v>
      </c>
    </row>
    <row r="2195" spans="1:1" x14ac:dyDescent="0.3">
      <c r="A2195">
        <f>INDEX(Sheet1!B2195:B4993,MATCH(MAX(Sheet1!N2195:N4993),Sheet1!N2195:N4993,0))</f>
        <v>388</v>
      </c>
    </row>
    <row r="2196" spans="1:1" x14ac:dyDescent="0.3">
      <c r="A2196">
        <f>INDEX(Sheet1!B2196:B4994,MATCH(MAX(Sheet1!N2196:N4994),Sheet1!N2196:N4994,0))</f>
        <v>389</v>
      </c>
    </row>
    <row r="2197" spans="1:1" x14ac:dyDescent="0.3">
      <c r="A2197">
        <f>INDEX(Sheet1!B2197:B4995,MATCH(MAX(Sheet1!N2197:N4995),Sheet1!N2197:N4995,0))</f>
        <v>389</v>
      </c>
    </row>
    <row r="2198" spans="1:1" x14ac:dyDescent="0.3">
      <c r="A2198">
        <f>INDEX(Sheet1!B2198:B4996,MATCH(MAX(Sheet1!N2198:N4996),Sheet1!N2198:N4996,0))</f>
        <v>389</v>
      </c>
    </row>
    <row r="2199" spans="1:1" x14ac:dyDescent="0.3">
      <c r="A2199">
        <f>INDEX(Sheet1!B2199:B4997,MATCH(MAX(Sheet1!N2199:N4997),Sheet1!N2199:N4997,0))</f>
        <v>389</v>
      </c>
    </row>
    <row r="2200" spans="1:1" x14ac:dyDescent="0.3">
      <c r="A2200">
        <f>INDEX(Sheet1!B2200:B4998,MATCH(MAX(Sheet1!N2200:N4998),Sheet1!N2200:N4998,0))</f>
        <v>390</v>
      </c>
    </row>
    <row r="2201" spans="1:1" x14ac:dyDescent="0.3">
      <c r="A2201">
        <f>INDEX(Sheet1!B2201:B4999,MATCH(MAX(Sheet1!N2201:N4999),Sheet1!N2201:N4999,0))</f>
        <v>390</v>
      </c>
    </row>
    <row r="2202" spans="1:1" x14ac:dyDescent="0.3">
      <c r="A2202">
        <f>INDEX(Sheet1!B2202:B5000,MATCH(MAX(Sheet1!N2202:N5000),Sheet1!N2202:N5000,0))</f>
        <v>390</v>
      </c>
    </row>
    <row r="2203" spans="1:1" x14ac:dyDescent="0.3">
      <c r="A2203">
        <f>INDEX(Sheet1!B2203:B5001,MATCH(MAX(Sheet1!N2203:N5001),Sheet1!N2203:N5001,0))</f>
        <v>390</v>
      </c>
    </row>
    <row r="2204" spans="1:1" x14ac:dyDescent="0.3">
      <c r="A2204">
        <f>INDEX(Sheet1!B2204:B5002,MATCH(MAX(Sheet1!N2204:N5002),Sheet1!N2204:N5002,0))</f>
        <v>391</v>
      </c>
    </row>
    <row r="2205" spans="1:1" x14ac:dyDescent="0.3">
      <c r="A2205">
        <f>INDEX(Sheet1!B2205:B5003,MATCH(MAX(Sheet1!N2205:N5003),Sheet1!N2205:N5003,0))</f>
        <v>391</v>
      </c>
    </row>
    <row r="2206" spans="1:1" x14ac:dyDescent="0.3">
      <c r="A2206">
        <f>INDEX(Sheet1!B2206:B5004,MATCH(MAX(Sheet1!N2206:N5004),Sheet1!N2206:N5004,0))</f>
        <v>391</v>
      </c>
    </row>
    <row r="2207" spans="1:1" x14ac:dyDescent="0.3">
      <c r="A2207">
        <f>INDEX(Sheet1!B2207:B5005,MATCH(MAX(Sheet1!N2207:N5005),Sheet1!N2207:N5005,0))</f>
        <v>391</v>
      </c>
    </row>
    <row r="2208" spans="1:1" x14ac:dyDescent="0.3">
      <c r="A2208">
        <f>INDEX(Sheet1!B2208:B5006,MATCH(MAX(Sheet1!N2208:N5006),Sheet1!N2208:N5006,0))</f>
        <v>392</v>
      </c>
    </row>
    <row r="2209" spans="1:1" x14ac:dyDescent="0.3">
      <c r="A2209">
        <f>INDEX(Sheet1!B2209:B5007,MATCH(MAX(Sheet1!N2209:N5007),Sheet1!N2209:N5007,0))</f>
        <v>392</v>
      </c>
    </row>
    <row r="2210" spans="1:1" x14ac:dyDescent="0.3">
      <c r="A2210">
        <f>INDEX(Sheet1!B2210:B5008,MATCH(MAX(Sheet1!N2210:N5008),Sheet1!N2210:N5008,0))</f>
        <v>392</v>
      </c>
    </row>
    <row r="2211" spans="1:1" x14ac:dyDescent="0.3">
      <c r="A2211">
        <f>INDEX(Sheet1!B2211:B5009,MATCH(MAX(Sheet1!N2211:N5009),Sheet1!N2211:N5009,0))</f>
        <v>394</v>
      </c>
    </row>
    <row r="2212" spans="1:1" x14ac:dyDescent="0.3">
      <c r="A2212">
        <f>INDEX(Sheet1!B2212:B5010,MATCH(MAX(Sheet1!N2212:N5010),Sheet1!N2212:N5010,0))</f>
        <v>394</v>
      </c>
    </row>
    <row r="2213" spans="1:1" x14ac:dyDescent="0.3">
      <c r="A2213">
        <f>INDEX(Sheet1!B2213:B5011,MATCH(MAX(Sheet1!N2213:N5011),Sheet1!N2213:N5011,0))</f>
        <v>394</v>
      </c>
    </row>
    <row r="2214" spans="1:1" x14ac:dyDescent="0.3">
      <c r="A2214">
        <f>INDEX(Sheet1!B2214:B5012,MATCH(MAX(Sheet1!N2214:N5012),Sheet1!N2214:N5012,0))</f>
        <v>394</v>
      </c>
    </row>
    <row r="2215" spans="1:1" x14ac:dyDescent="0.3">
      <c r="A2215">
        <f>INDEX(Sheet1!B2215:B5013,MATCH(MAX(Sheet1!N2215:N5013),Sheet1!N2215:N5013,0))</f>
        <v>394</v>
      </c>
    </row>
    <row r="2216" spans="1:1" x14ac:dyDescent="0.3">
      <c r="A2216">
        <f>INDEX(Sheet1!B2216:B5014,MATCH(MAX(Sheet1!N2216:N5014),Sheet1!N2216:N5014,0))</f>
        <v>394</v>
      </c>
    </row>
    <row r="2217" spans="1:1" x14ac:dyDescent="0.3">
      <c r="A2217">
        <f>INDEX(Sheet1!B2217:B5015,MATCH(MAX(Sheet1!N2217:N5015),Sheet1!N2217:N5015,0))</f>
        <v>394</v>
      </c>
    </row>
    <row r="2218" spans="1:1" x14ac:dyDescent="0.3">
      <c r="A2218">
        <f>INDEX(Sheet1!B2218:B5016,MATCH(MAX(Sheet1!N2218:N5016),Sheet1!N2218:N5016,0))</f>
        <v>394</v>
      </c>
    </row>
    <row r="2219" spans="1:1" x14ac:dyDescent="0.3">
      <c r="A2219">
        <f>INDEX(Sheet1!B2219:B5017,MATCH(MAX(Sheet1!N2219:N5017),Sheet1!N2219:N5017,0))</f>
        <v>394</v>
      </c>
    </row>
    <row r="2220" spans="1:1" x14ac:dyDescent="0.3">
      <c r="A2220">
        <f>INDEX(Sheet1!B2220:B5018,MATCH(MAX(Sheet1!N2220:N5018),Sheet1!N2220:N5018,0))</f>
        <v>395</v>
      </c>
    </row>
    <row r="2221" spans="1:1" x14ac:dyDescent="0.3">
      <c r="A2221">
        <f>INDEX(Sheet1!B2221:B5019,MATCH(MAX(Sheet1!N2221:N5019),Sheet1!N2221:N5019,0))</f>
        <v>395</v>
      </c>
    </row>
    <row r="2222" spans="1:1" x14ac:dyDescent="0.3">
      <c r="A2222">
        <f>INDEX(Sheet1!B2222:B5020,MATCH(MAX(Sheet1!N2222:N5020),Sheet1!N2222:N5020,0))</f>
        <v>395</v>
      </c>
    </row>
    <row r="2223" spans="1:1" x14ac:dyDescent="0.3">
      <c r="A2223">
        <f>INDEX(Sheet1!B2223:B5021,MATCH(MAX(Sheet1!N2223:N5021),Sheet1!N2223:N5021,0))</f>
        <v>395</v>
      </c>
    </row>
    <row r="2224" spans="1:1" x14ac:dyDescent="0.3">
      <c r="A2224">
        <f>INDEX(Sheet1!B2224:B5022,MATCH(MAX(Sheet1!N2224:N5022),Sheet1!N2224:N5022,0))</f>
        <v>396</v>
      </c>
    </row>
    <row r="2225" spans="1:1" x14ac:dyDescent="0.3">
      <c r="A2225">
        <f>INDEX(Sheet1!B2225:B5023,MATCH(MAX(Sheet1!N2225:N5023),Sheet1!N2225:N5023,0))</f>
        <v>396</v>
      </c>
    </row>
    <row r="2226" spans="1:1" x14ac:dyDescent="0.3">
      <c r="A2226">
        <f>INDEX(Sheet1!B2226:B5024,MATCH(MAX(Sheet1!N2226:N5024),Sheet1!N2226:N5024,0))</f>
        <v>396</v>
      </c>
    </row>
    <row r="2227" spans="1:1" x14ac:dyDescent="0.3">
      <c r="A2227">
        <f>INDEX(Sheet1!B2227:B5025,MATCH(MAX(Sheet1!N2227:N5025),Sheet1!N2227:N5025,0))</f>
        <v>396</v>
      </c>
    </row>
    <row r="2228" spans="1:1" x14ac:dyDescent="0.3">
      <c r="A2228">
        <f>INDEX(Sheet1!B2228:B5026,MATCH(MAX(Sheet1!N2228:N5026),Sheet1!N2228:N5026,0))</f>
        <v>396</v>
      </c>
    </row>
    <row r="2229" spans="1:1" x14ac:dyDescent="0.3">
      <c r="A2229">
        <f>INDEX(Sheet1!B2229:B5027,MATCH(MAX(Sheet1!N2229:N5027),Sheet1!N2229:N5027,0))</f>
        <v>396</v>
      </c>
    </row>
    <row r="2230" spans="1:1" x14ac:dyDescent="0.3">
      <c r="A2230">
        <f>INDEX(Sheet1!B2230:B5028,MATCH(MAX(Sheet1!N2230:N5028),Sheet1!N2230:N5028,0))</f>
        <v>396</v>
      </c>
    </row>
    <row r="2231" spans="1:1" x14ac:dyDescent="0.3">
      <c r="A2231">
        <f>INDEX(Sheet1!B2231:B5029,MATCH(MAX(Sheet1!N2231:N5029),Sheet1!N2231:N5029,0))</f>
        <v>396</v>
      </c>
    </row>
    <row r="2232" spans="1:1" x14ac:dyDescent="0.3">
      <c r="A2232">
        <f>INDEX(Sheet1!B2232:B5030,MATCH(MAX(Sheet1!N2232:N5030),Sheet1!N2232:N5030,0))</f>
        <v>396</v>
      </c>
    </row>
    <row r="2233" spans="1:1" x14ac:dyDescent="0.3">
      <c r="A2233">
        <f>INDEX(Sheet1!B2233:B5031,MATCH(MAX(Sheet1!N2233:N5031),Sheet1!N2233:N5031,0))</f>
        <v>397</v>
      </c>
    </row>
    <row r="2234" spans="1:1" x14ac:dyDescent="0.3">
      <c r="A2234">
        <f>INDEX(Sheet1!B2234:B5032,MATCH(MAX(Sheet1!N2234:N5032),Sheet1!N2234:N5032,0))</f>
        <v>397</v>
      </c>
    </row>
    <row r="2235" spans="1:1" x14ac:dyDescent="0.3">
      <c r="A2235">
        <f>INDEX(Sheet1!B2235:B5033,MATCH(MAX(Sheet1!N2235:N5033),Sheet1!N2235:N5033,0))</f>
        <v>397</v>
      </c>
    </row>
    <row r="2236" spans="1:1" x14ac:dyDescent="0.3">
      <c r="A2236">
        <f>INDEX(Sheet1!B2236:B5034,MATCH(MAX(Sheet1!N2236:N5034),Sheet1!N2236:N5034,0))</f>
        <v>397</v>
      </c>
    </row>
    <row r="2237" spans="1:1" x14ac:dyDescent="0.3">
      <c r="A2237">
        <f>INDEX(Sheet1!B2237:B5035,MATCH(MAX(Sheet1!N2237:N5035),Sheet1!N2237:N5035,0))</f>
        <v>397</v>
      </c>
    </row>
    <row r="2238" spans="1:1" x14ac:dyDescent="0.3">
      <c r="A2238">
        <f>INDEX(Sheet1!B2238:B5036,MATCH(MAX(Sheet1!N2238:N5036),Sheet1!N2238:N5036,0))</f>
        <v>397</v>
      </c>
    </row>
    <row r="2239" spans="1:1" x14ac:dyDescent="0.3">
      <c r="A2239">
        <f>INDEX(Sheet1!B2239:B5037,MATCH(MAX(Sheet1!N2239:N5037),Sheet1!N2239:N5037,0))</f>
        <v>398</v>
      </c>
    </row>
    <row r="2240" spans="1:1" x14ac:dyDescent="0.3">
      <c r="A2240">
        <f>INDEX(Sheet1!B2240:B5038,MATCH(MAX(Sheet1!N2240:N5038),Sheet1!N2240:N5038,0))</f>
        <v>398</v>
      </c>
    </row>
    <row r="2241" spans="1:1" x14ac:dyDescent="0.3">
      <c r="A2241">
        <f>INDEX(Sheet1!B2241:B5039,MATCH(MAX(Sheet1!N2241:N5039),Sheet1!N2241:N5039,0))</f>
        <v>398</v>
      </c>
    </row>
    <row r="2242" spans="1:1" x14ac:dyDescent="0.3">
      <c r="A2242">
        <f>INDEX(Sheet1!B2242:B5040,MATCH(MAX(Sheet1!N2242:N5040),Sheet1!N2242:N5040,0))</f>
        <v>398</v>
      </c>
    </row>
    <row r="2243" spans="1:1" x14ac:dyDescent="0.3">
      <c r="A2243">
        <f>INDEX(Sheet1!B2243:B5041,MATCH(MAX(Sheet1!N2243:N5041),Sheet1!N2243:N5041,0))</f>
        <v>398</v>
      </c>
    </row>
    <row r="2244" spans="1:1" x14ac:dyDescent="0.3">
      <c r="A2244">
        <f>INDEX(Sheet1!B2244:B5042,MATCH(MAX(Sheet1!N2244:N5042),Sheet1!N2244:N5042,0))</f>
        <v>398</v>
      </c>
    </row>
    <row r="2245" spans="1:1" x14ac:dyDescent="0.3">
      <c r="A2245">
        <f>INDEX(Sheet1!B2245:B5043,MATCH(MAX(Sheet1!N2245:N5043),Sheet1!N2245:N5043,0))</f>
        <v>398</v>
      </c>
    </row>
    <row r="2246" spans="1:1" x14ac:dyDescent="0.3">
      <c r="A2246">
        <f>INDEX(Sheet1!B2246:B5044,MATCH(MAX(Sheet1!N2246:N5044),Sheet1!N2246:N5044,0))</f>
        <v>399</v>
      </c>
    </row>
    <row r="2247" spans="1:1" x14ac:dyDescent="0.3">
      <c r="A2247">
        <f>INDEX(Sheet1!B2247:B5045,MATCH(MAX(Sheet1!N2247:N5045),Sheet1!N2247:N5045,0))</f>
        <v>399</v>
      </c>
    </row>
    <row r="2248" spans="1:1" x14ac:dyDescent="0.3">
      <c r="A2248">
        <f>INDEX(Sheet1!B2248:B5046,MATCH(MAX(Sheet1!N2248:N5046),Sheet1!N2248:N5046,0))</f>
        <v>399</v>
      </c>
    </row>
    <row r="2249" spans="1:1" x14ac:dyDescent="0.3">
      <c r="A2249">
        <f>INDEX(Sheet1!B2249:B5047,MATCH(MAX(Sheet1!N2249:N5047),Sheet1!N2249:N5047,0))</f>
        <v>399</v>
      </c>
    </row>
    <row r="2250" spans="1:1" x14ac:dyDescent="0.3">
      <c r="A2250">
        <f>INDEX(Sheet1!B2250:B5048,MATCH(MAX(Sheet1!N2250:N5048),Sheet1!N2250:N5048,0))</f>
        <v>401</v>
      </c>
    </row>
    <row r="2251" spans="1:1" x14ac:dyDescent="0.3">
      <c r="A2251">
        <f>INDEX(Sheet1!B2251:B5049,MATCH(MAX(Sheet1!N2251:N5049),Sheet1!N2251:N5049,0))</f>
        <v>401</v>
      </c>
    </row>
    <row r="2252" spans="1:1" x14ac:dyDescent="0.3">
      <c r="A2252">
        <f>INDEX(Sheet1!B2252:B5050,MATCH(MAX(Sheet1!N2252:N5050),Sheet1!N2252:N5050,0))</f>
        <v>401</v>
      </c>
    </row>
    <row r="2253" spans="1:1" x14ac:dyDescent="0.3">
      <c r="A2253">
        <f>INDEX(Sheet1!B2253:B5051,MATCH(MAX(Sheet1!N2253:N5051),Sheet1!N2253:N5051,0))</f>
        <v>401</v>
      </c>
    </row>
    <row r="2254" spans="1:1" x14ac:dyDescent="0.3">
      <c r="A2254">
        <f>INDEX(Sheet1!B2254:B5052,MATCH(MAX(Sheet1!N2254:N5052),Sheet1!N2254:N5052,0))</f>
        <v>401</v>
      </c>
    </row>
    <row r="2255" spans="1:1" x14ac:dyDescent="0.3">
      <c r="A2255">
        <f>INDEX(Sheet1!B2255:B5053,MATCH(MAX(Sheet1!N2255:N5053),Sheet1!N2255:N5053,0))</f>
        <v>401</v>
      </c>
    </row>
    <row r="2256" spans="1:1" x14ac:dyDescent="0.3">
      <c r="A2256">
        <f>INDEX(Sheet1!B2256:B5054,MATCH(MAX(Sheet1!N2256:N5054),Sheet1!N2256:N5054,0))</f>
        <v>401</v>
      </c>
    </row>
    <row r="2257" spans="1:1" x14ac:dyDescent="0.3">
      <c r="A2257">
        <f>INDEX(Sheet1!B2257:B5055,MATCH(MAX(Sheet1!N2257:N5055),Sheet1!N2257:N5055,0))</f>
        <v>403</v>
      </c>
    </row>
    <row r="2258" spans="1:1" x14ac:dyDescent="0.3">
      <c r="A2258">
        <f>INDEX(Sheet1!B2258:B5056,MATCH(MAX(Sheet1!N2258:N5056),Sheet1!N2258:N5056,0))</f>
        <v>403</v>
      </c>
    </row>
    <row r="2259" spans="1:1" x14ac:dyDescent="0.3">
      <c r="A2259">
        <f>INDEX(Sheet1!B2259:B5057,MATCH(MAX(Sheet1!N2259:N5057),Sheet1!N2259:N5057,0))</f>
        <v>403</v>
      </c>
    </row>
    <row r="2260" spans="1:1" x14ac:dyDescent="0.3">
      <c r="A2260">
        <f>INDEX(Sheet1!B2260:B5058,MATCH(MAX(Sheet1!N2260:N5058),Sheet1!N2260:N5058,0))</f>
        <v>403</v>
      </c>
    </row>
    <row r="2261" spans="1:1" x14ac:dyDescent="0.3">
      <c r="A2261">
        <f>INDEX(Sheet1!B2261:B5059,MATCH(MAX(Sheet1!N2261:N5059),Sheet1!N2261:N5059,0))</f>
        <v>403</v>
      </c>
    </row>
    <row r="2262" spans="1:1" x14ac:dyDescent="0.3">
      <c r="A2262">
        <f>INDEX(Sheet1!B2262:B5060,MATCH(MAX(Sheet1!N2262:N5060),Sheet1!N2262:N5060,0))</f>
        <v>403</v>
      </c>
    </row>
    <row r="2263" spans="1:1" x14ac:dyDescent="0.3">
      <c r="A2263">
        <f>INDEX(Sheet1!B2263:B5061,MATCH(MAX(Sheet1!N2263:N5061),Sheet1!N2263:N5061,0))</f>
        <v>404</v>
      </c>
    </row>
    <row r="2264" spans="1:1" x14ac:dyDescent="0.3">
      <c r="A2264">
        <f>INDEX(Sheet1!B2264:B5062,MATCH(MAX(Sheet1!N2264:N5062),Sheet1!N2264:N5062,0))</f>
        <v>404</v>
      </c>
    </row>
    <row r="2265" spans="1:1" x14ac:dyDescent="0.3">
      <c r="A2265">
        <f>INDEX(Sheet1!B2265:B5063,MATCH(MAX(Sheet1!N2265:N5063),Sheet1!N2265:N5063,0))</f>
        <v>404</v>
      </c>
    </row>
    <row r="2266" spans="1:1" x14ac:dyDescent="0.3">
      <c r="A2266">
        <f>INDEX(Sheet1!B2266:B5064,MATCH(MAX(Sheet1!N2266:N5064),Sheet1!N2266:N5064,0))</f>
        <v>404</v>
      </c>
    </row>
    <row r="2267" spans="1:1" x14ac:dyDescent="0.3">
      <c r="A2267">
        <f>INDEX(Sheet1!B2267:B5065,MATCH(MAX(Sheet1!N2267:N5065),Sheet1!N2267:N5065,0))</f>
        <v>404</v>
      </c>
    </row>
    <row r="2268" spans="1:1" x14ac:dyDescent="0.3">
      <c r="A2268">
        <f>INDEX(Sheet1!B2268:B5066,MATCH(MAX(Sheet1!N2268:N5066),Sheet1!N2268:N5066,0))</f>
        <v>405</v>
      </c>
    </row>
    <row r="2269" spans="1:1" x14ac:dyDescent="0.3">
      <c r="A2269">
        <f>INDEX(Sheet1!B2269:B5067,MATCH(MAX(Sheet1!N2269:N5067),Sheet1!N2269:N5067,0))</f>
        <v>405</v>
      </c>
    </row>
    <row r="2270" spans="1:1" x14ac:dyDescent="0.3">
      <c r="A2270">
        <f>INDEX(Sheet1!B2270:B5068,MATCH(MAX(Sheet1!N2270:N5068),Sheet1!N2270:N5068,0))</f>
        <v>405</v>
      </c>
    </row>
    <row r="2271" spans="1:1" x14ac:dyDescent="0.3">
      <c r="A2271">
        <f>INDEX(Sheet1!B2271:B5069,MATCH(MAX(Sheet1!N2271:N5069),Sheet1!N2271:N5069,0))</f>
        <v>405</v>
      </c>
    </row>
    <row r="2272" spans="1:1" x14ac:dyDescent="0.3">
      <c r="A2272">
        <f>INDEX(Sheet1!B2272:B5070,MATCH(MAX(Sheet1!N2272:N5070),Sheet1!N2272:N5070,0))</f>
        <v>405</v>
      </c>
    </row>
    <row r="2273" spans="1:1" x14ac:dyDescent="0.3">
      <c r="A2273">
        <f>INDEX(Sheet1!B2273:B5071,MATCH(MAX(Sheet1!N2273:N5071),Sheet1!N2273:N5071,0))</f>
        <v>405</v>
      </c>
    </row>
    <row r="2274" spans="1:1" x14ac:dyDescent="0.3">
      <c r="A2274">
        <f>INDEX(Sheet1!B2274:B5072,MATCH(MAX(Sheet1!N2274:N5072),Sheet1!N2274:N5072,0))</f>
        <v>406</v>
      </c>
    </row>
    <row r="2275" spans="1:1" x14ac:dyDescent="0.3">
      <c r="A2275">
        <f>INDEX(Sheet1!B2275:B5073,MATCH(MAX(Sheet1!N2275:N5073),Sheet1!N2275:N5073,0))</f>
        <v>406</v>
      </c>
    </row>
    <row r="2276" spans="1:1" x14ac:dyDescent="0.3">
      <c r="A2276">
        <f>INDEX(Sheet1!B2276:B5074,MATCH(MAX(Sheet1!N2276:N5074),Sheet1!N2276:N5074,0))</f>
        <v>406</v>
      </c>
    </row>
    <row r="2277" spans="1:1" x14ac:dyDescent="0.3">
      <c r="A2277">
        <f>INDEX(Sheet1!B2277:B5075,MATCH(MAX(Sheet1!N2277:N5075),Sheet1!N2277:N5075,0))</f>
        <v>407</v>
      </c>
    </row>
    <row r="2278" spans="1:1" x14ac:dyDescent="0.3">
      <c r="A2278">
        <f>INDEX(Sheet1!B2278:B5076,MATCH(MAX(Sheet1!N2278:N5076),Sheet1!N2278:N5076,0))</f>
        <v>407</v>
      </c>
    </row>
    <row r="2279" spans="1:1" x14ac:dyDescent="0.3">
      <c r="A2279">
        <f>INDEX(Sheet1!B2279:B5077,MATCH(MAX(Sheet1!N2279:N5077),Sheet1!N2279:N5077,0))</f>
        <v>407</v>
      </c>
    </row>
    <row r="2280" spans="1:1" x14ac:dyDescent="0.3">
      <c r="A2280">
        <f>INDEX(Sheet1!B2280:B5078,MATCH(MAX(Sheet1!N2280:N5078),Sheet1!N2280:N5078,0))</f>
        <v>407</v>
      </c>
    </row>
    <row r="2281" spans="1:1" x14ac:dyDescent="0.3">
      <c r="A2281">
        <f>INDEX(Sheet1!B2281:B5079,MATCH(MAX(Sheet1!N2281:N5079),Sheet1!N2281:N5079,0))</f>
        <v>407</v>
      </c>
    </row>
    <row r="2282" spans="1:1" x14ac:dyDescent="0.3">
      <c r="A2282">
        <f>INDEX(Sheet1!B2282:B5080,MATCH(MAX(Sheet1!N2282:N5080),Sheet1!N2282:N5080,0))</f>
        <v>407</v>
      </c>
    </row>
    <row r="2283" spans="1:1" x14ac:dyDescent="0.3">
      <c r="A2283">
        <f>INDEX(Sheet1!B2283:B5081,MATCH(MAX(Sheet1!N2283:N5081),Sheet1!N2283:N5081,0))</f>
        <v>407</v>
      </c>
    </row>
    <row r="2284" spans="1:1" x14ac:dyDescent="0.3">
      <c r="A2284">
        <f>INDEX(Sheet1!B2284:B5082,MATCH(MAX(Sheet1!N2284:N5082),Sheet1!N2284:N5082,0))</f>
        <v>408</v>
      </c>
    </row>
    <row r="2285" spans="1:1" x14ac:dyDescent="0.3">
      <c r="A2285">
        <f>INDEX(Sheet1!B2285:B5083,MATCH(MAX(Sheet1!N2285:N5083),Sheet1!N2285:N5083,0))</f>
        <v>408</v>
      </c>
    </row>
    <row r="2286" spans="1:1" x14ac:dyDescent="0.3">
      <c r="A2286">
        <f>INDEX(Sheet1!B2286:B5084,MATCH(MAX(Sheet1!N2286:N5084),Sheet1!N2286:N5084,0))</f>
        <v>408</v>
      </c>
    </row>
    <row r="2287" spans="1:1" x14ac:dyDescent="0.3">
      <c r="A2287">
        <f>INDEX(Sheet1!B2287:B5085,MATCH(MAX(Sheet1!N2287:N5085),Sheet1!N2287:N5085,0))</f>
        <v>409</v>
      </c>
    </row>
    <row r="2288" spans="1:1" x14ac:dyDescent="0.3">
      <c r="A2288">
        <f>INDEX(Sheet1!B2288:B5086,MATCH(MAX(Sheet1!N2288:N5086),Sheet1!N2288:N5086,0))</f>
        <v>409</v>
      </c>
    </row>
    <row r="2289" spans="1:1" x14ac:dyDescent="0.3">
      <c r="A2289">
        <f>INDEX(Sheet1!B2289:B5087,MATCH(MAX(Sheet1!N2289:N5087),Sheet1!N2289:N5087,0))</f>
        <v>409</v>
      </c>
    </row>
    <row r="2290" spans="1:1" x14ac:dyDescent="0.3">
      <c r="A2290">
        <f>INDEX(Sheet1!B2290:B5088,MATCH(MAX(Sheet1!N2290:N5088),Sheet1!N2290:N5088,0))</f>
        <v>409</v>
      </c>
    </row>
    <row r="2291" spans="1:1" x14ac:dyDescent="0.3">
      <c r="A2291">
        <f>INDEX(Sheet1!B2291:B5089,MATCH(MAX(Sheet1!N2291:N5089),Sheet1!N2291:N5089,0))</f>
        <v>410</v>
      </c>
    </row>
    <row r="2292" spans="1:1" x14ac:dyDescent="0.3">
      <c r="A2292">
        <f>INDEX(Sheet1!B2292:B5090,MATCH(MAX(Sheet1!N2292:N5090),Sheet1!N2292:N5090,0))</f>
        <v>410</v>
      </c>
    </row>
    <row r="2293" spans="1:1" x14ac:dyDescent="0.3">
      <c r="A2293">
        <f>INDEX(Sheet1!B2293:B5091,MATCH(MAX(Sheet1!N2293:N5091),Sheet1!N2293:N5091,0))</f>
        <v>410</v>
      </c>
    </row>
    <row r="2294" spans="1:1" x14ac:dyDescent="0.3">
      <c r="A2294">
        <f>INDEX(Sheet1!B2294:B5092,MATCH(MAX(Sheet1!N2294:N5092),Sheet1!N2294:N5092,0))</f>
        <v>410</v>
      </c>
    </row>
    <row r="2295" spans="1:1" x14ac:dyDescent="0.3">
      <c r="A2295">
        <f>INDEX(Sheet1!B2295:B5093,MATCH(MAX(Sheet1!N2295:N5093),Sheet1!N2295:N5093,0))</f>
        <v>410</v>
      </c>
    </row>
    <row r="2296" spans="1:1" x14ac:dyDescent="0.3">
      <c r="A2296">
        <f>INDEX(Sheet1!B2296:B5094,MATCH(MAX(Sheet1!N2296:N5094),Sheet1!N2296:N5094,0))</f>
        <v>410</v>
      </c>
    </row>
    <row r="2297" spans="1:1" x14ac:dyDescent="0.3">
      <c r="A2297">
        <f>INDEX(Sheet1!B2297:B5095,MATCH(MAX(Sheet1!N2297:N5095),Sheet1!N2297:N5095,0))</f>
        <v>410</v>
      </c>
    </row>
    <row r="2298" spans="1:1" x14ac:dyDescent="0.3">
      <c r="A2298">
        <f>INDEX(Sheet1!B2298:B5096,MATCH(MAX(Sheet1!N2298:N5096),Sheet1!N2298:N5096,0))</f>
        <v>410</v>
      </c>
    </row>
    <row r="2299" spans="1:1" x14ac:dyDescent="0.3">
      <c r="A2299">
        <f>INDEX(Sheet1!B2299:B5097,MATCH(MAX(Sheet1!N2299:N5097),Sheet1!N2299:N5097,0))</f>
        <v>410</v>
      </c>
    </row>
    <row r="2300" spans="1:1" x14ac:dyDescent="0.3">
      <c r="A2300">
        <f>INDEX(Sheet1!B2300:B5098,MATCH(MAX(Sheet1!N2300:N5098),Sheet1!N2300:N5098,0))</f>
        <v>410</v>
      </c>
    </row>
    <row r="2301" spans="1:1" x14ac:dyDescent="0.3">
      <c r="A2301">
        <f>INDEX(Sheet1!B2301:B5099,MATCH(MAX(Sheet1!N2301:N5099),Sheet1!N2301:N5099,0))</f>
        <v>411</v>
      </c>
    </row>
    <row r="2302" spans="1:1" x14ac:dyDescent="0.3">
      <c r="A2302">
        <f>INDEX(Sheet1!B2302:B5100,MATCH(MAX(Sheet1!N2302:N5100),Sheet1!N2302:N5100,0))</f>
        <v>411</v>
      </c>
    </row>
    <row r="2303" spans="1:1" x14ac:dyDescent="0.3">
      <c r="A2303">
        <f>INDEX(Sheet1!B2303:B5101,MATCH(MAX(Sheet1!N2303:N5101),Sheet1!N2303:N5101,0))</f>
        <v>411</v>
      </c>
    </row>
    <row r="2304" spans="1:1" x14ac:dyDescent="0.3">
      <c r="A2304">
        <f>INDEX(Sheet1!B2304:B5102,MATCH(MAX(Sheet1!N2304:N5102),Sheet1!N2304:N5102,0))</f>
        <v>411</v>
      </c>
    </row>
    <row r="2305" spans="1:1" x14ac:dyDescent="0.3">
      <c r="A2305">
        <f>INDEX(Sheet1!B2305:B5103,MATCH(MAX(Sheet1!N2305:N5103),Sheet1!N2305:N5103,0))</f>
        <v>411</v>
      </c>
    </row>
    <row r="2306" spans="1:1" x14ac:dyDescent="0.3">
      <c r="A2306">
        <f>INDEX(Sheet1!B2306:B5104,MATCH(MAX(Sheet1!N2306:N5104),Sheet1!N2306:N5104,0))</f>
        <v>413</v>
      </c>
    </row>
    <row r="2307" spans="1:1" x14ac:dyDescent="0.3">
      <c r="A2307">
        <f>INDEX(Sheet1!B2307:B5105,MATCH(MAX(Sheet1!N2307:N5105),Sheet1!N2307:N5105,0))</f>
        <v>413</v>
      </c>
    </row>
    <row r="2308" spans="1:1" x14ac:dyDescent="0.3">
      <c r="A2308">
        <f>INDEX(Sheet1!B2308:B5106,MATCH(MAX(Sheet1!N2308:N5106),Sheet1!N2308:N5106,0))</f>
        <v>413</v>
      </c>
    </row>
    <row r="2309" spans="1:1" x14ac:dyDescent="0.3">
      <c r="A2309">
        <f>INDEX(Sheet1!B2309:B5107,MATCH(MAX(Sheet1!N2309:N5107),Sheet1!N2309:N5107,0))</f>
        <v>413</v>
      </c>
    </row>
    <row r="2310" spans="1:1" x14ac:dyDescent="0.3">
      <c r="A2310">
        <f>INDEX(Sheet1!B2310:B5108,MATCH(MAX(Sheet1!N2310:N5108),Sheet1!N2310:N5108,0))</f>
        <v>413</v>
      </c>
    </row>
    <row r="2311" spans="1:1" x14ac:dyDescent="0.3">
      <c r="A2311">
        <f>INDEX(Sheet1!B2311:B5109,MATCH(MAX(Sheet1!N2311:N5109),Sheet1!N2311:N5109,0))</f>
        <v>413</v>
      </c>
    </row>
    <row r="2312" spans="1:1" x14ac:dyDescent="0.3">
      <c r="A2312">
        <f>INDEX(Sheet1!B2312:B5110,MATCH(MAX(Sheet1!N2312:N5110),Sheet1!N2312:N5110,0))</f>
        <v>413</v>
      </c>
    </row>
    <row r="2313" spans="1:1" x14ac:dyDescent="0.3">
      <c r="A2313">
        <f>INDEX(Sheet1!B2313:B5111,MATCH(MAX(Sheet1!N2313:N5111),Sheet1!N2313:N5111,0))</f>
        <v>415</v>
      </c>
    </row>
    <row r="2314" spans="1:1" x14ac:dyDescent="0.3">
      <c r="A2314">
        <f>INDEX(Sheet1!B2314:B5112,MATCH(MAX(Sheet1!N2314:N5112),Sheet1!N2314:N5112,0))</f>
        <v>415</v>
      </c>
    </row>
    <row r="2315" spans="1:1" x14ac:dyDescent="0.3">
      <c r="A2315">
        <f>INDEX(Sheet1!B2315:B5113,MATCH(MAX(Sheet1!N2315:N5113),Sheet1!N2315:N5113,0))</f>
        <v>415</v>
      </c>
    </row>
    <row r="2316" spans="1:1" x14ac:dyDescent="0.3">
      <c r="A2316">
        <f>INDEX(Sheet1!B2316:B5114,MATCH(MAX(Sheet1!N2316:N5114),Sheet1!N2316:N5114,0))</f>
        <v>415</v>
      </c>
    </row>
    <row r="2317" spans="1:1" x14ac:dyDescent="0.3">
      <c r="A2317">
        <f>INDEX(Sheet1!B2317:B5115,MATCH(MAX(Sheet1!N2317:N5115),Sheet1!N2317:N5115,0))</f>
        <v>415</v>
      </c>
    </row>
    <row r="2318" spans="1:1" x14ac:dyDescent="0.3">
      <c r="A2318">
        <f>INDEX(Sheet1!B2318:B5116,MATCH(MAX(Sheet1!N2318:N5116),Sheet1!N2318:N5116,0))</f>
        <v>415</v>
      </c>
    </row>
    <row r="2319" spans="1:1" x14ac:dyDescent="0.3">
      <c r="A2319">
        <f>INDEX(Sheet1!B2319:B5117,MATCH(MAX(Sheet1!N2319:N5117),Sheet1!N2319:N5117,0))</f>
        <v>415</v>
      </c>
    </row>
    <row r="2320" spans="1:1" x14ac:dyDescent="0.3">
      <c r="A2320">
        <f>INDEX(Sheet1!B2320:B5118,MATCH(MAX(Sheet1!N2320:N5118),Sheet1!N2320:N5118,0))</f>
        <v>415</v>
      </c>
    </row>
    <row r="2321" spans="1:1" x14ac:dyDescent="0.3">
      <c r="A2321">
        <f>INDEX(Sheet1!B2321:B5119,MATCH(MAX(Sheet1!N2321:N5119),Sheet1!N2321:N5119,0))</f>
        <v>415</v>
      </c>
    </row>
    <row r="2322" spans="1:1" x14ac:dyDescent="0.3">
      <c r="A2322">
        <f>INDEX(Sheet1!B2322:B5120,MATCH(MAX(Sheet1!N2322:N5120),Sheet1!N2322:N5120,0))</f>
        <v>415</v>
      </c>
    </row>
    <row r="2323" spans="1:1" x14ac:dyDescent="0.3">
      <c r="A2323">
        <f>INDEX(Sheet1!B2323:B5121,MATCH(MAX(Sheet1!N2323:N5121),Sheet1!N2323:N5121,0))</f>
        <v>415</v>
      </c>
    </row>
    <row r="2324" spans="1:1" x14ac:dyDescent="0.3">
      <c r="A2324">
        <f>INDEX(Sheet1!B2324:B5122,MATCH(MAX(Sheet1!N2324:N5122),Sheet1!N2324:N5122,0))</f>
        <v>415</v>
      </c>
    </row>
    <row r="2325" spans="1:1" x14ac:dyDescent="0.3">
      <c r="A2325">
        <f>INDEX(Sheet1!B2325:B5123,MATCH(MAX(Sheet1!N2325:N5123),Sheet1!N2325:N5123,0))</f>
        <v>415</v>
      </c>
    </row>
    <row r="2326" spans="1:1" x14ac:dyDescent="0.3">
      <c r="A2326">
        <f>INDEX(Sheet1!B2326:B5124,MATCH(MAX(Sheet1!N2326:N5124),Sheet1!N2326:N5124,0))</f>
        <v>415</v>
      </c>
    </row>
    <row r="2327" spans="1:1" x14ac:dyDescent="0.3">
      <c r="A2327">
        <f>INDEX(Sheet1!B2327:B5125,MATCH(MAX(Sheet1!N2327:N5125),Sheet1!N2327:N5125,0))</f>
        <v>415</v>
      </c>
    </row>
    <row r="2328" spans="1:1" x14ac:dyDescent="0.3">
      <c r="A2328">
        <f>INDEX(Sheet1!B2328:B5126,MATCH(MAX(Sheet1!N2328:N5126),Sheet1!N2328:N5126,0))</f>
        <v>415</v>
      </c>
    </row>
    <row r="2329" spans="1:1" x14ac:dyDescent="0.3">
      <c r="A2329">
        <f>INDEX(Sheet1!B2329:B5127,MATCH(MAX(Sheet1!N2329:N5127),Sheet1!N2329:N5127,0))</f>
        <v>415</v>
      </c>
    </row>
    <row r="2330" spans="1:1" x14ac:dyDescent="0.3">
      <c r="A2330">
        <f>INDEX(Sheet1!B2330:B5128,MATCH(MAX(Sheet1!N2330:N5128),Sheet1!N2330:N5128,0))</f>
        <v>416</v>
      </c>
    </row>
    <row r="2331" spans="1:1" x14ac:dyDescent="0.3">
      <c r="A2331">
        <f>INDEX(Sheet1!B2331:B5129,MATCH(MAX(Sheet1!N2331:N5129),Sheet1!N2331:N5129,0))</f>
        <v>416</v>
      </c>
    </row>
    <row r="2332" spans="1:1" x14ac:dyDescent="0.3">
      <c r="A2332">
        <f>INDEX(Sheet1!B2332:B5130,MATCH(MAX(Sheet1!N2332:N5130),Sheet1!N2332:N5130,0))</f>
        <v>416</v>
      </c>
    </row>
    <row r="2333" spans="1:1" x14ac:dyDescent="0.3">
      <c r="A2333">
        <f>INDEX(Sheet1!B2333:B5131,MATCH(MAX(Sheet1!N2333:N5131),Sheet1!N2333:N5131,0))</f>
        <v>416</v>
      </c>
    </row>
    <row r="2334" spans="1:1" x14ac:dyDescent="0.3">
      <c r="A2334">
        <f>INDEX(Sheet1!B2334:B5132,MATCH(MAX(Sheet1!N2334:N5132),Sheet1!N2334:N5132,0))</f>
        <v>416</v>
      </c>
    </row>
    <row r="2335" spans="1:1" x14ac:dyDescent="0.3">
      <c r="A2335">
        <f>INDEX(Sheet1!B2335:B5133,MATCH(MAX(Sheet1!N2335:N5133),Sheet1!N2335:N5133,0))</f>
        <v>416</v>
      </c>
    </row>
    <row r="2336" spans="1:1" x14ac:dyDescent="0.3">
      <c r="A2336">
        <f>INDEX(Sheet1!B2336:B5134,MATCH(MAX(Sheet1!N2336:N5134),Sheet1!N2336:N5134,0))</f>
        <v>416</v>
      </c>
    </row>
    <row r="2337" spans="1:1" x14ac:dyDescent="0.3">
      <c r="A2337">
        <f>INDEX(Sheet1!B2337:B5135,MATCH(MAX(Sheet1!N2337:N5135),Sheet1!N2337:N5135,0))</f>
        <v>417</v>
      </c>
    </row>
    <row r="2338" spans="1:1" x14ac:dyDescent="0.3">
      <c r="A2338">
        <f>INDEX(Sheet1!B2338:B5136,MATCH(MAX(Sheet1!N2338:N5136),Sheet1!N2338:N5136,0))</f>
        <v>417</v>
      </c>
    </row>
    <row r="2339" spans="1:1" x14ac:dyDescent="0.3">
      <c r="A2339">
        <f>INDEX(Sheet1!B2339:B5137,MATCH(MAX(Sheet1!N2339:N5137),Sheet1!N2339:N5137,0))</f>
        <v>417</v>
      </c>
    </row>
    <row r="2340" spans="1:1" x14ac:dyDescent="0.3">
      <c r="A2340">
        <f>INDEX(Sheet1!B2340:B5138,MATCH(MAX(Sheet1!N2340:N5138),Sheet1!N2340:N5138,0))</f>
        <v>418</v>
      </c>
    </row>
    <row r="2341" spans="1:1" x14ac:dyDescent="0.3">
      <c r="A2341">
        <f>INDEX(Sheet1!B2341:B5139,MATCH(MAX(Sheet1!N2341:N5139),Sheet1!N2341:N5139,0))</f>
        <v>418</v>
      </c>
    </row>
    <row r="2342" spans="1:1" x14ac:dyDescent="0.3">
      <c r="A2342">
        <f>INDEX(Sheet1!B2342:B5140,MATCH(MAX(Sheet1!N2342:N5140),Sheet1!N2342:N5140,0))</f>
        <v>418</v>
      </c>
    </row>
    <row r="2343" spans="1:1" x14ac:dyDescent="0.3">
      <c r="A2343">
        <f>INDEX(Sheet1!B2343:B5141,MATCH(MAX(Sheet1!N2343:N5141),Sheet1!N2343:N5141,0))</f>
        <v>418</v>
      </c>
    </row>
    <row r="2344" spans="1:1" x14ac:dyDescent="0.3">
      <c r="A2344">
        <f>INDEX(Sheet1!B2344:B5142,MATCH(MAX(Sheet1!N2344:N5142),Sheet1!N2344:N5142,0))</f>
        <v>418</v>
      </c>
    </row>
    <row r="2345" spans="1:1" x14ac:dyDescent="0.3">
      <c r="A2345">
        <f>INDEX(Sheet1!B2345:B5143,MATCH(MAX(Sheet1!N2345:N5143),Sheet1!N2345:N5143,0))</f>
        <v>418</v>
      </c>
    </row>
    <row r="2346" spans="1:1" x14ac:dyDescent="0.3">
      <c r="A2346">
        <f>INDEX(Sheet1!B2346:B5144,MATCH(MAX(Sheet1!N2346:N5144),Sheet1!N2346:N5144,0))</f>
        <v>418</v>
      </c>
    </row>
    <row r="2347" spans="1:1" x14ac:dyDescent="0.3">
      <c r="A2347">
        <f>INDEX(Sheet1!B2347:B5145,MATCH(MAX(Sheet1!N2347:N5145),Sheet1!N2347:N5145,0))</f>
        <v>418</v>
      </c>
    </row>
    <row r="2348" spans="1:1" x14ac:dyDescent="0.3">
      <c r="A2348">
        <f>INDEX(Sheet1!B2348:B5146,MATCH(MAX(Sheet1!N2348:N5146),Sheet1!N2348:N5146,0))</f>
        <v>418</v>
      </c>
    </row>
    <row r="2349" spans="1:1" x14ac:dyDescent="0.3">
      <c r="A2349">
        <f>INDEX(Sheet1!B2349:B5147,MATCH(MAX(Sheet1!N2349:N5147),Sheet1!N2349:N5147,0))</f>
        <v>419</v>
      </c>
    </row>
    <row r="2350" spans="1:1" x14ac:dyDescent="0.3">
      <c r="A2350">
        <f>INDEX(Sheet1!B2350:B5148,MATCH(MAX(Sheet1!N2350:N5148),Sheet1!N2350:N5148,0))</f>
        <v>419</v>
      </c>
    </row>
    <row r="2351" spans="1:1" x14ac:dyDescent="0.3">
      <c r="A2351">
        <f>INDEX(Sheet1!B2351:B5149,MATCH(MAX(Sheet1!N2351:N5149),Sheet1!N2351:N5149,0))</f>
        <v>419</v>
      </c>
    </row>
    <row r="2352" spans="1:1" x14ac:dyDescent="0.3">
      <c r="A2352">
        <f>INDEX(Sheet1!B2352:B5150,MATCH(MAX(Sheet1!N2352:N5150),Sheet1!N2352:N5150,0))</f>
        <v>419</v>
      </c>
    </row>
    <row r="2353" spans="1:1" x14ac:dyDescent="0.3">
      <c r="A2353">
        <f>INDEX(Sheet1!B2353:B5151,MATCH(MAX(Sheet1!N2353:N5151),Sheet1!N2353:N5151,0))</f>
        <v>420</v>
      </c>
    </row>
    <row r="2354" spans="1:1" x14ac:dyDescent="0.3">
      <c r="A2354">
        <f>INDEX(Sheet1!B2354:B5152,MATCH(MAX(Sheet1!N2354:N5152),Sheet1!N2354:N5152,0))</f>
        <v>420</v>
      </c>
    </row>
    <row r="2355" spans="1:1" x14ac:dyDescent="0.3">
      <c r="A2355">
        <f>INDEX(Sheet1!B2355:B5153,MATCH(MAX(Sheet1!N2355:N5153),Sheet1!N2355:N5153,0))</f>
        <v>420</v>
      </c>
    </row>
    <row r="2356" spans="1:1" x14ac:dyDescent="0.3">
      <c r="A2356">
        <f>INDEX(Sheet1!B2356:B5154,MATCH(MAX(Sheet1!N2356:N5154),Sheet1!N2356:N5154,0))</f>
        <v>420</v>
      </c>
    </row>
    <row r="2357" spans="1:1" x14ac:dyDescent="0.3">
      <c r="A2357">
        <f>INDEX(Sheet1!B2357:B5155,MATCH(MAX(Sheet1!N2357:N5155),Sheet1!N2357:N5155,0))</f>
        <v>421</v>
      </c>
    </row>
    <row r="2358" spans="1:1" x14ac:dyDescent="0.3">
      <c r="A2358">
        <f>INDEX(Sheet1!B2358:B5156,MATCH(MAX(Sheet1!N2358:N5156),Sheet1!N2358:N5156,0))</f>
        <v>421</v>
      </c>
    </row>
    <row r="2359" spans="1:1" x14ac:dyDescent="0.3">
      <c r="A2359">
        <f>INDEX(Sheet1!B2359:B5157,MATCH(MAX(Sheet1!N2359:N5157),Sheet1!N2359:N5157,0))</f>
        <v>421</v>
      </c>
    </row>
    <row r="2360" spans="1:1" x14ac:dyDescent="0.3">
      <c r="A2360">
        <f>INDEX(Sheet1!B2360:B5158,MATCH(MAX(Sheet1!N2360:N5158),Sheet1!N2360:N5158,0))</f>
        <v>421</v>
      </c>
    </row>
    <row r="2361" spans="1:1" x14ac:dyDescent="0.3">
      <c r="A2361">
        <f>INDEX(Sheet1!B2361:B5159,MATCH(MAX(Sheet1!N2361:N5159),Sheet1!N2361:N5159,0))</f>
        <v>421</v>
      </c>
    </row>
    <row r="2362" spans="1:1" x14ac:dyDescent="0.3">
      <c r="A2362">
        <f>INDEX(Sheet1!B2362:B5160,MATCH(MAX(Sheet1!N2362:N5160),Sheet1!N2362:N5160,0))</f>
        <v>421</v>
      </c>
    </row>
    <row r="2363" spans="1:1" x14ac:dyDescent="0.3">
      <c r="A2363">
        <f>INDEX(Sheet1!B2363:B5161,MATCH(MAX(Sheet1!N2363:N5161),Sheet1!N2363:N5161,0))</f>
        <v>421</v>
      </c>
    </row>
    <row r="2364" spans="1:1" x14ac:dyDescent="0.3">
      <c r="A2364">
        <f>INDEX(Sheet1!B2364:B5162,MATCH(MAX(Sheet1!N2364:N5162),Sheet1!N2364:N5162,0))</f>
        <v>421</v>
      </c>
    </row>
    <row r="2365" spans="1:1" x14ac:dyDescent="0.3">
      <c r="A2365">
        <f>INDEX(Sheet1!B2365:B5163,MATCH(MAX(Sheet1!N2365:N5163),Sheet1!N2365:N5163,0))</f>
        <v>422</v>
      </c>
    </row>
    <row r="2366" spans="1:1" x14ac:dyDescent="0.3">
      <c r="A2366">
        <f>INDEX(Sheet1!B2366:B5164,MATCH(MAX(Sheet1!N2366:N5164),Sheet1!N2366:N5164,0))</f>
        <v>422</v>
      </c>
    </row>
    <row r="2367" spans="1:1" x14ac:dyDescent="0.3">
      <c r="A2367">
        <f>INDEX(Sheet1!B2367:B5165,MATCH(MAX(Sheet1!N2367:N5165),Sheet1!N2367:N5165,0))</f>
        <v>422</v>
      </c>
    </row>
    <row r="2368" spans="1:1" x14ac:dyDescent="0.3">
      <c r="A2368">
        <f>INDEX(Sheet1!B2368:B5166,MATCH(MAX(Sheet1!N2368:N5166),Sheet1!N2368:N5166,0))</f>
        <v>422</v>
      </c>
    </row>
    <row r="2369" spans="1:1" x14ac:dyDescent="0.3">
      <c r="A2369">
        <f>INDEX(Sheet1!B2369:B5167,MATCH(MAX(Sheet1!N2369:N5167),Sheet1!N2369:N5167,0))</f>
        <v>422</v>
      </c>
    </row>
    <row r="2370" spans="1:1" x14ac:dyDescent="0.3">
      <c r="A2370">
        <f>INDEX(Sheet1!B2370:B5168,MATCH(MAX(Sheet1!N2370:N5168),Sheet1!N2370:N5168,0))</f>
        <v>422</v>
      </c>
    </row>
    <row r="2371" spans="1:1" x14ac:dyDescent="0.3">
      <c r="A2371">
        <f>INDEX(Sheet1!B2371:B5169,MATCH(MAX(Sheet1!N2371:N5169),Sheet1!N2371:N5169,0))</f>
        <v>422</v>
      </c>
    </row>
    <row r="2372" spans="1:1" x14ac:dyDescent="0.3">
      <c r="A2372">
        <f>INDEX(Sheet1!B2372:B5170,MATCH(MAX(Sheet1!N2372:N5170),Sheet1!N2372:N5170,0))</f>
        <v>424</v>
      </c>
    </row>
    <row r="2373" spans="1:1" x14ac:dyDescent="0.3">
      <c r="A2373">
        <f>INDEX(Sheet1!B2373:B5171,MATCH(MAX(Sheet1!N2373:N5171),Sheet1!N2373:N5171,0))</f>
        <v>424</v>
      </c>
    </row>
    <row r="2374" spans="1:1" x14ac:dyDescent="0.3">
      <c r="A2374">
        <f>INDEX(Sheet1!B2374:B5172,MATCH(MAX(Sheet1!N2374:N5172),Sheet1!N2374:N5172,0))</f>
        <v>424</v>
      </c>
    </row>
    <row r="2375" spans="1:1" x14ac:dyDescent="0.3">
      <c r="A2375">
        <f>INDEX(Sheet1!B2375:B5173,MATCH(MAX(Sheet1!N2375:N5173),Sheet1!N2375:N5173,0))</f>
        <v>424</v>
      </c>
    </row>
    <row r="2376" spans="1:1" x14ac:dyDescent="0.3">
      <c r="A2376">
        <f>INDEX(Sheet1!B2376:B5174,MATCH(MAX(Sheet1!N2376:N5174),Sheet1!N2376:N5174,0))</f>
        <v>424</v>
      </c>
    </row>
    <row r="2377" spans="1:1" x14ac:dyDescent="0.3">
      <c r="A2377">
        <f>INDEX(Sheet1!B2377:B5175,MATCH(MAX(Sheet1!N2377:N5175),Sheet1!N2377:N5175,0))</f>
        <v>424</v>
      </c>
    </row>
    <row r="2378" spans="1:1" x14ac:dyDescent="0.3">
      <c r="A2378">
        <f>INDEX(Sheet1!B2378:B5176,MATCH(MAX(Sheet1!N2378:N5176),Sheet1!N2378:N5176,0))</f>
        <v>424</v>
      </c>
    </row>
    <row r="2379" spans="1:1" x14ac:dyDescent="0.3">
      <c r="A2379">
        <f>INDEX(Sheet1!B2379:B5177,MATCH(MAX(Sheet1!N2379:N5177),Sheet1!N2379:N5177,0))</f>
        <v>424</v>
      </c>
    </row>
    <row r="2380" spans="1:1" x14ac:dyDescent="0.3">
      <c r="A2380">
        <f>INDEX(Sheet1!B2380:B5178,MATCH(MAX(Sheet1!N2380:N5178),Sheet1!N2380:N5178,0))</f>
        <v>425</v>
      </c>
    </row>
    <row r="2381" spans="1:1" x14ac:dyDescent="0.3">
      <c r="A2381">
        <f>INDEX(Sheet1!B2381:B5179,MATCH(MAX(Sheet1!N2381:N5179),Sheet1!N2381:N5179,0))</f>
        <v>425</v>
      </c>
    </row>
    <row r="2382" spans="1:1" x14ac:dyDescent="0.3">
      <c r="A2382">
        <f>INDEX(Sheet1!B2382:B5180,MATCH(MAX(Sheet1!N2382:N5180),Sheet1!N2382:N5180,0))</f>
        <v>425</v>
      </c>
    </row>
    <row r="2383" spans="1:1" x14ac:dyDescent="0.3">
      <c r="A2383">
        <f>INDEX(Sheet1!B2383:B5181,MATCH(MAX(Sheet1!N2383:N5181),Sheet1!N2383:N5181,0))</f>
        <v>425</v>
      </c>
    </row>
    <row r="2384" spans="1:1" x14ac:dyDescent="0.3">
      <c r="A2384">
        <f>INDEX(Sheet1!B2384:B5182,MATCH(MAX(Sheet1!N2384:N5182),Sheet1!N2384:N5182,0))</f>
        <v>425</v>
      </c>
    </row>
    <row r="2385" spans="1:1" x14ac:dyDescent="0.3">
      <c r="A2385">
        <f>INDEX(Sheet1!B2385:B5183,MATCH(MAX(Sheet1!N2385:N5183),Sheet1!N2385:N5183,0))</f>
        <v>425</v>
      </c>
    </row>
    <row r="2386" spans="1:1" x14ac:dyDescent="0.3">
      <c r="A2386">
        <f>INDEX(Sheet1!B2386:B5184,MATCH(MAX(Sheet1!N2386:N5184),Sheet1!N2386:N5184,0))</f>
        <v>426</v>
      </c>
    </row>
    <row r="2387" spans="1:1" x14ac:dyDescent="0.3">
      <c r="A2387">
        <f>INDEX(Sheet1!B2387:B5185,MATCH(MAX(Sheet1!N2387:N5185),Sheet1!N2387:N5185,0))</f>
        <v>426</v>
      </c>
    </row>
    <row r="2388" spans="1:1" x14ac:dyDescent="0.3">
      <c r="A2388">
        <f>INDEX(Sheet1!B2388:B5186,MATCH(MAX(Sheet1!N2388:N5186),Sheet1!N2388:N5186,0))</f>
        <v>426</v>
      </c>
    </row>
    <row r="2389" spans="1:1" x14ac:dyDescent="0.3">
      <c r="A2389">
        <f>INDEX(Sheet1!B2389:B5187,MATCH(MAX(Sheet1!N2389:N5187),Sheet1!N2389:N5187,0))</f>
        <v>426</v>
      </c>
    </row>
    <row r="2390" spans="1:1" x14ac:dyDescent="0.3">
      <c r="A2390">
        <f>INDEX(Sheet1!B2390:B5188,MATCH(MAX(Sheet1!N2390:N5188),Sheet1!N2390:N5188,0))</f>
        <v>427</v>
      </c>
    </row>
    <row r="2391" spans="1:1" x14ac:dyDescent="0.3">
      <c r="A2391">
        <f>INDEX(Sheet1!B2391:B5189,MATCH(MAX(Sheet1!N2391:N5189),Sheet1!N2391:N5189,0))</f>
        <v>427</v>
      </c>
    </row>
    <row r="2392" spans="1:1" x14ac:dyDescent="0.3">
      <c r="A2392">
        <f>INDEX(Sheet1!B2392:B5190,MATCH(MAX(Sheet1!N2392:N5190),Sheet1!N2392:N5190,0))</f>
        <v>427</v>
      </c>
    </row>
    <row r="2393" spans="1:1" x14ac:dyDescent="0.3">
      <c r="A2393">
        <f>INDEX(Sheet1!B2393:B5191,MATCH(MAX(Sheet1!N2393:N5191),Sheet1!N2393:N5191,0))</f>
        <v>427</v>
      </c>
    </row>
    <row r="2394" spans="1:1" x14ac:dyDescent="0.3">
      <c r="A2394">
        <f>INDEX(Sheet1!B2394:B5192,MATCH(MAX(Sheet1!N2394:N5192),Sheet1!N2394:N5192,0))</f>
        <v>427</v>
      </c>
    </row>
    <row r="2395" spans="1:1" x14ac:dyDescent="0.3">
      <c r="A2395">
        <f>INDEX(Sheet1!B2395:B5193,MATCH(MAX(Sheet1!N2395:N5193),Sheet1!N2395:N5193,0))</f>
        <v>427</v>
      </c>
    </row>
    <row r="2396" spans="1:1" x14ac:dyDescent="0.3">
      <c r="A2396">
        <f>INDEX(Sheet1!B2396:B5194,MATCH(MAX(Sheet1!N2396:N5194),Sheet1!N2396:N5194,0))</f>
        <v>427</v>
      </c>
    </row>
    <row r="2397" spans="1:1" x14ac:dyDescent="0.3">
      <c r="A2397">
        <f>INDEX(Sheet1!B2397:B5195,MATCH(MAX(Sheet1!N2397:N5195),Sheet1!N2397:N5195,0))</f>
        <v>427</v>
      </c>
    </row>
    <row r="2398" spans="1:1" x14ac:dyDescent="0.3">
      <c r="A2398">
        <f>INDEX(Sheet1!B2398:B5196,MATCH(MAX(Sheet1!N2398:N5196),Sheet1!N2398:N5196,0))</f>
        <v>427</v>
      </c>
    </row>
    <row r="2399" spans="1:1" x14ac:dyDescent="0.3">
      <c r="A2399">
        <f>INDEX(Sheet1!B2399:B5197,MATCH(MAX(Sheet1!N2399:N5197),Sheet1!N2399:N5197,0))</f>
        <v>428</v>
      </c>
    </row>
    <row r="2400" spans="1:1" x14ac:dyDescent="0.3">
      <c r="A2400">
        <f>INDEX(Sheet1!B2400:B5198,MATCH(MAX(Sheet1!N2400:N5198),Sheet1!N2400:N5198,0))</f>
        <v>428</v>
      </c>
    </row>
    <row r="2401" spans="1:1" x14ac:dyDescent="0.3">
      <c r="A2401">
        <f>INDEX(Sheet1!B2401:B5199,MATCH(MAX(Sheet1!N2401:N5199),Sheet1!N2401:N5199,0))</f>
        <v>428</v>
      </c>
    </row>
    <row r="2402" spans="1:1" x14ac:dyDescent="0.3">
      <c r="A2402">
        <f>INDEX(Sheet1!B2402:B5200,MATCH(MAX(Sheet1!N2402:N5200),Sheet1!N2402:N5200,0))</f>
        <v>428</v>
      </c>
    </row>
    <row r="2403" spans="1:1" x14ac:dyDescent="0.3">
      <c r="A2403">
        <f>INDEX(Sheet1!B2403:B5201,MATCH(MAX(Sheet1!N2403:N5201),Sheet1!N2403:N5201,0))</f>
        <v>428</v>
      </c>
    </row>
    <row r="2404" spans="1:1" x14ac:dyDescent="0.3">
      <c r="A2404">
        <f>INDEX(Sheet1!B2404:B5202,MATCH(MAX(Sheet1!N2404:N5202),Sheet1!N2404:N5202,0))</f>
        <v>428</v>
      </c>
    </row>
    <row r="2405" spans="1:1" x14ac:dyDescent="0.3">
      <c r="A2405">
        <f>INDEX(Sheet1!B2405:B5203,MATCH(MAX(Sheet1!N2405:N5203),Sheet1!N2405:N5203,0))</f>
        <v>430</v>
      </c>
    </row>
    <row r="2406" spans="1:1" x14ac:dyDescent="0.3">
      <c r="A2406">
        <f>INDEX(Sheet1!B2406:B5204,MATCH(MAX(Sheet1!N2406:N5204),Sheet1!N2406:N5204,0))</f>
        <v>430</v>
      </c>
    </row>
    <row r="2407" spans="1:1" x14ac:dyDescent="0.3">
      <c r="A2407">
        <f>INDEX(Sheet1!B2407:B5205,MATCH(MAX(Sheet1!N2407:N5205),Sheet1!N2407:N5205,0))</f>
        <v>430</v>
      </c>
    </row>
    <row r="2408" spans="1:1" x14ac:dyDescent="0.3">
      <c r="A2408">
        <f>INDEX(Sheet1!B2408:B5206,MATCH(MAX(Sheet1!N2408:N5206),Sheet1!N2408:N5206,0))</f>
        <v>430</v>
      </c>
    </row>
    <row r="2409" spans="1:1" x14ac:dyDescent="0.3">
      <c r="A2409">
        <f>INDEX(Sheet1!B2409:B5207,MATCH(MAX(Sheet1!N2409:N5207),Sheet1!N2409:N5207,0))</f>
        <v>430</v>
      </c>
    </row>
    <row r="2410" spans="1:1" x14ac:dyDescent="0.3">
      <c r="A2410">
        <f>INDEX(Sheet1!B2410:B5208,MATCH(MAX(Sheet1!N2410:N5208),Sheet1!N2410:N5208,0))</f>
        <v>430</v>
      </c>
    </row>
    <row r="2411" spans="1:1" x14ac:dyDescent="0.3">
      <c r="A2411">
        <f>INDEX(Sheet1!B2411:B5209,MATCH(MAX(Sheet1!N2411:N5209),Sheet1!N2411:N5209,0))</f>
        <v>430</v>
      </c>
    </row>
    <row r="2412" spans="1:1" x14ac:dyDescent="0.3">
      <c r="A2412">
        <f>INDEX(Sheet1!B2412:B5210,MATCH(MAX(Sheet1!N2412:N5210),Sheet1!N2412:N5210,0))</f>
        <v>430</v>
      </c>
    </row>
    <row r="2413" spans="1:1" x14ac:dyDescent="0.3">
      <c r="A2413">
        <f>INDEX(Sheet1!B2413:B5211,MATCH(MAX(Sheet1!N2413:N5211),Sheet1!N2413:N5211,0))</f>
        <v>430</v>
      </c>
    </row>
    <row r="2414" spans="1:1" x14ac:dyDescent="0.3">
      <c r="A2414">
        <f>INDEX(Sheet1!B2414:B5212,MATCH(MAX(Sheet1!N2414:N5212),Sheet1!N2414:N5212,0))</f>
        <v>431</v>
      </c>
    </row>
    <row r="2415" spans="1:1" x14ac:dyDescent="0.3">
      <c r="A2415">
        <f>INDEX(Sheet1!B2415:B5213,MATCH(MAX(Sheet1!N2415:N5213),Sheet1!N2415:N5213,0))</f>
        <v>431</v>
      </c>
    </row>
    <row r="2416" spans="1:1" x14ac:dyDescent="0.3">
      <c r="A2416">
        <f>INDEX(Sheet1!B2416:B5214,MATCH(MAX(Sheet1!N2416:N5214),Sheet1!N2416:N5214,0))</f>
        <v>431</v>
      </c>
    </row>
    <row r="2417" spans="1:1" x14ac:dyDescent="0.3">
      <c r="A2417">
        <f>INDEX(Sheet1!B2417:B5215,MATCH(MAX(Sheet1!N2417:N5215),Sheet1!N2417:N5215,0))</f>
        <v>431</v>
      </c>
    </row>
    <row r="2418" spans="1:1" x14ac:dyDescent="0.3">
      <c r="A2418">
        <f>INDEX(Sheet1!B2418:B5216,MATCH(MAX(Sheet1!N2418:N5216),Sheet1!N2418:N5216,0))</f>
        <v>431</v>
      </c>
    </row>
    <row r="2419" spans="1:1" x14ac:dyDescent="0.3">
      <c r="A2419">
        <f>INDEX(Sheet1!B2419:B5217,MATCH(MAX(Sheet1!N2419:N5217),Sheet1!N2419:N5217,0))</f>
        <v>431</v>
      </c>
    </row>
    <row r="2420" spans="1:1" x14ac:dyDescent="0.3">
      <c r="A2420">
        <f>INDEX(Sheet1!B2420:B5218,MATCH(MAX(Sheet1!N2420:N5218),Sheet1!N2420:N5218,0))</f>
        <v>431</v>
      </c>
    </row>
    <row r="2421" spans="1:1" x14ac:dyDescent="0.3">
      <c r="A2421">
        <f>INDEX(Sheet1!B2421:B5219,MATCH(MAX(Sheet1!N2421:N5219),Sheet1!N2421:N5219,0))</f>
        <v>431</v>
      </c>
    </row>
    <row r="2422" spans="1:1" x14ac:dyDescent="0.3">
      <c r="A2422">
        <f>INDEX(Sheet1!B2422:B5220,MATCH(MAX(Sheet1!N2422:N5220),Sheet1!N2422:N5220,0))</f>
        <v>431</v>
      </c>
    </row>
    <row r="2423" spans="1:1" x14ac:dyDescent="0.3">
      <c r="A2423">
        <f>INDEX(Sheet1!B2423:B5221,MATCH(MAX(Sheet1!N2423:N5221),Sheet1!N2423:N5221,0))</f>
        <v>431</v>
      </c>
    </row>
    <row r="2424" spans="1:1" x14ac:dyDescent="0.3">
      <c r="A2424">
        <f>INDEX(Sheet1!B2424:B5222,MATCH(MAX(Sheet1!N2424:N5222),Sheet1!N2424:N5222,0))</f>
        <v>432</v>
      </c>
    </row>
    <row r="2425" spans="1:1" x14ac:dyDescent="0.3">
      <c r="A2425">
        <f>INDEX(Sheet1!B2425:B5223,MATCH(MAX(Sheet1!N2425:N5223),Sheet1!N2425:N5223,0))</f>
        <v>432</v>
      </c>
    </row>
    <row r="2426" spans="1:1" x14ac:dyDescent="0.3">
      <c r="A2426">
        <f>INDEX(Sheet1!B2426:B5224,MATCH(MAX(Sheet1!N2426:N5224),Sheet1!N2426:N5224,0))</f>
        <v>432</v>
      </c>
    </row>
    <row r="2427" spans="1:1" x14ac:dyDescent="0.3">
      <c r="A2427">
        <f>INDEX(Sheet1!B2427:B5225,MATCH(MAX(Sheet1!N2427:N5225),Sheet1!N2427:N5225,0))</f>
        <v>433</v>
      </c>
    </row>
    <row r="2428" spans="1:1" x14ac:dyDescent="0.3">
      <c r="A2428">
        <f>INDEX(Sheet1!B2428:B5226,MATCH(MAX(Sheet1!N2428:N5226),Sheet1!N2428:N5226,0))</f>
        <v>433</v>
      </c>
    </row>
    <row r="2429" spans="1:1" x14ac:dyDescent="0.3">
      <c r="A2429">
        <f>INDEX(Sheet1!B2429:B5227,MATCH(MAX(Sheet1!N2429:N5227),Sheet1!N2429:N5227,0))</f>
        <v>433</v>
      </c>
    </row>
    <row r="2430" spans="1:1" x14ac:dyDescent="0.3">
      <c r="A2430">
        <f>INDEX(Sheet1!B2430:B5228,MATCH(MAX(Sheet1!N2430:N5228),Sheet1!N2430:N5228,0))</f>
        <v>433</v>
      </c>
    </row>
    <row r="2431" spans="1:1" x14ac:dyDescent="0.3">
      <c r="A2431">
        <f>INDEX(Sheet1!B2431:B5229,MATCH(MAX(Sheet1!N2431:N5229),Sheet1!N2431:N5229,0))</f>
        <v>434</v>
      </c>
    </row>
    <row r="2432" spans="1:1" x14ac:dyDescent="0.3">
      <c r="A2432">
        <f>INDEX(Sheet1!B2432:B5230,MATCH(MAX(Sheet1!N2432:N5230),Sheet1!N2432:N5230,0))</f>
        <v>434</v>
      </c>
    </row>
    <row r="2433" spans="1:1" x14ac:dyDescent="0.3">
      <c r="A2433">
        <f>INDEX(Sheet1!B2433:B5231,MATCH(MAX(Sheet1!N2433:N5231),Sheet1!N2433:N5231,0))</f>
        <v>434</v>
      </c>
    </row>
    <row r="2434" spans="1:1" x14ac:dyDescent="0.3">
      <c r="A2434">
        <f>INDEX(Sheet1!B2434:B5232,MATCH(MAX(Sheet1!N2434:N5232),Sheet1!N2434:N5232,0))</f>
        <v>434</v>
      </c>
    </row>
    <row r="2435" spans="1:1" x14ac:dyDescent="0.3">
      <c r="A2435">
        <f>INDEX(Sheet1!B2435:B5233,MATCH(MAX(Sheet1!N2435:N5233),Sheet1!N2435:N5233,0))</f>
        <v>434</v>
      </c>
    </row>
    <row r="2436" spans="1:1" x14ac:dyDescent="0.3">
      <c r="A2436">
        <f>INDEX(Sheet1!B2436:B5234,MATCH(MAX(Sheet1!N2436:N5234),Sheet1!N2436:N5234,0))</f>
        <v>434</v>
      </c>
    </row>
    <row r="2437" spans="1:1" x14ac:dyDescent="0.3">
      <c r="A2437">
        <f>INDEX(Sheet1!B2437:B5235,MATCH(MAX(Sheet1!N2437:N5235),Sheet1!N2437:N5235,0))</f>
        <v>435</v>
      </c>
    </row>
    <row r="2438" spans="1:1" x14ac:dyDescent="0.3">
      <c r="A2438">
        <f>INDEX(Sheet1!B2438:B5236,MATCH(MAX(Sheet1!N2438:N5236),Sheet1!N2438:N5236,0))</f>
        <v>435</v>
      </c>
    </row>
    <row r="2439" spans="1:1" x14ac:dyDescent="0.3">
      <c r="A2439">
        <f>INDEX(Sheet1!B2439:B5237,MATCH(MAX(Sheet1!N2439:N5237),Sheet1!N2439:N5237,0))</f>
        <v>435</v>
      </c>
    </row>
    <row r="2440" spans="1:1" x14ac:dyDescent="0.3">
      <c r="A2440">
        <f>INDEX(Sheet1!B2440:B5238,MATCH(MAX(Sheet1!N2440:N5238),Sheet1!N2440:N5238,0))</f>
        <v>435</v>
      </c>
    </row>
    <row r="2441" spans="1:1" x14ac:dyDescent="0.3">
      <c r="A2441">
        <f>INDEX(Sheet1!B2441:B5239,MATCH(MAX(Sheet1!N2441:N5239),Sheet1!N2441:N5239,0))</f>
        <v>435</v>
      </c>
    </row>
    <row r="2442" spans="1:1" x14ac:dyDescent="0.3">
      <c r="A2442">
        <f>INDEX(Sheet1!B2442:B5240,MATCH(MAX(Sheet1!N2442:N5240),Sheet1!N2442:N5240,0))</f>
        <v>435</v>
      </c>
    </row>
    <row r="2443" spans="1:1" x14ac:dyDescent="0.3">
      <c r="A2443">
        <f>INDEX(Sheet1!B2443:B5241,MATCH(MAX(Sheet1!N2443:N5241),Sheet1!N2443:N5241,0))</f>
        <v>435</v>
      </c>
    </row>
    <row r="2444" spans="1:1" x14ac:dyDescent="0.3">
      <c r="A2444">
        <f>INDEX(Sheet1!B2444:B5242,MATCH(MAX(Sheet1!N2444:N5242),Sheet1!N2444:N5242,0))</f>
        <v>435</v>
      </c>
    </row>
    <row r="2445" spans="1:1" x14ac:dyDescent="0.3">
      <c r="A2445">
        <f>INDEX(Sheet1!B2445:B5243,MATCH(MAX(Sheet1!N2445:N5243),Sheet1!N2445:N5243,0))</f>
        <v>435</v>
      </c>
    </row>
    <row r="2446" spans="1:1" x14ac:dyDescent="0.3">
      <c r="A2446">
        <f>INDEX(Sheet1!B2446:B5244,MATCH(MAX(Sheet1!N2446:N5244),Sheet1!N2446:N5244,0))</f>
        <v>435</v>
      </c>
    </row>
    <row r="2447" spans="1:1" x14ac:dyDescent="0.3">
      <c r="A2447">
        <f>INDEX(Sheet1!B2447:B5245,MATCH(MAX(Sheet1!N2447:N5245),Sheet1!N2447:N5245,0))</f>
        <v>436</v>
      </c>
    </row>
    <row r="2448" spans="1:1" x14ac:dyDescent="0.3">
      <c r="A2448">
        <f>INDEX(Sheet1!B2448:B5246,MATCH(MAX(Sheet1!N2448:N5246),Sheet1!N2448:N5246,0))</f>
        <v>436</v>
      </c>
    </row>
    <row r="2449" spans="1:1" x14ac:dyDescent="0.3">
      <c r="A2449">
        <f>INDEX(Sheet1!B2449:B5247,MATCH(MAX(Sheet1!N2449:N5247),Sheet1!N2449:N5247,0))</f>
        <v>436</v>
      </c>
    </row>
    <row r="2450" spans="1:1" x14ac:dyDescent="0.3">
      <c r="A2450">
        <f>INDEX(Sheet1!B2450:B5248,MATCH(MAX(Sheet1!N2450:N5248),Sheet1!N2450:N5248,0))</f>
        <v>436</v>
      </c>
    </row>
    <row r="2451" spans="1:1" x14ac:dyDescent="0.3">
      <c r="A2451">
        <f>INDEX(Sheet1!B2451:B5249,MATCH(MAX(Sheet1!N2451:N5249),Sheet1!N2451:N5249,0))</f>
        <v>436</v>
      </c>
    </row>
    <row r="2452" spans="1:1" x14ac:dyDescent="0.3">
      <c r="A2452">
        <f>INDEX(Sheet1!B2452:B5250,MATCH(MAX(Sheet1!N2452:N5250),Sheet1!N2452:N5250,0))</f>
        <v>436</v>
      </c>
    </row>
    <row r="2453" spans="1:1" x14ac:dyDescent="0.3">
      <c r="A2453">
        <f>INDEX(Sheet1!B2453:B5251,MATCH(MAX(Sheet1!N2453:N5251),Sheet1!N2453:N5251,0))</f>
        <v>437</v>
      </c>
    </row>
    <row r="2454" spans="1:1" x14ac:dyDescent="0.3">
      <c r="A2454">
        <f>INDEX(Sheet1!B2454:B5252,MATCH(MAX(Sheet1!N2454:N5252),Sheet1!N2454:N5252,0))</f>
        <v>437</v>
      </c>
    </row>
    <row r="2455" spans="1:1" x14ac:dyDescent="0.3">
      <c r="A2455">
        <f>INDEX(Sheet1!B2455:B5253,MATCH(MAX(Sheet1!N2455:N5253),Sheet1!N2455:N5253,0))</f>
        <v>437</v>
      </c>
    </row>
    <row r="2456" spans="1:1" x14ac:dyDescent="0.3">
      <c r="A2456">
        <f>INDEX(Sheet1!B2456:B5254,MATCH(MAX(Sheet1!N2456:N5254),Sheet1!N2456:N5254,0))</f>
        <v>437</v>
      </c>
    </row>
    <row r="2457" spans="1:1" x14ac:dyDescent="0.3">
      <c r="A2457">
        <f>INDEX(Sheet1!B2457:B5255,MATCH(MAX(Sheet1!N2457:N5255),Sheet1!N2457:N5255,0))</f>
        <v>437</v>
      </c>
    </row>
    <row r="2458" spans="1:1" x14ac:dyDescent="0.3">
      <c r="A2458">
        <f>INDEX(Sheet1!B2458:B5256,MATCH(MAX(Sheet1!N2458:N5256),Sheet1!N2458:N5256,0))</f>
        <v>437</v>
      </c>
    </row>
    <row r="2459" spans="1:1" x14ac:dyDescent="0.3">
      <c r="A2459">
        <f>INDEX(Sheet1!B2459:B5257,MATCH(MAX(Sheet1!N2459:N5257),Sheet1!N2459:N5257,0))</f>
        <v>439</v>
      </c>
    </row>
    <row r="2460" spans="1:1" x14ac:dyDescent="0.3">
      <c r="A2460">
        <f>INDEX(Sheet1!B2460:B5258,MATCH(MAX(Sheet1!N2460:N5258),Sheet1!N2460:N5258,0))</f>
        <v>439</v>
      </c>
    </row>
    <row r="2461" spans="1:1" x14ac:dyDescent="0.3">
      <c r="A2461">
        <f>INDEX(Sheet1!B2461:B5259,MATCH(MAX(Sheet1!N2461:N5259),Sheet1!N2461:N5259,0))</f>
        <v>439</v>
      </c>
    </row>
    <row r="2462" spans="1:1" x14ac:dyDescent="0.3">
      <c r="A2462">
        <f>INDEX(Sheet1!B2462:B5260,MATCH(MAX(Sheet1!N2462:N5260),Sheet1!N2462:N5260,0))</f>
        <v>439</v>
      </c>
    </row>
    <row r="2463" spans="1:1" x14ac:dyDescent="0.3">
      <c r="A2463">
        <f>INDEX(Sheet1!B2463:B5261,MATCH(MAX(Sheet1!N2463:N5261),Sheet1!N2463:N5261,0))</f>
        <v>439</v>
      </c>
    </row>
    <row r="2464" spans="1:1" x14ac:dyDescent="0.3">
      <c r="A2464">
        <f>INDEX(Sheet1!B2464:B5262,MATCH(MAX(Sheet1!N2464:N5262),Sheet1!N2464:N5262,0))</f>
        <v>439</v>
      </c>
    </row>
    <row r="2465" spans="1:1" x14ac:dyDescent="0.3">
      <c r="A2465">
        <f>INDEX(Sheet1!B2465:B5263,MATCH(MAX(Sheet1!N2465:N5263),Sheet1!N2465:N5263,0))</f>
        <v>439</v>
      </c>
    </row>
    <row r="2466" spans="1:1" x14ac:dyDescent="0.3">
      <c r="A2466">
        <f>INDEX(Sheet1!B2466:B5264,MATCH(MAX(Sheet1!N2466:N5264),Sheet1!N2466:N5264,0))</f>
        <v>440</v>
      </c>
    </row>
    <row r="2467" spans="1:1" x14ac:dyDescent="0.3">
      <c r="A2467">
        <f>INDEX(Sheet1!B2467:B5265,MATCH(MAX(Sheet1!N2467:N5265),Sheet1!N2467:N5265,0))</f>
        <v>440</v>
      </c>
    </row>
    <row r="2468" spans="1:1" x14ac:dyDescent="0.3">
      <c r="A2468">
        <f>INDEX(Sheet1!B2468:B5266,MATCH(MAX(Sheet1!N2468:N5266),Sheet1!N2468:N5266,0))</f>
        <v>440</v>
      </c>
    </row>
    <row r="2469" spans="1:1" x14ac:dyDescent="0.3">
      <c r="A2469">
        <f>INDEX(Sheet1!B2469:B5267,MATCH(MAX(Sheet1!N2469:N5267),Sheet1!N2469:N5267,0))</f>
        <v>441</v>
      </c>
    </row>
    <row r="2470" spans="1:1" x14ac:dyDescent="0.3">
      <c r="A2470">
        <f>INDEX(Sheet1!B2470:B5268,MATCH(MAX(Sheet1!N2470:N5268),Sheet1!N2470:N5268,0))</f>
        <v>441</v>
      </c>
    </row>
    <row r="2471" spans="1:1" x14ac:dyDescent="0.3">
      <c r="A2471">
        <f>INDEX(Sheet1!B2471:B5269,MATCH(MAX(Sheet1!N2471:N5269),Sheet1!N2471:N5269,0))</f>
        <v>441</v>
      </c>
    </row>
    <row r="2472" spans="1:1" x14ac:dyDescent="0.3">
      <c r="A2472">
        <f>INDEX(Sheet1!B2472:B5270,MATCH(MAX(Sheet1!N2472:N5270),Sheet1!N2472:N5270,0))</f>
        <v>441</v>
      </c>
    </row>
    <row r="2473" spans="1:1" x14ac:dyDescent="0.3">
      <c r="A2473">
        <f>INDEX(Sheet1!B2473:B5271,MATCH(MAX(Sheet1!N2473:N5271),Sheet1!N2473:N5271,0))</f>
        <v>441</v>
      </c>
    </row>
    <row r="2474" spans="1:1" x14ac:dyDescent="0.3">
      <c r="A2474">
        <f>INDEX(Sheet1!B2474:B5272,MATCH(MAX(Sheet1!N2474:N5272),Sheet1!N2474:N5272,0))</f>
        <v>441</v>
      </c>
    </row>
    <row r="2475" spans="1:1" x14ac:dyDescent="0.3">
      <c r="A2475">
        <f>INDEX(Sheet1!B2475:B5273,MATCH(MAX(Sheet1!N2475:N5273),Sheet1!N2475:N5273,0))</f>
        <v>441</v>
      </c>
    </row>
    <row r="2476" spans="1:1" x14ac:dyDescent="0.3">
      <c r="A2476">
        <f>INDEX(Sheet1!B2476:B5274,MATCH(MAX(Sheet1!N2476:N5274),Sheet1!N2476:N5274,0))</f>
        <v>441</v>
      </c>
    </row>
    <row r="2477" spans="1:1" x14ac:dyDescent="0.3">
      <c r="A2477">
        <f>INDEX(Sheet1!B2477:B5275,MATCH(MAX(Sheet1!N2477:N5275),Sheet1!N2477:N5275,0))</f>
        <v>443</v>
      </c>
    </row>
    <row r="2478" spans="1:1" x14ac:dyDescent="0.3">
      <c r="A2478">
        <f>INDEX(Sheet1!B2478:B5276,MATCH(MAX(Sheet1!N2478:N5276),Sheet1!N2478:N5276,0))</f>
        <v>443</v>
      </c>
    </row>
    <row r="2479" spans="1:1" x14ac:dyDescent="0.3">
      <c r="A2479">
        <f>INDEX(Sheet1!B2479:B5277,MATCH(MAX(Sheet1!N2479:N5277),Sheet1!N2479:N5277,0))</f>
        <v>443</v>
      </c>
    </row>
    <row r="2480" spans="1:1" x14ac:dyDescent="0.3">
      <c r="A2480">
        <f>INDEX(Sheet1!B2480:B5278,MATCH(MAX(Sheet1!N2480:N5278),Sheet1!N2480:N5278,0))</f>
        <v>443</v>
      </c>
    </row>
    <row r="2481" spans="1:1" x14ac:dyDescent="0.3">
      <c r="A2481">
        <f>INDEX(Sheet1!B2481:B5279,MATCH(MAX(Sheet1!N2481:N5279),Sheet1!N2481:N5279,0))</f>
        <v>443</v>
      </c>
    </row>
    <row r="2482" spans="1:1" x14ac:dyDescent="0.3">
      <c r="A2482">
        <f>INDEX(Sheet1!B2482:B5280,MATCH(MAX(Sheet1!N2482:N5280),Sheet1!N2482:N5280,0))</f>
        <v>443</v>
      </c>
    </row>
    <row r="2483" spans="1:1" x14ac:dyDescent="0.3">
      <c r="A2483">
        <f>INDEX(Sheet1!B2483:B5281,MATCH(MAX(Sheet1!N2483:N5281),Sheet1!N2483:N5281,0))</f>
        <v>443</v>
      </c>
    </row>
    <row r="2484" spans="1:1" x14ac:dyDescent="0.3">
      <c r="A2484">
        <f>INDEX(Sheet1!B2484:B5282,MATCH(MAX(Sheet1!N2484:N5282),Sheet1!N2484:N5282,0))</f>
        <v>445</v>
      </c>
    </row>
    <row r="2485" spans="1:1" x14ac:dyDescent="0.3">
      <c r="A2485">
        <f>INDEX(Sheet1!B2485:B5283,MATCH(MAX(Sheet1!N2485:N5283),Sheet1!N2485:N5283,0))</f>
        <v>445</v>
      </c>
    </row>
    <row r="2486" spans="1:1" x14ac:dyDescent="0.3">
      <c r="A2486">
        <f>INDEX(Sheet1!B2486:B5284,MATCH(MAX(Sheet1!N2486:N5284),Sheet1!N2486:N5284,0))</f>
        <v>445</v>
      </c>
    </row>
    <row r="2487" spans="1:1" x14ac:dyDescent="0.3">
      <c r="A2487">
        <f>INDEX(Sheet1!B2487:B5285,MATCH(MAX(Sheet1!N2487:N5285),Sheet1!N2487:N5285,0))</f>
        <v>445</v>
      </c>
    </row>
    <row r="2488" spans="1:1" x14ac:dyDescent="0.3">
      <c r="A2488">
        <f>INDEX(Sheet1!B2488:B5286,MATCH(MAX(Sheet1!N2488:N5286),Sheet1!N2488:N5286,0))</f>
        <v>445</v>
      </c>
    </row>
    <row r="2489" spans="1:1" x14ac:dyDescent="0.3">
      <c r="A2489">
        <f>INDEX(Sheet1!B2489:B5287,MATCH(MAX(Sheet1!N2489:N5287),Sheet1!N2489:N5287,0))</f>
        <v>445</v>
      </c>
    </row>
    <row r="2490" spans="1:1" x14ac:dyDescent="0.3">
      <c r="A2490">
        <f>INDEX(Sheet1!B2490:B5288,MATCH(MAX(Sheet1!N2490:N5288),Sheet1!N2490:N5288,0))</f>
        <v>445</v>
      </c>
    </row>
    <row r="2491" spans="1:1" x14ac:dyDescent="0.3">
      <c r="A2491">
        <f>INDEX(Sheet1!B2491:B5289,MATCH(MAX(Sheet1!N2491:N5289),Sheet1!N2491:N5289,0))</f>
        <v>445</v>
      </c>
    </row>
    <row r="2492" spans="1:1" x14ac:dyDescent="0.3">
      <c r="A2492">
        <f>INDEX(Sheet1!B2492:B5290,MATCH(MAX(Sheet1!N2492:N5290),Sheet1!N2492:N5290,0))</f>
        <v>445</v>
      </c>
    </row>
    <row r="2493" spans="1:1" x14ac:dyDescent="0.3">
      <c r="A2493">
        <f>INDEX(Sheet1!B2493:B5291,MATCH(MAX(Sheet1!N2493:N5291),Sheet1!N2493:N5291,0))</f>
        <v>445</v>
      </c>
    </row>
    <row r="2494" spans="1:1" x14ac:dyDescent="0.3">
      <c r="A2494">
        <f>INDEX(Sheet1!B2494:B5292,MATCH(MAX(Sheet1!N2494:N5292),Sheet1!N2494:N5292,0))</f>
        <v>445</v>
      </c>
    </row>
    <row r="2495" spans="1:1" x14ac:dyDescent="0.3">
      <c r="A2495">
        <f>INDEX(Sheet1!B2495:B5293,MATCH(MAX(Sheet1!N2495:N5293),Sheet1!N2495:N5293,0))</f>
        <v>446</v>
      </c>
    </row>
    <row r="2496" spans="1:1" x14ac:dyDescent="0.3">
      <c r="A2496">
        <f>INDEX(Sheet1!B2496:B5294,MATCH(MAX(Sheet1!N2496:N5294),Sheet1!N2496:N5294,0))</f>
        <v>446</v>
      </c>
    </row>
    <row r="2497" spans="1:1" x14ac:dyDescent="0.3">
      <c r="A2497">
        <f>INDEX(Sheet1!B2497:B5295,MATCH(MAX(Sheet1!N2497:N5295),Sheet1!N2497:N5295,0))</f>
        <v>446</v>
      </c>
    </row>
    <row r="2498" spans="1:1" x14ac:dyDescent="0.3">
      <c r="A2498">
        <f>INDEX(Sheet1!B2498:B5296,MATCH(MAX(Sheet1!N2498:N5296),Sheet1!N2498:N5296,0))</f>
        <v>447</v>
      </c>
    </row>
    <row r="2499" spans="1:1" x14ac:dyDescent="0.3">
      <c r="A2499">
        <f>INDEX(Sheet1!B2499:B5297,MATCH(MAX(Sheet1!N2499:N5297),Sheet1!N2499:N5297,0))</f>
        <v>447</v>
      </c>
    </row>
    <row r="2500" spans="1:1" x14ac:dyDescent="0.3">
      <c r="A2500">
        <f>INDEX(Sheet1!B2500:B5298,MATCH(MAX(Sheet1!N2500:N5298),Sheet1!N2500:N5298,0))</f>
        <v>447</v>
      </c>
    </row>
    <row r="2501" spans="1:1" x14ac:dyDescent="0.3">
      <c r="A2501">
        <f>INDEX(Sheet1!B2501:B5299,MATCH(MAX(Sheet1!N2501:N5299),Sheet1!N2501:N5299,0))</f>
        <v>447</v>
      </c>
    </row>
    <row r="2502" spans="1:1" x14ac:dyDescent="0.3">
      <c r="A2502">
        <f>INDEX(Sheet1!B2502:B5300,MATCH(MAX(Sheet1!N2502:N5300),Sheet1!N2502:N5300,0))</f>
        <v>447</v>
      </c>
    </row>
    <row r="2503" spans="1:1" x14ac:dyDescent="0.3">
      <c r="A2503">
        <f>INDEX(Sheet1!B2503:B5301,MATCH(MAX(Sheet1!N2503:N5301),Sheet1!N2503:N5301,0))</f>
        <v>447</v>
      </c>
    </row>
    <row r="2504" spans="1:1" x14ac:dyDescent="0.3">
      <c r="A2504">
        <f>INDEX(Sheet1!B2504:B5302,MATCH(MAX(Sheet1!N2504:N5302),Sheet1!N2504:N5302,0))</f>
        <v>447</v>
      </c>
    </row>
    <row r="2505" spans="1:1" x14ac:dyDescent="0.3">
      <c r="A2505">
        <f>INDEX(Sheet1!B2505:B5303,MATCH(MAX(Sheet1!N2505:N5303),Sheet1!N2505:N5303,0))</f>
        <v>447</v>
      </c>
    </row>
    <row r="2506" spans="1:1" x14ac:dyDescent="0.3">
      <c r="A2506">
        <f>INDEX(Sheet1!B2506:B5304,MATCH(MAX(Sheet1!N2506:N5304),Sheet1!N2506:N5304,0))</f>
        <v>447</v>
      </c>
    </row>
    <row r="2507" spans="1:1" x14ac:dyDescent="0.3">
      <c r="A2507">
        <f>INDEX(Sheet1!B2507:B5305,MATCH(MAX(Sheet1!N2507:N5305),Sheet1!N2507:N5305,0))</f>
        <v>447</v>
      </c>
    </row>
    <row r="2508" spans="1:1" x14ac:dyDescent="0.3">
      <c r="A2508">
        <f>INDEX(Sheet1!B2508:B5306,MATCH(MAX(Sheet1!N2508:N5306),Sheet1!N2508:N5306,0))</f>
        <v>448</v>
      </c>
    </row>
    <row r="2509" spans="1:1" x14ac:dyDescent="0.3">
      <c r="A2509">
        <f>INDEX(Sheet1!B2509:B5307,MATCH(MAX(Sheet1!N2509:N5307),Sheet1!N2509:N5307,0))</f>
        <v>448</v>
      </c>
    </row>
    <row r="2510" spans="1:1" x14ac:dyDescent="0.3">
      <c r="A2510">
        <f>INDEX(Sheet1!B2510:B5308,MATCH(MAX(Sheet1!N2510:N5308),Sheet1!N2510:N5308,0))</f>
        <v>448</v>
      </c>
    </row>
    <row r="2511" spans="1:1" x14ac:dyDescent="0.3">
      <c r="A2511">
        <f>INDEX(Sheet1!B2511:B5309,MATCH(MAX(Sheet1!N2511:N5309),Sheet1!N2511:N5309,0))</f>
        <v>449</v>
      </c>
    </row>
    <row r="2512" spans="1:1" x14ac:dyDescent="0.3">
      <c r="A2512">
        <f>INDEX(Sheet1!B2512:B5310,MATCH(MAX(Sheet1!N2512:N5310),Sheet1!N2512:N5310,0))</f>
        <v>449</v>
      </c>
    </row>
    <row r="2513" spans="1:1" x14ac:dyDescent="0.3">
      <c r="A2513">
        <f>INDEX(Sheet1!B2513:B5311,MATCH(MAX(Sheet1!N2513:N5311),Sheet1!N2513:N5311,0))</f>
        <v>449</v>
      </c>
    </row>
    <row r="2514" spans="1:1" x14ac:dyDescent="0.3">
      <c r="A2514">
        <f>INDEX(Sheet1!B2514:B5312,MATCH(MAX(Sheet1!N2514:N5312),Sheet1!N2514:N5312,0))</f>
        <v>449</v>
      </c>
    </row>
    <row r="2515" spans="1:1" x14ac:dyDescent="0.3">
      <c r="A2515">
        <f>INDEX(Sheet1!B2515:B5313,MATCH(MAX(Sheet1!N2515:N5313),Sheet1!N2515:N5313,0))</f>
        <v>450</v>
      </c>
    </row>
    <row r="2516" spans="1:1" x14ac:dyDescent="0.3">
      <c r="A2516">
        <f>INDEX(Sheet1!B2516:B5314,MATCH(MAX(Sheet1!N2516:N5314),Sheet1!N2516:N5314,0))</f>
        <v>450</v>
      </c>
    </row>
    <row r="2517" spans="1:1" x14ac:dyDescent="0.3">
      <c r="A2517">
        <f>INDEX(Sheet1!B2517:B5315,MATCH(MAX(Sheet1!N2517:N5315),Sheet1!N2517:N5315,0))</f>
        <v>450</v>
      </c>
    </row>
    <row r="2518" spans="1:1" x14ac:dyDescent="0.3">
      <c r="A2518">
        <f>INDEX(Sheet1!B2518:B5316,MATCH(MAX(Sheet1!N2518:N5316),Sheet1!N2518:N5316,0))</f>
        <v>450</v>
      </c>
    </row>
    <row r="2519" spans="1:1" x14ac:dyDescent="0.3">
      <c r="A2519">
        <f>INDEX(Sheet1!B2519:B5317,MATCH(MAX(Sheet1!N2519:N5317),Sheet1!N2519:N5317,0))</f>
        <v>450</v>
      </c>
    </row>
    <row r="2520" spans="1:1" x14ac:dyDescent="0.3">
      <c r="A2520">
        <f>INDEX(Sheet1!B2520:B5318,MATCH(MAX(Sheet1!N2520:N5318),Sheet1!N2520:N5318,0))</f>
        <v>450</v>
      </c>
    </row>
    <row r="2521" spans="1:1" x14ac:dyDescent="0.3">
      <c r="A2521">
        <f>INDEX(Sheet1!B2521:B5319,MATCH(MAX(Sheet1!N2521:N5319),Sheet1!N2521:N5319,0))</f>
        <v>450</v>
      </c>
    </row>
    <row r="2522" spans="1:1" x14ac:dyDescent="0.3">
      <c r="A2522">
        <f>INDEX(Sheet1!B2522:B5320,MATCH(MAX(Sheet1!N2522:N5320),Sheet1!N2522:N5320,0))</f>
        <v>450</v>
      </c>
    </row>
    <row r="2523" spans="1:1" x14ac:dyDescent="0.3">
      <c r="A2523">
        <f>INDEX(Sheet1!B2523:B5321,MATCH(MAX(Sheet1!N2523:N5321),Sheet1!N2523:N5321,0))</f>
        <v>450</v>
      </c>
    </row>
    <row r="2524" spans="1:1" x14ac:dyDescent="0.3">
      <c r="A2524">
        <f>INDEX(Sheet1!B2524:B5322,MATCH(MAX(Sheet1!N2524:N5322),Sheet1!N2524:N5322,0))</f>
        <v>451</v>
      </c>
    </row>
    <row r="2525" spans="1:1" x14ac:dyDescent="0.3">
      <c r="A2525">
        <f>INDEX(Sheet1!B2525:B5323,MATCH(MAX(Sheet1!N2525:N5323),Sheet1!N2525:N5323,0))</f>
        <v>451</v>
      </c>
    </row>
    <row r="2526" spans="1:1" x14ac:dyDescent="0.3">
      <c r="A2526">
        <f>INDEX(Sheet1!B2526:B5324,MATCH(MAX(Sheet1!N2526:N5324),Sheet1!N2526:N5324,0))</f>
        <v>451</v>
      </c>
    </row>
    <row r="2527" spans="1:1" x14ac:dyDescent="0.3">
      <c r="A2527">
        <f>INDEX(Sheet1!B2527:B5325,MATCH(MAX(Sheet1!N2527:N5325),Sheet1!N2527:N5325,0))</f>
        <v>451</v>
      </c>
    </row>
    <row r="2528" spans="1:1" x14ac:dyDescent="0.3">
      <c r="A2528">
        <f>INDEX(Sheet1!B2528:B5326,MATCH(MAX(Sheet1!N2528:N5326),Sheet1!N2528:N5326,0))</f>
        <v>451</v>
      </c>
    </row>
    <row r="2529" spans="1:1" x14ac:dyDescent="0.3">
      <c r="A2529">
        <f>INDEX(Sheet1!B2529:B5327,MATCH(MAX(Sheet1!N2529:N5327),Sheet1!N2529:N5327,0))</f>
        <v>451</v>
      </c>
    </row>
    <row r="2530" spans="1:1" x14ac:dyDescent="0.3">
      <c r="A2530">
        <f>INDEX(Sheet1!B2530:B5328,MATCH(MAX(Sheet1!N2530:N5328),Sheet1!N2530:N5328,0))</f>
        <v>451</v>
      </c>
    </row>
    <row r="2531" spans="1:1" x14ac:dyDescent="0.3">
      <c r="A2531">
        <f>INDEX(Sheet1!B2531:B5329,MATCH(MAX(Sheet1!N2531:N5329),Sheet1!N2531:N5329,0))</f>
        <v>451</v>
      </c>
    </row>
    <row r="2532" spans="1:1" x14ac:dyDescent="0.3">
      <c r="A2532">
        <f>INDEX(Sheet1!B2532:B5330,MATCH(MAX(Sheet1!N2532:N5330),Sheet1!N2532:N5330,0))</f>
        <v>452</v>
      </c>
    </row>
    <row r="2533" spans="1:1" x14ac:dyDescent="0.3">
      <c r="A2533">
        <f>INDEX(Sheet1!B2533:B5331,MATCH(MAX(Sheet1!N2533:N5331),Sheet1!N2533:N5331,0))</f>
        <v>452</v>
      </c>
    </row>
    <row r="2534" spans="1:1" x14ac:dyDescent="0.3">
      <c r="A2534">
        <f>INDEX(Sheet1!B2534:B5332,MATCH(MAX(Sheet1!N2534:N5332),Sheet1!N2534:N5332,0))</f>
        <v>452</v>
      </c>
    </row>
    <row r="2535" spans="1:1" x14ac:dyDescent="0.3">
      <c r="A2535">
        <f>INDEX(Sheet1!B2535:B5333,MATCH(MAX(Sheet1!N2535:N5333),Sheet1!N2535:N5333,0))</f>
        <v>452</v>
      </c>
    </row>
    <row r="2536" spans="1:1" x14ac:dyDescent="0.3">
      <c r="A2536">
        <f>INDEX(Sheet1!B2536:B5334,MATCH(MAX(Sheet1!N2536:N5334),Sheet1!N2536:N5334,0))</f>
        <v>452</v>
      </c>
    </row>
    <row r="2537" spans="1:1" x14ac:dyDescent="0.3">
      <c r="A2537">
        <f>INDEX(Sheet1!B2537:B5335,MATCH(MAX(Sheet1!N2537:N5335),Sheet1!N2537:N5335,0))</f>
        <v>453</v>
      </c>
    </row>
    <row r="2538" spans="1:1" x14ac:dyDescent="0.3">
      <c r="A2538">
        <f>INDEX(Sheet1!B2538:B5336,MATCH(MAX(Sheet1!N2538:N5336),Sheet1!N2538:N5336,0))</f>
        <v>453</v>
      </c>
    </row>
    <row r="2539" spans="1:1" x14ac:dyDescent="0.3">
      <c r="A2539">
        <f>INDEX(Sheet1!B2539:B5337,MATCH(MAX(Sheet1!N2539:N5337),Sheet1!N2539:N5337,0))</f>
        <v>453</v>
      </c>
    </row>
    <row r="2540" spans="1:1" x14ac:dyDescent="0.3">
      <c r="A2540">
        <f>INDEX(Sheet1!B2540:B5338,MATCH(MAX(Sheet1!N2540:N5338),Sheet1!N2540:N5338,0))</f>
        <v>453</v>
      </c>
    </row>
    <row r="2541" spans="1:1" x14ac:dyDescent="0.3">
      <c r="A2541">
        <f>INDEX(Sheet1!B2541:B5339,MATCH(MAX(Sheet1!N2541:N5339),Sheet1!N2541:N5339,0))</f>
        <v>453</v>
      </c>
    </row>
    <row r="2542" spans="1:1" x14ac:dyDescent="0.3">
      <c r="A2542">
        <f>INDEX(Sheet1!B2542:B5340,MATCH(MAX(Sheet1!N2542:N5340),Sheet1!N2542:N5340,0))</f>
        <v>454</v>
      </c>
    </row>
    <row r="2543" spans="1:1" x14ac:dyDescent="0.3">
      <c r="A2543">
        <f>INDEX(Sheet1!B2543:B5341,MATCH(MAX(Sheet1!N2543:N5341),Sheet1!N2543:N5341,0))</f>
        <v>454</v>
      </c>
    </row>
    <row r="2544" spans="1:1" x14ac:dyDescent="0.3">
      <c r="A2544">
        <f>INDEX(Sheet1!B2544:B5342,MATCH(MAX(Sheet1!N2544:N5342),Sheet1!N2544:N5342,0))</f>
        <v>454</v>
      </c>
    </row>
    <row r="2545" spans="1:1" x14ac:dyDescent="0.3">
      <c r="A2545">
        <f>INDEX(Sheet1!B2545:B5343,MATCH(MAX(Sheet1!N2545:N5343),Sheet1!N2545:N5343,0))</f>
        <v>454</v>
      </c>
    </row>
    <row r="2546" spans="1:1" x14ac:dyDescent="0.3">
      <c r="A2546">
        <f>INDEX(Sheet1!B2546:B5344,MATCH(MAX(Sheet1!N2546:N5344),Sheet1!N2546:N5344,0))</f>
        <v>454</v>
      </c>
    </row>
    <row r="2547" spans="1:1" x14ac:dyDescent="0.3">
      <c r="A2547">
        <f>INDEX(Sheet1!B2547:B5345,MATCH(MAX(Sheet1!N2547:N5345),Sheet1!N2547:N5345,0))</f>
        <v>454</v>
      </c>
    </row>
    <row r="2548" spans="1:1" x14ac:dyDescent="0.3">
      <c r="A2548">
        <f>INDEX(Sheet1!B2548:B5346,MATCH(MAX(Sheet1!N2548:N5346),Sheet1!N2548:N5346,0))</f>
        <v>454</v>
      </c>
    </row>
    <row r="2549" spans="1:1" x14ac:dyDescent="0.3">
      <c r="A2549">
        <f>INDEX(Sheet1!B2549:B5347,MATCH(MAX(Sheet1!N2549:N5347),Sheet1!N2549:N5347,0))</f>
        <v>454</v>
      </c>
    </row>
    <row r="2550" spans="1:1" x14ac:dyDescent="0.3">
      <c r="A2550">
        <f>INDEX(Sheet1!B2550:B5348,MATCH(MAX(Sheet1!N2550:N5348),Sheet1!N2550:N5348,0))</f>
        <v>454</v>
      </c>
    </row>
    <row r="2551" spans="1:1" x14ac:dyDescent="0.3">
      <c r="A2551">
        <f>INDEX(Sheet1!B2551:B5349,MATCH(MAX(Sheet1!N2551:N5349),Sheet1!N2551:N5349,0))</f>
        <v>455</v>
      </c>
    </row>
    <row r="2552" spans="1:1" x14ac:dyDescent="0.3">
      <c r="A2552">
        <f>INDEX(Sheet1!B2552:B5350,MATCH(MAX(Sheet1!N2552:N5350),Sheet1!N2552:N5350,0))</f>
        <v>455</v>
      </c>
    </row>
    <row r="2553" spans="1:1" x14ac:dyDescent="0.3">
      <c r="A2553">
        <f>INDEX(Sheet1!B2553:B5351,MATCH(MAX(Sheet1!N2553:N5351),Sheet1!N2553:N5351,0))</f>
        <v>455</v>
      </c>
    </row>
    <row r="2554" spans="1:1" x14ac:dyDescent="0.3">
      <c r="A2554">
        <f>INDEX(Sheet1!B2554:B5352,MATCH(MAX(Sheet1!N2554:N5352),Sheet1!N2554:N5352,0))</f>
        <v>455</v>
      </c>
    </row>
    <row r="2555" spans="1:1" x14ac:dyDescent="0.3">
      <c r="A2555">
        <f>INDEX(Sheet1!B2555:B5353,MATCH(MAX(Sheet1!N2555:N5353),Sheet1!N2555:N5353,0))</f>
        <v>455</v>
      </c>
    </row>
    <row r="2556" spans="1:1" x14ac:dyDescent="0.3">
      <c r="A2556">
        <f>INDEX(Sheet1!B2556:B5354,MATCH(MAX(Sheet1!N2556:N5354),Sheet1!N2556:N5354,0))</f>
        <v>455</v>
      </c>
    </row>
    <row r="2557" spans="1:1" x14ac:dyDescent="0.3">
      <c r="A2557">
        <f>INDEX(Sheet1!B2557:B5355,MATCH(MAX(Sheet1!N2557:N5355),Sheet1!N2557:N5355,0))</f>
        <v>455</v>
      </c>
    </row>
    <row r="2558" spans="1:1" x14ac:dyDescent="0.3">
      <c r="A2558">
        <f>INDEX(Sheet1!B2558:B5356,MATCH(MAX(Sheet1!N2558:N5356),Sheet1!N2558:N5356,0))</f>
        <v>456</v>
      </c>
    </row>
    <row r="2559" spans="1:1" x14ac:dyDescent="0.3">
      <c r="A2559">
        <f>INDEX(Sheet1!B2559:B5357,MATCH(MAX(Sheet1!N2559:N5357),Sheet1!N2559:N5357,0))</f>
        <v>456</v>
      </c>
    </row>
    <row r="2560" spans="1:1" x14ac:dyDescent="0.3">
      <c r="A2560">
        <f>INDEX(Sheet1!B2560:B5358,MATCH(MAX(Sheet1!N2560:N5358),Sheet1!N2560:N5358,0))</f>
        <v>457</v>
      </c>
    </row>
    <row r="2561" spans="1:1" x14ac:dyDescent="0.3">
      <c r="A2561">
        <f>INDEX(Sheet1!B2561:B5359,MATCH(MAX(Sheet1!N2561:N5359),Sheet1!N2561:N5359,0))</f>
        <v>457</v>
      </c>
    </row>
    <row r="2562" spans="1:1" x14ac:dyDescent="0.3">
      <c r="A2562">
        <f>INDEX(Sheet1!B2562:B5360,MATCH(MAX(Sheet1!N2562:N5360),Sheet1!N2562:N5360,0))</f>
        <v>457</v>
      </c>
    </row>
    <row r="2563" spans="1:1" x14ac:dyDescent="0.3">
      <c r="A2563">
        <f>INDEX(Sheet1!B2563:B5361,MATCH(MAX(Sheet1!N2563:N5361),Sheet1!N2563:N5361,0))</f>
        <v>457</v>
      </c>
    </row>
    <row r="2564" spans="1:1" x14ac:dyDescent="0.3">
      <c r="A2564">
        <f>INDEX(Sheet1!B2564:B5362,MATCH(MAX(Sheet1!N2564:N5362),Sheet1!N2564:N5362,0))</f>
        <v>457</v>
      </c>
    </row>
    <row r="2565" spans="1:1" x14ac:dyDescent="0.3">
      <c r="A2565">
        <f>INDEX(Sheet1!B2565:B5363,MATCH(MAX(Sheet1!N2565:N5363),Sheet1!N2565:N5363,0))</f>
        <v>457</v>
      </c>
    </row>
    <row r="2566" spans="1:1" x14ac:dyDescent="0.3">
      <c r="A2566">
        <f>INDEX(Sheet1!B2566:B5364,MATCH(MAX(Sheet1!N2566:N5364),Sheet1!N2566:N5364,0))</f>
        <v>457</v>
      </c>
    </row>
    <row r="2567" spans="1:1" x14ac:dyDescent="0.3">
      <c r="A2567">
        <f>INDEX(Sheet1!B2567:B5365,MATCH(MAX(Sheet1!N2567:N5365),Sheet1!N2567:N5365,0))</f>
        <v>457</v>
      </c>
    </row>
    <row r="2568" spans="1:1" x14ac:dyDescent="0.3">
      <c r="A2568">
        <f>INDEX(Sheet1!B2568:B5366,MATCH(MAX(Sheet1!N2568:N5366),Sheet1!N2568:N5366,0))</f>
        <v>457</v>
      </c>
    </row>
    <row r="2569" spans="1:1" x14ac:dyDescent="0.3">
      <c r="A2569">
        <f>INDEX(Sheet1!B2569:B5367,MATCH(MAX(Sheet1!N2569:N5367),Sheet1!N2569:N5367,0))</f>
        <v>457</v>
      </c>
    </row>
    <row r="2570" spans="1:1" x14ac:dyDescent="0.3">
      <c r="A2570">
        <f>INDEX(Sheet1!B2570:B5368,MATCH(MAX(Sheet1!N2570:N5368),Sheet1!N2570:N5368,0))</f>
        <v>457</v>
      </c>
    </row>
    <row r="2571" spans="1:1" x14ac:dyDescent="0.3">
      <c r="A2571">
        <f>INDEX(Sheet1!B2571:B5369,MATCH(MAX(Sheet1!N2571:N5369),Sheet1!N2571:N5369,0))</f>
        <v>458</v>
      </c>
    </row>
    <row r="2572" spans="1:1" x14ac:dyDescent="0.3">
      <c r="A2572">
        <f>INDEX(Sheet1!B2572:B5370,MATCH(MAX(Sheet1!N2572:N5370),Sheet1!N2572:N5370,0))</f>
        <v>458</v>
      </c>
    </row>
    <row r="2573" spans="1:1" x14ac:dyDescent="0.3">
      <c r="A2573">
        <f>INDEX(Sheet1!B2573:B5371,MATCH(MAX(Sheet1!N2573:N5371),Sheet1!N2573:N5371,0))</f>
        <v>458</v>
      </c>
    </row>
    <row r="2574" spans="1:1" x14ac:dyDescent="0.3">
      <c r="A2574">
        <f>INDEX(Sheet1!B2574:B5372,MATCH(MAX(Sheet1!N2574:N5372),Sheet1!N2574:N5372,0))</f>
        <v>459</v>
      </c>
    </row>
    <row r="2575" spans="1:1" x14ac:dyDescent="0.3">
      <c r="A2575">
        <f>INDEX(Sheet1!B2575:B5373,MATCH(MAX(Sheet1!N2575:N5373),Sheet1!N2575:N5373,0))</f>
        <v>459</v>
      </c>
    </row>
    <row r="2576" spans="1:1" x14ac:dyDescent="0.3">
      <c r="A2576">
        <f>INDEX(Sheet1!B2576:B5374,MATCH(MAX(Sheet1!N2576:N5374),Sheet1!N2576:N5374,0))</f>
        <v>459</v>
      </c>
    </row>
    <row r="2577" spans="1:1" x14ac:dyDescent="0.3">
      <c r="A2577">
        <f>INDEX(Sheet1!B2577:B5375,MATCH(MAX(Sheet1!N2577:N5375),Sheet1!N2577:N5375,0))</f>
        <v>459</v>
      </c>
    </row>
    <row r="2578" spans="1:1" x14ac:dyDescent="0.3">
      <c r="A2578">
        <f>INDEX(Sheet1!B2578:B5376,MATCH(MAX(Sheet1!N2578:N5376),Sheet1!N2578:N5376,0))</f>
        <v>459</v>
      </c>
    </row>
    <row r="2579" spans="1:1" x14ac:dyDescent="0.3">
      <c r="A2579">
        <f>INDEX(Sheet1!B2579:B5377,MATCH(MAX(Sheet1!N2579:N5377),Sheet1!N2579:N5377,0))</f>
        <v>459</v>
      </c>
    </row>
    <row r="2580" spans="1:1" x14ac:dyDescent="0.3">
      <c r="A2580">
        <f>INDEX(Sheet1!B2580:B5378,MATCH(MAX(Sheet1!N2580:N5378),Sheet1!N2580:N5378,0))</f>
        <v>459</v>
      </c>
    </row>
    <row r="2581" spans="1:1" x14ac:dyDescent="0.3">
      <c r="A2581">
        <f>INDEX(Sheet1!B2581:B5379,MATCH(MAX(Sheet1!N2581:N5379),Sheet1!N2581:N5379,0))</f>
        <v>459</v>
      </c>
    </row>
    <row r="2582" spans="1:1" x14ac:dyDescent="0.3">
      <c r="A2582">
        <f>INDEX(Sheet1!B2582:B5380,MATCH(MAX(Sheet1!N2582:N5380),Sheet1!N2582:N5380,0))</f>
        <v>460</v>
      </c>
    </row>
    <row r="2583" spans="1:1" x14ac:dyDescent="0.3">
      <c r="A2583">
        <f>INDEX(Sheet1!B2583:B5381,MATCH(MAX(Sheet1!N2583:N5381),Sheet1!N2583:N5381,0))</f>
        <v>460</v>
      </c>
    </row>
    <row r="2584" spans="1:1" x14ac:dyDescent="0.3">
      <c r="A2584">
        <f>INDEX(Sheet1!B2584:B5382,MATCH(MAX(Sheet1!N2584:N5382),Sheet1!N2584:N5382,0))</f>
        <v>460</v>
      </c>
    </row>
    <row r="2585" spans="1:1" x14ac:dyDescent="0.3">
      <c r="A2585">
        <f>INDEX(Sheet1!B2585:B5383,MATCH(MAX(Sheet1!N2585:N5383),Sheet1!N2585:N5383,0))</f>
        <v>460</v>
      </c>
    </row>
    <row r="2586" spans="1:1" x14ac:dyDescent="0.3">
      <c r="A2586">
        <f>INDEX(Sheet1!B2586:B5384,MATCH(MAX(Sheet1!N2586:N5384),Sheet1!N2586:N5384,0))</f>
        <v>460</v>
      </c>
    </row>
    <row r="2587" spans="1:1" x14ac:dyDescent="0.3">
      <c r="A2587">
        <f>INDEX(Sheet1!B2587:B5385,MATCH(MAX(Sheet1!N2587:N5385),Sheet1!N2587:N5385,0))</f>
        <v>461</v>
      </c>
    </row>
    <row r="2588" spans="1:1" x14ac:dyDescent="0.3">
      <c r="A2588">
        <f>INDEX(Sheet1!B2588:B5386,MATCH(MAX(Sheet1!N2588:N5386),Sheet1!N2588:N5386,0))</f>
        <v>461</v>
      </c>
    </row>
    <row r="2589" spans="1:1" x14ac:dyDescent="0.3">
      <c r="A2589">
        <f>INDEX(Sheet1!B2589:B5387,MATCH(MAX(Sheet1!N2589:N5387),Sheet1!N2589:N5387,0))</f>
        <v>462</v>
      </c>
    </row>
    <row r="2590" spans="1:1" x14ac:dyDescent="0.3">
      <c r="A2590">
        <f>INDEX(Sheet1!B2590:B5388,MATCH(MAX(Sheet1!N2590:N5388),Sheet1!N2590:N5388,0))</f>
        <v>462</v>
      </c>
    </row>
    <row r="2591" spans="1:1" x14ac:dyDescent="0.3">
      <c r="A2591">
        <f>INDEX(Sheet1!B2591:B5389,MATCH(MAX(Sheet1!N2591:N5389),Sheet1!N2591:N5389,0))</f>
        <v>462</v>
      </c>
    </row>
    <row r="2592" spans="1:1" x14ac:dyDescent="0.3">
      <c r="A2592">
        <f>INDEX(Sheet1!B2592:B5390,MATCH(MAX(Sheet1!N2592:N5390),Sheet1!N2592:N5390,0))</f>
        <v>462</v>
      </c>
    </row>
    <row r="2593" spans="1:1" x14ac:dyDescent="0.3">
      <c r="A2593">
        <f>INDEX(Sheet1!B2593:B5391,MATCH(MAX(Sheet1!N2593:N5391),Sheet1!N2593:N5391,0))</f>
        <v>462</v>
      </c>
    </row>
    <row r="2594" spans="1:1" x14ac:dyDescent="0.3">
      <c r="A2594">
        <f>INDEX(Sheet1!B2594:B5392,MATCH(MAX(Sheet1!N2594:N5392),Sheet1!N2594:N5392,0))</f>
        <v>462</v>
      </c>
    </row>
    <row r="2595" spans="1:1" x14ac:dyDescent="0.3">
      <c r="A2595">
        <f>INDEX(Sheet1!B2595:B5393,MATCH(MAX(Sheet1!N2595:N5393),Sheet1!N2595:N5393,0))</f>
        <v>462</v>
      </c>
    </row>
    <row r="2596" spans="1:1" x14ac:dyDescent="0.3">
      <c r="A2596">
        <f>INDEX(Sheet1!B2596:B5394,MATCH(MAX(Sheet1!N2596:N5394),Sheet1!N2596:N5394,0))</f>
        <v>462</v>
      </c>
    </row>
    <row r="2597" spans="1:1" x14ac:dyDescent="0.3">
      <c r="A2597">
        <f>INDEX(Sheet1!B2597:B5395,MATCH(MAX(Sheet1!N2597:N5395),Sheet1!N2597:N5395,0))</f>
        <v>463</v>
      </c>
    </row>
    <row r="2598" spans="1:1" x14ac:dyDescent="0.3">
      <c r="A2598">
        <f>INDEX(Sheet1!B2598:B5396,MATCH(MAX(Sheet1!N2598:N5396),Sheet1!N2598:N5396,0))</f>
        <v>463</v>
      </c>
    </row>
    <row r="2599" spans="1:1" x14ac:dyDescent="0.3">
      <c r="A2599">
        <f>INDEX(Sheet1!B2599:B5397,MATCH(MAX(Sheet1!N2599:N5397),Sheet1!N2599:N5397,0))</f>
        <v>463</v>
      </c>
    </row>
    <row r="2600" spans="1:1" x14ac:dyDescent="0.3">
      <c r="A2600">
        <f>INDEX(Sheet1!B2600:B5398,MATCH(MAX(Sheet1!N2600:N5398),Sheet1!N2600:N5398,0))</f>
        <v>463</v>
      </c>
    </row>
    <row r="2601" spans="1:1" x14ac:dyDescent="0.3">
      <c r="A2601">
        <f>INDEX(Sheet1!B2601:B5399,MATCH(MAX(Sheet1!N2601:N5399),Sheet1!N2601:N5399,0))</f>
        <v>463</v>
      </c>
    </row>
    <row r="2602" spans="1:1" x14ac:dyDescent="0.3">
      <c r="A2602">
        <f>INDEX(Sheet1!B2602:B5400,MATCH(MAX(Sheet1!N2602:N5400),Sheet1!N2602:N5400,0))</f>
        <v>465</v>
      </c>
    </row>
    <row r="2603" spans="1:1" x14ac:dyDescent="0.3">
      <c r="A2603">
        <f>INDEX(Sheet1!B2603:B5401,MATCH(MAX(Sheet1!N2603:N5401),Sheet1!N2603:N5401,0))</f>
        <v>465</v>
      </c>
    </row>
    <row r="2604" spans="1:1" x14ac:dyDescent="0.3">
      <c r="A2604">
        <f>INDEX(Sheet1!B2604:B5402,MATCH(MAX(Sheet1!N2604:N5402),Sheet1!N2604:N5402,0))</f>
        <v>465</v>
      </c>
    </row>
    <row r="2605" spans="1:1" x14ac:dyDescent="0.3">
      <c r="A2605">
        <f>INDEX(Sheet1!B2605:B5403,MATCH(MAX(Sheet1!N2605:N5403),Sheet1!N2605:N5403,0))</f>
        <v>465</v>
      </c>
    </row>
    <row r="2606" spans="1:1" x14ac:dyDescent="0.3">
      <c r="A2606">
        <f>INDEX(Sheet1!B2606:B5404,MATCH(MAX(Sheet1!N2606:N5404),Sheet1!N2606:N5404,0))</f>
        <v>465</v>
      </c>
    </row>
    <row r="2607" spans="1:1" x14ac:dyDescent="0.3">
      <c r="A2607">
        <f>INDEX(Sheet1!B2607:B5405,MATCH(MAX(Sheet1!N2607:N5405),Sheet1!N2607:N5405,0))</f>
        <v>465</v>
      </c>
    </row>
    <row r="2608" spans="1:1" x14ac:dyDescent="0.3">
      <c r="A2608">
        <f>INDEX(Sheet1!B2608:B5406,MATCH(MAX(Sheet1!N2608:N5406),Sheet1!N2608:N5406,0))</f>
        <v>465</v>
      </c>
    </row>
    <row r="2609" spans="1:1" x14ac:dyDescent="0.3">
      <c r="A2609">
        <f>INDEX(Sheet1!B2609:B5407,MATCH(MAX(Sheet1!N2609:N5407),Sheet1!N2609:N5407,0))</f>
        <v>466</v>
      </c>
    </row>
    <row r="2610" spans="1:1" x14ac:dyDescent="0.3">
      <c r="A2610">
        <f>INDEX(Sheet1!B2610:B5408,MATCH(MAX(Sheet1!N2610:N5408),Sheet1!N2610:N5408,0))</f>
        <v>466</v>
      </c>
    </row>
    <row r="2611" spans="1:1" x14ac:dyDescent="0.3">
      <c r="A2611">
        <f>INDEX(Sheet1!B2611:B5409,MATCH(MAX(Sheet1!N2611:N5409),Sheet1!N2611:N5409,0))</f>
        <v>466</v>
      </c>
    </row>
    <row r="2612" spans="1:1" x14ac:dyDescent="0.3">
      <c r="A2612">
        <f>INDEX(Sheet1!B2612:B5410,MATCH(MAX(Sheet1!N2612:N5410),Sheet1!N2612:N5410,0))</f>
        <v>466</v>
      </c>
    </row>
    <row r="2613" spans="1:1" x14ac:dyDescent="0.3">
      <c r="A2613">
        <f>INDEX(Sheet1!B2613:B5411,MATCH(MAX(Sheet1!N2613:N5411),Sheet1!N2613:N5411,0))</f>
        <v>466</v>
      </c>
    </row>
    <row r="2614" spans="1:1" x14ac:dyDescent="0.3">
      <c r="A2614">
        <f>INDEX(Sheet1!B2614:B5412,MATCH(MAX(Sheet1!N2614:N5412),Sheet1!N2614:N5412,0))</f>
        <v>466</v>
      </c>
    </row>
    <row r="2615" spans="1:1" x14ac:dyDescent="0.3">
      <c r="A2615">
        <f>INDEX(Sheet1!B2615:B5413,MATCH(MAX(Sheet1!N2615:N5413),Sheet1!N2615:N5413,0))</f>
        <v>466</v>
      </c>
    </row>
    <row r="2616" spans="1:1" x14ac:dyDescent="0.3">
      <c r="A2616">
        <f>INDEX(Sheet1!B2616:B5414,MATCH(MAX(Sheet1!N2616:N5414),Sheet1!N2616:N5414,0))</f>
        <v>466</v>
      </c>
    </row>
    <row r="2617" spans="1:1" x14ac:dyDescent="0.3">
      <c r="A2617">
        <f>INDEX(Sheet1!B2617:B5415,MATCH(MAX(Sheet1!N2617:N5415),Sheet1!N2617:N5415,0))</f>
        <v>466</v>
      </c>
    </row>
    <row r="2618" spans="1:1" x14ac:dyDescent="0.3">
      <c r="A2618">
        <f>INDEX(Sheet1!B2618:B5416,MATCH(MAX(Sheet1!N2618:N5416),Sheet1!N2618:N5416,0))</f>
        <v>466</v>
      </c>
    </row>
    <row r="2619" spans="1:1" x14ac:dyDescent="0.3">
      <c r="A2619">
        <f>INDEX(Sheet1!B2619:B5417,MATCH(MAX(Sheet1!N2619:N5417),Sheet1!N2619:N5417,0))</f>
        <v>466</v>
      </c>
    </row>
    <row r="2620" spans="1:1" x14ac:dyDescent="0.3">
      <c r="A2620">
        <f>INDEX(Sheet1!B2620:B5418,MATCH(MAX(Sheet1!N2620:N5418),Sheet1!N2620:N5418,0))</f>
        <v>467</v>
      </c>
    </row>
    <row r="2621" spans="1:1" x14ac:dyDescent="0.3">
      <c r="A2621">
        <f>INDEX(Sheet1!B2621:B5419,MATCH(MAX(Sheet1!N2621:N5419),Sheet1!N2621:N5419,0))</f>
        <v>467</v>
      </c>
    </row>
    <row r="2622" spans="1:1" x14ac:dyDescent="0.3">
      <c r="A2622">
        <f>INDEX(Sheet1!B2622:B5420,MATCH(MAX(Sheet1!N2622:N5420),Sheet1!N2622:N5420,0))</f>
        <v>467</v>
      </c>
    </row>
    <row r="2623" spans="1:1" x14ac:dyDescent="0.3">
      <c r="A2623">
        <f>INDEX(Sheet1!B2623:B5421,MATCH(MAX(Sheet1!N2623:N5421),Sheet1!N2623:N5421,0))</f>
        <v>467</v>
      </c>
    </row>
    <row r="2624" spans="1:1" x14ac:dyDescent="0.3">
      <c r="A2624">
        <f>INDEX(Sheet1!B2624:B5422,MATCH(MAX(Sheet1!N2624:N5422),Sheet1!N2624:N5422,0))</f>
        <v>467</v>
      </c>
    </row>
    <row r="2625" spans="1:1" x14ac:dyDescent="0.3">
      <c r="A2625">
        <f>INDEX(Sheet1!B2625:B5423,MATCH(MAX(Sheet1!N2625:N5423),Sheet1!N2625:N5423,0))</f>
        <v>467</v>
      </c>
    </row>
    <row r="2626" spans="1:1" x14ac:dyDescent="0.3">
      <c r="A2626">
        <f>INDEX(Sheet1!B2626:B5424,MATCH(MAX(Sheet1!N2626:N5424),Sheet1!N2626:N5424,0))</f>
        <v>468</v>
      </c>
    </row>
    <row r="2627" spans="1:1" x14ac:dyDescent="0.3">
      <c r="A2627">
        <f>INDEX(Sheet1!B2627:B5425,MATCH(MAX(Sheet1!N2627:N5425),Sheet1!N2627:N5425,0))</f>
        <v>468</v>
      </c>
    </row>
    <row r="2628" spans="1:1" x14ac:dyDescent="0.3">
      <c r="A2628">
        <f>INDEX(Sheet1!B2628:B5426,MATCH(MAX(Sheet1!N2628:N5426),Sheet1!N2628:N5426,0))</f>
        <v>468</v>
      </c>
    </row>
    <row r="2629" spans="1:1" x14ac:dyDescent="0.3">
      <c r="A2629">
        <f>INDEX(Sheet1!B2629:B5427,MATCH(MAX(Sheet1!N2629:N5427),Sheet1!N2629:N5427,0))</f>
        <v>468</v>
      </c>
    </row>
    <row r="2630" spans="1:1" x14ac:dyDescent="0.3">
      <c r="A2630">
        <f>INDEX(Sheet1!B2630:B5428,MATCH(MAX(Sheet1!N2630:N5428),Sheet1!N2630:N5428,0))</f>
        <v>468</v>
      </c>
    </row>
    <row r="2631" spans="1:1" x14ac:dyDescent="0.3">
      <c r="A2631">
        <f>INDEX(Sheet1!B2631:B5429,MATCH(MAX(Sheet1!N2631:N5429),Sheet1!N2631:N5429,0))</f>
        <v>468</v>
      </c>
    </row>
    <row r="2632" spans="1:1" x14ac:dyDescent="0.3">
      <c r="A2632">
        <f>INDEX(Sheet1!B2632:B5430,MATCH(MAX(Sheet1!N2632:N5430),Sheet1!N2632:N5430,0))</f>
        <v>468</v>
      </c>
    </row>
    <row r="2633" spans="1:1" x14ac:dyDescent="0.3">
      <c r="A2633">
        <f>INDEX(Sheet1!B2633:B5431,MATCH(MAX(Sheet1!N2633:N5431),Sheet1!N2633:N5431,0))</f>
        <v>468</v>
      </c>
    </row>
    <row r="2634" spans="1:1" x14ac:dyDescent="0.3">
      <c r="A2634">
        <f>INDEX(Sheet1!B2634:B5432,MATCH(MAX(Sheet1!N2634:N5432),Sheet1!N2634:N5432,0))</f>
        <v>469</v>
      </c>
    </row>
    <row r="2635" spans="1:1" x14ac:dyDescent="0.3">
      <c r="A2635">
        <f>INDEX(Sheet1!B2635:B5433,MATCH(MAX(Sheet1!N2635:N5433),Sheet1!N2635:N5433,0))</f>
        <v>469</v>
      </c>
    </row>
    <row r="2636" spans="1:1" x14ac:dyDescent="0.3">
      <c r="A2636">
        <f>INDEX(Sheet1!B2636:B5434,MATCH(MAX(Sheet1!N2636:N5434),Sheet1!N2636:N5434,0))</f>
        <v>469</v>
      </c>
    </row>
    <row r="2637" spans="1:1" x14ac:dyDescent="0.3">
      <c r="A2637">
        <f>INDEX(Sheet1!B2637:B5435,MATCH(MAX(Sheet1!N2637:N5435),Sheet1!N2637:N5435,0))</f>
        <v>469</v>
      </c>
    </row>
    <row r="2638" spans="1:1" x14ac:dyDescent="0.3">
      <c r="A2638">
        <f>INDEX(Sheet1!B2638:B5436,MATCH(MAX(Sheet1!N2638:N5436),Sheet1!N2638:N5436,0))</f>
        <v>469</v>
      </c>
    </row>
    <row r="2639" spans="1:1" x14ac:dyDescent="0.3">
      <c r="A2639">
        <f>INDEX(Sheet1!B2639:B5437,MATCH(MAX(Sheet1!N2639:N5437),Sheet1!N2639:N5437,0))</f>
        <v>469</v>
      </c>
    </row>
    <row r="2640" spans="1:1" x14ac:dyDescent="0.3">
      <c r="A2640">
        <f>INDEX(Sheet1!B2640:B5438,MATCH(MAX(Sheet1!N2640:N5438),Sheet1!N2640:N5438,0))</f>
        <v>470</v>
      </c>
    </row>
    <row r="2641" spans="1:1" x14ac:dyDescent="0.3">
      <c r="A2641">
        <f>INDEX(Sheet1!B2641:B5439,MATCH(MAX(Sheet1!N2641:N5439),Sheet1!N2641:N5439,0))</f>
        <v>470</v>
      </c>
    </row>
    <row r="2642" spans="1:1" x14ac:dyDescent="0.3">
      <c r="A2642">
        <f>INDEX(Sheet1!B2642:B5440,MATCH(MAX(Sheet1!N2642:N5440),Sheet1!N2642:N5440,0))</f>
        <v>470</v>
      </c>
    </row>
    <row r="2643" spans="1:1" x14ac:dyDescent="0.3">
      <c r="A2643">
        <f>INDEX(Sheet1!B2643:B5441,MATCH(MAX(Sheet1!N2643:N5441),Sheet1!N2643:N5441,0))</f>
        <v>473</v>
      </c>
    </row>
    <row r="2644" spans="1:1" x14ac:dyDescent="0.3">
      <c r="A2644">
        <f>INDEX(Sheet1!B2644:B5442,MATCH(MAX(Sheet1!N2644:N5442),Sheet1!N2644:N5442,0))</f>
        <v>473</v>
      </c>
    </row>
    <row r="2645" spans="1:1" x14ac:dyDescent="0.3">
      <c r="A2645">
        <f>INDEX(Sheet1!B2645:B5443,MATCH(MAX(Sheet1!N2645:N5443),Sheet1!N2645:N5443,0))</f>
        <v>473</v>
      </c>
    </row>
    <row r="2646" spans="1:1" x14ac:dyDescent="0.3">
      <c r="A2646">
        <f>INDEX(Sheet1!B2646:B5444,MATCH(MAX(Sheet1!N2646:N5444),Sheet1!N2646:N5444,0))</f>
        <v>473</v>
      </c>
    </row>
    <row r="2647" spans="1:1" x14ac:dyDescent="0.3">
      <c r="A2647">
        <f>INDEX(Sheet1!B2647:B5445,MATCH(MAX(Sheet1!N2647:N5445),Sheet1!N2647:N5445,0))</f>
        <v>473</v>
      </c>
    </row>
    <row r="2648" spans="1:1" x14ac:dyDescent="0.3">
      <c r="A2648">
        <f>INDEX(Sheet1!B2648:B5446,MATCH(MAX(Sheet1!N2648:N5446),Sheet1!N2648:N5446,0))</f>
        <v>473</v>
      </c>
    </row>
    <row r="2649" spans="1:1" x14ac:dyDescent="0.3">
      <c r="A2649">
        <f>INDEX(Sheet1!B2649:B5447,MATCH(MAX(Sheet1!N2649:N5447),Sheet1!N2649:N5447,0))</f>
        <v>473</v>
      </c>
    </row>
    <row r="2650" spans="1:1" x14ac:dyDescent="0.3">
      <c r="A2650">
        <f>INDEX(Sheet1!B2650:B5448,MATCH(MAX(Sheet1!N2650:N5448),Sheet1!N2650:N5448,0))</f>
        <v>473</v>
      </c>
    </row>
    <row r="2651" spans="1:1" x14ac:dyDescent="0.3">
      <c r="A2651">
        <f>INDEX(Sheet1!B2651:B5449,MATCH(MAX(Sheet1!N2651:N5449),Sheet1!N2651:N5449,0))</f>
        <v>473</v>
      </c>
    </row>
    <row r="2652" spans="1:1" x14ac:dyDescent="0.3">
      <c r="A2652">
        <f>INDEX(Sheet1!B2652:B5450,MATCH(MAX(Sheet1!N2652:N5450),Sheet1!N2652:N5450,0))</f>
        <v>473</v>
      </c>
    </row>
    <row r="2653" spans="1:1" x14ac:dyDescent="0.3">
      <c r="A2653">
        <f>INDEX(Sheet1!B2653:B5451,MATCH(MAX(Sheet1!N2653:N5451),Sheet1!N2653:N5451,0))</f>
        <v>473</v>
      </c>
    </row>
    <row r="2654" spans="1:1" x14ac:dyDescent="0.3">
      <c r="A2654">
        <f>INDEX(Sheet1!B2654:B5452,MATCH(MAX(Sheet1!N2654:N5452),Sheet1!N2654:N5452,0))</f>
        <v>473</v>
      </c>
    </row>
    <row r="2655" spans="1:1" x14ac:dyDescent="0.3">
      <c r="A2655">
        <f>INDEX(Sheet1!B2655:B5453,MATCH(MAX(Sheet1!N2655:N5453),Sheet1!N2655:N5453,0))</f>
        <v>473</v>
      </c>
    </row>
    <row r="2656" spans="1:1" x14ac:dyDescent="0.3">
      <c r="A2656">
        <f>INDEX(Sheet1!B2656:B5454,MATCH(MAX(Sheet1!N2656:N5454),Sheet1!N2656:N5454,0))</f>
        <v>473</v>
      </c>
    </row>
    <row r="2657" spans="1:1" x14ac:dyDescent="0.3">
      <c r="A2657">
        <f>INDEX(Sheet1!B2657:B5455,MATCH(MAX(Sheet1!N2657:N5455),Sheet1!N2657:N5455,0))</f>
        <v>473</v>
      </c>
    </row>
    <row r="2658" spans="1:1" x14ac:dyDescent="0.3">
      <c r="A2658">
        <f>INDEX(Sheet1!B2658:B5456,MATCH(MAX(Sheet1!N2658:N5456),Sheet1!N2658:N5456,0))</f>
        <v>473</v>
      </c>
    </row>
    <row r="2659" spans="1:1" x14ac:dyDescent="0.3">
      <c r="A2659">
        <f>INDEX(Sheet1!B2659:B5457,MATCH(MAX(Sheet1!N2659:N5457),Sheet1!N2659:N5457,0))</f>
        <v>473</v>
      </c>
    </row>
    <row r="2660" spans="1:1" x14ac:dyDescent="0.3">
      <c r="A2660">
        <f>INDEX(Sheet1!B2660:B5458,MATCH(MAX(Sheet1!N2660:N5458),Sheet1!N2660:N5458,0))</f>
        <v>473</v>
      </c>
    </row>
    <row r="2661" spans="1:1" x14ac:dyDescent="0.3">
      <c r="A2661">
        <f>INDEX(Sheet1!B2661:B5459,MATCH(MAX(Sheet1!N2661:N5459),Sheet1!N2661:N5459,0))</f>
        <v>473</v>
      </c>
    </row>
    <row r="2662" spans="1:1" x14ac:dyDescent="0.3">
      <c r="A2662">
        <f>INDEX(Sheet1!B2662:B5460,MATCH(MAX(Sheet1!N2662:N5460),Sheet1!N2662:N5460,0))</f>
        <v>474</v>
      </c>
    </row>
    <row r="2663" spans="1:1" x14ac:dyDescent="0.3">
      <c r="A2663">
        <f>INDEX(Sheet1!B2663:B5461,MATCH(MAX(Sheet1!N2663:N5461),Sheet1!N2663:N5461,0))</f>
        <v>474</v>
      </c>
    </row>
    <row r="2664" spans="1:1" x14ac:dyDescent="0.3">
      <c r="A2664">
        <f>INDEX(Sheet1!B2664:B5462,MATCH(MAX(Sheet1!N2664:N5462),Sheet1!N2664:N5462,0))</f>
        <v>474</v>
      </c>
    </row>
    <row r="2665" spans="1:1" x14ac:dyDescent="0.3">
      <c r="A2665">
        <f>INDEX(Sheet1!B2665:B5463,MATCH(MAX(Sheet1!N2665:N5463),Sheet1!N2665:N5463,0))</f>
        <v>474</v>
      </c>
    </row>
    <row r="2666" spans="1:1" x14ac:dyDescent="0.3">
      <c r="A2666">
        <f>INDEX(Sheet1!B2666:B5464,MATCH(MAX(Sheet1!N2666:N5464),Sheet1!N2666:N5464,0))</f>
        <v>474</v>
      </c>
    </row>
    <row r="2667" spans="1:1" x14ac:dyDescent="0.3">
      <c r="A2667">
        <f>INDEX(Sheet1!B2667:B5465,MATCH(MAX(Sheet1!N2667:N5465),Sheet1!N2667:N5465,0))</f>
        <v>474</v>
      </c>
    </row>
    <row r="2668" spans="1:1" x14ac:dyDescent="0.3">
      <c r="A2668">
        <f>INDEX(Sheet1!B2668:B5466,MATCH(MAX(Sheet1!N2668:N5466),Sheet1!N2668:N5466,0))</f>
        <v>474</v>
      </c>
    </row>
    <row r="2669" spans="1:1" x14ac:dyDescent="0.3">
      <c r="A2669">
        <f>INDEX(Sheet1!B2669:B5467,MATCH(MAX(Sheet1!N2669:N5467),Sheet1!N2669:N5467,0))</f>
        <v>474</v>
      </c>
    </row>
    <row r="2670" spans="1:1" x14ac:dyDescent="0.3">
      <c r="A2670">
        <f>INDEX(Sheet1!B2670:B5468,MATCH(MAX(Sheet1!N2670:N5468),Sheet1!N2670:N5468,0))</f>
        <v>474</v>
      </c>
    </row>
    <row r="2671" spans="1:1" x14ac:dyDescent="0.3">
      <c r="A2671">
        <f>INDEX(Sheet1!B2671:B5469,MATCH(MAX(Sheet1!N2671:N5469),Sheet1!N2671:N5469,0))</f>
        <v>474</v>
      </c>
    </row>
    <row r="2672" spans="1:1" x14ac:dyDescent="0.3">
      <c r="A2672">
        <f>INDEX(Sheet1!B2672:B5470,MATCH(MAX(Sheet1!N2672:N5470),Sheet1!N2672:N5470,0))</f>
        <v>474</v>
      </c>
    </row>
    <row r="2673" spans="1:1" x14ac:dyDescent="0.3">
      <c r="A2673">
        <f>INDEX(Sheet1!B2673:B5471,MATCH(MAX(Sheet1!N2673:N5471),Sheet1!N2673:N5471,0))</f>
        <v>474</v>
      </c>
    </row>
    <row r="2674" spans="1:1" x14ac:dyDescent="0.3">
      <c r="A2674">
        <f>INDEX(Sheet1!B2674:B5472,MATCH(MAX(Sheet1!N2674:N5472),Sheet1!N2674:N5472,0))</f>
        <v>475</v>
      </c>
    </row>
    <row r="2675" spans="1:1" x14ac:dyDescent="0.3">
      <c r="A2675">
        <f>INDEX(Sheet1!B2675:B5473,MATCH(MAX(Sheet1!N2675:N5473),Sheet1!N2675:N5473,0))</f>
        <v>475</v>
      </c>
    </row>
    <row r="2676" spans="1:1" x14ac:dyDescent="0.3">
      <c r="A2676">
        <f>INDEX(Sheet1!B2676:B5474,MATCH(MAX(Sheet1!N2676:N5474),Sheet1!N2676:N5474,0))</f>
        <v>475</v>
      </c>
    </row>
    <row r="2677" spans="1:1" x14ac:dyDescent="0.3">
      <c r="A2677">
        <f>INDEX(Sheet1!B2677:B5475,MATCH(MAX(Sheet1!N2677:N5475),Sheet1!N2677:N5475,0))</f>
        <v>475</v>
      </c>
    </row>
    <row r="2678" spans="1:1" x14ac:dyDescent="0.3">
      <c r="A2678">
        <f>INDEX(Sheet1!B2678:B5476,MATCH(MAX(Sheet1!N2678:N5476),Sheet1!N2678:N5476,0))</f>
        <v>475</v>
      </c>
    </row>
    <row r="2679" spans="1:1" x14ac:dyDescent="0.3">
      <c r="A2679">
        <f>INDEX(Sheet1!B2679:B5477,MATCH(MAX(Sheet1!N2679:N5477),Sheet1!N2679:N5477,0))</f>
        <v>475</v>
      </c>
    </row>
    <row r="2680" spans="1:1" x14ac:dyDescent="0.3">
      <c r="A2680">
        <f>INDEX(Sheet1!B2680:B5478,MATCH(MAX(Sheet1!N2680:N5478),Sheet1!N2680:N5478,0))</f>
        <v>475</v>
      </c>
    </row>
    <row r="2681" spans="1:1" x14ac:dyDescent="0.3">
      <c r="A2681">
        <f>INDEX(Sheet1!B2681:B5479,MATCH(MAX(Sheet1!N2681:N5479),Sheet1!N2681:N5479,0))</f>
        <v>476</v>
      </c>
    </row>
    <row r="2682" spans="1:1" x14ac:dyDescent="0.3">
      <c r="A2682">
        <f>INDEX(Sheet1!B2682:B5480,MATCH(MAX(Sheet1!N2682:N5480),Sheet1!N2682:N5480,0))</f>
        <v>476</v>
      </c>
    </row>
    <row r="2683" spans="1:1" x14ac:dyDescent="0.3">
      <c r="A2683">
        <f>INDEX(Sheet1!B2683:B5481,MATCH(MAX(Sheet1!N2683:N5481),Sheet1!N2683:N5481,0))</f>
        <v>477</v>
      </c>
    </row>
    <row r="2684" spans="1:1" x14ac:dyDescent="0.3">
      <c r="A2684">
        <f>INDEX(Sheet1!B2684:B5482,MATCH(MAX(Sheet1!N2684:N5482),Sheet1!N2684:N5482,0))</f>
        <v>477</v>
      </c>
    </row>
    <row r="2685" spans="1:1" x14ac:dyDescent="0.3">
      <c r="A2685">
        <f>INDEX(Sheet1!B2685:B5483,MATCH(MAX(Sheet1!N2685:N5483),Sheet1!N2685:N5483,0))</f>
        <v>477</v>
      </c>
    </row>
    <row r="2686" spans="1:1" x14ac:dyDescent="0.3">
      <c r="A2686">
        <f>INDEX(Sheet1!B2686:B5484,MATCH(MAX(Sheet1!N2686:N5484),Sheet1!N2686:N5484,0))</f>
        <v>477</v>
      </c>
    </row>
    <row r="2687" spans="1:1" x14ac:dyDescent="0.3">
      <c r="A2687">
        <f>INDEX(Sheet1!B2687:B5485,MATCH(MAX(Sheet1!N2687:N5485),Sheet1!N2687:N5485,0))</f>
        <v>477</v>
      </c>
    </row>
    <row r="2688" spans="1:1" x14ac:dyDescent="0.3">
      <c r="A2688">
        <f>INDEX(Sheet1!B2688:B5486,MATCH(MAX(Sheet1!N2688:N5486),Sheet1!N2688:N5486,0))</f>
        <v>477</v>
      </c>
    </row>
    <row r="2689" spans="1:1" x14ac:dyDescent="0.3">
      <c r="A2689">
        <f>INDEX(Sheet1!B2689:B5487,MATCH(MAX(Sheet1!N2689:N5487),Sheet1!N2689:N5487,0))</f>
        <v>478</v>
      </c>
    </row>
    <row r="2690" spans="1:1" x14ac:dyDescent="0.3">
      <c r="A2690">
        <f>INDEX(Sheet1!B2690:B5488,MATCH(MAX(Sheet1!N2690:N5488),Sheet1!N2690:N5488,0))</f>
        <v>478</v>
      </c>
    </row>
    <row r="2691" spans="1:1" x14ac:dyDescent="0.3">
      <c r="A2691">
        <f>INDEX(Sheet1!B2691:B5489,MATCH(MAX(Sheet1!N2691:N5489),Sheet1!N2691:N5489,0))</f>
        <v>478</v>
      </c>
    </row>
    <row r="2692" spans="1:1" x14ac:dyDescent="0.3">
      <c r="A2692">
        <f>INDEX(Sheet1!B2692:B5490,MATCH(MAX(Sheet1!N2692:N5490),Sheet1!N2692:N5490,0))</f>
        <v>478</v>
      </c>
    </row>
    <row r="2693" spans="1:1" x14ac:dyDescent="0.3">
      <c r="A2693">
        <f>INDEX(Sheet1!B2693:B5491,MATCH(MAX(Sheet1!N2693:N5491),Sheet1!N2693:N5491,0))</f>
        <v>478</v>
      </c>
    </row>
    <row r="2694" spans="1:1" x14ac:dyDescent="0.3">
      <c r="A2694">
        <f>INDEX(Sheet1!B2694:B5492,MATCH(MAX(Sheet1!N2694:N5492),Sheet1!N2694:N5492,0))</f>
        <v>478</v>
      </c>
    </row>
    <row r="2695" spans="1:1" x14ac:dyDescent="0.3">
      <c r="A2695">
        <f>INDEX(Sheet1!B2695:B5493,MATCH(MAX(Sheet1!N2695:N5493),Sheet1!N2695:N5493,0))</f>
        <v>479</v>
      </c>
    </row>
    <row r="2696" spans="1:1" x14ac:dyDescent="0.3">
      <c r="A2696">
        <f>INDEX(Sheet1!B2696:B5494,MATCH(MAX(Sheet1!N2696:N5494),Sheet1!N2696:N5494,0))</f>
        <v>479</v>
      </c>
    </row>
    <row r="2697" spans="1:1" x14ac:dyDescent="0.3">
      <c r="A2697">
        <f>INDEX(Sheet1!B2697:B5495,MATCH(MAX(Sheet1!N2697:N5495),Sheet1!N2697:N5495,0))</f>
        <v>479</v>
      </c>
    </row>
    <row r="2698" spans="1:1" x14ac:dyDescent="0.3">
      <c r="A2698">
        <f>INDEX(Sheet1!B2698:B5496,MATCH(MAX(Sheet1!N2698:N5496),Sheet1!N2698:N5496,0))</f>
        <v>479</v>
      </c>
    </row>
    <row r="2699" spans="1:1" x14ac:dyDescent="0.3">
      <c r="A2699">
        <f>INDEX(Sheet1!B2699:B5497,MATCH(MAX(Sheet1!N2699:N5497),Sheet1!N2699:N5497,0))</f>
        <v>480</v>
      </c>
    </row>
    <row r="2700" spans="1:1" x14ac:dyDescent="0.3">
      <c r="A2700">
        <f>INDEX(Sheet1!B2700:B5498,MATCH(MAX(Sheet1!N2700:N5498),Sheet1!N2700:N5498,0))</f>
        <v>480</v>
      </c>
    </row>
    <row r="2701" spans="1:1" x14ac:dyDescent="0.3">
      <c r="A2701">
        <f>INDEX(Sheet1!B2701:B5499,MATCH(MAX(Sheet1!N2701:N5499),Sheet1!N2701:N5499,0))</f>
        <v>480</v>
      </c>
    </row>
    <row r="2702" spans="1:1" x14ac:dyDescent="0.3">
      <c r="A2702">
        <f>INDEX(Sheet1!B2702:B5500,MATCH(MAX(Sheet1!N2702:N5500),Sheet1!N2702:N5500,0))</f>
        <v>480</v>
      </c>
    </row>
    <row r="2703" spans="1:1" x14ac:dyDescent="0.3">
      <c r="A2703">
        <f>INDEX(Sheet1!B2703:B5501,MATCH(MAX(Sheet1!N2703:N5501),Sheet1!N2703:N5501,0))</f>
        <v>480</v>
      </c>
    </row>
    <row r="2704" spans="1:1" x14ac:dyDescent="0.3">
      <c r="A2704">
        <f>INDEX(Sheet1!B2704:B5502,MATCH(MAX(Sheet1!N2704:N5502),Sheet1!N2704:N5502,0))</f>
        <v>480</v>
      </c>
    </row>
    <row r="2705" spans="1:1" x14ac:dyDescent="0.3">
      <c r="A2705">
        <f>INDEX(Sheet1!B2705:B5503,MATCH(MAX(Sheet1!N2705:N5503),Sheet1!N2705:N5503,0))</f>
        <v>481</v>
      </c>
    </row>
    <row r="2706" spans="1:1" x14ac:dyDescent="0.3">
      <c r="A2706">
        <f>INDEX(Sheet1!B2706:B5504,MATCH(MAX(Sheet1!N2706:N5504),Sheet1!N2706:N5504,0))</f>
        <v>481</v>
      </c>
    </row>
    <row r="2707" spans="1:1" x14ac:dyDescent="0.3">
      <c r="A2707">
        <f>INDEX(Sheet1!B2707:B5505,MATCH(MAX(Sheet1!N2707:N5505),Sheet1!N2707:N5505,0))</f>
        <v>481</v>
      </c>
    </row>
    <row r="2708" spans="1:1" x14ac:dyDescent="0.3">
      <c r="A2708">
        <f>INDEX(Sheet1!B2708:B5506,MATCH(MAX(Sheet1!N2708:N5506),Sheet1!N2708:N5506,0))</f>
        <v>481</v>
      </c>
    </row>
    <row r="2709" spans="1:1" x14ac:dyDescent="0.3">
      <c r="A2709">
        <f>INDEX(Sheet1!B2709:B5507,MATCH(MAX(Sheet1!N2709:N5507),Sheet1!N2709:N5507,0))</f>
        <v>481</v>
      </c>
    </row>
    <row r="2710" spans="1:1" x14ac:dyDescent="0.3">
      <c r="A2710">
        <f>INDEX(Sheet1!B2710:B5508,MATCH(MAX(Sheet1!N2710:N5508),Sheet1!N2710:N5508,0))</f>
        <v>481</v>
      </c>
    </row>
    <row r="2711" spans="1:1" x14ac:dyDescent="0.3">
      <c r="A2711">
        <f>INDEX(Sheet1!B2711:B5509,MATCH(MAX(Sheet1!N2711:N5509),Sheet1!N2711:N5509,0))</f>
        <v>481</v>
      </c>
    </row>
    <row r="2712" spans="1:1" x14ac:dyDescent="0.3">
      <c r="A2712">
        <f>INDEX(Sheet1!B2712:B5510,MATCH(MAX(Sheet1!N2712:N5510),Sheet1!N2712:N5510,0))</f>
        <v>482</v>
      </c>
    </row>
    <row r="2713" spans="1:1" x14ac:dyDescent="0.3">
      <c r="A2713">
        <f>INDEX(Sheet1!B2713:B5511,MATCH(MAX(Sheet1!N2713:N5511),Sheet1!N2713:N5511,0))</f>
        <v>482</v>
      </c>
    </row>
    <row r="2714" spans="1:1" x14ac:dyDescent="0.3">
      <c r="A2714">
        <f>INDEX(Sheet1!B2714:B5512,MATCH(MAX(Sheet1!N2714:N5512),Sheet1!N2714:N5512,0))</f>
        <v>482</v>
      </c>
    </row>
    <row r="2715" spans="1:1" x14ac:dyDescent="0.3">
      <c r="A2715">
        <f>INDEX(Sheet1!B2715:B5513,MATCH(MAX(Sheet1!N2715:N5513),Sheet1!N2715:N5513,0))</f>
        <v>482</v>
      </c>
    </row>
    <row r="2716" spans="1:1" x14ac:dyDescent="0.3">
      <c r="A2716">
        <f>INDEX(Sheet1!B2716:B5514,MATCH(MAX(Sheet1!N2716:N5514),Sheet1!N2716:N5514,0))</f>
        <v>482</v>
      </c>
    </row>
    <row r="2717" spans="1:1" x14ac:dyDescent="0.3">
      <c r="A2717">
        <f>INDEX(Sheet1!B2717:B5515,MATCH(MAX(Sheet1!N2717:N5515),Sheet1!N2717:N5515,0))</f>
        <v>484</v>
      </c>
    </row>
    <row r="2718" spans="1:1" x14ac:dyDescent="0.3">
      <c r="A2718">
        <f>INDEX(Sheet1!B2718:B5516,MATCH(MAX(Sheet1!N2718:N5516),Sheet1!N2718:N5516,0))</f>
        <v>484</v>
      </c>
    </row>
    <row r="2719" spans="1:1" x14ac:dyDescent="0.3">
      <c r="A2719">
        <f>INDEX(Sheet1!B2719:B5517,MATCH(MAX(Sheet1!N2719:N5517),Sheet1!N2719:N5517,0))</f>
        <v>484</v>
      </c>
    </row>
    <row r="2720" spans="1:1" x14ac:dyDescent="0.3">
      <c r="A2720">
        <f>INDEX(Sheet1!B2720:B5518,MATCH(MAX(Sheet1!N2720:N5518),Sheet1!N2720:N5518,0))</f>
        <v>484</v>
      </c>
    </row>
    <row r="2721" spans="1:1" x14ac:dyDescent="0.3">
      <c r="A2721">
        <f>INDEX(Sheet1!B2721:B5519,MATCH(MAX(Sheet1!N2721:N5519),Sheet1!N2721:N5519,0))</f>
        <v>484</v>
      </c>
    </row>
    <row r="2722" spans="1:1" x14ac:dyDescent="0.3">
      <c r="A2722">
        <f>INDEX(Sheet1!B2722:B5520,MATCH(MAX(Sheet1!N2722:N5520),Sheet1!N2722:N5520,0))</f>
        <v>484</v>
      </c>
    </row>
    <row r="2723" spans="1:1" x14ac:dyDescent="0.3">
      <c r="A2723">
        <f>INDEX(Sheet1!B2723:B5521,MATCH(MAX(Sheet1!N2723:N5521),Sheet1!N2723:N5521,0))</f>
        <v>484</v>
      </c>
    </row>
    <row r="2724" spans="1:1" x14ac:dyDescent="0.3">
      <c r="A2724">
        <f>INDEX(Sheet1!B2724:B5522,MATCH(MAX(Sheet1!N2724:N5522),Sheet1!N2724:N5522,0))</f>
        <v>484</v>
      </c>
    </row>
    <row r="2725" spans="1:1" x14ac:dyDescent="0.3">
      <c r="A2725">
        <f>INDEX(Sheet1!B2725:B5523,MATCH(MAX(Sheet1!N2725:N5523),Sheet1!N2725:N5523,0))</f>
        <v>484</v>
      </c>
    </row>
    <row r="2726" spans="1:1" x14ac:dyDescent="0.3">
      <c r="A2726">
        <f>INDEX(Sheet1!B2726:B5524,MATCH(MAX(Sheet1!N2726:N5524),Sheet1!N2726:N5524,0))</f>
        <v>486</v>
      </c>
    </row>
    <row r="2727" spans="1:1" x14ac:dyDescent="0.3">
      <c r="A2727">
        <f>INDEX(Sheet1!B2727:B5525,MATCH(MAX(Sheet1!N2727:N5525),Sheet1!N2727:N5525,0))</f>
        <v>486</v>
      </c>
    </row>
    <row r="2728" spans="1:1" x14ac:dyDescent="0.3">
      <c r="A2728">
        <f>INDEX(Sheet1!B2728:B5526,MATCH(MAX(Sheet1!N2728:N5526),Sheet1!N2728:N5526,0))</f>
        <v>486</v>
      </c>
    </row>
    <row r="2729" spans="1:1" x14ac:dyDescent="0.3">
      <c r="A2729">
        <f>INDEX(Sheet1!B2729:B5527,MATCH(MAX(Sheet1!N2729:N5527),Sheet1!N2729:N5527,0))</f>
        <v>486</v>
      </c>
    </row>
    <row r="2730" spans="1:1" x14ac:dyDescent="0.3">
      <c r="A2730">
        <f>INDEX(Sheet1!B2730:B5528,MATCH(MAX(Sheet1!N2730:N5528),Sheet1!N2730:N5528,0))</f>
        <v>486</v>
      </c>
    </row>
    <row r="2731" spans="1:1" x14ac:dyDescent="0.3">
      <c r="A2731">
        <f>INDEX(Sheet1!B2731:B5529,MATCH(MAX(Sheet1!N2731:N5529),Sheet1!N2731:N5529,0))</f>
        <v>486</v>
      </c>
    </row>
    <row r="2732" spans="1:1" x14ac:dyDescent="0.3">
      <c r="A2732">
        <f>INDEX(Sheet1!B2732:B5530,MATCH(MAX(Sheet1!N2732:N5530),Sheet1!N2732:N5530,0))</f>
        <v>487</v>
      </c>
    </row>
    <row r="2733" spans="1:1" x14ac:dyDescent="0.3">
      <c r="A2733">
        <f>INDEX(Sheet1!B2733:B5531,MATCH(MAX(Sheet1!N2733:N5531),Sheet1!N2733:N5531,0))</f>
        <v>487</v>
      </c>
    </row>
    <row r="2734" spans="1:1" x14ac:dyDescent="0.3">
      <c r="A2734">
        <f>INDEX(Sheet1!B2734:B5532,MATCH(MAX(Sheet1!N2734:N5532),Sheet1!N2734:N5532,0))</f>
        <v>487</v>
      </c>
    </row>
    <row r="2735" spans="1:1" x14ac:dyDescent="0.3">
      <c r="A2735">
        <f>INDEX(Sheet1!B2735:B5533,MATCH(MAX(Sheet1!N2735:N5533),Sheet1!N2735:N5533,0))</f>
        <v>487</v>
      </c>
    </row>
    <row r="2736" spans="1:1" x14ac:dyDescent="0.3">
      <c r="A2736">
        <f>INDEX(Sheet1!B2736:B5534,MATCH(MAX(Sheet1!N2736:N5534),Sheet1!N2736:N5534,0))</f>
        <v>487</v>
      </c>
    </row>
    <row r="2737" spans="1:1" x14ac:dyDescent="0.3">
      <c r="A2737">
        <f>INDEX(Sheet1!B2737:B5535,MATCH(MAX(Sheet1!N2737:N5535),Sheet1!N2737:N5535,0))</f>
        <v>487</v>
      </c>
    </row>
    <row r="2738" spans="1:1" x14ac:dyDescent="0.3">
      <c r="A2738">
        <f>INDEX(Sheet1!B2738:B5536,MATCH(MAX(Sheet1!N2738:N5536),Sheet1!N2738:N5536,0))</f>
        <v>488</v>
      </c>
    </row>
    <row r="2739" spans="1:1" x14ac:dyDescent="0.3">
      <c r="A2739">
        <f>INDEX(Sheet1!B2739:B5537,MATCH(MAX(Sheet1!N2739:N5537),Sheet1!N2739:N5537,0))</f>
        <v>488</v>
      </c>
    </row>
    <row r="2740" spans="1:1" x14ac:dyDescent="0.3">
      <c r="A2740">
        <f>INDEX(Sheet1!B2740:B5538,MATCH(MAX(Sheet1!N2740:N5538),Sheet1!N2740:N5538,0))</f>
        <v>488</v>
      </c>
    </row>
    <row r="2741" spans="1:1" x14ac:dyDescent="0.3">
      <c r="A2741">
        <f>INDEX(Sheet1!B2741:B5539,MATCH(MAX(Sheet1!N2741:N5539),Sheet1!N2741:N5539,0))</f>
        <v>488</v>
      </c>
    </row>
    <row r="2742" spans="1:1" x14ac:dyDescent="0.3">
      <c r="A2742">
        <f>INDEX(Sheet1!B2742:B5540,MATCH(MAX(Sheet1!N2742:N5540),Sheet1!N2742:N5540,0))</f>
        <v>488</v>
      </c>
    </row>
    <row r="2743" spans="1:1" x14ac:dyDescent="0.3">
      <c r="A2743">
        <f>INDEX(Sheet1!B2743:B5541,MATCH(MAX(Sheet1!N2743:N5541),Sheet1!N2743:N5541,0))</f>
        <v>489</v>
      </c>
    </row>
    <row r="2744" spans="1:1" x14ac:dyDescent="0.3">
      <c r="A2744">
        <f>INDEX(Sheet1!B2744:B5542,MATCH(MAX(Sheet1!N2744:N5542),Sheet1!N2744:N5542,0))</f>
        <v>489</v>
      </c>
    </row>
    <row r="2745" spans="1:1" x14ac:dyDescent="0.3">
      <c r="A2745">
        <f>INDEX(Sheet1!B2745:B5543,MATCH(MAX(Sheet1!N2745:N5543),Sheet1!N2745:N5543,0))</f>
        <v>489</v>
      </c>
    </row>
    <row r="2746" spans="1:1" x14ac:dyDescent="0.3">
      <c r="A2746">
        <f>INDEX(Sheet1!B2746:B5544,MATCH(MAX(Sheet1!N2746:N5544),Sheet1!N2746:N5544,0))</f>
        <v>490</v>
      </c>
    </row>
    <row r="2747" spans="1:1" x14ac:dyDescent="0.3">
      <c r="A2747">
        <f>INDEX(Sheet1!B2747:B5545,MATCH(MAX(Sheet1!N2747:N5545),Sheet1!N2747:N5545,0))</f>
        <v>490</v>
      </c>
    </row>
    <row r="2748" spans="1:1" x14ac:dyDescent="0.3">
      <c r="A2748">
        <f>INDEX(Sheet1!B2748:B5546,MATCH(MAX(Sheet1!N2748:N5546),Sheet1!N2748:N5546,0))</f>
        <v>490</v>
      </c>
    </row>
    <row r="2749" spans="1:1" x14ac:dyDescent="0.3">
      <c r="A2749">
        <f>INDEX(Sheet1!B2749:B5547,MATCH(MAX(Sheet1!N2749:N5547),Sheet1!N2749:N5547,0))</f>
        <v>490</v>
      </c>
    </row>
    <row r="2750" spans="1:1" x14ac:dyDescent="0.3">
      <c r="A2750">
        <f>INDEX(Sheet1!B2750:B5548,MATCH(MAX(Sheet1!N2750:N5548),Sheet1!N2750:N5548,0))</f>
        <v>490</v>
      </c>
    </row>
    <row r="2751" spans="1:1" x14ac:dyDescent="0.3">
      <c r="A2751">
        <f>INDEX(Sheet1!B2751:B5549,MATCH(MAX(Sheet1!N2751:N5549),Sheet1!N2751:N5549,0))</f>
        <v>490</v>
      </c>
    </row>
    <row r="2752" spans="1:1" x14ac:dyDescent="0.3">
      <c r="A2752">
        <f>INDEX(Sheet1!B2752:B5550,MATCH(MAX(Sheet1!N2752:N5550),Sheet1!N2752:N5550,0))</f>
        <v>490</v>
      </c>
    </row>
    <row r="2753" spans="1:1" x14ac:dyDescent="0.3">
      <c r="A2753">
        <f>INDEX(Sheet1!B2753:B5551,MATCH(MAX(Sheet1!N2753:N5551),Sheet1!N2753:N5551,0))</f>
        <v>490</v>
      </c>
    </row>
    <row r="2754" spans="1:1" x14ac:dyDescent="0.3">
      <c r="A2754">
        <f>INDEX(Sheet1!B2754:B5552,MATCH(MAX(Sheet1!N2754:N5552),Sheet1!N2754:N5552,0))</f>
        <v>490</v>
      </c>
    </row>
    <row r="2755" spans="1:1" x14ac:dyDescent="0.3">
      <c r="A2755">
        <f>INDEX(Sheet1!B2755:B5553,MATCH(MAX(Sheet1!N2755:N5553),Sheet1!N2755:N5553,0))</f>
        <v>491</v>
      </c>
    </row>
    <row r="2756" spans="1:1" x14ac:dyDescent="0.3">
      <c r="A2756">
        <f>INDEX(Sheet1!B2756:B5554,MATCH(MAX(Sheet1!N2756:N5554),Sheet1!N2756:N5554,0))</f>
        <v>491</v>
      </c>
    </row>
    <row r="2757" spans="1:1" x14ac:dyDescent="0.3">
      <c r="A2757">
        <f>INDEX(Sheet1!B2757:B5555,MATCH(MAX(Sheet1!N2757:N5555),Sheet1!N2757:N5555,0))</f>
        <v>492</v>
      </c>
    </row>
    <row r="2758" spans="1:1" x14ac:dyDescent="0.3">
      <c r="A2758">
        <f>INDEX(Sheet1!B2758:B5556,MATCH(MAX(Sheet1!N2758:N5556),Sheet1!N2758:N5556,0))</f>
        <v>492</v>
      </c>
    </row>
    <row r="2759" spans="1:1" x14ac:dyDescent="0.3">
      <c r="A2759">
        <f>INDEX(Sheet1!B2759:B5557,MATCH(MAX(Sheet1!N2759:N5557),Sheet1!N2759:N5557,0))</f>
        <v>492</v>
      </c>
    </row>
    <row r="2760" spans="1:1" x14ac:dyDescent="0.3">
      <c r="A2760">
        <f>INDEX(Sheet1!B2760:B5558,MATCH(MAX(Sheet1!N2760:N5558),Sheet1!N2760:N5558,0))</f>
        <v>492</v>
      </c>
    </row>
    <row r="2761" spans="1:1" x14ac:dyDescent="0.3">
      <c r="A2761">
        <f>INDEX(Sheet1!B2761:B5559,MATCH(MAX(Sheet1!N2761:N5559),Sheet1!N2761:N5559,0))</f>
        <v>492</v>
      </c>
    </row>
    <row r="2762" spans="1:1" x14ac:dyDescent="0.3">
      <c r="A2762">
        <f>INDEX(Sheet1!B2762:B5560,MATCH(MAX(Sheet1!N2762:N5560),Sheet1!N2762:N5560,0))</f>
        <v>492</v>
      </c>
    </row>
    <row r="2763" spans="1:1" x14ac:dyDescent="0.3">
      <c r="A2763">
        <f>INDEX(Sheet1!B2763:B5561,MATCH(MAX(Sheet1!N2763:N5561),Sheet1!N2763:N5561,0))</f>
        <v>492</v>
      </c>
    </row>
    <row r="2764" spans="1:1" x14ac:dyDescent="0.3">
      <c r="A2764">
        <f>INDEX(Sheet1!B2764:B5562,MATCH(MAX(Sheet1!N2764:N5562),Sheet1!N2764:N5562,0))</f>
        <v>492</v>
      </c>
    </row>
    <row r="2765" spans="1:1" x14ac:dyDescent="0.3">
      <c r="A2765">
        <f>INDEX(Sheet1!B2765:B5563,MATCH(MAX(Sheet1!N2765:N5563),Sheet1!N2765:N5563,0))</f>
        <v>493</v>
      </c>
    </row>
    <row r="2766" spans="1:1" x14ac:dyDescent="0.3">
      <c r="A2766">
        <f>INDEX(Sheet1!B2766:B5564,MATCH(MAX(Sheet1!N2766:N5564),Sheet1!N2766:N5564,0))</f>
        <v>493</v>
      </c>
    </row>
    <row r="2767" spans="1:1" x14ac:dyDescent="0.3">
      <c r="A2767">
        <f>INDEX(Sheet1!B2767:B5565,MATCH(MAX(Sheet1!N2767:N5565),Sheet1!N2767:N5565,0))</f>
        <v>493</v>
      </c>
    </row>
    <row r="2768" spans="1:1" x14ac:dyDescent="0.3">
      <c r="A2768">
        <f>INDEX(Sheet1!B2768:B5566,MATCH(MAX(Sheet1!N2768:N5566),Sheet1!N2768:N5566,0))</f>
        <v>493</v>
      </c>
    </row>
    <row r="2769" spans="1:1" x14ac:dyDescent="0.3">
      <c r="A2769">
        <f>INDEX(Sheet1!B2769:B5567,MATCH(MAX(Sheet1!N2769:N5567),Sheet1!N2769:N5567,0))</f>
        <v>493</v>
      </c>
    </row>
    <row r="2770" spans="1:1" x14ac:dyDescent="0.3">
      <c r="A2770">
        <f>INDEX(Sheet1!B2770:B5568,MATCH(MAX(Sheet1!N2770:N5568),Sheet1!N2770:N5568,0))</f>
        <v>494</v>
      </c>
    </row>
    <row r="2771" spans="1:1" x14ac:dyDescent="0.3">
      <c r="A2771">
        <f>INDEX(Sheet1!B2771:B5569,MATCH(MAX(Sheet1!N2771:N5569),Sheet1!N2771:N5569,0))</f>
        <v>494</v>
      </c>
    </row>
    <row r="2772" spans="1:1" x14ac:dyDescent="0.3">
      <c r="A2772">
        <f>INDEX(Sheet1!B2772:B5570,MATCH(MAX(Sheet1!N2772:N5570),Sheet1!N2772:N5570,0))</f>
        <v>494</v>
      </c>
    </row>
    <row r="2773" spans="1:1" x14ac:dyDescent="0.3">
      <c r="A2773">
        <f>INDEX(Sheet1!B2773:B5571,MATCH(MAX(Sheet1!N2773:N5571),Sheet1!N2773:N5571,0))</f>
        <v>494</v>
      </c>
    </row>
    <row r="2774" spans="1:1" x14ac:dyDescent="0.3">
      <c r="A2774">
        <f>INDEX(Sheet1!B2774:B5572,MATCH(MAX(Sheet1!N2774:N5572),Sheet1!N2774:N5572,0))</f>
        <v>494</v>
      </c>
    </row>
    <row r="2775" spans="1:1" x14ac:dyDescent="0.3">
      <c r="A2775">
        <f>INDEX(Sheet1!B2775:B5573,MATCH(MAX(Sheet1!N2775:N5573),Sheet1!N2775:N5573,0))</f>
        <v>494</v>
      </c>
    </row>
    <row r="2776" spans="1:1" x14ac:dyDescent="0.3">
      <c r="A2776">
        <f>INDEX(Sheet1!B2776:B5574,MATCH(MAX(Sheet1!N2776:N5574),Sheet1!N2776:N5574,0))</f>
        <v>495</v>
      </c>
    </row>
    <row r="2777" spans="1:1" x14ac:dyDescent="0.3">
      <c r="A2777">
        <f>INDEX(Sheet1!B2777:B5575,MATCH(MAX(Sheet1!N2777:N5575),Sheet1!N2777:N5575,0))</f>
        <v>495</v>
      </c>
    </row>
    <row r="2778" spans="1:1" x14ac:dyDescent="0.3">
      <c r="A2778">
        <f>INDEX(Sheet1!B2778:B5576,MATCH(MAX(Sheet1!N2778:N5576),Sheet1!N2778:N5576,0))</f>
        <v>495</v>
      </c>
    </row>
    <row r="2779" spans="1:1" x14ac:dyDescent="0.3">
      <c r="A2779">
        <f>INDEX(Sheet1!B2779:B5577,MATCH(MAX(Sheet1!N2779:N5577),Sheet1!N2779:N5577,0))</f>
        <v>497</v>
      </c>
    </row>
    <row r="2780" spans="1:1" x14ac:dyDescent="0.3">
      <c r="A2780">
        <f>INDEX(Sheet1!B2780:B5578,MATCH(MAX(Sheet1!N2780:N5578),Sheet1!N2780:N5578,0))</f>
        <v>497</v>
      </c>
    </row>
    <row r="2781" spans="1:1" x14ac:dyDescent="0.3">
      <c r="A2781">
        <f>INDEX(Sheet1!B2781:B5579,MATCH(MAX(Sheet1!N2781:N5579),Sheet1!N2781:N5579,0))</f>
        <v>497</v>
      </c>
    </row>
    <row r="2782" spans="1:1" x14ac:dyDescent="0.3">
      <c r="A2782">
        <f>INDEX(Sheet1!B2782:B5580,MATCH(MAX(Sheet1!N2782:N5580),Sheet1!N2782:N5580,0))</f>
        <v>497</v>
      </c>
    </row>
    <row r="2783" spans="1:1" x14ac:dyDescent="0.3">
      <c r="A2783">
        <f>INDEX(Sheet1!B2783:B5581,MATCH(MAX(Sheet1!N2783:N5581),Sheet1!N2783:N5581,0))</f>
        <v>497</v>
      </c>
    </row>
    <row r="2784" spans="1:1" x14ac:dyDescent="0.3">
      <c r="A2784">
        <f>INDEX(Sheet1!B2784:B5582,MATCH(MAX(Sheet1!N2784:N5582),Sheet1!N2784:N5582,0))</f>
        <v>497</v>
      </c>
    </row>
    <row r="2785" spans="1:1" x14ac:dyDescent="0.3">
      <c r="A2785">
        <f>INDEX(Sheet1!B2785:B5583,MATCH(MAX(Sheet1!N2785:N5583),Sheet1!N2785:N5583,0))</f>
        <v>497</v>
      </c>
    </row>
    <row r="2786" spans="1:1" x14ac:dyDescent="0.3">
      <c r="A2786">
        <f>INDEX(Sheet1!B2786:B5584,MATCH(MAX(Sheet1!N2786:N5584),Sheet1!N2786:N5584,0))</f>
        <v>498</v>
      </c>
    </row>
    <row r="2787" spans="1:1" x14ac:dyDescent="0.3">
      <c r="A2787">
        <f>INDEX(Sheet1!B2787:B5585,MATCH(MAX(Sheet1!N2787:N5585),Sheet1!N2787:N5585,0))</f>
        <v>498</v>
      </c>
    </row>
    <row r="2788" spans="1:1" x14ac:dyDescent="0.3">
      <c r="A2788">
        <f>INDEX(Sheet1!B2788:B5586,MATCH(MAX(Sheet1!N2788:N5586),Sheet1!N2788:N5586,0))</f>
        <v>498</v>
      </c>
    </row>
    <row r="2789" spans="1:1" x14ac:dyDescent="0.3">
      <c r="A2789">
        <f>INDEX(Sheet1!B2789:B5587,MATCH(MAX(Sheet1!N2789:N5587),Sheet1!N2789:N5587,0))</f>
        <v>499</v>
      </c>
    </row>
    <row r="2790" spans="1:1" x14ac:dyDescent="0.3">
      <c r="A2790">
        <f>INDEX(Sheet1!B2790:B5588,MATCH(MAX(Sheet1!N2790:N5588),Sheet1!N2790:N5588,0))</f>
        <v>499</v>
      </c>
    </row>
    <row r="2791" spans="1:1" x14ac:dyDescent="0.3">
      <c r="A2791">
        <f>INDEX(Sheet1!B2791:B5589,MATCH(MAX(Sheet1!N2791:N5589),Sheet1!N2791:N5589,0))</f>
        <v>499</v>
      </c>
    </row>
    <row r="2792" spans="1:1" x14ac:dyDescent="0.3">
      <c r="A2792">
        <f>INDEX(Sheet1!B2792:B5590,MATCH(MAX(Sheet1!N2792:N5590),Sheet1!N2792:N5590,0))</f>
        <v>499</v>
      </c>
    </row>
    <row r="2793" spans="1:1" x14ac:dyDescent="0.3">
      <c r="A2793">
        <f>INDEX(Sheet1!B2793:B5591,MATCH(MAX(Sheet1!N2793:N5591),Sheet1!N2793:N5591,0))</f>
        <v>499</v>
      </c>
    </row>
    <row r="2794" spans="1:1" x14ac:dyDescent="0.3">
      <c r="A2794">
        <f>INDEX(Sheet1!B2794:B5592,MATCH(MAX(Sheet1!N2794:N5592),Sheet1!N2794:N5592,0))</f>
        <v>499</v>
      </c>
    </row>
    <row r="2795" spans="1:1" x14ac:dyDescent="0.3">
      <c r="A2795">
        <f>INDEX(Sheet1!B2795:B5593,MATCH(MAX(Sheet1!N2795:N5593),Sheet1!N2795:N5593,0))</f>
        <v>499</v>
      </c>
    </row>
    <row r="2796" spans="1:1" x14ac:dyDescent="0.3">
      <c r="A2796">
        <f>INDEX(Sheet1!B2796:B5594,MATCH(MAX(Sheet1!N2796:N5594),Sheet1!N2796:N5594,0))</f>
        <v>499</v>
      </c>
    </row>
    <row r="2797" spans="1:1" x14ac:dyDescent="0.3">
      <c r="A2797">
        <f>INDEX(Sheet1!B2797:B5595,MATCH(MAX(Sheet1!N2797:N5595),Sheet1!N2797:N5595,0))</f>
        <v>500</v>
      </c>
    </row>
    <row r="2798" spans="1:1" x14ac:dyDescent="0.3">
      <c r="A2798">
        <f>INDEX(Sheet1!B2798:B5596,MATCH(MAX(Sheet1!N2798:N5596),Sheet1!N2798:N5596,0))</f>
        <v>500</v>
      </c>
    </row>
    <row r="2799" spans="1:1" x14ac:dyDescent="0.3">
      <c r="A2799">
        <f>INDEX(Sheet1!B2799:B5597,MATCH(MAX(Sheet1!N2799:N5597),Sheet1!N2799:N5597,0))</f>
        <v>500</v>
      </c>
    </row>
    <row r="2800" spans="1:1" x14ac:dyDescent="0.3">
      <c r="A2800">
        <f>INDEX(Sheet1!B2800:B5598,MATCH(MAX(Sheet1!N2800:N5598),Sheet1!N2800:N5598,0))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mahibaruban0203@gmail.com</dc:creator>
  <cp:lastModifiedBy>mahibaruban0203@gmail.com</cp:lastModifiedBy>
  <dcterms:created xsi:type="dcterms:W3CDTF">2026-09-08T05:21:52Z</dcterms:created>
  <dcterms:modified xsi:type="dcterms:W3CDTF">2026-09-09T02:35:19Z</dcterms:modified>
</cp:coreProperties>
</file>